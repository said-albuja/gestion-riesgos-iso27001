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6.xml" ContentType="application/vnd.openxmlformats-officedocument.spreadsheetml.pivotTable+xml"/>
  <Override PartName="/xl/pivotTables/pivotTable7.xml" ContentType="application/vnd.openxmlformats-officedocument.spreadsheetml.pivot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27980" windowHeight="19980" tabRatio="696" firstSheet="9" activeTab="10" autoFilterDateGrouping="1"/>
  </bookViews>
  <sheets>
    <sheet name="INVENTARIO" sheetId="1" state="visible" r:id="rId1"/>
    <sheet name="INTERVALOS" sheetId="2" state="visible" r:id="rId2"/>
    <sheet name="EVALUACION DE RIESGO" sheetId="3" state="visible" r:id="rId3"/>
    <sheet name="PLANES DE ACCION" sheetId="4" state="visible" r:id="rId4"/>
    <sheet name="INDICADORES" sheetId="5" state="visible" r:id="rId5"/>
    <sheet name="CATALOGO VULNERABILIDADES" sheetId="6" state="visible" r:id="rId6"/>
    <sheet name="CATALOGO AMENAZA" sheetId="7" state="visible" r:id="rId7"/>
    <sheet name="TIPOS DE ACTIVOS" sheetId="8" state="visible" r:id="rId8"/>
    <sheet name="CATALOGO CONTROLES" sheetId="9" state="visible" r:id="rId9"/>
    <sheet name="ANEXO A" sheetId="10" state="visible" r:id="rId10"/>
    <sheet name="Hoja1" sheetId="11" state="visible" r:id="rId11"/>
    <sheet name="Declaración Aplicabilidad (SoA)" sheetId="12" state="visible" r:id="rId12"/>
  </sheets>
  <definedNames>
    <definedName name="_xlnm._FilterDatabase" localSheetId="6" hidden="1">'CATALOGO AMENAZA'!$A$2:$N$46</definedName>
    <definedName name="_xlnm._FilterDatabase" localSheetId="9" hidden="1">'ANEXO A'!$A$1:$L$94</definedName>
    <definedName name="_xlnm._FilterDatabase" localSheetId="11" hidden="1">'Declaración Aplicabilidad (SoA)'!$A$1:$N$94</definedName>
  </definedNames>
  <calcPr calcId="191029" fullCalcOnLoad="1"/>
  <pivotCaches>
    <pivotCache cacheId="12" r:id="rId13"/>
    <pivotCache cacheId="13" r:id="rId14"/>
  </pivotCaches>
</workbook>
</file>

<file path=xl/styles.xml><?xml version="1.0" encoding="utf-8"?>
<styleSheet xmlns="http://schemas.openxmlformats.org/spreadsheetml/2006/main">
  <numFmts count="0"/>
  <fonts count="9">
    <font>
      <name val="Arial"/>
      <family val="2"/>
      <color theme="1"/>
      <sz val="8"/>
    </font>
    <font>
      <name val="Arial"/>
      <family val="2"/>
      <b val="1"/>
      <color theme="1"/>
      <sz val="8"/>
    </font>
    <font>
      <name val="Arial"/>
      <family val="2"/>
      <b val="1"/>
      <color rgb="FF000000"/>
      <sz val="8"/>
    </font>
    <font>
      <name val="Arial"/>
      <family val="2"/>
      <color rgb="FF000000"/>
      <sz val="8"/>
    </font>
    <font>
      <name val="Calibri"/>
      <family val="2"/>
      <color theme="1"/>
      <sz val="11"/>
      <scheme val="minor"/>
    </font>
    <font>
      <name val="Arial"/>
      <family val="2"/>
      <color theme="1"/>
      <sz val="8"/>
    </font>
    <font>
      <name val="Arial"/>
      <family val="2"/>
      <b val="1"/>
      <color theme="0"/>
      <sz val="8"/>
    </font>
    <font>
      <name val="Arial"/>
      <family val="2"/>
      <b val="1"/>
      <color rgb="FFFFFFFF"/>
      <sz val="8"/>
    </font>
    <font>
      <b val="1"/>
      <color rgb="00FFFFFF"/>
    </font>
  </fonts>
  <fills count="17">
    <fill>
      <patternFill/>
    </fill>
    <fill>
      <patternFill patternType="gray125"/>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EE0000"/>
        <bgColor indexed="64"/>
      </patternFill>
    </fill>
    <fill>
      <patternFill patternType="solid">
        <fgColor theme="8" tint="0.5999938962981048"/>
        <bgColor indexed="64"/>
      </patternFill>
    </fill>
    <fill>
      <patternFill patternType="solid">
        <fgColor theme="7"/>
        <bgColor indexed="64"/>
      </patternFill>
    </fill>
    <fill>
      <patternFill patternType="solid">
        <fgColor theme="8"/>
        <bgColor indexed="64"/>
      </patternFill>
    </fill>
    <fill>
      <patternFill patternType="solid">
        <fgColor theme="5" tint="0.3999755851924192"/>
        <bgColor indexed="64"/>
      </patternFill>
    </fill>
    <fill>
      <patternFill patternType="solid">
        <fgColor rgb="FF00B0F0"/>
        <bgColor indexed="64"/>
      </patternFill>
    </fill>
    <fill>
      <patternFill patternType="solid">
        <fgColor theme="1"/>
        <bgColor indexed="64"/>
      </patternFill>
    </fill>
    <fill>
      <patternFill patternType="solid">
        <fgColor theme="0"/>
        <bgColor indexed="64"/>
      </patternFill>
    </fill>
    <fill>
      <patternFill patternType="solid">
        <fgColor rgb="FF000080"/>
        <bgColor rgb="FF000080"/>
      </patternFill>
    </fill>
    <fill>
      <patternFill patternType="solid">
        <fgColor rgb="00000080"/>
        <bgColor rgb="0000008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s>
  <cellStyleXfs count="3">
    <xf numFmtId="0" fontId="5" fillId="0" borderId="0"/>
    <xf numFmtId="0" fontId="4" fillId="0" borderId="0"/>
    <xf numFmtId="9" fontId="5" fillId="0" borderId="0"/>
  </cellStyleXfs>
  <cellXfs count="101">
    <xf numFmtId="0" fontId="0" fillId="0" borderId="0" pivotButton="0" quotePrefix="0" xfId="0"/>
    <xf numFmtId="0" fontId="2" fillId="0" borderId="1" applyAlignment="1" pivotButton="0" quotePrefix="0" xfId="0">
      <alignment horizontal="center" vertical="center"/>
    </xf>
    <xf numFmtId="0" fontId="3" fillId="2" borderId="1" applyAlignment="1" pivotButton="0" quotePrefix="0" xfId="0">
      <alignment horizontal="center" vertical="center"/>
    </xf>
    <xf numFmtId="0" fontId="3" fillId="0" borderId="1" applyAlignment="1" pivotButton="0" quotePrefix="0" xfId="0">
      <alignment horizontal="center" vertical="center"/>
    </xf>
    <xf numFmtId="0" fontId="0" fillId="0" borderId="1" applyAlignment="1" pivotButton="0" quotePrefix="0" xfId="0">
      <alignment vertical="center" wrapText="1"/>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2" fillId="0" borderId="1" applyAlignment="1" pivotButton="0" quotePrefix="0" xfId="0">
      <alignment horizontal="center" vertical="center" wrapText="1"/>
    </xf>
    <xf numFmtId="0" fontId="0" fillId="0" borderId="1" pivotButton="0" quotePrefix="0" xfId="0"/>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center"/>
    </xf>
    <xf numFmtId="0" fontId="0" fillId="0" borderId="1" applyAlignment="1" pivotButton="0" quotePrefix="1" xfId="0">
      <alignment horizontal="center"/>
    </xf>
    <xf numFmtId="0" fontId="0" fillId="7" borderId="1" applyAlignment="1" pivotButton="0" quotePrefix="0" xfId="0">
      <alignment horizontal="center" vertical="center"/>
    </xf>
    <xf numFmtId="0" fontId="0" fillId="0" borderId="0" applyAlignment="1" pivotButton="0" quotePrefix="0" xfId="0">
      <alignment wrapText="1"/>
    </xf>
    <xf numFmtId="0" fontId="0" fillId="0" borderId="1" applyAlignment="1" pivotButton="0" quotePrefix="0" xfId="0">
      <alignment wrapText="1"/>
    </xf>
    <xf numFmtId="0" fontId="0" fillId="0" borderId="4" pivotButton="0" quotePrefix="0" xfId="0"/>
    <xf numFmtId="0" fontId="0" fillId="0" borderId="2" pivotButton="0" quotePrefix="0" xfId="0"/>
    <xf numFmtId="0" fontId="0" fillId="0" borderId="10" pivotButton="0" quotePrefix="0" xfId="0"/>
    <xf numFmtId="0" fontId="0" fillId="0" borderId="5" pivotButton="0" quotePrefix="0" xfId="0"/>
    <xf numFmtId="0" fontId="0" fillId="0" borderId="11" pivotButton="0" quotePrefix="0" xfId="0"/>
    <xf numFmtId="0" fontId="1" fillId="8" borderId="9" applyAlignment="1" pivotButton="0" quotePrefix="0" xfId="0">
      <alignment horizontal="center" wrapText="1"/>
    </xf>
    <xf numFmtId="14" fontId="0" fillId="0" borderId="1" pivotButton="0" quotePrefix="0" xfId="0"/>
    <xf numFmtId="14" fontId="0" fillId="0" borderId="5" pivotButton="0" quotePrefix="0" xfId="0"/>
    <xf numFmtId="0" fontId="1" fillId="8" borderId="1" applyAlignment="1" pivotButton="0" quotePrefix="0" xfId="0">
      <alignment horizontal="center" wrapText="1"/>
    </xf>
    <xf numFmtId="0" fontId="1" fillId="8" borderId="5" applyAlignment="1" pivotButton="0" quotePrefix="0" xfId="0">
      <alignment vertical="center" wrapText="1"/>
    </xf>
    <xf numFmtId="0" fontId="1" fillId="8" borderId="7" applyAlignment="1" pivotButton="0" quotePrefix="0" xfId="0">
      <alignment horizontal="center" wrapText="1"/>
    </xf>
    <xf numFmtId="0" fontId="1" fillId="8" borderId="8" applyAlignment="1" pivotButton="0" quotePrefix="0" xfId="0">
      <alignment horizontal="center" wrapText="1"/>
    </xf>
    <xf numFmtId="0" fontId="1" fillId="8" borderId="8" applyAlignment="1" pivotButton="0" quotePrefix="0" xfId="0">
      <alignment vertical="center" wrapText="1"/>
    </xf>
    <xf numFmtId="0" fontId="0" fillId="0" borderId="8" pivotButton="0" quotePrefix="0" xfId="0"/>
    <xf numFmtId="0" fontId="0" fillId="0" borderId="5" applyAlignment="1" pivotButton="0" quotePrefix="0" xfId="0">
      <alignment horizontal="center"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12" applyAlignment="1" pivotButton="0" quotePrefix="0" xfId="0">
      <alignment horizontal="center"/>
    </xf>
    <xf numFmtId="0" fontId="0" fillId="4" borderId="1" pivotButton="0" quotePrefix="0" xfId="0"/>
    <xf numFmtId="0" fontId="0" fillId="0" borderId="12"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4" borderId="4" pivotButton="0" quotePrefix="0" xfId="0"/>
    <xf numFmtId="0" fontId="1" fillId="9" borderId="1" applyAlignment="1" pivotButton="0" quotePrefix="0" xfId="0">
      <alignment wrapText="1"/>
    </xf>
    <xf numFmtId="0" fontId="1" fillId="9" borderId="1" applyAlignment="1" pivotButton="0" quotePrefix="0" xfId="0">
      <alignment textRotation="90" wrapText="1"/>
    </xf>
    <xf numFmtId="0" fontId="1" fillId="9" borderId="1" applyAlignment="1" pivotButton="0" quotePrefix="0" xfId="0">
      <alignment horizontal="center" vertical="center" wrapText="1"/>
    </xf>
    <xf numFmtId="0" fontId="1" fillId="9" borderId="1" applyAlignment="1" pivotButton="0" quotePrefix="0" xfId="0">
      <alignment vertical="center" wrapText="1"/>
    </xf>
    <xf numFmtId="0" fontId="0" fillId="0" borderId="5" applyAlignment="1" pivotButton="0" quotePrefix="0" xfId="0">
      <alignment wrapText="1"/>
    </xf>
    <xf numFmtId="0" fontId="1" fillId="9" borderId="5" applyAlignment="1" pivotButton="0" quotePrefix="0" xfId="0">
      <alignment wrapText="1"/>
    </xf>
    <xf numFmtId="0" fontId="0" fillId="3" borderId="1" applyAlignment="1" pivotButton="0" quotePrefix="0" xfId="0">
      <alignment vertical="center" wrapText="1"/>
    </xf>
    <xf numFmtId="0" fontId="0" fillId="11" borderId="1" applyAlignment="1" pivotButton="0" quotePrefix="0" xfId="0">
      <alignment vertical="center" wrapText="1"/>
    </xf>
    <xf numFmtId="0" fontId="0" fillId="12" borderId="1" applyAlignment="1" pivotButton="0" quotePrefix="0" xfId="0">
      <alignment vertical="center" wrapText="1"/>
    </xf>
    <xf numFmtId="9" fontId="0" fillId="0" borderId="1" applyAlignment="1" pivotButton="0" quotePrefix="0" xfId="0">
      <alignment horizontal="center" vertical="center" wrapText="1"/>
    </xf>
    <xf numFmtId="0" fontId="0" fillId="0" borderId="5" applyAlignment="1" pivotButton="0" quotePrefix="0" xfId="0">
      <alignment vertical="center" wrapText="1"/>
    </xf>
    <xf numFmtId="9" fontId="0" fillId="0" borderId="1" applyAlignment="1" pivotButton="0" quotePrefix="0" xfId="2">
      <alignment horizontal="center" vertical="center" wrapText="1"/>
    </xf>
    <xf numFmtId="2"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1" fillId="0" borderId="1" applyAlignment="1" pivotButton="0" quotePrefix="0" xfId="0">
      <alignment wrapText="1"/>
    </xf>
    <xf numFmtId="0" fontId="0" fillId="0" borderId="4" applyAlignment="1" pivotButton="0" quotePrefix="0" xfId="0">
      <alignment vertical="center" wrapText="1"/>
    </xf>
    <xf numFmtId="0" fontId="0" fillId="0" borderId="4" applyAlignment="1" pivotButton="0" quotePrefix="0" xfId="0">
      <alignment wrapText="1"/>
    </xf>
    <xf numFmtId="0" fontId="1" fillId="0" borderId="5" applyAlignment="1" pivotButton="0" quotePrefix="0" xfId="0">
      <alignment horizontal="left" vertical="center" wrapText="1"/>
    </xf>
    <xf numFmtId="9" fontId="0" fillId="0" borderId="5" applyAlignment="1" pivotButton="0" quotePrefix="0" xfId="2">
      <alignment horizontal="center" vertical="center" wrapText="1"/>
    </xf>
    <xf numFmtId="2" fontId="0" fillId="0" borderId="5" applyAlignment="1" pivotButton="0" quotePrefix="0" xfId="0">
      <alignment horizontal="center" vertical="center" wrapText="1"/>
    </xf>
    <xf numFmtId="0" fontId="1" fillId="13" borderId="7" applyAlignment="1" pivotButton="0" quotePrefix="0" xfId="0">
      <alignment horizontal="center" vertical="center" wrapText="1"/>
    </xf>
    <xf numFmtId="0" fontId="1" fillId="13" borderId="8" applyAlignment="1" pivotButton="0" quotePrefix="0" xfId="0">
      <alignment horizontal="center" vertical="center" wrapText="1"/>
    </xf>
    <xf numFmtId="0" fontId="1" fillId="13" borderId="9" applyAlignment="1" pivotButton="0" quotePrefix="0" xfId="0">
      <alignment horizontal="center" vertical="center" wrapText="1"/>
    </xf>
    <xf numFmtId="0" fontId="1" fillId="0" borderId="1" applyAlignment="1" pivotButton="0" quotePrefix="0" xfId="0">
      <alignment vertical="center" wrapText="1"/>
    </xf>
    <xf numFmtId="0" fontId="0" fillId="0" borderId="2" applyAlignment="1" pivotButton="0" quotePrefix="0" xfId="0">
      <alignment horizontal="center" vertical="center"/>
    </xf>
    <xf numFmtId="2" fontId="0" fillId="0" borderId="11" applyAlignment="1" pivotButton="0" quotePrefix="0" xfId="0">
      <alignment horizontal="center" vertical="center" wrapText="1"/>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6" borderId="0" pivotButton="0" quotePrefix="0" xfId="0"/>
    <xf numFmtId="0" fontId="0" fillId="3" borderId="0" pivotButton="0" quotePrefix="0" xfId="0"/>
    <xf numFmtId="0" fontId="0" fillId="4" borderId="0" pivotButton="0" quotePrefix="0" xfId="0"/>
    <xf numFmtId="0" fontId="0" fillId="5" borderId="0" pivotButton="0" quotePrefix="0" xfId="0"/>
    <xf numFmtId="9" fontId="0" fillId="0" borderId="0" applyAlignment="1" pivotButton="0" quotePrefix="0" xfId="0">
      <alignment horizontal="left"/>
    </xf>
    <xf numFmtId="16" fontId="0" fillId="0" borderId="1" applyAlignment="1" pivotButton="0" quotePrefix="1" xfId="0">
      <alignment horizontal="center"/>
    </xf>
    <xf numFmtId="0" fontId="0" fillId="6" borderId="1" applyAlignment="1" pivotButton="0" quotePrefix="0" xfId="0">
      <alignment horizontal="center"/>
    </xf>
    <xf numFmtId="0" fontId="0" fillId="5" borderId="1" applyAlignment="1" pivotButton="0" quotePrefix="0" xfId="0">
      <alignment horizontal="center"/>
    </xf>
    <xf numFmtId="0" fontId="0" fillId="4" borderId="1" applyAlignment="1" pivotButton="0" quotePrefix="0" xfId="0">
      <alignment horizontal="center"/>
    </xf>
    <xf numFmtId="0" fontId="0" fillId="3" borderId="1" applyAlignment="1" pivotButton="0" quotePrefix="0" xfId="0">
      <alignment horizontal="center"/>
    </xf>
    <xf numFmtId="0" fontId="0" fillId="0" borderId="8" applyAlignment="1" pivotButton="0" quotePrefix="0" xfId="0">
      <alignment horizontal="center" vertical="center" wrapText="1"/>
    </xf>
    <xf numFmtId="0" fontId="6" fillId="13" borderId="0" applyAlignment="1" pivotButton="0" quotePrefix="0" xfId="0">
      <alignment horizontal="center" vertical="center" wrapText="1"/>
    </xf>
    <xf numFmtId="0" fontId="0" fillId="14" borderId="1" applyAlignment="1" pivotButton="0" quotePrefix="0" xfId="0">
      <alignment horizontal="center" vertical="center" wrapText="1"/>
    </xf>
    <xf numFmtId="0" fontId="6" fillId="13" borderId="10" applyAlignment="1" pivotButton="0" quotePrefix="0" xfId="0">
      <alignment horizontal="center" vertical="center" wrapText="1"/>
    </xf>
    <xf numFmtId="0" fontId="6" fillId="13" borderId="5" applyAlignment="1" pivotButton="0" quotePrefix="0" xfId="0">
      <alignment horizontal="center" vertical="center" wrapText="1"/>
    </xf>
    <xf numFmtId="0" fontId="0" fillId="14" borderId="8" applyAlignment="1" pivotButton="0" quotePrefix="0" xfId="0">
      <alignment horizontal="center" vertical="center" wrapText="1"/>
    </xf>
    <xf numFmtId="0" fontId="0" fillId="13" borderId="0" pivotButton="0" quotePrefix="0" xfId="0"/>
    <xf numFmtId="0" fontId="0" fillId="0" borderId="9" applyAlignment="1" pivotButton="0" quotePrefix="0" xfId="0">
      <alignment horizontal="center" vertical="center"/>
    </xf>
    <xf numFmtId="0" fontId="7" fillId="15" borderId="0" applyAlignment="1" pivotButton="0" quotePrefix="0" xfId="0">
      <alignment horizontal="center" vertical="center" wrapText="1"/>
    </xf>
    <xf numFmtId="0" fontId="1" fillId="8" borderId="1" applyAlignment="1" pivotButton="0" quotePrefix="0" xfId="0">
      <alignment horizontal="center" wrapText="1"/>
    </xf>
    <xf numFmtId="0" fontId="0" fillId="0" borderId="3" pivotButton="0" quotePrefix="0" xfId="0"/>
    <xf numFmtId="0" fontId="0" fillId="0" borderId="4" pivotButton="0" quotePrefix="0" xfId="0"/>
    <xf numFmtId="0" fontId="1" fillId="0" borderId="6" applyAlignment="1" pivotButton="0" quotePrefix="0" xfId="0">
      <alignment horizontal="center"/>
    </xf>
    <xf numFmtId="0" fontId="0" fillId="0" borderId="6" pivotButton="0" quotePrefix="0" xfId="0"/>
    <xf numFmtId="0" fontId="1" fillId="0" borderId="1" applyAlignment="1" pivotButton="0" quotePrefix="0" xfId="0">
      <alignment horizontal="center"/>
    </xf>
    <xf numFmtId="0" fontId="1" fillId="0" borderId="1" applyAlignment="1" pivotButton="0" quotePrefix="0" xfId="0">
      <alignment horizontal="center" vertical="center"/>
    </xf>
    <xf numFmtId="0" fontId="0" fillId="0" borderId="8" pivotButton="0" quotePrefix="0" xfId="0"/>
    <xf numFmtId="0" fontId="0" fillId="0" borderId="0" applyAlignment="1" pivotButton="0" quotePrefix="0" xfId="0">
      <alignment horizontal="center"/>
    </xf>
    <xf numFmtId="0" fontId="0" fillId="0" borderId="0" pivotButton="0" quotePrefix="0" xfId="0"/>
    <xf numFmtId="0" fontId="1" fillId="10" borderId="1" applyAlignment="1" pivotButton="0" quotePrefix="0" xfId="0">
      <alignment horizontal="center" wrapText="1"/>
    </xf>
    <xf numFmtId="0" fontId="8" fillId="16" borderId="0" applyAlignment="1" pivotButton="0" quotePrefix="0" xfId="0">
      <alignment horizontal="center" vertical="center" wrapText="1"/>
    </xf>
  </cellXfs>
  <cellStyles count="3">
    <cellStyle name="Normal" xfId="0" builtinId="0"/>
    <cellStyle name="Normal 2" xfId="1"/>
    <cellStyle name="Porcentaje" xfId="2" builtinId="5"/>
  </cellStyles>
  <dxfs count="83">
    <dxf>
      <fill>
        <patternFill patternType="solid">
          <fgColor rgb="FFFF0000"/>
          <bgColor rgb="FFFF0000"/>
        </patternFill>
      </fill>
    </dxf>
    <dxf>
      <fill>
        <patternFill patternType="solid">
          <fgColor rgb="FFFFFF00"/>
          <bgColor rgb="FFFFFF00"/>
        </patternFill>
      </fill>
    </dxf>
    <dxf>
      <fill>
        <patternFill patternType="solid">
          <fgColor rgb="FF00FF00"/>
          <bgColor rgb="FF00FF00"/>
        </patternFill>
      </fill>
    </dxf>
    <dxf>
      <fill>
        <patternFill>
          <bgColor rgb="FF00B050"/>
        </patternFill>
      </fill>
    </dxf>
    <dxf>
      <alignment horizontal="general" vertical="bottom" wrapText="1"/>
      <border>
        <left style="thin">
          <color indexed="64"/>
        </left>
        <right style="thin">
          <color indexed="64"/>
        </right>
        <top style="thin">
          <color indexed="64"/>
        </top>
        <bottom style="thin">
          <color indexed="64"/>
        </bottom>
        <vertical/>
        <horizontal/>
      </border>
    </dxf>
    <dxf>
      <font>
        <name val="Arial"/>
        <family val="2"/>
        <b val="1"/>
        <strike val="0"/>
        <outline val="0"/>
        <shadow val="0"/>
        <condense val="0"/>
        <color theme="1"/>
        <extend val="0"/>
        <sz val="8"/>
        <vertAlign val="baseline"/>
      </font>
      <fill>
        <patternFill patternType="solid">
          <fgColor indexed="64"/>
          <bgColor theme="7"/>
        </patternFill>
      </fill>
      <alignment horizontal="general" vertical="bottom" wrapText="1"/>
      <border>
        <left style="thin">
          <color indexed="64"/>
        </left>
        <right style="thin">
          <color indexed="64"/>
        </right>
        <top style="thin">
          <color indexed="64"/>
        </top>
        <bottom style="thin">
          <color indexed="64"/>
        </bottom>
        <vertical/>
        <horizontal/>
      </border>
    </dxf>
    <dxf>
      <border outline="0">
        <bottom style="thin">
          <color indexed="64"/>
        </bottom>
      </border>
    </dxf>
    <dxf>
      <fill>
        <patternFill>
          <bgColor rgb="FFFFC00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fgColor indexed="64"/>
          <bgColor rgb="FFFFFF00"/>
        </patternFill>
      </fill>
    </dxf>
    <dxf>
      <fill>
        <patternFill patternType="solid">
          <fgColor indexed="64"/>
          <bgColor rgb="FF00B050"/>
        </patternFill>
      </fill>
    </dxf>
    <dxf>
      <fill>
        <patternFill patternType="solid">
          <fgColor indexed="64"/>
          <bgColor rgb="FFFFC000"/>
        </patternFill>
      </fill>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bottom style="thin">
          <color indexed="64"/>
        </bottom>
        <vertical/>
        <horizontal/>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outline="0">
        <left style="thin">
          <color indexed="64"/>
        </left>
        <right style="thin">
          <color indexed="64"/>
        </right>
        <top style="thin">
          <color indexed="64"/>
        </top>
        <bottom style="thin">
          <color indexed="64"/>
        </bottom>
      </border>
    </dxf>
    <dxf>
      <font>
        <name val="Arial"/>
        <family val="2"/>
        <strike val="0"/>
        <outline val="0"/>
        <shadow val="0"/>
        <condense val="0"/>
        <color theme="1"/>
        <extend val="0"/>
        <sz val="8"/>
        <vertAlign val="baseline"/>
      </font>
      <fill>
        <patternFill patternType="solid">
          <fgColor indexed="64"/>
          <bgColor theme="0"/>
        </patternFill>
      </fill>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border>
    </dxf>
    <dxf>
      <fill>
        <patternFill patternType="solid">
          <fgColor indexed="64"/>
          <bgColor theme="0"/>
        </patternFill>
      </fill>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border>
        <left style="thin">
          <color indexed="64"/>
        </left>
        <right/>
        <top style="thin">
          <color indexed="64"/>
        </top>
        <bottom style="thin">
          <color indexed="64"/>
        </bottom>
        <vertical/>
        <horizontal/>
      </border>
    </dxf>
    <dxf>
      <border>
        <left style="thin">
          <color indexed="64"/>
        </left>
        <right/>
        <top style="thin">
          <color indexed="64"/>
        </top>
        <bottom style="thin">
          <color indexed="64"/>
        </bottom>
        <vertical style="thin">
          <color indexed="64"/>
        </vertical>
        <horizontal style="thin">
          <color indexed="64"/>
        </horizontal>
      </border>
    </dxf>
    <dxf>
      <alignment horizontal="center" vertical="center"/>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wrapText="1"/>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left style="thin">
          <color indexed="64"/>
        </left>
        <right style="thin">
          <color indexed="64"/>
        </right>
        <top style="thin">
          <color indexed="64"/>
        </top>
        <bottom style="thin">
          <color indexed="64"/>
        </bottom>
      </border>
    </dxf>
    <dxf>
      <alignment horizontal="center" vertical="center" wrapText="1"/>
    </dxf>
    <dxf>
      <border>
        <bottom style="thin">
          <color indexed="64"/>
        </bottom>
      </border>
    </dxf>
    <dxf>
      <font>
        <name val="Arial"/>
        <family val="2"/>
        <b val="1"/>
        <strike val="0"/>
        <outline val="0"/>
        <shadow val="0"/>
        <condense val="0"/>
        <color theme="1"/>
        <extend val="0"/>
        <sz val="8"/>
        <vertAlign val="baseline"/>
      </font>
      <fill>
        <patternFill patternType="solid">
          <fgColor indexed="64"/>
          <bgColor theme="1"/>
        </patternFill>
      </fill>
      <alignment horizontal="center" vertical="center" wrapText="1"/>
      <border>
        <left style="thin">
          <color indexed="64"/>
        </left>
        <right style="thin">
          <color indexed="64"/>
        </right>
        <top/>
        <bottom/>
        <vertical style="thin">
          <color indexed="64"/>
        </vertical>
        <horizontal style="thin">
          <color indexed="64"/>
        </horizontal>
      </border>
    </dxf>
    <dxf>
      <numFmt numFmtId="0" formatCode="General"/>
      <border>
        <left style="thin">
          <color indexed="64"/>
        </left>
        <right style="thin">
          <color indexed="64"/>
        </right>
        <top style="thin">
          <color indexed="64"/>
        </top>
        <bottom style="thin">
          <color indexed="64"/>
        </bottom>
        <vertical/>
        <horizontal/>
      </border>
    </dxf>
    <dxf>
      <border>
        <left style="thin">
          <color indexed="64"/>
        </left>
        <right/>
        <top style="thin">
          <color indexed="64"/>
        </top>
        <bottom style="thin">
          <color indexed="64"/>
        </bottom>
        <vertical/>
        <horizontal/>
      </border>
    </dxf>
    <dxf>
      <numFmt numFmtId="164" formatCode="dd/mm/yyyy"/>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Arial"/>
        <family val="2"/>
        <b val="1"/>
        <strike val="0"/>
        <outline val="0"/>
        <shadow val="0"/>
        <condense val="0"/>
        <color theme="1"/>
        <extend val="0"/>
        <sz val="8"/>
        <vertAlign val="baseline"/>
      </font>
      <fill>
        <patternFill patternType="solid">
          <fgColor indexed="64"/>
          <bgColor theme="8" tint="0.5999938962981048"/>
        </patternFill>
      </fill>
      <alignment horizontal="center" vertical="bottom" wrapText="1"/>
      <border outline="0">
        <left style="thin">
          <color indexed="64"/>
        </left>
        <right style="thin">
          <color indexed="64"/>
        </right>
        <top/>
        <bottom/>
      </border>
    </dxf>
    <dxf>
      <fill>
        <patternFill patternType="solid">
          <fgColor rgb="0000FF00"/>
          <bgColor rgb="0000FF00"/>
        </patternFill>
      </fill>
    </dxf>
    <dxf>
      <fill>
        <patternFill patternType="solid">
          <fgColor rgb="00FFFF00"/>
          <bgColor rgb="00FFFF00"/>
        </patternFill>
      </fill>
    </dxf>
    <dxf>
      <fill>
        <patternFill patternType="solid">
          <fgColor rgb="00FF0000"/>
          <bgColor rgb="00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pivotCacheDefinition" Target="/xl/pivotCache/pivotCacheDefinition1.xml" Id="rId13" /><Relationship Type="http://schemas.openxmlformats.org/officeDocument/2006/relationships/pivotCacheDefinition" Target="/xl/pivotCache/pivotCacheDefinition2.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pivotSource>
    <name>[7GESTION DE RIESGOS - ACTIVOS DE INF-2026.xlsx]INDICADORES!TablaDinámica5</name>
    <fmtId val="0"/>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dLbl>
      </pivotFmt>
      <pivotFmt>
        <idx val="1"/>
        <spPr>
          <a:solidFill>
            <a:srgbClr val="FF0000"/>
          </a:solidFill>
          <a:ln>
            <a:noFill/>
            <a:prstDash val="solid"/>
          </a:ln>
          <a:sp3d prstMaterial="flat"/>
        </spPr>
      </pivotFmt>
      <pivotFmt>
        <idx val="2"/>
        <spPr>
          <a:solidFill>
            <a:schemeClr val="accent4"/>
          </a:solidFill>
          <a:ln>
            <a:noFill/>
            <a:prstDash val="solid"/>
          </a:ln>
          <a:sp3d prstMaterial="flat"/>
        </spPr>
      </pivotFmt>
      <pivotFmt>
        <idx val="3"/>
        <spPr>
          <a:solidFill>
            <a:schemeClr val="accent6">
              <a:lumMod val="75000"/>
            </a:schemeClr>
          </a:solidFill>
          <a:ln>
            <a:noFill/>
            <a:prstDash val="solid"/>
          </a:ln>
          <a:sp3d prstMaterial="flat"/>
        </spPr>
      </pivotFmt>
    </pivotFmts>
    <plotArea>
      <layout/>
      <pieChart>
        <varyColors val="1"/>
        <ser>
          <idx val="0"/>
          <order val="0"/>
          <tx>
            <strRef>
              <f>INDICADORES!$B$1</f>
              <strCache>
                <ptCount val="1"/>
                <pt idx="0">
                  <v>Total</v>
                </pt>
              </strCache>
            </strRef>
          </tx>
          <spPr>
            <a:ln>
              <a:prstDash val="solid"/>
            </a:ln>
          </spPr>
          <dPt>
            <idx val="0"/>
            <bubble3D val="0"/>
            <spPr>
              <a:solidFill>
                <a:srgbClr val="FF0000"/>
              </a:solidFill>
              <a:ln>
                <a:noFill/>
                <a:prstDash val="solid"/>
              </a:ln>
              <a:sp3d prstMaterial="flat"/>
            </spPr>
          </dPt>
          <dPt>
            <idx val="1"/>
            <bubble3D val="0"/>
            <spPr>
              <a:solidFill>
                <a:schemeClr val="accent4"/>
              </a:solidFill>
              <a:ln>
                <a:noFill/>
                <a:prstDash val="solid"/>
              </a:ln>
              <a:sp3d prstMaterial="flat"/>
            </spPr>
          </dPt>
          <dPt>
            <idx val="2"/>
            <bubble3D val="0"/>
            <spPr>
              <a:solidFill>
                <a:schemeClr val="accent6">
                  <a:lumMod val="75000"/>
                </a:schemeClr>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showLeaderLines val="1"/>
          </dLbls>
          <cat>
            <strRef>
              <f>INDICADORES!$A$2:$A$5</f>
              <strCache>
                <ptCount val="3"/>
                <pt idx="0">
                  <v>ALTA</v>
                </pt>
                <pt idx="1">
                  <v>BAJA</v>
                </pt>
                <pt idx="2">
                  <v>MEDIA</v>
                </pt>
              </strCache>
            </strRef>
          </cat>
          <val>
            <numRef>
              <f>INDICADORES!$B$2:$B$5</f>
              <numCache>
                <formatCode>General</formatCode>
                <ptCount val="3"/>
                <pt idx="0">
                  <v>68</v>
                </pt>
                <pt idx="1">
                  <v>639</v>
                </pt>
                <pt idx="2">
                  <v>697</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pivotSource>
    <name>[7GESTION DE RIESGOS - ACTIVOS DE INF-2026.xlsx]INDICADORES!TablaDinámica6</name>
    <fmtId val="2"/>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
        <idx val="4"/>
        <spPr>
          <a:solidFill>
            <a:schemeClr val="accent4"/>
          </a:solidFill>
          <a:ln>
            <a:noFill/>
            <a:prstDash val="solid"/>
          </a:ln>
          <a:sp3d prstMaterial="flat"/>
        </spPr>
      </pivotFmt>
      <pivotFmt>
        <idx val="5"/>
        <spPr>
          <a:solidFill>
            <a:schemeClr val="accent5"/>
          </a:solidFill>
          <a:ln>
            <a:noFill/>
            <a:prstDash val="solid"/>
          </a:ln>
          <a:sp3d prstMaterial="flat"/>
        </spPr>
      </pivotFmt>
      <pivotFmt>
        <idx val="6"/>
        <spPr>
          <a:solidFill>
            <a:schemeClr val="accent6"/>
          </a:solidFill>
          <a:ln>
            <a:noFill/>
            <a:prstDash val="solid"/>
          </a:ln>
          <a:sp3d prstMaterial="flat"/>
        </spPr>
      </pivotFmt>
    </pivotFmts>
    <plotArea>
      <layout/>
      <pieChart>
        <varyColors val="1"/>
        <ser>
          <idx val="0"/>
          <order val="0"/>
          <tx>
            <strRef>
              <f>INDICADORES!$B$11</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Pt>
            <idx val="3"/>
            <bubble3D val="0"/>
            <spPr>
              <a:solidFill>
                <a:schemeClr val="accent4"/>
              </a:solidFill>
              <a:ln>
                <a:noFill/>
                <a:prstDash val="solid"/>
              </a:ln>
              <a:sp3d prstMaterial="flat"/>
            </spPr>
          </dPt>
          <dPt>
            <idx val="4"/>
            <bubble3D val="0"/>
            <spPr>
              <a:solidFill>
                <a:schemeClr val="accent5"/>
              </a:solidFill>
              <a:ln>
                <a:noFill/>
                <a:prstDash val="solid"/>
              </a:ln>
              <a:sp3d prstMaterial="flat"/>
            </spPr>
          </dPt>
          <dPt>
            <idx val="5"/>
            <bubble3D val="0"/>
            <spPr>
              <a:solidFill>
                <a:schemeClr val="accent6"/>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showLeaderLines val="1"/>
          </dLbls>
          <cat>
            <strRef>
              <f>INDICADORES!$A$12:$A$18</f>
              <strCache>
                <ptCount val="6"/>
                <pt idx="0">
                  <v>[D] Datos / Información / datos de configuración</v>
                </pt>
                <pt idx="1">
                  <v>[HW] Equipamiento informático (hardware)</v>
                </pt>
                <pt idx="2">
                  <v>[Media] Soportes de información</v>
                </pt>
                <pt idx="3">
                  <v>[P] Personal</v>
                </pt>
                <pt idx="4">
                  <v>[S] Servicios</v>
                </pt>
                <pt idx="5">
                  <v>[SW] Software - Aplicaciones informáticas</v>
                </pt>
              </strCache>
            </strRef>
          </cat>
          <val>
            <numRef>
              <f>INDICADORES!$B$12:$B$18</f>
              <numCache>
                <formatCode>General</formatCode>
                <ptCount val="6"/>
                <pt idx="0">
                  <v>59</v>
                </pt>
                <pt idx="1">
                  <v>103</v>
                </pt>
                <pt idx="2">
                  <v>4</v>
                </pt>
                <pt idx="3">
                  <v>4</v>
                </pt>
                <pt idx="4">
                  <v>10</v>
                </pt>
                <pt idx="5">
                  <v>29</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pivotSource>
    <name>[7GESTION DE RIESGOS - ACTIVOS DE INF-2026.xlsx]INDICADORES!TablaDinámica7</name>
    <fmtId val="37"/>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
        <idx val="4"/>
        <spPr>
          <a:solidFill>
            <a:schemeClr val="accent4"/>
          </a:solidFill>
          <a:ln>
            <a:noFill/>
            <a:prstDash val="solid"/>
          </a:ln>
          <a:sp3d prstMaterial="flat"/>
        </spPr>
      </pivotFmt>
    </pivotFmts>
    <plotArea>
      <layout/>
      <pieChart>
        <varyColors val="1"/>
        <ser>
          <idx val="0"/>
          <order val="0"/>
          <tx>
            <strRef>
              <f>INDICADORES!$B$32</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Pt>
            <idx val="3"/>
            <bubble3D val="0"/>
            <spPr>
              <a:solidFill>
                <a:schemeClr val="accent4"/>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showLeaderLines val="1"/>
          </dLbls>
          <cat>
            <strRef>
              <f>INDICADORES!$A$33:$A$37</f>
              <strCache>
                <ptCount val="4"/>
                <pt idx="0">
                  <v>ALTO</v>
                </pt>
                <pt idx="1">
                  <v>BAJO</v>
                </pt>
                <pt idx="2">
                  <v>CRITICO</v>
                </pt>
                <pt idx="3">
                  <v>MEDIO</v>
                </pt>
              </strCache>
            </strRef>
          </cat>
          <val>
            <numRef>
              <f>INDICADORES!$B$33:$B$37</f>
              <numCache>
                <formatCode>General</formatCode>
                <ptCount val="4"/>
                <pt idx="0">
                  <v>33</v>
                </pt>
                <pt idx="1">
                  <v>25</v>
                </pt>
                <pt idx="2">
                  <v>3</v>
                </pt>
                <pt idx="3">
                  <v>148</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4.xml><?xml version="1.0" encoding="utf-8"?>
<chartSpace xmlns:a="http://schemas.openxmlformats.org/drawingml/2006/main" xmlns="http://schemas.openxmlformats.org/drawingml/2006/chart">
  <pivotSource>
    <name>[7GESTION DE RIESGOS - ACTIVOS DE INF-2026.xlsx]INDICADORES!TablaDinámica8</name>
    <fmtId val="46"/>
  </pivotSource>
  <chart>
    <pivotFmts>
      <pivotFmt>
        <idx val="0"/>
        <spPr>
          <a:ln>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dLbl>
      </pivotFmt>
      <pivotFmt>
        <idx val="1"/>
        <spPr>
          <a:solidFill>
            <a:schemeClr val="accent1"/>
          </a:solidFill>
          <a:ln>
            <a:noFill/>
            <a:prstDash val="solid"/>
          </a:ln>
          <a:sp3d prstMaterial="flat"/>
        </spPr>
      </pivotFmt>
      <pivotFmt>
        <idx val="2"/>
        <spPr>
          <a:solidFill>
            <a:schemeClr val="accent2"/>
          </a:solidFill>
          <a:ln>
            <a:noFill/>
            <a:prstDash val="solid"/>
          </a:ln>
          <a:sp3d prstMaterial="flat"/>
        </spPr>
      </pivotFmt>
      <pivotFmt>
        <idx val="3"/>
        <spPr>
          <a:solidFill>
            <a:schemeClr val="accent3"/>
          </a:solidFill>
          <a:ln>
            <a:noFill/>
            <a:prstDash val="solid"/>
          </a:ln>
          <a:sp3d prstMaterial="flat"/>
        </spPr>
      </pivotFmt>
    </pivotFmts>
    <plotArea>
      <layout/>
      <pieChart>
        <varyColors val="1"/>
        <ser>
          <idx val="0"/>
          <order val="0"/>
          <tx>
            <strRef>
              <f>INDICADORES!$B$52</f>
              <strCache>
                <ptCount val="1"/>
                <pt idx="0">
                  <v>Total</v>
                </pt>
              </strCache>
            </strRef>
          </tx>
          <spPr>
            <a:ln>
              <a:prstDash val="solid"/>
            </a:ln>
          </spPr>
          <dPt>
            <idx val="0"/>
            <bubble3D val="0"/>
            <spPr>
              <a:solidFill>
                <a:schemeClr val="accent1"/>
              </a:solidFill>
              <a:ln>
                <a:noFill/>
                <a:prstDash val="solid"/>
              </a:ln>
              <a:sp3d prstMaterial="flat"/>
            </spPr>
          </dPt>
          <dPt>
            <idx val="1"/>
            <bubble3D val="0"/>
            <spPr>
              <a:solidFill>
                <a:schemeClr val="accent2"/>
              </a:solidFill>
              <a:ln>
                <a:noFill/>
                <a:prstDash val="solid"/>
              </a:ln>
              <a:sp3d prstMaterial="flat"/>
            </spPr>
          </dPt>
          <dPt>
            <idx val="2"/>
            <bubble3D val="0"/>
            <spPr>
              <a:solidFill>
                <a:schemeClr val="accent3"/>
              </a:solidFill>
              <a:ln>
                <a:noFill/>
                <a:prstDash val="solid"/>
              </a:ln>
              <a:sp3d prstMaterial="flat"/>
            </spPr>
          </dPt>
          <dLbls>
            <spPr>
              <a:noFill/>
              <a:ln>
                <a:noFill/>
                <a:prstDash val="solid"/>
              </a:ln>
            </spPr>
            <txPr>
              <a:bodyPr rot="0" spcFirstLastPara="1" vertOverflow="ellipsis" vert="horz" wrap="square" lIns="38100" tIns="19050" rIns="38100" bIns="19050" anchor="ctr" anchorCtr="1">
                <a:spAutoFit/>
              </a:bodyPr>
              <a:lstStyle/>
              <a:p>
                <a:pPr>
                  <a:defRPr sz="900" b="1" i="0" strike="noStrike" kern="1200" baseline="0">
                    <a:solidFill>
                      <a:schemeClr val="lt1"/>
                    </a:solidFill>
                    <a:latin typeface="+mn-lt"/>
                    <a:ea typeface="+mn-ea"/>
                    <a:cs typeface="+mn-cs"/>
                  </a:defRPr>
                </a:pPr>
                <a:r>
                  <a:t/>
                </a:r>
                <a:endParaRPr lang="es-MX"/>
              </a:p>
            </txPr>
            <dLblPos val="inEnd"/>
            <showLegendKey val="0"/>
            <showVal val="0"/>
            <showCatName val="0"/>
            <showSerName val="0"/>
            <showPercent val="1"/>
            <showBubbleSize val="0"/>
            <showLeaderLines val="1"/>
          </dLbls>
          <cat>
            <strRef>
              <f>INDICADORES!$A$53:$A$56</f>
              <strCache>
                <ptCount val="3"/>
                <pt idx="0">
                  <v>ALTO</v>
                </pt>
                <pt idx="1">
                  <v>BAJO</v>
                </pt>
                <pt idx="2">
                  <v>MEDIO</v>
                </pt>
              </strCache>
            </strRef>
          </cat>
          <val>
            <numRef>
              <f>INDICADORES!$B$53:$B$56</f>
              <numCache>
                <formatCode>General</formatCode>
                <ptCount val="3"/>
                <pt idx="0">
                  <v>9</v>
                </pt>
                <pt idx="1">
                  <v>89</v>
                </pt>
                <pt idx="2">
                  <v>111</v>
                </pt>
              </numCache>
            </numRef>
          </val>
        </ser>
        <dLbls>
          <dLblPos val="inEnd"/>
          <showLegendKey val="0"/>
          <showVal val="0"/>
          <showCatName val="0"/>
          <showSerName val="0"/>
          <showPercent val="1"/>
          <showBubbleSize val="0"/>
          <showLeaderLines val="1"/>
        </dLbls>
        <firstSliceAng val="0"/>
      </pieChart>
    </plotArea>
    <legend>
      <legendPos val="r"/>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MX"/>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2</col>
      <colOff>671593</colOff>
      <row>0</row>
      <rowOff>45721</rowOff>
    </from>
    <to>
      <col>3</col>
      <colOff>1853339</colOff>
      <row>8</row>
      <rowOff>6459</rowOff>
    </to>
    <graphicFrame>
      <nvGraphicFramePr>
        <cNvPr id="1" name="Chart 1"/>
        <cNvGraphicFramePr/>
      </nvGraphicFramePr>
      <xfrm/>
      <a:graphic>
        <a:graphicData uri="http://schemas.openxmlformats.org/drawingml/2006/chart">
          <c:chart r:id="rId1"/>
        </a:graphicData>
      </a:graphic>
    </graphicFrame>
    <clientData/>
  </twoCellAnchor>
  <twoCellAnchor>
    <from>
      <col>2</col>
      <colOff>684509</colOff>
      <row>9</row>
      <rowOff>646</rowOff>
    </from>
    <to>
      <col>4</col>
      <colOff>1394846</colOff>
      <row>18</row>
      <rowOff>103322</rowOff>
    </to>
    <graphicFrame>
      <nvGraphicFramePr>
        <cNvPr id="2" name="Chart 2"/>
        <cNvGraphicFramePr/>
      </nvGraphicFramePr>
      <xfrm/>
      <a:graphic>
        <a:graphicData uri="http://schemas.openxmlformats.org/drawingml/2006/chart">
          <c:chart r:id="rId2"/>
        </a:graphicData>
      </a:graphic>
    </graphicFrame>
    <clientData/>
  </twoCellAnchor>
  <twoCellAnchor>
    <from>
      <col>6</col>
      <colOff>242956</colOff>
      <row>21</row>
      <rowOff>5521</rowOff>
    </from>
    <to>
      <col>7</col>
      <colOff>306455</colOff>
      <row>35</row>
      <rowOff>68469</rowOff>
    </to>
    <graphicFrame>
      <nvGraphicFramePr>
        <cNvPr id="3" name="Chart 3"/>
        <cNvGraphicFramePr/>
      </nvGraphicFramePr>
      <xfrm/>
      <a:graphic>
        <a:graphicData uri="http://schemas.openxmlformats.org/drawingml/2006/chart">
          <c:chart r:id="rId3"/>
        </a:graphicData>
      </a:graphic>
    </graphicFrame>
    <clientData/>
  </twoCellAnchor>
  <twoCellAnchor>
    <from>
      <col>6</col>
      <colOff>33130</colOff>
      <row>40</row>
      <rowOff>66260</rowOff>
    </from>
    <to>
      <col>6</col>
      <colOff>3406913</colOff>
      <row>58</row>
      <rowOff>38651</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ANDRADE PIJUANGO JEFFERSON ESTEBAN" refreshedDate="46118.32009398149" createdVersion="8" refreshedVersion="8" minRefreshableVersion="3" recordCount="209" r:id="rId1">
  <cacheSource type="worksheet">
    <worksheetSource name="Tabla5"/>
  </cacheSource>
  <cacheFields count="23">
    <cacheField name="ACTIVO" uniqueList="1" numFmtId="0" sqlType="0" hierarchy="0" level="0" databaseField="1">
      <sharedItems count="68">
        <s v="16-GTI"/>
        <s v="21-GTI"/>
        <s v="63-GTI"/>
        <s v="64-GTI"/>
        <s v="65-GTI"/>
        <s v="66-GTI"/>
        <s v="67-GTI"/>
        <s v="68-GTI"/>
        <s v="69-GTI"/>
        <s v="70-GTI"/>
        <s v="71-GTI"/>
        <s v="72-GTI"/>
        <s v="73-GTI"/>
        <s v="74-GTI"/>
        <s v="75-GTI"/>
        <s v="77-GTI"/>
        <s v="78-GTI"/>
        <s v="80-GTI"/>
        <s v="81-GTI"/>
        <s v="85-GTI"/>
        <s v="86-GTI"/>
        <s v="87-GTI"/>
        <s v="88-GTI"/>
        <s v="89-GTI"/>
        <s v="90-GTI"/>
        <s v="91-GTI"/>
        <s v="92-GTI"/>
        <s v="93-GTI"/>
        <s v="94-GTI"/>
        <s v="115-GTI"/>
        <s v="116-GTI"/>
        <s v="117-GTI"/>
        <s v="118-GTI"/>
        <s v="119-GTI"/>
        <s v="120-GTI"/>
        <s v="9-GFI"/>
        <s v="10-GFI"/>
        <s v="48-GFI"/>
        <s v="11-GSO"/>
        <s v="56-GSO"/>
        <s v="71-GAD"/>
        <s v="23-GCO"/>
        <s v="28-GCO"/>
        <s v="32-GCO"/>
        <s v="39-GCO"/>
        <s v="40-GCO"/>
        <s v="42-GCO"/>
        <s v="44-GCO"/>
        <s v="45-GCO"/>
        <s v="46-GCO"/>
        <s v="52-GCO"/>
        <s v="30-GNE"/>
        <s v="32-GNE"/>
        <s v="37-GNE"/>
        <s v="40-GNE"/>
        <s v="43-GNE"/>
        <s v="44-GNE"/>
        <s v="46-GNE"/>
        <s v="58-GOP"/>
        <s v="67-GOP"/>
        <s v="75-GOP"/>
        <s v="86-GOP"/>
        <s v="19-GRE "/>
        <s v="23-GRE "/>
        <s v="26-GRE "/>
        <s v="27-GRE "/>
        <s v="30-GRE "/>
        <s v="38-GRE "/>
      </sharedItems>
    </cacheField>
    <cacheField name="NOMBRE" uniqueList="1" numFmtId="0" sqlType="0" hierarchy="0" level="0" databaseField="1">
      <sharedItems count="63">
        <s v="Respaldo de información"/>
        <s v="Registro control de respaldos"/>
        <s v="Home Banking"/>
        <s v="Cooperativa Virtual"/>
        <s v="Sendmail"/>
        <s v="correo electronico"/>
        <s v="Check Point"/>
        <s v="FortiAnalyzer"/>
        <s v="UTM Fortinet"/>
        <s v="Eset Endpoint Security"/>
        <s v="FortiMail"/>
        <s v="Informe de gestión"/>
        <s v="Consola ESET"/>
        <s v="Consola AntiSpam"/>
        <s v="Consola Firewall"/>
        <s v="Consola FortiAnalizer"/>
        <s v="FortiGate"/>
        <s v="Administrador de Seguridad Informática"/>
        <s v="Administrador de Base de Datos"/>
        <s v="Ruteador CISCO 1900 Series (02)"/>
        <s v="Ruteador CISCO 1900 Series (03)"/>
        <s v="Ruteador CISCO 1900 Series (04)"/>
        <s v="ATUNPRODU"/>
        <s v="Ruteador CISCO 880 Series (05)"/>
        <s v="Ruteador CISCO 1800 Series (06)"/>
        <s v="Ruteador CISCO 1800 Series (07)"/>
        <s v="Ruteador CISCO 1800 Series (09)"/>
        <s v="Ruteador CISCO 1800 Series (08)"/>
        <s v="Ruteador CISCO 1800 Series (SERVIPAGOS)"/>
        <s v="SERVIDOR VM ESXI (Sistemas Externos, WS/APP Públicos)"/>
        <s v="SERVIDOR VM ESXI (SW Cajeros)(VMSRVINTERNOS2)"/>
        <s v="SERVIDOR VM ESXI (Sistemas, WS Internos) (VMSRVINTERNOS)"/>
        <s v="SERVIDOR VM ESXI (Sistemas, WS Internos)(VMSREXTERNOS3)"/>
        <s v="Administrador de Comunicación e Infrestructura"/>
        <s v="Escrituras del Bien inmueble/ Autorizaciones de Gerencia"/>
        <s v="Cheque"/>
        <s v="Certificado de Depósito a Plazo"/>
        <s v="Sobres sellados con claves de contingencia"/>
        <s v="Formulario activación o desactivación de la auditoria"/>
        <s v="Contrato"/>
        <s v="Cartera transferida"/>
        <s v="Minuta de levantamiento de hipoteca o prenda"/>
        <s v="Convenio de compra de cartera"/>
        <s v="Expedientes físicos"/>
        <s v="Expedientes digitales"/>
        <s v="Pagarés endosados"/>
        <s v="Pólizas de seguro endosadas"/>
        <s v="Pagaré"/>
        <s v="Póliza de seguro vehicular"/>
        <s v="Operaciones de crédito vendidas"/>
        <s v="Grabaciones Sistema Issabel"/>
        <s v="Reportes del módulo de_x000a_Cooperativa Virtual"/>
        <s v="Equipos de computación de Analista de Contact Center"/>
        <s v="Cheques / Depósito"/>
        <s v="Comprobante de ingreso y egreso de caja"/>
        <s v="Cheques"/>
        <s v="Cheques / Retiro"/>
        <s v="Equipos de computación del Jefe de Cobranza"/>
        <s v="Documentos para el inicio de tramites judiciales"/>
        <s v="Documentos habilitantes para la demanda"/>
        <s v="Registro de cartera asignada a abogados externos"/>
        <s v="Escritura de adjudicación del bien"/>
        <s v="Equipos de computación del Gerente Jurídico"/>
      </sharedItems>
    </cacheField>
    <cacheField name="DESCRIPCION" uniqueList="1" numFmtId="0" sqlType="0" hierarchy="0" level="0" databaseField="1">
      <sharedItems count="0"/>
    </cacheField>
    <cacheField name="TIPO DE ACTIVO" uniqueList="1" numFmtId="0" sqlType="0" hierarchy="0" level="0" databaseField="1">
      <sharedItems count="0" containsBlank="1"/>
    </cacheField>
    <cacheField name="TIPO DE ACTIVO MAGGERIT" uniqueList="1" numFmtId="0" sqlType="0" hierarchy="0" level="0" databaseField="1">
      <sharedItems count="6">
        <s v="[Media] Soportes de información"/>
        <s v="[D] Datos / Información / datos de configuración"/>
        <s v="[SW] Software - Aplicaciones informáticas"/>
        <s v="[HW] Equipamiento informático (hardware)"/>
        <s v="[S] Servicios"/>
        <s v="[P] Personal"/>
      </sharedItems>
    </cacheField>
    <cacheField name="EVENTO DE AMENAZA" uniqueList="1" numFmtId="0" sqlType="0" hierarchy="0" level="0" databaseField="1">
      <sharedItems count="17">
        <s v="[E.2] Errores del administrador"/>
        <s v="[E.18] Destrucción de información"/>
        <s v="[N.1] Fuego"/>
        <s v="[E.19] Fugas de información"/>
        <s v="[A.11] Acceso no autorizado"/>
        <s v="[A.5] Suplantación de la identidad del usuario"/>
        <s v="[A.6] Abuso de privilegios de acceso"/>
        <s v="[E.20] Vulnerabilidades de los programas (software)"/>
        <s v="[E.21] Errores de mantenimiento / actualización de programas (software)"/>
        <s v="[E.24] Caída del sistema por agotamiento de recursos"/>
        <s v="[A.23] Manipulación de los equipos"/>
        <s v="[A.24] Denegación de servicio"/>
        <s v="[E.23] Errores de mantenimiento / actualización de equipos (hardware)"/>
        <s v="[A.19] Divulgación de información"/>
        <s v="[E.28] Indisponibilidad del personal"/>
        <s v="[A.7] Uso no previsto"/>
        <s v="[E.25] Pérdida de equipos"/>
      </sharedItems>
    </cacheField>
    <cacheField name="CID" uniqueList="1" numFmtId="0" sqlType="0" hierarchy="0" level="0" databaseField="1">
      <sharedItems count="8">
        <s v="[I] integridad _x000a_[C] confidencialidad _x000a_[D] disponibilidad"/>
        <s v="[D] disponibilidad"/>
        <s v="[C] confidencialidad"/>
        <s v="[I] integridad _x000a_[C] confidencialidad"/>
        <s v="[I] integridad _x000a_[C] confidencialidad _x000a_[A] Autenticidad"/>
        <s v="[I] integridad _x000a_[D] disponibilidad"/>
        <s v="[C] confidencialidad _x000a_[D] disponibilidad"/>
        <s v="_x000a_[C] confidencialidad _x000a_[D] disponibilidad"/>
      </sharedItems>
    </cacheField>
    <cacheField name="CONFIDENCIALIDAD" uniqueList="1" numFmtId="0" sqlType="0" hierarchy="0" level="0" databaseField="1">
      <sharedItems count="0" containsBlank="1"/>
    </cacheField>
    <cacheField name="INTEGRIDAD" uniqueList="1" numFmtId="0" sqlType="0" hierarchy="0" level="0" databaseField="1">
      <sharedItems count="0" containsBlank="1"/>
    </cacheField>
    <cacheField name="DISPONIBILIDAD" uniqueList="1" numFmtId="0" sqlType="0" hierarchy="0" level="0" databaseField="1">
      <sharedItems count="0" containsBlank="1"/>
    </cacheField>
    <cacheField name="PROBABILIDAD" uniqueList="1" numFmtId="0" sqlType="0" hierarchy="0" level="0" databaseField="1">
      <sharedItems count="0" containsInteger="1" containsNumber="1" containsSemiMixedTypes="0" containsString="0" minValue="1" maxValue="4"/>
    </cacheField>
    <cacheField name="IMPACTO" uniqueList="1" numFmtId="0" sqlType="0" hierarchy="0" level="0" databaseField="1">
      <sharedItems count="0" containsInteger="1" containsNumber="1" containsSemiMixedTypes="0" containsString="0" minValue="2" maxValue="5"/>
    </cacheField>
    <cacheField name="RIESGO INHERENTE" uniqueList="1" numFmtId="0" sqlType="0" hierarchy="0" level="0" databaseField="1">
      <sharedItems count="11" containsInteger="1" containsNumber="1" containsSemiMixedTypes="0" containsString="0" minValue="2" maxValue="20">
        <n v="8"/>
        <n v="4"/>
        <n v="2"/>
        <n v="20"/>
        <n v="16"/>
        <n v="12"/>
        <n v="6"/>
        <n v="9"/>
        <n v="3"/>
        <n v="15"/>
        <n v="10"/>
      </sharedItems>
    </cacheField>
    <cacheField name="DETERMINACION RIESGO ACUMULADO O INHERENTE" uniqueList="1" numFmtId="0" sqlType="0" hierarchy="0" level="0" databaseField="1">
      <sharedItems count="4">
        <s v="MEDIO"/>
        <s v="BAJO"/>
        <s v="CRITICO"/>
        <s v="ALTO"/>
      </sharedItems>
    </cacheField>
    <cacheField name="CONTROLES EXISTENTES" uniqueList="1" numFmtId="0" sqlType="0" hierarchy="0" level="0" databaseField="1">
      <sharedItems count="0"/>
    </cacheField>
    <cacheField name="TIPO DE PROTECCION" uniqueList="1" numFmtId="0" sqlType="0" hierarchy="0" level="0" databaseField="1">
      <sharedItems count="0"/>
    </cacheField>
    <cacheField name="MADUREZ DEL CONTROL" uniqueList="1" numFmtId="0" sqlType="0" hierarchy="0" level="0" databaseField="1">
      <sharedItems count="2">
        <s v="Control Implementado sin evidencia de efectividad (Inefectivo prueba)"/>
        <s v="Control implementado formalizado y probado"/>
      </sharedItems>
    </cacheField>
    <cacheField name="VALOR DE EFICACIA" uniqueList="1" numFmtId="9" sqlType="0" hierarchy="0" level="0" databaseField="1">
      <sharedItems count="3" containsNumber="1" containsSemiMixedTypes="0" containsString="0" minValue="0.3" maxValue="0.8">
        <n v="0.3"/>
        <n v="0.8"/>
        <n v="0.4"/>
      </sharedItems>
    </cacheField>
    <cacheField name="VULNERABILIDADES" uniqueList="1" numFmtId="0" sqlType="0" hierarchy="0" level="0" databaseField="1">
      <sharedItems count="0"/>
    </cacheField>
    <cacheField name="PROBABILIDAD RESIDUAL" uniqueList="1" numFmtId="2" sqlType="0" hierarchy="0" level="0" databaseField="1">
      <sharedItems count="0" containsNumber="1" containsSemiMixedTypes="0" containsString="0" minValue="0.3999999999999999" maxValue="3"/>
    </cacheField>
    <cacheField name="IMPACTO RESIDUAL" uniqueList="1" numFmtId="2" sqlType="0" hierarchy="0" level="0" databaseField="1">
      <sharedItems count="0" containsNumber="1" containsSemiMixedTypes="0" containsString="0" minValue="1.4" maxValue="5"/>
    </cacheField>
    <cacheField name="RIESGO RESIDUAL" uniqueList="1" numFmtId="0" sqlType="0" hierarchy="0" level="0" databaseField="1">
      <sharedItems count="0" containsNumber="1" containsSemiMixedTypes="0" containsString="0" minValue="1.2" maxValue="14"/>
    </cacheField>
    <cacheField name="DETERMINACION RIESGO RESIDUAL" uniqueList="1" numFmtId="0" sqlType="0" hierarchy="0" level="0" databaseField="1">
      <sharedItems count="3">
        <s v="MEDIO"/>
        <s v="BAJO"/>
        <s v="ALTO"/>
      </sharedItems>
    </cacheField>
  </cacheFields>
</pivotCacheDefinition>
</file>

<file path=xl/pivotCache/pivotCacheDefinition2.xml><?xml version="1.0" encoding="utf-8"?>
<pivotCacheDefinition xmlns:r="http://schemas.openxmlformats.org/officeDocument/2006/relationships" xmlns="http://schemas.openxmlformats.org/spreadsheetml/2006/main" refreshedBy="ANDRADE PIJUANGO JEFFERSON ESTEBAN" refreshedDate="46118.50282824074" createdVersion="8" refreshedVersion="8" minRefreshableVersion="3" recordCount="1404" r:id="rId1">
  <cacheSource type="worksheet">
    <worksheetSource name="Tabla2"/>
  </cacheSource>
  <cacheFields count="24">
    <cacheField name="ID" uniqueList="1" numFmtId="0" sqlType="0" hierarchy="0" level="0" databaseField="1">
      <sharedItems count="0"/>
    </cacheField>
    <cacheField name="TIPO DE PROCESO" uniqueList="1" numFmtId="0" sqlType="0" hierarchy="0" level="0" databaseField="1">
      <sharedItems count="0"/>
    </cacheField>
    <cacheField name="TIPO DE MACROPROCESO" uniqueList="1" numFmtId="0" sqlType="0" hierarchy="0" level="0" databaseField="1">
      <sharedItems count="0"/>
    </cacheField>
    <cacheField name="CODIGO MACROPROCESO" uniqueList="1" numFmtId="0" sqlType="0" hierarchy="0" level="0" databaseField="1">
      <sharedItems count="0"/>
    </cacheField>
    <cacheField name="PROCESO" uniqueList="1" numFmtId="0" sqlType="0" hierarchy="0" level="0" databaseField="1">
      <sharedItems count="0"/>
    </cacheField>
    <cacheField name="SUBPROCESO" uniqueList="1" numFmtId="0" sqlType="0" hierarchy="0" level="0" databaseField="1">
      <sharedItems count="0"/>
    </cacheField>
    <cacheField name="PROCEDIMIENTO" uniqueList="1" numFmtId="0" sqlType="0" hierarchy="0" level="0" databaseField="1">
      <sharedItems count="0" longText="1"/>
    </cacheField>
    <cacheField name="NOMBRE" uniqueList="1" numFmtId="0" sqlType="0" hierarchy="0" level="0" databaseField="1">
      <sharedItems count="0"/>
    </cacheField>
    <cacheField name="DESCRIPCIÓN" uniqueList="1" numFmtId="0" sqlType="0" hierarchy="0" level="0" databaseField="1">
      <sharedItems count="0" longText="1"/>
    </cacheField>
    <cacheField name="RESPONSABLE" uniqueList="1" numFmtId="0" sqlType="0" hierarchy="0" level="0" databaseField="1">
      <sharedItems count="0"/>
    </cacheField>
    <cacheField name="CUSTODIO" uniqueList="1" numFmtId="0" sqlType="0" hierarchy="0" level="0" databaseField="1">
      <sharedItems count="0"/>
    </cacheField>
    <cacheField name="UBICACIÓN" uniqueList="1" numFmtId="0" sqlType="0" hierarchy="0" level="0" databaseField="1">
      <sharedItems count="0"/>
    </cacheField>
    <cacheField name="MEDIO DE CONSERVACIÓN" uniqueList="1" numFmtId="0" sqlType="0" hierarchy="0" level="0" databaseField="1">
      <sharedItems count="0"/>
    </cacheField>
    <cacheField name="TIPO DE ACTIVO" uniqueList="1" numFmtId="0" sqlType="0" hierarchy="0" level="0" databaseField="1">
      <sharedItems count="0"/>
    </cacheField>
    <cacheField name="CATEGORÍA" uniqueList="1" numFmtId="0" sqlType="0" hierarchy="0" level="0" databaseField="1">
      <sharedItems count="0"/>
    </cacheField>
    <cacheField name="CONFIDENCIALIDAD" uniqueList="1" numFmtId="0" sqlType="0" hierarchy="0" level="0" databaseField="1">
      <sharedItems count="0"/>
    </cacheField>
    <cacheField name="INTEGRIDAD" uniqueList="1" numFmtId="0" sqlType="0" hierarchy="0" level="0" databaseField="1">
      <sharedItems count="0"/>
    </cacheField>
    <cacheField name="DISPONIBILIDAD" uniqueList="1" numFmtId="0" sqlType="0" hierarchy="0" level="0" databaseField="1">
      <sharedItems count="0"/>
    </cacheField>
    <cacheField name="VALORACION" uniqueList="1" numFmtId="0" sqlType="0" hierarchy="0" level="0" databaseField="1">
      <sharedItems count="0" containsInteger="1" containsNumber="1" containsSemiMixedTypes="0" containsString="0" minValue="3" maxValue="9"/>
    </cacheField>
    <cacheField name="CRITICIDAD" uniqueList="1" numFmtId="0" sqlType="0" hierarchy="0" level="0" databaseField="1">
      <sharedItems count="3">
        <s v="BAJA"/>
        <s v="MEDIA"/>
        <s v="ALTA"/>
      </sharedItems>
    </cacheField>
    <cacheField name="ACCESO EXTERNO" uniqueList="1" numFmtId="0" sqlType="0" hierarchy="0" level="0" databaseField="1">
      <sharedItems count="0"/>
    </cacheField>
    <cacheField name="FECHA DE REGISTRO" uniqueList="1" numFmtId="14" sqlType="0" hierarchy="0" level="0" databaseField="1">
      <sharedItems count="0" containsDate="1" containsMixedTypes="1" minDate="2019-12-16T00:00:00" maxDate="2025-02-27T00:00:00"/>
    </cacheField>
    <cacheField name="FECHA DE SALIDA" uniqueList="1" numFmtId="0" sqlType="0" hierarchy="0" level="0" databaseField="1">
      <sharedItems count="0"/>
    </cacheField>
    <cacheField name="RIESGO EVALUADO" uniqueList="1" numFmtId="0" sqlType="0" hierarchy="0" level="0" databaseField="1">
      <sharedItems count="0"/>
    </cacheField>
  </cacheFields>
</pivotCacheDefinition>
</file>

<file path=xl/pivotCache/pivotCacheRecords1.xml><?xml version="1.0" encoding="utf-8"?>
<pivotCacheRecords xmlns="http://schemas.openxmlformats.org/spreadsheetml/2006/main" count="209">
  <r>
    <x v="0"/>
    <x v="0"/>
    <s v="Respaldo de Base de Datos (diario) "/>
    <m/>
    <x v="0"/>
    <x v="0"/>
    <x v="0"/>
    <s v="X"/>
    <s v="X"/>
    <s v="X"/>
    <n v="2"/>
    <n v="4"/>
    <x v="0"/>
    <x v="0"/>
    <s v="Procedimientos operativos documentados"/>
    <s v="PREVENTIVO"/>
    <x v="0"/>
    <x v="0"/>
    <s v="Dependencia del administrador (error humano)"/>
    <n v="1.4"/>
    <n v="4"/>
    <n v="5.6"/>
    <x v="0"/>
  </r>
  <r>
    <x v="0"/>
    <x v="0"/>
    <s v="Respaldo de Base de Datos (diario) "/>
    <m/>
    <x v="0"/>
    <x v="1"/>
    <x v="1"/>
    <m/>
    <m/>
    <s v="X"/>
    <n v="2"/>
    <n v="4"/>
    <x v="0"/>
    <x v="0"/>
    <s v="Respaldo digital de información"/>
    <s v="PREVENTIVO"/>
    <x v="0"/>
    <x v="0"/>
    <s v="Almacenamiento manual en medio extraible"/>
    <n v="1.4"/>
    <n v="4"/>
    <n v="5.6"/>
    <x v="0"/>
  </r>
  <r>
    <x v="0"/>
    <x v="0"/>
    <s v="Respaldo de Base de Datos (diario) "/>
    <m/>
    <x v="0"/>
    <x v="2"/>
    <x v="1"/>
    <m/>
    <m/>
    <s v="X"/>
    <n v="1"/>
    <n v="4"/>
    <x v="1"/>
    <x v="1"/>
    <s v="Sistema contra incendios"/>
    <s v="PREVENTIVO"/>
    <x v="0"/>
    <x v="0"/>
    <s v="-"/>
    <n v="0.7"/>
    <n v="4"/>
    <n v="2.8"/>
    <x v="1"/>
  </r>
  <r>
    <x v="0"/>
    <x v="0"/>
    <s v="Respaldo de Base de Datos (diario) "/>
    <m/>
    <x v="0"/>
    <x v="3"/>
    <x v="2"/>
    <s v="X"/>
    <m/>
    <m/>
    <n v="2"/>
    <n v="4"/>
    <x v="0"/>
    <x v="0"/>
    <s v="Politicas de manejo de información"/>
    <s v="PREVENTIVO"/>
    <x v="0"/>
    <x v="0"/>
    <s v="Dispositivos no encriptados"/>
    <n v="1.4"/>
    <n v="4"/>
    <n v="5.6"/>
    <x v="0"/>
  </r>
  <r>
    <x v="1"/>
    <x v="1"/>
    <s v="Matriz de registro de respaldos realizados por fechas, tipo de respaldo y responsable"/>
    <m/>
    <x v="1"/>
    <x v="0"/>
    <x v="0"/>
    <s v="X"/>
    <s v="X"/>
    <s v="X"/>
    <n v="1"/>
    <n v="2"/>
    <x v="2"/>
    <x v="1"/>
    <s v="Procedimientos operativos documentados"/>
    <s v="PREVENTIVO"/>
    <x v="0"/>
    <x v="0"/>
    <s v="Dependencia del administrador (error humano)"/>
    <n v="0.7"/>
    <n v="2"/>
    <n v="1.4"/>
    <x v="1"/>
  </r>
  <r>
    <x v="2"/>
    <x v="2"/>
    <s v="Aplicación Banca Virtual"/>
    <m/>
    <x v="2"/>
    <x v="4"/>
    <x v="3"/>
    <s v="X"/>
    <s v="X"/>
    <m/>
    <n v="4"/>
    <n v="5"/>
    <x v="3"/>
    <x v="2"/>
    <s v="Control de accesos"/>
    <s v="PREVENTIVO"/>
    <x v="0"/>
    <x v="0"/>
    <s v="Usuarios genéricos"/>
    <n v="2.8"/>
    <n v="5"/>
    <n v="14"/>
    <x v="2"/>
  </r>
  <r>
    <x v="2"/>
    <x v="2"/>
    <s v="Aplicación Banca Virtual"/>
    <m/>
    <x v="2"/>
    <x v="5"/>
    <x v="4"/>
    <s v="X"/>
    <s v="X"/>
    <m/>
    <n v="4"/>
    <n v="5"/>
    <x v="3"/>
    <x v="2"/>
    <s v="Doble autenticación"/>
    <s v="ELIMINACION"/>
    <x v="0"/>
    <x v="1"/>
    <s v="-"/>
    <n v="0.7999999999999998"/>
    <n v="5"/>
    <n v="3.999999999999999"/>
    <x v="1"/>
  </r>
  <r>
    <x v="2"/>
    <x v="2"/>
    <s v="Aplicación Banca Virtual"/>
    <m/>
    <x v="2"/>
    <x v="6"/>
    <x v="0"/>
    <s v="X"/>
    <s v="X"/>
    <s v="X"/>
    <n v="2"/>
    <n v="4"/>
    <x v="0"/>
    <x v="0"/>
    <s v="Registro de logs"/>
    <s v="DETECTIVO"/>
    <x v="0"/>
    <x v="0"/>
    <s v="Falta de revisión de perfiles de acceso"/>
    <n v="2"/>
    <n v="2.8"/>
    <n v="5.6"/>
    <x v="0"/>
  </r>
  <r>
    <x v="2"/>
    <x v="2"/>
    <s v="Aplicación Banca Virtual"/>
    <m/>
    <x v="2"/>
    <x v="7"/>
    <x v="0"/>
    <s v="X"/>
    <s v="X"/>
    <s v="X"/>
    <n v="4"/>
    <n v="4"/>
    <x v="4"/>
    <x v="3"/>
    <s v="Gestión de vulnerabilidades"/>
    <s v="PREVENTIVO"/>
    <x v="0"/>
    <x v="2"/>
    <s v="Recursos tecnológicos insuficientes para remediación"/>
    <n v="2.4"/>
    <n v="4"/>
    <n v="9.6"/>
    <x v="0"/>
  </r>
  <r>
    <x v="2"/>
    <x v="2"/>
    <s v="Aplicación Banca Virtual"/>
    <m/>
    <x v="2"/>
    <x v="8"/>
    <x v="5"/>
    <m/>
    <s v="X"/>
    <s v="X"/>
    <n v="3"/>
    <n v="4"/>
    <x v="5"/>
    <x v="3"/>
    <s v="Gestión de vulnerabilidades"/>
    <s v="PREVENTIVO"/>
    <x v="0"/>
    <x v="2"/>
    <s v="Recursos tecnológicos insuficientes para remediación"/>
    <n v="1.8"/>
    <n v="4"/>
    <n v="7.199999999999999"/>
    <x v="0"/>
  </r>
  <r>
    <x v="3"/>
    <x v="3"/>
    <s v="Servidor que aloja la Banca Electronica  _x000a_192.168.23.11"/>
    <m/>
    <x v="3"/>
    <x v="0"/>
    <x v="0"/>
    <s v="X"/>
    <s v="X"/>
    <s v="X"/>
    <n v="2"/>
    <n v="4"/>
    <x v="0"/>
    <x v="0"/>
    <s v="Control de cambios en los sistemas_x000a_Verificación posterior (informe)"/>
    <s v="ADMINISTRACION"/>
    <x v="0"/>
    <x v="0"/>
    <s v="No existe procedimiento formal de gestión de cambios"/>
    <n v="1.4"/>
    <n v="4"/>
    <n v="5.6"/>
    <x v="0"/>
  </r>
  <r>
    <x v="3"/>
    <x v="3"/>
    <s v="Servidor que aloja la Banca Electronica  _x000a_192.168.23.11"/>
    <m/>
    <x v="3"/>
    <x v="9"/>
    <x v="1"/>
    <m/>
    <m/>
    <s v="X"/>
    <n v="4"/>
    <n v="4"/>
    <x v="4"/>
    <x v="3"/>
    <s v="Monitoreo de Servidores presenta en el procedimiento operativo  Administración de Servidores en el Manua de Gestión de las Operaciones de TI"/>
    <s v="PREVENTIVO"/>
    <x v="0"/>
    <x v="2"/>
    <s v="Falta de alertas automáticas"/>
    <n v="2.4"/>
    <n v="4"/>
    <n v="9.6"/>
    <x v="0"/>
  </r>
  <r>
    <x v="3"/>
    <x v="3"/>
    <s v="Servidor que aloja la Banca Electronica  _x000a_192.168.23.11"/>
    <m/>
    <x v="3"/>
    <x v="4"/>
    <x v="3"/>
    <s v="X"/>
    <s v="X"/>
    <m/>
    <n v="3"/>
    <n v="4"/>
    <x v="5"/>
    <x v="3"/>
    <s v="Control de accesos / VPN"/>
    <s v="PREVENTIVO"/>
    <x v="0"/>
    <x v="0"/>
    <s v="Contreaseñas de VPN no expiran"/>
    <n v="2.1"/>
    <n v="4"/>
    <n v="8.399999999999999"/>
    <x v="0"/>
  </r>
  <r>
    <x v="3"/>
    <x v="3"/>
    <s v="Servidor que aloja la Banca Electronica  _x000a_192.168.23.11"/>
    <m/>
    <x v="3"/>
    <x v="10"/>
    <x v="6"/>
    <s v="X"/>
    <m/>
    <s v="X"/>
    <n v="3"/>
    <n v="4"/>
    <x v="5"/>
    <x v="3"/>
    <s v="Control de accesos"/>
    <s v="PREVENTIVO"/>
    <x v="0"/>
    <x v="0"/>
    <s v="Usuarios genéricos"/>
    <n v="2.1"/>
    <n v="4"/>
    <n v="8.399999999999999"/>
    <x v="0"/>
  </r>
  <r>
    <x v="3"/>
    <x v="3"/>
    <s v="Servidor que aloja la Banca Electronica  _x000a_192.168.23.11"/>
    <m/>
    <x v="3"/>
    <x v="11"/>
    <x v="1"/>
    <m/>
    <m/>
    <s v="X"/>
    <n v="4"/>
    <n v="5"/>
    <x v="3"/>
    <x v="2"/>
    <s v="Configuración segura de firewall"/>
    <s v="PREVENTIVO"/>
    <x v="0"/>
    <x v="0"/>
    <s v="Evidencia de validación de las configuraciones"/>
    <n v="2.8"/>
    <n v="5"/>
    <n v="14"/>
    <x v="2"/>
  </r>
  <r>
    <x v="3"/>
    <x v="3"/>
    <s v="Servidor que aloja la Banca Electronica  _x000a_192.168.23.11"/>
    <m/>
    <x v="3"/>
    <x v="12"/>
    <x v="1"/>
    <m/>
    <m/>
    <s v="X"/>
    <n v="3"/>
    <n v="4"/>
    <x v="5"/>
    <x v="3"/>
    <s v="Gestión de vulnerabilidades"/>
    <s v="PREVENTIVO"/>
    <x v="0"/>
    <x v="2"/>
    <s v="Recursos tecnológicos insuficientes para remediación"/>
    <n v="1.8"/>
    <n v="4"/>
    <n v="7.199999999999999"/>
    <x v="0"/>
  </r>
  <r>
    <x v="4"/>
    <x v="4"/>
    <s v="Administracion Contenidos y Correo electrónico"/>
    <m/>
    <x v="4"/>
    <x v="4"/>
    <x v="3"/>
    <s v="X"/>
    <s v="X"/>
    <m/>
    <n v="2"/>
    <n v="3"/>
    <x v="6"/>
    <x v="0"/>
    <s v="Control de accesos"/>
    <s v="PREVENTIVO"/>
    <x v="0"/>
    <x v="0"/>
    <s v="Usuarios genéricos"/>
    <n v="1.4"/>
    <n v="3"/>
    <n v="4.199999999999999"/>
    <x v="1"/>
  </r>
  <r>
    <x v="4"/>
    <x v="4"/>
    <s v="Administracion Contenidos y Correo electrónico"/>
    <m/>
    <x v="4"/>
    <x v="5"/>
    <x v="4"/>
    <s v="X"/>
    <s v="X"/>
    <m/>
    <n v="2"/>
    <n v="3"/>
    <x v="6"/>
    <x v="0"/>
    <s v="Politicas de contraseñas robustas"/>
    <s v="PREVENTIVO"/>
    <x v="0"/>
    <x v="0"/>
    <s v="Usuarios genéricos / claves compartidas y almacenadas en navegadores"/>
    <n v="1.4"/>
    <n v="3"/>
    <n v="4.199999999999999"/>
    <x v="1"/>
  </r>
  <r>
    <x v="4"/>
    <x v="4"/>
    <s v="Administracion Contenidos y Correo electrónico"/>
    <m/>
    <x v="4"/>
    <x v="13"/>
    <x v="2"/>
    <s v="X"/>
    <m/>
    <m/>
    <n v="2"/>
    <n v="3"/>
    <x v="6"/>
    <x v="0"/>
    <s v="Validación de destinatarios"/>
    <s v="PREVENTIVO"/>
    <x v="0"/>
    <x v="0"/>
    <s v="Politicas sin restricción para jefaturas"/>
    <n v="1.4"/>
    <n v="3"/>
    <n v="4.199999999999999"/>
    <x v="1"/>
  </r>
  <r>
    <x v="4"/>
    <x v="4"/>
    <s v="Administracion Contenidos y Correo electrónico"/>
    <m/>
    <x v="4"/>
    <x v="11"/>
    <x v="1"/>
    <m/>
    <m/>
    <s v="X"/>
    <n v="3"/>
    <n v="4"/>
    <x v="5"/>
    <x v="3"/>
    <s v="Software Antispam Fortimail"/>
    <s v="PREVENTIVO"/>
    <x v="0"/>
    <x v="0"/>
    <s v="No se realiza pruebas de carga"/>
    <n v="2.1"/>
    <n v="4"/>
    <n v="8.399999999999999"/>
    <x v="0"/>
  </r>
  <r>
    <x v="4"/>
    <x v="4"/>
    <s v="Administracion Contenidos y Correo electrónico"/>
    <m/>
    <x v="4"/>
    <x v="9"/>
    <x v="1"/>
    <m/>
    <m/>
    <s v="X"/>
    <n v="2"/>
    <n v="3"/>
    <x v="6"/>
    <x v="0"/>
    <s v="Monitoreo de Servidores presenta en el procedimiento operativo  Administración de Servidores en el Manua de Gestión de las Operaciones de TI"/>
    <s v="PREVENTIVO"/>
    <x v="0"/>
    <x v="2"/>
    <s v="Falta de alertas automáticas"/>
    <n v="1.2"/>
    <n v="3"/>
    <n v="3.6"/>
    <x v="1"/>
  </r>
  <r>
    <x v="5"/>
    <x v="5"/>
    <s v="Servidor web administracion correo electronico_x000a_192.168.23.2"/>
    <m/>
    <x v="4"/>
    <x v="4"/>
    <x v="3"/>
    <s v="X"/>
    <s v="X"/>
    <m/>
    <n v="3"/>
    <n v="3"/>
    <x v="7"/>
    <x v="0"/>
    <s v="Control de accesos"/>
    <s v="PREVENTIVO"/>
    <x v="0"/>
    <x v="0"/>
    <s v="Usuarios genéricos"/>
    <n v="2.1"/>
    <n v="3"/>
    <n v="6.299999999999999"/>
    <x v="0"/>
  </r>
  <r>
    <x v="5"/>
    <x v="5"/>
    <s v="Servidor web administracion correo electronico_x000a_192.168.23.2"/>
    <m/>
    <x v="4"/>
    <x v="5"/>
    <x v="4"/>
    <s v="X"/>
    <s v="X"/>
    <m/>
    <n v="3"/>
    <n v="3"/>
    <x v="7"/>
    <x v="0"/>
    <s v="Politicas de contraseñas robustas"/>
    <s v="PREVENTIVO"/>
    <x v="0"/>
    <x v="0"/>
    <s v="Usuarios genéricos / claves compartidas y almacenadas en navegadores"/>
    <n v="2.1"/>
    <n v="3"/>
    <n v="6.299999999999999"/>
    <x v="0"/>
  </r>
  <r>
    <x v="5"/>
    <x v="5"/>
    <s v="Servidor web administracion correo electronico_x000a_192.168.23.2"/>
    <m/>
    <x v="4"/>
    <x v="13"/>
    <x v="2"/>
    <s v="X"/>
    <m/>
    <m/>
    <n v="3"/>
    <n v="3"/>
    <x v="7"/>
    <x v="0"/>
    <s v="Validación de destinatarios"/>
    <s v="PREVENTIVO"/>
    <x v="0"/>
    <x v="0"/>
    <s v="Politicas sin restricción para jefaturas"/>
    <n v="2.1"/>
    <n v="3"/>
    <n v="6.299999999999999"/>
    <x v="0"/>
  </r>
  <r>
    <x v="5"/>
    <x v="5"/>
    <s v="Servidor web administracion correo electronico_x000a_192.168.23.2"/>
    <m/>
    <x v="4"/>
    <x v="11"/>
    <x v="1"/>
    <m/>
    <m/>
    <s v="X"/>
    <n v="3"/>
    <n v="3"/>
    <x v="7"/>
    <x v="0"/>
    <s v="Configuración segura de firewall"/>
    <s v="PREVENTIVO"/>
    <x v="0"/>
    <x v="0"/>
    <s v="Evidencia de validación de las configuraciones"/>
    <n v="2.1"/>
    <n v="3"/>
    <n v="6.299999999999999"/>
    <x v="0"/>
  </r>
  <r>
    <x v="5"/>
    <x v="5"/>
    <s v="Servidor web administracion correo electronico_x000a_192.168.23.2"/>
    <m/>
    <x v="4"/>
    <x v="9"/>
    <x v="1"/>
    <m/>
    <m/>
    <s v="X"/>
    <n v="2"/>
    <n v="4"/>
    <x v="0"/>
    <x v="0"/>
    <s v="Monitoreo de Servidores presenta en el procedimiento operativo  Administración de Servidores en el Manua de Gestión de las Operaciones de TI"/>
    <s v="PREVENTIVO"/>
    <x v="0"/>
    <x v="2"/>
    <s v="Falta de alertas automáticas"/>
    <n v="1.2"/>
    <n v="4"/>
    <n v="4.8"/>
    <x v="1"/>
  </r>
  <r>
    <x v="6"/>
    <x v="6"/>
    <s v="Proteccion perimetral, Analiza todas las conexiones, eventos inusuales"/>
    <m/>
    <x v="3"/>
    <x v="4"/>
    <x v="3"/>
    <s v="X"/>
    <s v="X"/>
    <m/>
    <n v="2"/>
    <n v="4"/>
    <x v="0"/>
    <x v="0"/>
    <s v="Control de accesos / VPN"/>
    <s v="PREVENTIVO"/>
    <x v="0"/>
    <x v="0"/>
    <s v="Contreaseñas de VPN no expiran"/>
    <n v="1.4"/>
    <n v="4"/>
    <n v="5.6"/>
    <x v="0"/>
  </r>
  <r>
    <x v="6"/>
    <x v="6"/>
    <s v="Proteccion perimetral, Analiza todas las conexiones, eventos inusuales"/>
    <m/>
    <x v="3"/>
    <x v="10"/>
    <x v="6"/>
    <s v="X"/>
    <m/>
    <s v="X"/>
    <n v="2"/>
    <n v="3"/>
    <x v="6"/>
    <x v="0"/>
    <s v="Control de accesos"/>
    <s v="PREVENTIVO"/>
    <x v="0"/>
    <x v="0"/>
    <s v="Usuarios genéricos"/>
    <n v="1.4"/>
    <n v="3"/>
    <n v="4.199999999999999"/>
    <x v="1"/>
  </r>
  <r>
    <x v="6"/>
    <x v="6"/>
    <s v="Proteccion perimetral, Analiza todas las conexiones, eventos inusuales"/>
    <m/>
    <x v="3"/>
    <x v="11"/>
    <x v="1"/>
    <m/>
    <m/>
    <s v="X"/>
    <n v="3"/>
    <n v="4"/>
    <x v="5"/>
    <x v="3"/>
    <s v="Configuración segura de firewall"/>
    <s v="PREVENTIVO"/>
    <x v="0"/>
    <x v="0"/>
    <s v="Evidencia de validación de las configuraciones"/>
    <n v="2.1"/>
    <n v="4"/>
    <n v="8.399999999999999"/>
    <x v="0"/>
  </r>
  <r>
    <x v="6"/>
    <x v="6"/>
    <s v="Proteccion perimetral, Analiza todas las conexiones, eventos inusuales"/>
    <m/>
    <x v="3"/>
    <x v="0"/>
    <x v="0"/>
    <s v="X"/>
    <s v="X"/>
    <s v="X"/>
    <n v="2"/>
    <n v="4"/>
    <x v="0"/>
    <x v="0"/>
    <s v="Control de cambios en los sistemas_x000a_Verificación posterior (informe)"/>
    <s v="ADMINISTRACION"/>
    <x v="0"/>
    <x v="0"/>
    <s v="No existe procedimiento formal de gestión de cambios"/>
    <n v="1.4"/>
    <n v="4"/>
    <n v="5.6"/>
    <x v="0"/>
  </r>
  <r>
    <x v="6"/>
    <x v="6"/>
    <s v="Proteccion perimetral, Analiza todas las conexiones, eventos inusuales"/>
    <m/>
    <x v="3"/>
    <x v="6"/>
    <x v="0"/>
    <s v="X"/>
    <s v="X"/>
    <s v="X"/>
    <n v="2"/>
    <n v="3"/>
    <x v="6"/>
    <x v="0"/>
    <s v="Registro de logs (FortiAnalyzer)"/>
    <s v="DETECTIVO"/>
    <x v="0"/>
    <x v="0"/>
    <s v="Falta de revisión de perfiles de acceso"/>
    <n v="2"/>
    <n v="2.1"/>
    <n v="4.199999999999999"/>
    <x v="1"/>
  </r>
  <r>
    <x v="7"/>
    <x v="7"/>
    <s v="Analizador de logs"/>
    <m/>
    <x v="2"/>
    <x v="4"/>
    <x v="3"/>
    <s v="X"/>
    <s v="X"/>
    <m/>
    <n v="2"/>
    <n v="2"/>
    <x v="1"/>
    <x v="1"/>
    <s v="Control de accesos"/>
    <s v="PREVENTIVO"/>
    <x v="0"/>
    <x v="0"/>
    <s v="Usuarios genéricos"/>
    <n v="1.4"/>
    <n v="2"/>
    <n v="2.8"/>
    <x v="1"/>
  </r>
  <r>
    <x v="7"/>
    <x v="7"/>
    <s v="Analizador de logs"/>
    <m/>
    <x v="2"/>
    <x v="10"/>
    <x v="6"/>
    <s v="X"/>
    <m/>
    <s v="X"/>
    <n v="2"/>
    <n v="2"/>
    <x v="1"/>
    <x v="1"/>
    <s v="Control de accesos"/>
    <s v="PREVENTIVO"/>
    <x v="0"/>
    <x v="0"/>
    <s v="Usuarios genéricos"/>
    <n v="1.4"/>
    <n v="2"/>
    <n v="2.8"/>
    <x v="1"/>
  </r>
  <r>
    <x v="7"/>
    <x v="7"/>
    <s v="Analizador de logs"/>
    <m/>
    <x v="2"/>
    <x v="6"/>
    <x v="0"/>
    <s v="X"/>
    <s v="X"/>
    <s v="X"/>
    <n v="2"/>
    <n v="2"/>
    <x v="1"/>
    <x v="1"/>
    <s v="Registro de logs"/>
    <s v="DETECTIVO"/>
    <x v="0"/>
    <x v="0"/>
    <s v="Falta de revisión de perfiles de acceso"/>
    <n v="2"/>
    <n v="1.4"/>
    <n v="2.8"/>
    <x v="1"/>
  </r>
  <r>
    <x v="7"/>
    <x v="7"/>
    <s v="Analizador de logs"/>
    <m/>
    <x v="2"/>
    <x v="11"/>
    <x v="1"/>
    <m/>
    <m/>
    <s v="X"/>
    <n v="2"/>
    <n v="2"/>
    <x v="1"/>
    <x v="1"/>
    <s v="Configuración segura de firewall"/>
    <s v="PREVENTIVO"/>
    <x v="0"/>
    <x v="0"/>
    <s v="Evidencia de validación de las configuraciones"/>
    <n v="1.4"/>
    <n v="2"/>
    <n v="2.8"/>
    <x v="1"/>
  </r>
  <r>
    <x v="7"/>
    <x v="7"/>
    <s v="Analizador de logs"/>
    <m/>
    <x v="2"/>
    <x v="9"/>
    <x v="1"/>
    <m/>
    <m/>
    <s v="X"/>
    <n v="2"/>
    <n v="2"/>
    <x v="1"/>
    <x v="1"/>
    <s v="Monitoreo de Servidores presenta en el procedimiento operativo  Administración de Servidores en el Manua de Gestión de las Operaciones de TI"/>
    <s v="PREVENTIVO"/>
    <x v="0"/>
    <x v="2"/>
    <s v="Falta de alertas automáticas"/>
    <n v="1.2"/>
    <n v="2"/>
    <n v="2.4"/>
    <x v="1"/>
  </r>
  <r>
    <x v="7"/>
    <x v="7"/>
    <s v="Analizador de logs"/>
    <m/>
    <x v="2"/>
    <x v="0"/>
    <x v="0"/>
    <s v="X"/>
    <s v="X"/>
    <s v="X"/>
    <n v="2"/>
    <n v="2"/>
    <x v="1"/>
    <x v="1"/>
    <s v="Control de cambios en los sistemas_x000a_Verificación posterior (informe)"/>
    <s v="ADMINISTRACION"/>
    <x v="0"/>
    <x v="0"/>
    <s v="No existe procedimiento formal de gestión de cambios"/>
    <n v="1.4"/>
    <n v="2"/>
    <n v="2.8"/>
    <x v="1"/>
  </r>
  <r>
    <x v="8"/>
    <x v="8"/>
    <s v="Revision y categorizacion urls y sitios peligrosos"/>
    <m/>
    <x v="2"/>
    <x v="4"/>
    <x v="3"/>
    <s v="X"/>
    <s v="X"/>
    <m/>
    <n v="2"/>
    <n v="4"/>
    <x v="0"/>
    <x v="0"/>
    <s v="Control de accesos"/>
    <s v="PREVENTIVO"/>
    <x v="0"/>
    <x v="0"/>
    <s v="Usuarios genéricos"/>
    <n v="1.4"/>
    <n v="4"/>
    <n v="5.6"/>
    <x v="0"/>
  </r>
  <r>
    <x v="8"/>
    <x v="8"/>
    <s v="Revision y categorizacion urls y sitios peligrosos"/>
    <m/>
    <x v="2"/>
    <x v="10"/>
    <x v="6"/>
    <s v="X"/>
    <m/>
    <s v="X"/>
    <n v="2"/>
    <n v="2"/>
    <x v="1"/>
    <x v="1"/>
    <s v="Control de accesos"/>
    <s v="PREVENTIVO"/>
    <x v="0"/>
    <x v="0"/>
    <s v="Usuarios genéricos"/>
    <n v="1.4"/>
    <n v="2"/>
    <n v="2.8"/>
    <x v="1"/>
  </r>
  <r>
    <x v="8"/>
    <x v="8"/>
    <s v="Revision y categorizacion urls y sitios peligrosos"/>
    <m/>
    <x v="2"/>
    <x v="6"/>
    <x v="0"/>
    <s v="X"/>
    <s v="X"/>
    <s v="X"/>
    <n v="2"/>
    <n v="2"/>
    <x v="1"/>
    <x v="1"/>
    <s v="Registro de logs (FortiAnalyzer)"/>
    <s v="DETECTIVO"/>
    <x v="0"/>
    <x v="0"/>
    <s v="Falta de revisión de perfiles de acceso"/>
    <n v="2"/>
    <n v="1.4"/>
    <n v="2.8"/>
    <x v="1"/>
  </r>
  <r>
    <x v="8"/>
    <x v="8"/>
    <s v="Revision y categorizacion urls y sitios peligrosos"/>
    <m/>
    <x v="2"/>
    <x v="11"/>
    <x v="1"/>
    <m/>
    <m/>
    <s v="X"/>
    <n v="3"/>
    <n v="2"/>
    <x v="6"/>
    <x v="0"/>
    <s v="Configuración segura de firewall"/>
    <s v="PREVENTIVO"/>
    <x v="0"/>
    <x v="0"/>
    <s v="Evidencia de validación de las configuraciones"/>
    <n v="2.1"/>
    <n v="2"/>
    <n v="4.199999999999999"/>
    <x v="1"/>
  </r>
  <r>
    <x v="8"/>
    <x v="8"/>
    <s v="Revision y categorizacion urls y sitios peligrosos"/>
    <m/>
    <x v="2"/>
    <x v="0"/>
    <x v="0"/>
    <s v="X"/>
    <s v="X"/>
    <s v="X"/>
    <n v="2"/>
    <n v="3"/>
    <x v="6"/>
    <x v="0"/>
    <s v="Control de cambios en los sistemas_x000a_Verificación posterior (informe)"/>
    <s v="ADMINISTRACION"/>
    <x v="0"/>
    <x v="0"/>
    <s v="No existe procedimiento formal de gestión de cambios"/>
    <n v="1.4"/>
    <n v="3"/>
    <n v="4.199999999999999"/>
    <x v="1"/>
  </r>
  <r>
    <x v="8"/>
    <x v="8"/>
    <s v="Revision y categorizacion urls y sitios peligrosos"/>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9"/>
    <x v="9"/>
    <s v="Herramienta de control de software malicioso"/>
    <m/>
    <x v="2"/>
    <x v="4"/>
    <x v="3"/>
    <s v="X"/>
    <s v="X"/>
    <m/>
    <n v="1"/>
    <n v="4"/>
    <x v="1"/>
    <x v="1"/>
    <s v="Control de accesos"/>
    <s v="PREVENTIVO"/>
    <x v="0"/>
    <x v="0"/>
    <s v="Usuarios genéricos"/>
    <n v="0.7"/>
    <n v="4"/>
    <n v="2.8"/>
    <x v="1"/>
  </r>
  <r>
    <x v="9"/>
    <x v="9"/>
    <s v="Herramienta de control de software malicioso"/>
    <m/>
    <x v="2"/>
    <x v="10"/>
    <x v="6"/>
    <s v="X"/>
    <m/>
    <s v="X"/>
    <n v="3"/>
    <n v="3"/>
    <x v="7"/>
    <x v="0"/>
    <s v="Control de accesos"/>
    <s v="PREVENTIVO"/>
    <x v="0"/>
    <x v="0"/>
    <s v="Usuarios genéricos"/>
    <n v="2.1"/>
    <n v="3"/>
    <n v="6.299999999999999"/>
    <x v="0"/>
  </r>
  <r>
    <x v="9"/>
    <x v="9"/>
    <s v="Herramienta de control de software malicioso"/>
    <m/>
    <x v="2"/>
    <x v="6"/>
    <x v="0"/>
    <s v="X"/>
    <s v="X"/>
    <s v="X"/>
    <n v="2"/>
    <n v="4"/>
    <x v="0"/>
    <x v="0"/>
    <s v="Registro de logs (FortiAnalyzer)"/>
    <s v="DETECTIVO"/>
    <x v="0"/>
    <x v="0"/>
    <s v="Falta de revisión de perfiles de acceso"/>
    <n v="2"/>
    <n v="2.8"/>
    <n v="5.6"/>
    <x v="0"/>
  </r>
  <r>
    <x v="9"/>
    <x v="9"/>
    <s v="Herramienta de control de software malicioso"/>
    <m/>
    <x v="2"/>
    <x v="11"/>
    <x v="1"/>
    <m/>
    <m/>
    <s v="X"/>
    <n v="3"/>
    <n v="4"/>
    <x v="5"/>
    <x v="3"/>
    <s v="Configuración segura de firewall"/>
    <s v="PREVENTIVO"/>
    <x v="0"/>
    <x v="0"/>
    <s v="Evidencia de validación de las configuraciones"/>
    <n v="2.1"/>
    <n v="4"/>
    <n v="8.399999999999999"/>
    <x v="0"/>
  </r>
  <r>
    <x v="9"/>
    <x v="9"/>
    <s v="Herramienta de control de software malicioso"/>
    <m/>
    <x v="2"/>
    <x v="0"/>
    <x v="0"/>
    <s v="X"/>
    <s v="X"/>
    <s v="X"/>
    <n v="2"/>
    <n v="3"/>
    <x v="6"/>
    <x v="0"/>
    <s v="Control de cambios en los sistemas_x000a_Verificación posterior (informe)"/>
    <s v="ADMINISTRACION"/>
    <x v="0"/>
    <x v="0"/>
    <s v="No existe procedimiento formal de gestión de cambios"/>
    <n v="1.4"/>
    <n v="3"/>
    <n v="4.199999999999999"/>
    <x v="1"/>
  </r>
  <r>
    <x v="9"/>
    <x v="9"/>
    <s v="Herramienta de control de software malicioso"/>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10"/>
    <x v="10"/>
    <s v="Control de correo no deseado Antispam"/>
    <m/>
    <x v="2"/>
    <x v="4"/>
    <x v="3"/>
    <s v="X"/>
    <s v="X"/>
    <m/>
    <n v="3"/>
    <n v="4"/>
    <x v="5"/>
    <x v="3"/>
    <s v="Control de accesos"/>
    <s v="PREVENTIVO"/>
    <x v="0"/>
    <x v="0"/>
    <s v="Usuarios genéricos"/>
    <n v="2.1"/>
    <n v="4"/>
    <n v="8.399999999999999"/>
    <x v="0"/>
  </r>
  <r>
    <x v="10"/>
    <x v="10"/>
    <s v="Control de correo no deseado Antispam"/>
    <m/>
    <x v="2"/>
    <x v="10"/>
    <x v="6"/>
    <s v="X"/>
    <m/>
    <s v="X"/>
    <n v="1"/>
    <n v="3"/>
    <x v="8"/>
    <x v="1"/>
    <s v="Control de accesos"/>
    <s v="PREVENTIVO"/>
    <x v="0"/>
    <x v="0"/>
    <s v="Usuarios genéricos"/>
    <n v="0.7"/>
    <n v="3"/>
    <n v="2.1"/>
    <x v="1"/>
  </r>
  <r>
    <x v="10"/>
    <x v="10"/>
    <s v="Control de correo no deseado Antispam"/>
    <m/>
    <x v="2"/>
    <x v="6"/>
    <x v="0"/>
    <s v="X"/>
    <s v="X"/>
    <s v="X"/>
    <n v="2"/>
    <n v="3"/>
    <x v="6"/>
    <x v="0"/>
    <s v="Registro de logs (FortiAnalyzer)"/>
    <s v="DETECTIVO"/>
    <x v="0"/>
    <x v="0"/>
    <s v="Falta de revisión de perfiles de acceso"/>
    <n v="2"/>
    <n v="2.1"/>
    <n v="4.199999999999999"/>
    <x v="1"/>
  </r>
  <r>
    <x v="10"/>
    <x v="10"/>
    <s v="Control de correo no deseado Antispam"/>
    <m/>
    <x v="2"/>
    <x v="11"/>
    <x v="1"/>
    <m/>
    <m/>
    <s v="X"/>
    <n v="3"/>
    <n v="3"/>
    <x v="7"/>
    <x v="0"/>
    <s v="Configuración segura de firewall"/>
    <s v="PREVENTIVO"/>
    <x v="0"/>
    <x v="0"/>
    <s v="Evidencia de validación de las configuraciones"/>
    <n v="2.1"/>
    <n v="3"/>
    <n v="6.299999999999999"/>
    <x v="0"/>
  </r>
  <r>
    <x v="10"/>
    <x v="10"/>
    <s v="Control de correo no deseado Antispam"/>
    <m/>
    <x v="2"/>
    <x v="0"/>
    <x v="0"/>
    <s v="X"/>
    <s v="X"/>
    <s v="X"/>
    <n v="2"/>
    <n v="3"/>
    <x v="6"/>
    <x v="0"/>
    <s v="Control de cambios en los sistemas_x000a_Verificación posterior (informe)"/>
    <s v="ADMINISTRACION"/>
    <x v="0"/>
    <x v="0"/>
    <s v="No existe procedimiento formal de gestión de cambios"/>
    <n v="1.4"/>
    <n v="3"/>
    <n v="4.199999999999999"/>
    <x v="1"/>
  </r>
  <r>
    <x v="10"/>
    <x v="10"/>
    <s v="Control de correo no deseado Antispam"/>
    <m/>
    <x v="2"/>
    <x v="9"/>
    <x v="1"/>
    <m/>
    <m/>
    <s v="X"/>
    <n v="2"/>
    <n v="4"/>
    <x v="0"/>
    <x v="0"/>
    <s v="Monitoreo de Servidores presenta en el procedimiento operativo  Administración de Servidores en el Manua de Gestión de las Operaciones de TI"/>
    <s v="PREVENTIVO"/>
    <x v="0"/>
    <x v="2"/>
    <s v="Falta de alertas automáticas"/>
    <n v="1.2"/>
    <n v="4"/>
    <n v="4.8"/>
    <x v="1"/>
  </r>
  <r>
    <x v="11"/>
    <x v="11"/>
    <s v="Informe eventos de seguridad"/>
    <m/>
    <x v="1"/>
    <x v="3"/>
    <x v="2"/>
    <s v="X"/>
    <m/>
    <m/>
    <n v="3"/>
    <n v="4"/>
    <x v="5"/>
    <x v="3"/>
    <s v="Software DLP"/>
    <s v="PREVENTIVO"/>
    <x v="0"/>
    <x v="0"/>
    <s v="Politicas sin restricción para jefaturas"/>
    <n v="2.1"/>
    <n v="4"/>
    <n v="8.399999999999999"/>
    <x v="0"/>
  </r>
  <r>
    <x v="11"/>
    <x v="11"/>
    <s v="Informe eventos de seguridad"/>
    <m/>
    <x v="1"/>
    <x v="1"/>
    <x v="1"/>
    <m/>
    <m/>
    <s v="X"/>
    <n v="3"/>
    <n v="3"/>
    <x v="7"/>
    <x v="0"/>
    <s v="Respaldo digital de información"/>
    <s v="PREVENTIVO"/>
    <x v="0"/>
    <x v="0"/>
    <s v="Almacenamiento manual en medio extraible"/>
    <n v="2.1"/>
    <n v="3"/>
    <n v="6.299999999999999"/>
    <x v="0"/>
  </r>
  <r>
    <x v="12"/>
    <x v="12"/>
    <s v="Servidor control software malicioso _x000a_192.168.100.235"/>
    <m/>
    <x v="3"/>
    <x v="4"/>
    <x v="3"/>
    <s v="X"/>
    <s v="X"/>
    <m/>
    <n v="2"/>
    <n v="3"/>
    <x v="6"/>
    <x v="0"/>
    <s v="Control de accesos / VPN"/>
    <s v="PREVENTIVO"/>
    <x v="0"/>
    <x v="0"/>
    <s v="Contreaseñas de VPN no expiran"/>
    <n v="1.4"/>
    <n v="3"/>
    <n v="4.199999999999999"/>
    <x v="1"/>
  </r>
  <r>
    <x v="12"/>
    <x v="12"/>
    <s v="Servidor control software malicioso _x000a_192.168.100.235"/>
    <m/>
    <x v="3"/>
    <x v="10"/>
    <x v="6"/>
    <s v="X"/>
    <m/>
    <s v="X"/>
    <n v="2"/>
    <n v="3"/>
    <x v="6"/>
    <x v="0"/>
    <s v="Control de accesos"/>
    <s v="PREVENTIVO"/>
    <x v="0"/>
    <x v="0"/>
    <s v="Usuarios genéricos"/>
    <n v="1.4"/>
    <n v="3"/>
    <n v="4.199999999999999"/>
    <x v="1"/>
  </r>
  <r>
    <x v="12"/>
    <x v="12"/>
    <s v="Servidor control software malicioso _x000a_192.168.100.235"/>
    <m/>
    <x v="3"/>
    <x v="6"/>
    <x v="0"/>
    <s v="X"/>
    <s v="X"/>
    <s v="X"/>
    <n v="2"/>
    <n v="3"/>
    <x v="6"/>
    <x v="0"/>
    <s v="Registro de logs (FortiAnalyzer)"/>
    <s v="DETECTIVO"/>
    <x v="0"/>
    <x v="0"/>
    <s v="Falta de revisión de perfiles de acceso"/>
    <n v="2"/>
    <n v="2.1"/>
    <n v="4.199999999999999"/>
    <x v="1"/>
  </r>
  <r>
    <x v="12"/>
    <x v="12"/>
    <s v="Servidor control software malicioso _x000a_192.168.100.235"/>
    <m/>
    <x v="3"/>
    <x v="11"/>
    <x v="1"/>
    <m/>
    <m/>
    <s v="X"/>
    <n v="3"/>
    <n v="4"/>
    <x v="5"/>
    <x v="3"/>
    <s v="Configuración segura de firewall"/>
    <s v="PREVENTIVO"/>
    <x v="0"/>
    <x v="0"/>
    <s v="Evidencia de validación de las configuraciones"/>
    <n v="2.1"/>
    <n v="4"/>
    <n v="8.399999999999999"/>
    <x v="0"/>
  </r>
  <r>
    <x v="12"/>
    <x v="12"/>
    <s v="Servidor control software malicioso _x000a_192.168.100.235"/>
    <m/>
    <x v="3"/>
    <x v="0"/>
    <x v="0"/>
    <s v="X"/>
    <s v="X"/>
    <s v="X"/>
    <n v="2"/>
    <n v="3"/>
    <x v="6"/>
    <x v="0"/>
    <s v="Control de cambios en los sistemas_x000a_Verificación posterior (informe)"/>
    <s v="ADMINISTRACION"/>
    <x v="0"/>
    <x v="0"/>
    <s v="No existe procedimiento formal de gestión de cambios"/>
    <n v="1.4"/>
    <n v="3"/>
    <n v="4.199999999999999"/>
    <x v="1"/>
  </r>
  <r>
    <x v="12"/>
    <x v="12"/>
    <s v="Servidor control software malicioso _x000a_192.168.100.235"/>
    <m/>
    <x v="3"/>
    <x v="9"/>
    <x v="1"/>
    <m/>
    <m/>
    <s v="X"/>
    <n v="2"/>
    <n v="3"/>
    <x v="6"/>
    <x v="0"/>
    <s v="Procedimiento de Gestión de la capacidad y desempeño de la Infraestructura"/>
    <s v="PREVENTIVO"/>
    <x v="0"/>
    <x v="0"/>
    <s v="Notificación automática de alertas"/>
    <n v="1.4"/>
    <n v="3"/>
    <n v="4.199999999999999"/>
    <x v="1"/>
  </r>
  <r>
    <x v="13"/>
    <x v="13"/>
    <s v="Servidor prevencion correo no deseado  _x000a_192.168.23.6"/>
    <m/>
    <x v="3"/>
    <x v="4"/>
    <x v="3"/>
    <s v="X"/>
    <s v="X"/>
    <m/>
    <n v="3"/>
    <n v="4"/>
    <x v="5"/>
    <x v="3"/>
    <s v="Control de accesos / VPN"/>
    <s v="PREVENTIVO"/>
    <x v="0"/>
    <x v="0"/>
    <s v="Contreaseñas de VPN no expiran"/>
    <n v="2.1"/>
    <n v="4"/>
    <n v="8.399999999999999"/>
    <x v="0"/>
  </r>
  <r>
    <x v="13"/>
    <x v="13"/>
    <s v="Servidor prevencion correo no deseado  _x000a_192.168.23.6"/>
    <m/>
    <x v="3"/>
    <x v="10"/>
    <x v="6"/>
    <s v="X"/>
    <m/>
    <s v="X"/>
    <n v="3"/>
    <n v="3"/>
    <x v="7"/>
    <x v="0"/>
    <s v="Control de accesos"/>
    <s v="PREVENTIVO"/>
    <x v="0"/>
    <x v="0"/>
    <s v="Usuarios genéricos"/>
    <n v="2.1"/>
    <n v="3"/>
    <n v="6.299999999999999"/>
    <x v="0"/>
  </r>
  <r>
    <x v="13"/>
    <x v="13"/>
    <s v="Servidor prevencion correo no deseado  _x000a_192.168.23.6"/>
    <m/>
    <x v="3"/>
    <x v="6"/>
    <x v="0"/>
    <s v="X"/>
    <s v="X"/>
    <s v="X"/>
    <n v="2"/>
    <n v="3"/>
    <x v="6"/>
    <x v="0"/>
    <s v="Registro de logs (FortiAnalyzer)"/>
    <s v="DETECTIVO"/>
    <x v="0"/>
    <x v="0"/>
    <s v="Falta de revisión de perfiles de acceso"/>
    <n v="2"/>
    <n v="2.1"/>
    <n v="4.199999999999999"/>
    <x v="1"/>
  </r>
  <r>
    <x v="13"/>
    <x v="13"/>
    <s v="Servidor prevencion correo no deseado  _x000a_192.168.23.6"/>
    <m/>
    <x v="3"/>
    <x v="11"/>
    <x v="1"/>
    <m/>
    <m/>
    <s v="X"/>
    <n v="3"/>
    <n v="4"/>
    <x v="5"/>
    <x v="3"/>
    <s v="Configuración segura de firewall"/>
    <s v="PREVENTIVO"/>
    <x v="0"/>
    <x v="0"/>
    <s v="Evidencia de validación de las configuraciones"/>
    <n v="2.1"/>
    <n v="4"/>
    <n v="8.399999999999999"/>
    <x v="0"/>
  </r>
  <r>
    <x v="13"/>
    <x v="13"/>
    <s v="Servidor prevencion correo no deseado  _x000a_192.168.23.6"/>
    <m/>
    <x v="3"/>
    <x v="0"/>
    <x v="0"/>
    <s v="X"/>
    <s v="X"/>
    <s v="X"/>
    <n v="2"/>
    <n v="4"/>
    <x v="0"/>
    <x v="0"/>
    <s v="Control de cambios en los sistemas_x000a_Verificación posterior (informe)"/>
    <s v="ADMINISTRACION"/>
    <x v="0"/>
    <x v="0"/>
    <s v="No existe procedimiento formal de gestión de cambios"/>
    <n v="1.4"/>
    <n v="4"/>
    <n v="5.6"/>
    <x v="0"/>
  </r>
  <r>
    <x v="13"/>
    <x v="13"/>
    <s v="Servidor prevencion correo no deseado  _x000a_192.168.23.6"/>
    <m/>
    <x v="3"/>
    <x v="9"/>
    <x v="1"/>
    <m/>
    <m/>
    <s v="X"/>
    <n v="2"/>
    <n v="3"/>
    <x v="6"/>
    <x v="0"/>
    <s v="Procedimiento de Gestión de la capacidad y desempeño de la Infraestructura"/>
    <s v="PREVENTIVO"/>
    <x v="0"/>
    <x v="0"/>
    <s v="Notificación automática de alertas"/>
    <n v="1.4"/>
    <n v="3"/>
    <n v="4.199999999999999"/>
    <x v="1"/>
  </r>
  <r>
    <x v="14"/>
    <x v="14"/>
    <s v="Consola de administracion firewall_x000a_192.168.21.2"/>
    <m/>
    <x v="3"/>
    <x v="4"/>
    <x v="3"/>
    <s v="X"/>
    <s v="X"/>
    <m/>
    <n v="3"/>
    <n v="4"/>
    <x v="5"/>
    <x v="3"/>
    <s v="Control de accesos / VPN"/>
    <s v="PREVENTIVO"/>
    <x v="0"/>
    <x v="0"/>
    <s v="Contreaseñas de VPN no expiran"/>
    <n v="2.1"/>
    <n v="4"/>
    <n v="8.399999999999999"/>
    <x v="0"/>
  </r>
  <r>
    <x v="14"/>
    <x v="14"/>
    <s v="Consola de administracion firewall_x000a_192.168.21.2"/>
    <m/>
    <x v="3"/>
    <x v="10"/>
    <x v="6"/>
    <s v="X"/>
    <m/>
    <s v="X"/>
    <n v="2"/>
    <n v="4"/>
    <x v="0"/>
    <x v="0"/>
    <s v="Control de accesos"/>
    <s v="PREVENTIVO"/>
    <x v="0"/>
    <x v="0"/>
    <s v="Usuarios genéricos"/>
    <n v="1.4"/>
    <n v="4"/>
    <n v="5.6"/>
    <x v="0"/>
  </r>
  <r>
    <x v="14"/>
    <x v="14"/>
    <s v="Consola de administracion firewall_x000a_192.168.21.2"/>
    <m/>
    <x v="3"/>
    <x v="6"/>
    <x v="0"/>
    <s v="X"/>
    <s v="X"/>
    <s v="X"/>
    <n v="2"/>
    <n v="4"/>
    <x v="0"/>
    <x v="0"/>
    <s v="Registro de logs (FortiAnalyzer)"/>
    <s v="DETECTIVO"/>
    <x v="0"/>
    <x v="0"/>
    <s v="Falta de revisión de perfiles de acceso"/>
    <n v="2"/>
    <n v="2.8"/>
    <n v="5.6"/>
    <x v="0"/>
  </r>
  <r>
    <x v="14"/>
    <x v="14"/>
    <s v="Consola de administracion firewall_x000a_192.168.21.2"/>
    <m/>
    <x v="3"/>
    <x v="11"/>
    <x v="1"/>
    <m/>
    <m/>
    <s v="X"/>
    <n v="3"/>
    <n v="5"/>
    <x v="9"/>
    <x v="3"/>
    <s v="Configuración segura de firewall"/>
    <s v="PREVENTIVO"/>
    <x v="0"/>
    <x v="0"/>
    <s v="Evidencia de validación de las configuraciones"/>
    <n v="2.1"/>
    <n v="5"/>
    <n v="10.5"/>
    <x v="2"/>
  </r>
  <r>
    <x v="14"/>
    <x v="14"/>
    <s v="Consola de administracion firewall_x000a_192.168.21.2"/>
    <m/>
    <x v="3"/>
    <x v="0"/>
    <x v="0"/>
    <s v="X"/>
    <s v="X"/>
    <s v="X"/>
    <n v="2"/>
    <n v="4"/>
    <x v="0"/>
    <x v="0"/>
    <s v="Control de cambios en los sistemas_x000a_Verificación posterior (informe)"/>
    <s v="ADMINISTRACION"/>
    <x v="0"/>
    <x v="0"/>
    <s v="No existe procedimiento formal de gestión de cambios"/>
    <n v="1.4"/>
    <n v="4"/>
    <n v="5.6"/>
    <x v="0"/>
  </r>
  <r>
    <x v="14"/>
    <x v="14"/>
    <s v="Consola de administracion firewall_x000a_192.168.21.2"/>
    <m/>
    <x v="3"/>
    <x v="9"/>
    <x v="1"/>
    <m/>
    <m/>
    <s v="X"/>
    <n v="2"/>
    <n v="3"/>
    <x v="6"/>
    <x v="0"/>
    <s v="Procedimiento de Gestión de la capacidad y desempeño de la Infraestructura"/>
    <s v="PREVENTIVO"/>
    <x v="0"/>
    <x v="0"/>
    <s v="Notificación automática de alertas"/>
    <n v="1.4"/>
    <n v="3"/>
    <n v="4.199999999999999"/>
    <x v="1"/>
  </r>
  <r>
    <x v="15"/>
    <x v="15"/>
    <s v="Analizador de logs_x000a_192.168.100.232"/>
    <m/>
    <x v="3"/>
    <x v="4"/>
    <x v="3"/>
    <s v="X"/>
    <s v="X"/>
    <m/>
    <n v="2"/>
    <n v="3"/>
    <x v="6"/>
    <x v="0"/>
    <s v="Control de accesos / VPN"/>
    <s v="PREVENTIVO"/>
    <x v="0"/>
    <x v="0"/>
    <s v="Contreaseñas de VPN no expiran"/>
    <n v="1.4"/>
    <n v="3"/>
    <n v="4.199999999999999"/>
    <x v="1"/>
  </r>
  <r>
    <x v="15"/>
    <x v="15"/>
    <s v="Analizador de logs_x000a_192.168.100.232"/>
    <m/>
    <x v="3"/>
    <x v="10"/>
    <x v="6"/>
    <s v="X"/>
    <m/>
    <s v="X"/>
    <n v="2"/>
    <n v="3"/>
    <x v="6"/>
    <x v="0"/>
    <s v="Control de accesos"/>
    <s v="PREVENTIVO"/>
    <x v="0"/>
    <x v="0"/>
    <s v="Usuarios genéricos"/>
    <n v="1.4"/>
    <n v="3"/>
    <n v="4.199999999999999"/>
    <x v="1"/>
  </r>
  <r>
    <x v="15"/>
    <x v="15"/>
    <s v="Analizador de logs_x000a_192.168.100.232"/>
    <m/>
    <x v="3"/>
    <x v="6"/>
    <x v="0"/>
    <s v="X"/>
    <s v="X"/>
    <s v="X"/>
    <n v="2"/>
    <n v="3"/>
    <x v="6"/>
    <x v="0"/>
    <s v="Registro de logs (FortiAnalyzer)"/>
    <s v="DETECTIVO"/>
    <x v="0"/>
    <x v="0"/>
    <s v="Falta de revisión de perfiles de acceso"/>
    <n v="2"/>
    <n v="2.1"/>
    <n v="4.199999999999999"/>
    <x v="1"/>
  </r>
  <r>
    <x v="15"/>
    <x v="15"/>
    <s v="Analizador de logs_x000a_192.168.100.232"/>
    <m/>
    <x v="3"/>
    <x v="11"/>
    <x v="1"/>
    <m/>
    <m/>
    <s v="X"/>
    <n v="3"/>
    <n v="3"/>
    <x v="7"/>
    <x v="0"/>
    <s v="Configuración segura de firewall"/>
    <s v="PREVENTIVO"/>
    <x v="0"/>
    <x v="0"/>
    <s v="Evidencia de validación de las configuraciones"/>
    <n v="2.1"/>
    <n v="3"/>
    <n v="6.299999999999999"/>
    <x v="0"/>
  </r>
  <r>
    <x v="15"/>
    <x v="15"/>
    <s v="Analizador de logs_x000a_192.168.100.232"/>
    <m/>
    <x v="3"/>
    <x v="0"/>
    <x v="0"/>
    <s v="X"/>
    <s v="X"/>
    <s v="X"/>
    <n v="2"/>
    <n v="3"/>
    <x v="6"/>
    <x v="0"/>
    <s v="Control de cambios en los sistemas_x000a_Verificación posterior (informe)"/>
    <s v="ADMINISTRACION"/>
    <x v="0"/>
    <x v="0"/>
    <s v="No existe procedimiento formal de gestión de cambios"/>
    <n v="1.4"/>
    <n v="3"/>
    <n v="4.199999999999999"/>
    <x v="1"/>
  </r>
  <r>
    <x v="15"/>
    <x v="15"/>
    <s v="Analizador de logs_x000a_192.168.100.232"/>
    <m/>
    <x v="3"/>
    <x v="9"/>
    <x v="1"/>
    <m/>
    <m/>
    <s v="X"/>
    <n v="3"/>
    <n v="3"/>
    <x v="7"/>
    <x v="0"/>
    <s v="Procedimiento de Gestión de la capacidad y desempeño de la Infraestructura"/>
    <s v="PREVENTIVO"/>
    <x v="0"/>
    <x v="0"/>
    <s v="Notificación automática de alertas"/>
    <n v="2.1"/>
    <n v="3"/>
    <n v="6.299999999999999"/>
    <x v="0"/>
  </r>
  <r>
    <x v="16"/>
    <x v="16"/>
    <s v="Consola de administracion  _x000a_192.168.100.238"/>
    <m/>
    <x v="3"/>
    <x v="4"/>
    <x v="3"/>
    <s v="X"/>
    <s v="X"/>
    <m/>
    <n v="3"/>
    <n v="4"/>
    <x v="5"/>
    <x v="3"/>
    <s v="Control de accesos / VPN"/>
    <s v="PREVENTIVO"/>
    <x v="0"/>
    <x v="0"/>
    <s v="Contreaseñas de VPN no expiran"/>
    <n v="2.1"/>
    <n v="4"/>
    <n v="8.399999999999999"/>
    <x v="0"/>
  </r>
  <r>
    <x v="16"/>
    <x v="16"/>
    <s v="Consola de administracion  _x000a_192.168.100.238"/>
    <m/>
    <x v="3"/>
    <x v="10"/>
    <x v="6"/>
    <s v="X"/>
    <m/>
    <s v="X"/>
    <n v="2"/>
    <n v="3"/>
    <x v="6"/>
    <x v="0"/>
    <s v="Control de accesos"/>
    <s v="PREVENTIVO"/>
    <x v="0"/>
    <x v="0"/>
    <s v="Usuarios genéricos"/>
    <n v="1.4"/>
    <n v="3"/>
    <n v="4.199999999999999"/>
    <x v="1"/>
  </r>
  <r>
    <x v="16"/>
    <x v="16"/>
    <s v="Consola de administracion  _x000a_192.168.100.238"/>
    <m/>
    <x v="3"/>
    <x v="6"/>
    <x v="0"/>
    <s v="X"/>
    <s v="X"/>
    <s v="X"/>
    <n v="2"/>
    <n v="4"/>
    <x v="0"/>
    <x v="0"/>
    <s v="Registro de logs (FortiAnalyzer)"/>
    <s v="DETECTIVO"/>
    <x v="0"/>
    <x v="0"/>
    <s v="Falta de revisión de perfiles de acceso"/>
    <n v="2"/>
    <n v="2.8"/>
    <n v="5.6"/>
    <x v="0"/>
  </r>
  <r>
    <x v="16"/>
    <x v="16"/>
    <s v="Consola de administracion  _x000a_192.168.100.238"/>
    <m/>
    <x v="3"/>
    <x v="11"/>
    <x v="1"/>
    <m/>
    <m/>
    <s v="X"/>
    <n v="3"/>
    <n v="4"/>
    <x v="5"/>
    <x v="3"/>
    <s v="Configuración segura de firewall"/>
    <s v="PREVENTIVO"/>
    <x v="0"/>
    <x v="0"/>
    <s v="Evidencia de validación de las configuraciones"/>
    <n v="2.1"/>
    <n v="4"/>
    <n v="8.399999999999999"/>
    <x v="0"/>
  </r>
  <r>
    <x v="16"/>
    <x v="16"/>
    <s v="Consola de administracion  _x000a_192.168.100.238"/>
    <m/>
    <x v="3"/>
    <x v="0"/>
    <x v="0"/>
    <s v="X"/>
    <s v="X"/>
    <s v="X"/>
    <n v="2"/>
    <n v="3"/>
    <x v="6"/>
    <x v="0"/>
    <s v="Control de cambios en los sistemas_x000a_Verificación posterior (informe)"/>
    <s v="ADMINISTRACION"/>
    <x v="0"/>
    <x v="0"/>
    <s v="No existe procedimiento formal de gestión de cambios"/>
    <n v="1.4"/>
    <n v="3"/>
    <n v="4.199999999999999"/>
    <x v="1"/>
  </r>
  <r>
    <x v="16"/>
    <x v="16"/>
    <s v="Consola de administracion  _x000a_192.168.100.238"/>
    <m/>
    <x v="3"/>
    <x v="9"/>
    <x v="1"/>
    <m/>
    <m/>
    <s v="X"/>
    <n v="2"/>
    <n v="4"/>
    <x v="0"/>
    <x v="0"/>
    <s v="Procedimiento de Gestión de la capacidad y desempeño de la Infraestructura"/>
    <s v="PREVENTIVO"/>
    <x v="0"/>
    <x v="0"/>
    <s v="Notificación automática de alertas"/>
    <n v="1.4"/>
    <n v="4"/>
    <n v="5.6"/>
    <x v="0"/>
  </r>
  <r>
    <x v="17"/>
    <x v="17"/>
    <s v="Funcionarios con el cargo de Administrador de Seguridad Informática"/>
    <m/>
    <x v="5"/>
    <x v="14"/>
    <x v="1"/>
    <m/>
    <m/>
    <s v="X"/>
    <n v="2"/>
    <n v="3"/>
    <x v="6"/>
    <x v="0"/>
    <s v="Plan de continuidad documentado"/>
    <s v="RECUPERACION"/>
    <x v="0"/>
    <x v="0"/>
    <s v="Dependencia de personal clave"/>
    <n v="2"/>
    <n v="2.1"/>
    <n v="4.199999999999999"/>
    <x v="1"/>
  </r>
  <r>
    <x v="18"/>
    <x v="18"/>
    <s v="Funcionarios con el cargo de Administrador de Base de Datos"/>
    <m/>
    <x v="5"/>
    <x v="14"/>
    <x v="1"/>
    <m/>
    <m/>
    <s v="X"/>
    <n v="2"/>
    <n v="3"/>
    <x v="6"/>
    <x v="0"/>
    <s v="Plan de continuidad documentado"/>
    <s v="RECUPERACION"/>
    <x v="0"/>
    <x v="0"/>
    <s v="Dependencia de personal clave"/>
    <n v="2"/>
    <n v="2.1"/>
    <n v="4.199999999999999"/>
    <x v="1"/>
  </r>
  <r>
    <x v="19"/>
    <x v="19"/>
    <s v="Ruteador para enlaces de comunicación / 192.168.100.253"/>
    <m/>
    <x v="3"/>
    <x v="0"/>
    <x v="0"/>
    <s v="X"/>
    <s v="X"/>
    <s v="X"/>
    <n v="2"/>
    <n v="3"/>
    <x v="6"/>
    <x v="0"/>
    <s v="Control de cambios en los sistemas_x000a_Verificación posterior (informe)"/>
    <s v="ADMINISTRACION"/>
    <x v="0"/>
    <x v="0"/>
    <s v="No existe procedimiento formal de gestión de cambios"/>
    <n v="1.4"/>
    <n v="3"/>
    <n v="4.199999999999999"/>
    <x v="1"/>
  </r>
  <r>
    <x v="19"/>
    <x v="19"/>
    <s v="Ruteador para enlaces de comunicación / 192.168.100.253"/>
    <m/>
    <x v="3"/>
    <x v="4"/>
    <x v="3"/>
    <s v="X"/>
    <s v="X"/>
    <m/>
    <n v="3"/>
    <n v="4"/>
    <x v="5"/>
    <x v="3"/>
    <s v="Control de accesos / VPN"/>
    <s v="PREVENTIVO"/>
    <x v="0"/>
    <x v="0"/>
    <s v="Contreaseñas de VPN no expiran"/>
    <n v="2.1"/>
    <n v="4"/>
    <n v="8.399999999999999"/>
    <x v="0"/>
  </r>
  <r>
    <x v="19"/>
    <x v="19"/>
    <s v="Ruteador para enlaces de comunicación / 192.168.100.253"/>
    <m/>
    <x v="3"/>
    <x v="6"/>
    <x v="0"/>
    <s v="X"/>
    <s v="X"/>
    <s v="X"/>
    <n v="2"/>
    <n v="4"/>
    <x v="0"/>
    <x v="0"/>
    <s v="Registro de logs"/>
    <s v="DETECTIVO"/>
    <x v="0"/>
    <x v="0"/>
    <s v="Falta de revisión de perfiles de acceso"/>
    <n v="2"/>
    <n v="2.8"/>
    <n v="5.6"/>
    <x v="0"/>
  </r>
  <r>
    <x v="19"/>
    <x v="19"/>
    <s v="Ruteador para enlaces de comunicación / 192.168.100.253"/>
    <m/>
    <x v="3"/>
    <x v="12"/>
    <x v="1"/>
    <m/>
    <m/>
    <s v="X"/>
    <n v="3"/>
    <n v="4"/>
    <x v="5"/>
    <x v="3"/>
    <s v="Gestión de vulnerabilidades"/>
    <s v="PREVENTIVO"/>
    <x v="0"/>
    <x v="2"/>
    <s v="Recursos tecnológicos insuficientes para remediación"/>
    <n v="1.8"/>
    <n v="4"/>
    <n v="7.199999999999999"/>
    <x v="0"/>
  </r>
  <r>
    <x v="20"/>
    <x v="20"/>
    <s v="Ruteador para enlaces de comunicación / 192.168.40.253"/>
    <m/>
    <x v="3"/>
    <x v="0"/>
    <x v="0"/>
    <s v="X"/>
    <s v="X"/>
    <s v="X"/>
    <n v="2"/>
    <n v="3"/>
    <x v="6"/>
    <x v="0"/>
    <s v="Control de cambios en los sistemas_x000a_Verificación posterior (informe)"/>
    <s v="ADMINISTRACION"/>
    <x v="0"/>
    <x v="0"/>
    <s v="No existe procedimiento formal de gestión de cambios"/>
    <n v="1.4"/>
    <n v="3"/>
    <n v="4.199999999999999"/>
    <x v="1"/>
  </r>
  <r>
    <x v="20"/>
    <x v="20"/>
    <s v="Ruteador para enlaces de comunicación / 192.168.40.253"/>
    <m/>
    <x v="3"/>
    <x v="4"/>
    <x v="3"/>
    <s v="X"/>
    <s v="X"/>
    <m/>
    <n v="2"/>
    <n v="4"/>
    <x v="0"/>
    <x v="0"/>
    <s v="Control de accesos / VPN"/>
    <s v="PREVENTIVO"/>
    <x v="0"/>
    <x v="0"/>
    <s v="Contreaseñas de VPN no expiran"/>
    <n v="1.4"/>
    <n v="4"/>
    <n v="5.6"/>
    <x v="0"/>
  </r>
  <r>
    <x v="20"/>
    <x v="20"/>
    <s v="Ruteador para enlaces de comunicación / 192.168.40.253"/>
    <m/>
    <x v="3"/>
    <x v="6"/>
    <x v="0"/>
    <s v="X"/>
    <s v="X"/>
    <s v="X"/>
    <n v="2"/>
    <n v="4"/>
    <x v="0"/>
    <x v="0"/>
    <s v="Registro de logs"/>
    <s v="DETECTIVO"/>
    <x v="0"/>
    <x v="0"/>
    <s v="Falta de revisión de perfiles de acceso"/>
    <n v="2"/>
    <n v="2.8"/>
    <n v="5.6"/>
    <x v="0"/>
  </r>
  <r>
    <x v="20"/>
    <x v="20"/>
    <s v="Ruteador para enlaces de comunicación / 192.168.40.253"/>
    <m/>
    <x v="3"/>
    <x v="12"/>
    <x v="1"/>
    <m/>
    <m/>
    <s v="X"/>
    <n v="3"/>
    <n v="3"/>
    <x v="7"/>
    <x v="0"/>
    <s v="Gestión de vulnerabilidades"/>
    <s v="PREVENTIVO"/>
    <x v="0"/>
    <x v="2"/>
    <s v="Recursos tecnológicos insuficientes para remediación"/>
    <n v="1.8"/>
    <n v="3"/>
    <n v="5.399999999999999"/>
    <x v="0"/>
  </r>
  <r>
    <x v="21"/>
    <x v="21"/>
    <s v="Ruteador para enlaces de comunicación / 192.168.50.253"/>
    <m/>
    <x v="3"/>
    <x v="0"/>
    <x v="0"/>
    <s v="X"/>
    <s v="X"/>
    <s v="X"/>
    <n v="2"/>
    <n v="3"/>
    <x v="6"/>
    <x v="0"/>
    <s v="Control de cambios en los sistemas_x000a_Verificación posterior (informe)"/>
    <s v="ADMINISTRACION"/>
    <x v="0"/>
    <x v="0"/>
    <s v="No existe procedimiento formal de gestión de cambios"/>
    <n v="1.4"/>
    <n v="3"/>
    <n v="4.199999999999999"/>
    <x v="1"/>
  </r>
  <r>
    <x v="21"/>
    <x v="21"/>
    <s v="Ruteador para enlaces de comunicación / 192.168.50.253"/>
    <m/>
    <x v="3"/>
    <x v="4"/>
    <x v="3"/>
    <s v="X"/>
    <s v="X"/>
    <m/>
    <n v="2"/>
    <n v="4"/>
    <x v="0"/>
    <x v="0"/>
    <s v="Control de accesos / VPN"/>
    <s v="PREVENTIVO"/>
    <x v="0"/>
    <x v="0"/>
    <s v="Contreaseñas de VPN no expiran"/>
    <n v="1.4"/>
    <n v="4"/>
    <n v="5.6"/>
    <x v="0"/>
  </r>
  <r>
    <x v="21"/>
    <x v="21"/>
    <s v="Ruteador para enlaces de comunicación / 192.168.50.253"/>
    <m/>
    <x v="3"/>
    <x v="6"/>
    <x v="0"/>
    <s v="X"/>
    <s v="X"/>
    <s v="X"/>
    <n v="2"/>
    <n v="4"/>
    <x v="0"/>
    <x v="0"/>
    <s v="Registro de logs"/>
    <s v="DETECTIVO"/>
    <x v="0"/>
    <x v="0"/>
    <s v="Falta de revisión de perfiles de acceso"/>
    <n v="2"/>
    <n v="2.8"/>
    <n v="5.6"/>
    <x v="0"/>
  </r>
  <r>
    <x v="21"/>
    <x v="21"/>
    <s v="Ruteador para enlaces de comunicación / 192.168.50.253"/>
    <m/>
    <x v="3"/>
    <x v="12"/>
    <x v="1"/>
    <m/>
    <m/>
    <s v="X"/>
    <n v="3"/>
    <n v="3"/>
    <x v="7"/>
    <x v="0"/>
    <s v="Gestión de vulnerabilidades"/>
    <s v="PREVENTIVO"/>
    <x v="0"/>
    <x v="2"/>
    <s v="Recursos tecnológicos insuficientes para remediación"/>
    <n v="1.8"/>
    <n v="3"/>
    <n v="5.399999999999999"/>
    <x v="0"/>
  </r>
  <r>
    <x v="22"/>
    <x v="22"/>
    <s v="Servidor que contiene el servidor BDD Oracle / SERVIDOR APARK 192.168.10.72"/>
    <m/>
    <x v="3"/>
    <x v="0"/>
    <x v="0"/>
    <s v="X"/>
    <s v="X"/>
    <s v="X"/>
    <n v="2"/>
    <n v="4"/>
    <x v="0"/>
    <x v="0"/>
    <s v="Control de cambios en los sistemas_x000a_Verificación posterior (informe)"/>
    <s v="ADMINISTRACION"/>
    <x v="0"/>
    <x v="0"/>
    <s v="No existe procedimiento formal de gestión de cambios"/>
    <n v="1.4"/>
    <n v="4"/>
    <n v="5.6"/>
    <x v="0"/>
  </r>
  <r>
    <x v="22"/>
    <x v="22"/>
    <s v="Servidor que contiene el servidor BDD Oracle / SERVIDOR APARK 192.168.10.72"/>
    <m/>
    <x v="3"/>
    <x v="4"/>
    <x v="3"/>
    <s v="X"/>
    <s v="X"/>
    <m/>
    <n v="3"/>
    <n v="5"/>
    <x v="9"/>
    <x v="3"/>
    <s v="Control de accesos / VPN"/>
    <s v="PREVENTIVO"/>
    <x v="0"/>
    <x v="0"/>
    <s v="Contreaseñas de VPN no expiran"/>
    <n v="2.1"/>
    <n v="5"/>
    <n v="10.5"/>
    <x v="2"/>
  </r>
  <r>
    <x v="22"/>
    <x v="22"/>
    <s v="Servidor que contiene el servidor BDD Oracle / SERVIDOR APARK 192.168.10.72"/>
    <m/>
    <x v="3"/>
    <x v="6"/>
    <x v="0"/>
    <s v="X"/>
    <s v="X"/>
    <s v="X"/>
    <n v="3"/>
    <n v="4"/>
    <x v="5"/>
    <x v="3"/>
    <s v="Registro de logs (FortiAnalyzer)"/>
    <s v="DETECTIVO"/>
    <x v="0"/>
    <x v="0"/>
    <s v="Falta de revisión de perfiles de acceso"/>
    <n v="3"/>
    <n v="2.8"/>
    <n v="8.399999999999999"/>
    <x v="0"/>
  </r>
  <r>
    <x v="22"/>
    <x v="22"/>
    <s v="Servidor que contiene el servidor BDD Oracle / SERVIDOR APARK 192.168.10.72"/>
    <m/>
    <x v="3"/>
    <x v="12"/>
    <x v="1"/>
    <m/>
    <m/>
    <s v="X"/>
    <n v="3"/>
    <n v="4"/>
    <x v="5"/>
    <x v="3"/>
    <s v="Gestión de vulnerabilidades"/>
    <s v="PREVENTIVO"/>
    <x v="0"/>
    <x v="2"/>
    <s v="Recursos tecnológicos insuficientes para remediación"/>
    <n v="1.8"/>
    <n v="4"/>
    <n v="7.199999999999999"/>
    <x v="0"/>
  </r>
  <r>
    <x v="23"/>
    <x v="23"/>
    <s v="Ruteador para enlaces de comunicación / 192.168.60.253"/>
    <m/>
    <x v="3"/>
    <x v="0"/>
    <x v="0"/>
    <s v="X"/>
    <s v="X"/>
    <s v="X"/>
    <n v="2"/>
    <n v="3"/>
    <x v="6"/>
    <x v="0"/>
    <s v="Control de cambios en los sistemas_x000a_Verificación posterior (informe)"/>
    <s v="ADMINISTRACION"/>
    <x v="0"/>
    <x v="0"/>
    <s v="No existe procedimiento formal de gestión de cambios"/>
    <n v="1.4"/>
    <n v="3"/>
    <n v="4.199999999999999"/>
    <x v="1"/>
  </r>
  <r>
    <x v="23"/>
    <x v="23"/>
    <s v="Ruteador para enlaces de comunicación / 192.168.60.253"/>
    <m/>
    <x v="3"/>
    <x v="4"/>
    <x v="3"/>
    <s v="X"/>
    <s v="X"/>
    <m/>
    <n v="2"/>
    <n v="4"/>
    <x v="0"/>
    <x v="0"/>
    <s v="Control de accesos / VPN"/>
    <s v="PREVENTIVO"/>
    <x v="0"/>
    <x v="0"/>
    <s v="Contreaseñas de VPN no expiran"/>
    <n v="1.4"/>
    <n v="4"/>
    <n v="5.6"/>
    <x v="0"/>
  </r>
  <r>
    <x v="23"/>
    <x v="23"/>
    <s v="Ruteador para enlaces de comunicación / 192.168.60.253"/>
    <m/>
    <x v="3"/>
    <x v="6"/>
    <x v="0"/>
    <s v="X"/>
    <s v="X"/>
    <s v="X"/>
    <n v="2"/>
    <n v="4"/>
    <x v="0"/>
    <x v="0"/>
    <s v="Registro de logs"/>
    <s v="DETECTIVO"/>
    <x v="0"/>
    <x v="0"/>
    <s v="Falta de revisión de perfiles de acceso"/>
    <n v="2"/>
    <n v="2.8"/>
    <n v="5.6"/>
    <x v="0"/>
  </r>
  <r>
    <x v="23"/>
    <x v="23"/>
    <s v="Ruteador para enlaces de comunicación / 192.168.60.253"/>
    <m/>
    <x v="3"/>
    <x v="12"/>
    <x v="1"/>
    <m/>
    <m/>
    <s v="X"/>
    <n v="3"/>
    <n v="3"/>
    <x v="7"/>
    <x v="0"/>
    <s v="Gestión de vulnerabilidades"/>
    <s v="PREVENTIVO"/>
    <x v="0"/>
    <x v="2"/>
    <s v="Recursos tecnológicos insuficientes para remediación"/>
    <n v="1.8"/>
    <n v="3"/>
    <n v="5.399999999999999"/>
    <x v="0"/>
  </r>
  <r>
    <x v="24"/>
    <x v="24"/>
    <s v="Ruteador para enlaces de comunicación / 192.168.31.253"/>
    <m/>
    <x v="3"/>
    <x v="0"/>
    <x v="0"/>
    <s v="X"/>
    <s v="X"/>
    <s v="X"/>
    <n v="2"/>
    <n v="3"/>
    <x v="6"/>
    <x v="0"/>
    <s v="Control de cambios en los sistemas_x000a_Verificación posterior (informe)"/>
    <s v="ADMINISTRACION"/>
    <x v="0"/>
    <x v="0"/>
    <s v="No existe procedimiento formal de gestión de cambios"/>
    <n v="1.4"/>
    <n v="3"/>
    <n v="4.199999999999999"/>
    <x v="1"/>
  </r>
  <r>
    <x v="24"/>
    <x v="24"/>
    <s v="Ruteador para enlaces de comunicación / 192.168.31.253"/>
    <m/>
    <x v="3"/>
    <x v="4"/>
    <x v="3"/>
    <s v="X"/>
    <s v="X"/>
    <m/>
    <n v="2"/>
    <n v="4"/>
    <x v="0"/>
    <x v="0"/>
    <s v="Control de accesos / VPN"/>
    <s v="PREVENTIVO"/>
    <x v="0"/>
    <x v="0"/>
    <s v="Contreaseñas de VPN no expiran"/>
    <n v="1.4"/>
    <n v="4"/>
    <n v="5.6"/>
    <x v="0"/>
  </r>
  <r>
    <x v="24"/>
    <x v="24"/>
    <s v="Ruteador para enlaces de comunicación / 192.168.31.253"/>
    <m/>
    <x v="3"/>
    <x v="6"/>
    <x v="0"/>
    <s v="X"/>
    <s v="X"/>
    <s v="X"/>
    <n v="2"/>
    <n v="4"/>
    <x v="0"/>
    <x v="0"/>
    <s v="Registro de logs"/>
    <s v="DETECTIVO"/>
    <x v="0"/>
    <x v="0"/>
    <s v="Falta de revisión de perfiles de acceso"/>
    <n v="2"/>
    <n v="2.8"/>
    <n v="5.6"/>
    <x v="0"/>
  </r>
  <r>
    <x v="24"/>
    <x v="24"/>
    <s v="Ruteador para enlaces de comunicación / 192.168.31.253"/>
    <m/>
    <x v="3"/>
    <x v="12"/>
    <x v="1"/>
    <m/>
    <m/>
    <s v="X"/>
    <n v="3"/>
    <n v="3"/>
    <x v="7"/>
    <x v="0"/>
    <s v="Gestión de vulnerabilidades"/>
    <s v="PREVENTIVO"/>
    <x v="0"/>
    <x v="2"/>
    <s v="Recursos tecnológicos insuficientes para remediación"/>
    <n v="1.8"/>
    <n v="3"/>
    <n v="5.399999999999999"/>
    <x v="0"/>
  </r>
  <r>
    <x v="25"/>
    <x v="25"/>
    <s v="Ruteador para enlaces de comunicación / 192.168.80.253"/>
    <m/>
    <x v="3"/>
    <x v="0"/>
    <x v="0"/>
    <s v="X"/>
    <s v="X"/>
    <s v="X"/>
    <n v="2"/>
    <n v="3"/>
    <x v="6"/>
    <x v="0"/>
    <s v="Control de cambios en los sistemas_x000a_Verificación posterior (informe)"/>
    <s v="ADMINISTRACION"/>
    <x v="0"/>
    <x v="0"/>
    <s v="No existe procedimiento formal de gestión de cambios"/>
    <n v="1.4"/>
    <n v="3"/>
    <n v="4.199999999999999"/>
    <x v="1"/>
  </r>
  <r>
    <x v="25"/>
    <x v="25"/>
    <s v="Ruteador para enlaces de comunicación / 192.168.80.253"/>
    <m/>
    <x v="3"/>
    <x v="4"/>
    <x v="3"/>
    <s v="X"/>
    <s v="X"/>
    <m/>
    <n v="2"/>
    <n v="4"/>
    <x v="0"/>
    <x v="0"/>
    <s v="Control de accesos / VPN"/>
    <s v="PREVENTIVO"/>
    <x v="0"/>
    <x v="0"/>
    <s v="Contreaseñas de VPN no expiran"/>
    <n v="1.4"/>
    <n v="4"/>
    <n v="5.6"/>
    <x v="0"/>
  </r>
  <r>
    <x v="25"/>
    <x v="25"/>
    <s v="Ruteador para enlaces de comunicación / 192.168.80.253"/>
    <m/>
    <x v="3"/>
    <x v="6"/>
    <x v="0"/>
    <s v="X"/>
    <s v="X"/>
    <s v="X"/>
    <n v="2"/>
    <n v="4"/>
    <x v="0"/>
    <x v="0"/>
    <s v="Registro de logs"/>
    <s v="DETECTIVO"/>
    <x v="0"/>
    <x v="0"/>
    <s v="Falta de revisión de perfiles de acceso"/>
    <n v="2"/>
    <n v="2.8"/>
    <n v="5.6"/>
    <x v="0"/>
  </r>
  <r>
    <x v="25"/>
    <x v="25"/>
    <s v="Ruteador para enlaces de comunicación / 192.168.80.253"/>
    <m/>
    <x v="3"/>
    <x v="12"/>
    <x v="1"/>
    <m/>
    <m/>
    <s v="X"/>
    <n v="3"/>
    <n v="3"/>
    <x v="7"/>
    <x v="0"/>
    <s v="Gestión de vulnerabilidades"/>
    <s v="PREVENTIVO"/>
    <x v="0"/>
    <x v="2"/>
    <s v="Recursos tecnológicos insuficientes para remediación"/>
    <n v="1.8"/>
    <n v="3"/>
    <n v="5.399999999999999"/>
    <x v="0"/>
  </r>
  <r>
    <x v="26"/>
    <x v="26"/>
    <s v="Ruteador para enlaces de comunicación / 192.168.82.253"/>
    <m/>
    <x v="3"/>
    <x v="0"/>
    <x v="0"/>
    <s v="X"/>
    <s v="X"/>
    <s v="X"/>
    <n v="2"/>
    <n v="3"/>
    <x v="6"/>
    <x v="0"/>
    <s v="Control de cambios en los sistemas_x000a_Verificación posterior (informe)"/>
    <s v="ADMINISTRACION"/>
    <x v="0"/>
    <x v="0"/>
    <s v="No existe procedimiento formal de gestión de cambios"/>
    <n v="1.4"/>
    <n v="3"/>
    <n v="4.199999999999999"/>
    <x v="1"/>
  </r>
  <r>
    <x v="26"/>
    <x v="26"/>
    <s v="Ruteador para enlaces de comunicación / 192.168.82.253"/>
    <m/>
    <x v="3"/>
    <x v="4"/>
    <x v="3"/>
    <s v="X"/>
    <s v="X"/>
    <m/>
    <n v="2"/>
    <n v="4"/>
    <x v="0"/>
    <x v="0"/>
    <s v="Control de accesos / VPN"/>
    <s v="PREVENTIVO"/>
    <x v="0"/>
    <x v="0"/>
    <s v="Contreaseñas de VPN no expiran"/>
    <n v="1.4"/>
    <n v="4"/>
    <n v="5.6"/>
    <x v="0"/>
  </r>
  <r>
    <x v="26"/>
    <x v="26"/>
    <s v="Ruteador para enlaces de comunicación / 192.168.82.253"/>
    <m/>
    <x v="3"/>
    <x v="6"/>
    <x v="0"/>
    <s v="X"/>
    <s v="X"/>
    <s v="X"/>
    <n v="2"/>
    <n v="4"/>
    <x v="0"/>
    <x v="0"/>
    <s v="Registro de logs"/>
    <s v="DETECTIVO"/>
    <x v="0"/>
    <x v="0"/>
    <s v="Falta de revisión de perfiles de acceso"/>
    <n v="2"/>
    <n v="2.8"/>
    <n v="5.6"/>
    <x v="0"/>
  </r>
  <r>
    <x v="26"/>
    <x v="26"/>
    <s v="Ruteador para enlaces de comunicación / 192.168.82.253"/>
    <m/>
    <x v="3"/>
    <x v="12"/>
    <x v="1"/>
    <m/>
    <m/>
    <s v="X"/>
    <n v="3"/>
    <n v="3"/>
    <x v="7"/>
    <x v="0"/>
    <s v="Gestión de vulnerabilidades"/>
    <s v="PREVENTIVO"/>
    <x v="0"/>
    <x v="2"/>
    <s v="Recursos tecnológicos insuficientes para remediación"/>
    <n v="1.8"/>
    <n v="3"/>
    <n v="5.399999999999999"/>
    <x v="0"/>
  </r>
  <r>
    <x v="27"/>
    <x v="27"/>
    <s v="Ruteador para enlaces de comunicación / 192.168.81.253"/>
    <m/>
    <x v="3"/>
    <x v="0"/>
    <x v="0"/>
    <s v="X"/>
    <s v="X"/>
    <s v="X"/>
    <n v="2"/>
    <n v="3"/>
    <x v="6"/>
    <x v="0"/>
    <s v="Control de cambios en los sistemas_x000a_Verificación posterior (informe)"/>
    <s v="ADMINISTRACION"/>
    <x v="0"/>
    <x v="0"/>
    <s v="No existe procedimiento formal de gestión de cambios"/>
    <n v="1.4"/>
    <n v="3"/>
    <n v="4.199999999999999"/>
    <x v="1"/>
  </r>
  <r>
    <x v="27"/>
    <x v="27"/>
    <s v="Ruteador para enlaces de comunicación / 192.168.81.253"/>
    <m/>
    <x v="3"/>
    <x v="4"/>
    <x v="3"/>
    <s v="X"/>
    <s v="X"/>
    <m/>
    <n v="2"/>
    <n v="4"/>
    <x v="0"/>
    <x v="0"/>
    <s v="Control de accesos / VPN"/>
    <s v="PREVENTIVO"/>
    <x v="0"/>
    <x v="0"/>
    <s v="Contreaseñas de VPN no expiran"/>
    <n v="1.4"/>
    <n v="4"/>
    <n v="5.6"/>
    <x v="0"/>
  </r>
  <r>
    <x v="27"/>
    <x v="27"/>
    <s v="Ruteador para enlaces de comunicación / 192.168.81.253"/>
    <m/>
    <x v="3"/>
    <x v="6"/>
    <x v="0"/>
    <s v="X"/>
    <s v="X"/>
    <s v="X"/>
    <n v="2"/>
    <n v="4"/>
    <x v="0"/>
    <x v="0"/>
    <s v="Registro de logs"/>
    <s v="DETECTIVO"/>
    <x v="0"/>
    <x v="0"/>
    <s v="Falta de revisión de perfiles de acceso"/>
    <n v="2"/>
    <n v="2.8"/>
    <n v="5.6"/>
    <x v="0"/>
  </r>
  <r>
    <x v="27"/>
    <x v="27"/>
    <s v="Ruteador para enlaces de comunicación / 192.168.81.253"/>
    <m/>
    <x v="3"/>
    <x v="12"/>
    <x v="1"/>
    <m/>
    <m/>
    <s v="X"/>
    <n v="3"/>
    <n v="3"/>
    <x v="7"/>
    <x v="0"/>
    <s v="Gestión de vulnerabilidades"/>
    <s v="PREVENTIVO"/>
    <x v="0"/>
    <x v="2"/>
    <s v="Recursos tecnológicos insuficientes para remediación"/>
    <n v="1.8"/>
    <n v="3"/>
    <n v="5.399999999999999"/>
    <x v="0"/>
  </r>
  <r>
    <x v="28"/>
    <x v="28"/>
    <s v="Ruteador para enlaces de comunicación"/>
    <m/>
    <x v="3"/>
    <x v="0"/>
    <x v="0"/>
    <s v="X"/>
    <s v="X"/>
    <s v="X"/>
    <n v="2"/>
    <n v="3"/>
    <x v="6"/>
    <x v="0"/>
    <s v="Control de cambios en los sistemas_x000a_Verificación posterior (informe)"/>
    <s v="ADMINISTRACION"/>
    <x v="0"/>
    <x v="0"/>
    <s v="No existe procedimiento formal de gestión de cambios"/>
    <n v="1.4"/>
    <n v="3"/>
    <n v="4.199999999999999"/>
    <x v="1"/>
  </r>
  <r>
    <x v="28"/>
    <x v="28"/>
    <s v="Ruteador para enlaces de comunicación"/>
    <m/>
    <x v="3"/>
    <x v="4"/>
    <x v="3"/>
    <s v="X"/>
    <s v="X"/>
    <m/>
    <n v="2"/>
    <n v="4"/>
    <x v="0"/>
    <x v="0"/>
    <s v="Control de accesos / VPN"/>
    <s v="PREVENTIVO"/>
    <x v="0"/>
    <x v="0"/>
    <s v="Contreaseñas de VPN no expiran"/>
    <n v="1.4"/>
    <n v="4"/>
    <n v="5.6"/>
    <x v="0"/>
  </r>
  <r>
    <x v="28"/>
    <x v="28"/>
    <s v="Ruteador para enlaces de comunicación"/>
    <m/>
    <x v="3"/>
    <x v="6"/>
    <x v="0"/>
    <s v="X"/>
    <s v="X"/>
    <s v="X"/>
    <n v="2"/>
    <n v="4"/>
    <x v="0"/>
    <x v="0"/>
    <s v="Registro de logs"/>
    <s v="DETECTIVO"/>
    <x v="0"/>
    <x v="0"/>
    <s v="Falta de revisión de perfiles de acceso"/>
    <n v="2"/>
    <n v="2.8"/>
    <n v="5.6"/>
    <x v="0"/>
  </r>
  <r>
    <x v="28"/>
    <x v="28"/>
    <s v="Ruteador para enlaces de comunicación"/>
    <m/>
    <x v="3"/>
    <x v="12"/>
    <x v="1"/>
    <m/>
    <m/>
    <s v="X"/>
    <n v="3"/>
    <n v="3"/>
    <x v="7"/>
    <x v="0"/>
    <s v="Gestión de vulnerabilidades"/>
    <s v="PREVENTIVO"/>
    <x v="0"/>
    <x v="2"/>
    <s v="Recursos tecnológicos insuficientes para remediación"/>
    <n v="1.8"/>
    <n v="3"/>
    <n v="5.399999999999999"/>
    <x v="0"/>
  </r>
  <r>
    <x v="29"/>
    <x v="29"/>
    <s v="SVR 192.168.100.145 que contiene Virtualizados: Servidor de Riesgos-Servidor PANDORA FMS Enterprise 7.0NG 760-Sistemas, WS Acceso Público"/>
    <m/>
    <x v="3"/>
    <x v="0"/>
    <x v="0"/>
    <s v="X"/>
    <s v="X"/>
    <s v="X"/>
    <n v="2"/>
    <n v="4"/>
    <x v="0"/>
    <x v="0"/>
    <s v="Control de cambios en los sistemas_x000a_Verificación posterior (informe)"/>
    <s v="ADMINISTRACION"/>
    <x v="0"/>
    <x v="0"/>
    <s v="No existe procedimiento formal de gestión de cambios"/>
    <n v="1.4"/>
    <n v="4"/>
    <n v="5.6"/>
    <x v="0"/>
  </r>
  <r>
    <x v="29"/>
    <x v="29"/>
    <s v="SVR 192.168.100.145 que contiene Virtualizados: Servidor de Riesgos-Servidor PANDORA FMS Enterprise 7.0NG 760-Sistemas, WS Acceso Público"/>
    <m/>
    <x v="3"/>
    <x v="9"/>
    <x v="1"/>
    <m/>
    <m/>
    <s v="X"/>
    <n v="3"/>
    <n v="5"/>
    <x v="9"/>
    <x v="3"/>
    <s v="Procedimiento de Gestión de la capacidad y desempeño de la Infraestructura"/>
    <s v="PREVENTIVO"/>
    <x v="0"/>
    <x v="0"/>
    <s v="Notificación automática de alertas"/>
    <n v="2.1"/>
    <n v="5"/>
    <n v="10.5"/>
    <x v="2"/>
  </r>
  <r>
    <x v="29"/>
    <x v="29"/>
    <s v="SVR 192.168.100.145 que contiene Virtualizados: Servidor de Riesgos-Servidor PANDORA FMS Enterprise 7.0NG 760-Sistemas, WS Acceso Público"/>
    <m/>
    <x v="3"/>
    <x v="4"/>
    <x v="3"/>
    <s v="X"/>
    <s v="X"/>
    <m/>
    <n v="2"/>
    <n v="4"/>
    <x v="0"/>
    <x v="0"/>
    <s v="Control de accesos / VPN"/>
    <s v="PREVENTIVO"/>
    <x v="0"/>
    <x v="0"/>
    <s v="Contreaseñas de VPN no expiran"/>
    <n v="1.4"/>
    <n v="4"/>
    <n v="5.6"/>
    <x v="0"/>
  </r>
  <r>
    <x v="29"/>
    <x v="29"/>
    <s v="SVR 192.168.100.145 que contiene Virtualizados: Servidor de Riesgos-Servidor PANDORA FMS Enterprise 7.0NG 760-Sistemas, WS Acceso Público"/>
    <m/>
    <x v="3"/>
    <x v="10"/>
    <x v="6"/>
    <s v="X"/>
    <m/>
    <s v="X"/>
    <n v="3"/>
    <n v="3"/>
    <x v="7"/>
    <x v="0"/>
    <s v="Control de accesos"/>
    <s v="PREVENTIVO"/>
    <x v="0"/>
    <x v="0"/>
    <s v="Usuarios genéricos"/>
    <n v="2.1"/>
    <n v="3"/>
    <n v="6.299999999999999"/>
    <x v="0"/>
  </r>
  <r>
    <x v="30"/>
    <x v="30"/>
    <s v="SVR 192.168.100.149 que contiene Virtualizados: Switch Transaccional Cajeros Automaticos PROSUPLY - Consola para Administracion Remota de Cajeros Automaticos- Consola para Administracion Remota de Cajeros Automaticos"/>
    <m/>
    <x v="3"/>
    <x v="0"/>
    <x v="0"/>
    <s v="X"/>
    <s v="X"/>
    <s v="X"/>
    <n v="2"/>
    <n v="4"/>
    <x v="0"/>
    <x v="0"/>
    <s v="Control de cambios en los sistemas_x000a_Verificación posterior (informe)"/>
    <s v="ADMINISTRACION"/>
    <x v="0"/>
    <x v="0"/>
    <s v="No existe procedimiento formal de gestión de cambios"/>
    <n v="1.4"/>
    <n v="4"/>
    <n v="5.6"/>
    <x v="0"/>
  </r>
  <r>
    <x v="30"/>
    <x v="30"/>
    <s v="SVR 192.168.100.149 que contiene Virtualizados: Switch Transaccional Cajeros Automaticos PROSUPLY - Consola para Administracion Remota de Cajeros Automaticos- Consola para Administracion Remota de Cajeros Automaticos"/>
    <m/>
    <x v="3"/>
    <x v="9"/>
    <x v="1"/>
    <m/>
    <m/>
    <s v="X"/>
    <n v="3"/>
    <n v="5"/>
    <x v="9"/>
    <x v="3"/>
    <s v="Procedimiento de Gestión de la capacidad y desempeño de la Infraestructura"/>
    <s v="PREVENTIVO"/>
    <x v="0"/>
    <x v="0"/>
    <s v="Notificación automática de alertas"/>
    <n v="2.1"/>
    <n v="5"/>
    <n v="10.5"/>
    <x v="2"/>
  </r>
  <r>
    <x v="30"/>
    <x v="30"/>
    <s v="SVR 192.168.100.149 que contiene Virtualizados: Switch Transaccional Cajeros Automaticos PROSUPLY - Consola para Administracion Remota de Cajeros Automaticos- Consola para Administracion Remota de Cajeros Automaticos"/>
    <m/>
    <x v="3"/>
    <x v="4"/>
    <x v="3"/>
    <s v="X"/>
    <s v="X"/>
    <m/>
    <n v="2"/>
    <n v="4"/>
    <x v="0"/>
    <x v="0"/>
    <s v="Control de accesos / VPN"/>
    <s v="PREVENTIVO"/>
    <x v="0"/>
    <x v="0"/>
    <s v="Contreaseñas de VPN no expiran"/>
    <n v="1.4"/>
    <n v="4"/>
    <n v="5.6"/>
    <x v="0"/>
  </r>
  <r>
    <x v="30"/>
    <x v="30"/>
    <s v="SVR 192.168.100.149 que contiene Virtualizados: Switch Transaccional Cajeros Automaticos PROSUPLY - Consola para Administracion Remota de Cajeros Automaticos- Consola para Administracion Remota de Cajeros Automaticos"/>
    <m/>
    <x v="3"/>
    <x v="10"/>
    <x v="6"/>
    <s v="X"/>
    <m/>
    <s v="X"/>
    <n v="3"/>
    <n v="3"/>
    <x v="7"/>
    <x v="0"/>
    <s v="Control de accesos"/>
    <s v="PREVENTIVO"/>
    <x v="0"/>
    <x v="0"/>
    <s v="Usuarios genéricos"/>
    <n v="2.1"/>
    <n v="3"/>
    <n v="6.299999999999999"/>
    <x v="0"/>
  </r>
  <r>
    <x v="31"/>
    <x v="31"/>
    <s v="AVR 192.168.100.146 que contiene virtualizados :  Servidor de Dominio (Active Directory) y DNS - Servidor Webcoop/Dynacoop/ Alertas SMS OTP Correo - Web Service Equifax, Bdd Sybase Riesgos - Servidor de Veeam Backup/ Servidor Impresión RICOH"/>
    <m/>
    <x v="3"/>
    <x v="0"/>
    <x v="0"/>
    <s v="X"/>
    <s v="X"/>
    <s v="X"/>
    <n v="2"/>
    <n v="4"/>
    <x v="0"/>
    <x v="0"/>
    <s v="Control de cambios en los sistemas_x000a_Verificación posterior (informe)"/>
    <s v="ADMINISTRACION"/>
    <x v="0"/>
    <x v="0"/>
    <s v="No existe procedimiento formal de gestión de cambios"/>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9"/>
    <x v="1"/>
    <m/>
    <m/>
    <s v="X"/>
    <n v="3"/>
    <n v="5"/>
    <x v="9"/>
    <x v="3"/>
    <s v="Procedimiento de Gestión de la capacidad y desempeño de la Infraestructura"/>
    <s v="PREVENTIVO"/>
    <x v="0"/>
    <x v="0"/>
    <s v="Notificación automática de alertas"/>
    <n v="2.1"/>
    <n v="5"/>
    <n v="10.5"/>
    <x v="2"/>
  </r>
  <r>
    <x v="31"/>
    <x v="31"/>
    <s v="AVR 192.168.100.146 que contiene virtualizados :  Servidor de Dominio (Active Directory) y DNS - Servidor Webcoop/Dynacoop/ Alertas SMS OTP Correo - Web Service Equifax, Bdd Sybase Riesgos - Servidor de Veeam Backup/ Servidor Impresión RICOH"/>
    <m/>
    <x v="3"/>
    <x v="4"/>
    <x v="3"/>
    <s v="X"/>
    <s v="X"/>
    <m/>
    <n v="2"/>
    <n v="4"/>
    <x v="0"/>
    <x v="0"/>
    <s v="Control de accesos / VPN"/>
    <s v="PREVENTIVO"/>
    <x v="0"/>
    <x v="0"/>
    <s v="Contreaseñas de VPN no expiran"/>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10"/>
    <x v="6"/>
    <s v="X"/>
    <m/>
    <s v="X"/>
    <n v="3"/>
    <n v="3"/>
    <x v="7"/>
    <x v="0"/>
    <s v="Control de accesos"/>
    <s v="PREVENTIVO"/>
    <x v="0"/>
    <x v="0"/>
    <s v="Usuarios genéricos"/>
    <n v="2.1"/>
    <n v="3"/>
    <n v="6.299999999999999"/>
    <x v="0"/>
  </r>
  <r>
    <x v="32"/>
    <x v="32"/>
    <s v="SVR 192.168.100.242 que contiene virtualizados : Oracle VM Manager"/>
    <m/>
    <x v="3"/>
    <x v="0"/>
    <x v="0"/>
    <s v="X"/>
    <s v="X"/>
    <s v="X"/>
    <n v="2"/>
    <n v="4"/>
    <x v="0"/>
    <x v="0"/>
    <s v="Control de cambios en los sistemas_x000a_Verificación posterior (informe)"/>
    <s v="ADMINISTRACION"/>
    <x v="0"/>
    <x v="0"/>
    <s v="No existe procedimiento formal de gestión de cambios"/>
    <n v="1.4"/>
    <n v="4"/>
    <n v="5.6"/>
    <x v="0"/>
  </r>
  <r>
    <x v="32"/>
    <x v="32"/>
    <s v="SVR 192.168.100.242 que contiene virtualizados : Oracle VM Manager"/>
    <m/>
    <x v="3"/>
    <x v="9"/>
    <x v="1"/>
    <m/>
    <m/>
    <s v="X"/>
    <n v="3"/>
    <n v="5"/>
    <x v="9"/>
    <x v="3"/>
    <s v="Procedimiento de Gestión de la capacidad y desempeño de la Infraestructura"/>
    <s v="PREVENTIVO"/>
    <x v="0"/>
    <x v="0"/>
    <s v="Notificación automática de alertas"/>
    <n v="2.1"/>
    <n v="5"/>
    <n v="10.5"/>
    <x v="2"/>
  </r>
  <r>
    <x v="32"/>
    <x v="32"/>
    <s v="SVR 192.168.100.242 que contiene virtualizados : Oracle VM Manager"/>
    <m/>
    <x v="3"/>
    <x v="4"/>
    <x v="3"/>
    <s v="X"/>
    <s v="X"/>
    <m/>
    <n v="2"/>
    <n v="4"/>
    <x v="0"/>
    <x v="0"/>
    <s v="Control de accesos / VPN"/>
    <s v="PREVENTIVO"/>
    <x v="0"/>
    <x v="0"/>
    <s v="Contreaseñas de VPN no expiran"/>
    <n v="1.4"/>
    <n v="4"/>
    <n v="5.6"/>
    <x v="0"/>
  </r>
  <r>
    <x v="32"/>
    <x v="32"/>
    <s v="SVR 192.168.100.242 que contiene virtualizados : Oracle VM Manager"/>
    <m/>
    <x v="3"/>
    <x v="10"/>
    <x v="6"/>
    <s v="X"/>
    <m/>
    <s v="X"/>
    <n v="3"/>
    <n v="3"/>
    <x v="7"/>
    <x v="0"/>
    <s v="Control de accesos"/>
    <s v="PREVENTIVO"/>
    <x v="0"/>
    <x v="0"/>
    <s v="Usuarios genéricos"/>
    <n v="2.1"/>
    <n v="3"/>
    <n v="6.299999999999999"/>
    <x v="0"/>
  </r>
  <r>
    <x v="33"/>
    <x v="33"/>
    <s v="Funcionarios con el cargo de Administrador de Comunicación e Infraestructura - Consolas Operador Oracle VM - Web Service SERVIPAGOS"/>
    <m/>
    <x v="5"/>
    <x v="14"/>
    <x v="1"/>
    <m/>
    <m/>
    <s v="X"/>
    <n v="2"/>
    <n v="3"/>
    <x v="6"/>
    <x v="0"/>
    <s v="Plan de continuidad documentado"/>
    <s v="RECUPERACION"/>
    <x v="0"/>
    <x v="0"/>
    <s v="Dependencia de personal clave"/>
    <n v="2"/>
    <n v="2.1"/>
    <n v="4.199999999999999"/>
    <x v="1"/>
  </r>
  <r>
    <x v="34"/>
    <x v="18"/>
    <s v="Funcionarios con el cargo de Administrador de Base de Datos"/>
    <m/>
    <x v="5"/>
    <x v="14"/>
    <x v="1"/>
    <m/>
    <m/>
    <s v="X"/>
    <n v="2"/>
    <n v="3"/>
    <x v="6"/>
    <x v="0"/>
    <s v="Plan de continuidad documentado"/>
    <s v="RECUPERACION"/>
    <x v="0"/>
    <x v="0"/>
    <s v="Dependencia de personal clave"/>
    <n v="2"/>
    <n v="2.1"/>
    <n v="4.199999999999999"/>
    <x v="1"/>
  </r>
  <r>
    <x v="35"/>
    <x v="34"/>
    <s v="Escritura del bien inmueble que se va adjudicar con autorización del Gerente. G"/>
    <m/>
    <x v="1"/>
    <x v="3"/>
    <x v="2"/>
    <s v="X"/>
    <m/>
    <m/>
    <n v="3"/>
    <n v="4"/>
    <x v="5"/>
    <x v="3"/>
    <s v="Software DLP"/>
    <s v="PREVENTIVO"/>
    <x v="0"/>
    <x v="0"/>
    <s v="Politicas sin restricción para jefaturas"/>
    <n v="2.1"/>
    <n v="4"/>
    <n v="8.399999999999999"/>
    <x v="0"/>
  </r>
  <r>
    <x v="35"/>
    <x v="34"/>
    <s v="Escritura del bien inmueble que se va adjudicar con autorización del Gerente. G"/>
    <m/>
    <x v="1"/>
    <x v="1"/>
    <x v="1"/>
    <m/>
    <m/>
    <s v="X"/>
    <n v="3"/>
    <n v="3"/>
    <x v="7"/>
    <x v="0"/>
    <s v="Respaldo digital de información"/>
    <s v="PREVENTIVO"/>
    <x v="0"/>
    <x v="0"/>
    <s v="Almacenamiento manual en medio extraible"/>
    <n v="2.1"/>
    <n v="3"/>
    <n v="6.299999999999999"/>
    <x v="0"/>
  </r>
  <r>
    <x v="36"/>
    <x v="35"/>
    <s v="Pagos que se realiza a los proveedores en cheques"/>
    <m/>
    <x v="1"/>
    <x v="1"/>
    <x v="1"/>
    <m/>
    <m/>
    <s v="X"/>
    <n v="3"/>
    <n v="3"/>
    <x v="7"/>
    <x v="0"/>
    <s v="Respaldo digital de información"/>
    <s v="PREVENTIVO"/>
    <x v="0"/>
    <x v="0"/>
    <s v="Almacenamiento manual en medio extraible"/>
    <n v="2.1"/>
    <n v="3"/>
    <n v="6.299999999999999"/>
    <x v="0"/>
  </r>
  <r>
    <x v="37"/>
    <x v="36"/>
    <s v="Pre cancelación de inversiones Cancelación de inversiones Renovación de inversiones"/>
    <m/>
    <x v="1"/>
    <x v="1"/>
    <x v="1"/>
    <m/>
    <m/>
    <s v="X"/>
    <n v="3"/>
    <n v="3"/>
    <x v="7"/>
    <x v="0"/>
    <s v="Respaldo digital de información"/>
    <s v="PREVENTIVO"/>
    <x v="0"/>
    <x v="0"/>
    <s v="Almacenamiento manual en medio extraible"/>
    <n v="2.1"/>
    <n v="3"/>
    <n v="6.299999999999999"/>
    <x v="0"/>
  </r>
  <r>
    <x v="38"/>
    <x v="37"/>
    <s v="Sobres que contienen las claves de contingencia"/>
    <m/>
    <x v="1"/>
    <x v="1"/>
    <x v="1"/>
    <m/>
    <m/>
    <s v="X"/>
    <n v="2"/>
    <n v="5"/>
    <x v="10"/>
    <x v="3"/>
    <s v="Respaldo digital de información"/>
    <s v="PREVENTIVO"/>
    <x v="0"/>
    <x v="0"/>
    <s v="Almacenamiento manual en medio extraible"/>
    <n v="1.4"/>
    <n v="5"/>
    <n v="7"/>
    <x v="0"/>
  </r>
  <r>
    <x v="39"/>
    <x v="38"/>
    <s v="Formulario de registro de activación y desactivación, responsables y justificación"/>
    <m/>
    <x v="1"/>
    <x v="3"/>
    <x v="2"/>
    <s v="X"/>
    <m/>
    <m/>
    <n v="3"/>
    <n v="2"/>
    <x v="6"/>
    <x v="0"/>
    <s v="Software DLP"/>
    <s v="PREVENTIVO"/>
    <x v="0"/>
    <x v="0"/>
    <s v="Politicas sin restricción para jefaturas"/>
    <n v="2.1"/>
    <n v="2"/>
    <n v="4.199999999999999"/>
    <x v="1"/>
  </r>
  <r>
    <x v="40"/>
    <x v="39"/>
    <s v="Contrato receptado por Jurídico Físico o digital con sumilla legalizado por los responsables, y se entrega jurídico el físico y el digital se sube a SARA."/>
    <s v="SISTEMAS DE INFORMACIÓN CORPORATIVOS"/>
    <x v="1"/>
    <x v="15"/>
    <x v="0"/>
    <s v="X"/>
    <s v="X"/>
    <s v="X"/>
    <n v="3"/>
    <n v="3"/>
    <x v="7"/>
    <x v="0"/>
    <s v="Sortware DLP /Políticas de uso de información contractual"/>
    <s v="PREVENTIVO"/>
    <x v="0"/>
    <x v="0"/>
    <s v="Documentación sencible sin cifrar"/>
    <n v="2.1"/>
    <n v="3"/>
    <n v="6.299999999999999"/>
    <x v="0"/>
  </r>
  <r>
    <x v="40"/>
    <x v="39"/>
    <s v="Contrato receptado por Jurídico Físico o digital con sumilla legalizado por los responsables, y se entrega jurídico el físico y el digital se sube a SARA."/>
    <s v="SISTEMAS DE INFORMACIÓN CORPORATIVOS"/>
    <x v="1"/>
    <x v="1"/>
    <x v="1"/>
    <m/>
    <m/>
    <s v="X"/>
    <n v="2"/>
    <n v="4"/>
    <x v="0"/>
    <x v="0"/>
    <s v="Respaldo digital de información"/>
    <s v="PREVENTIVO"/>
    <x v="0"/>
    <x v="0"/>
    <s v="-"/>
    <n v="1.4"/>
    <n v="4"/>
    <n v="5.6"/>
    <x v="0"/>
  </r>
  <r>
    <x v="41"/>
    <x v="40"/>
    <s v="Archivo de registro que cuenta con el detalle de la cartera a transferir"/>
    <s v="DISCOS DUROS, SERVIDORES, DISCOS O MEDIOS PORTÁTILES, CINTAS O MEDIOS DE VIDEO Y AUDIO, ETC."/>
    <x v="1"/>
    <x v="3"/>
    <x v="2"/>
    <s v="X"/>
    <m/>
    <m/>
    <n v="3"/>
    <n v="4"/>
    <x v="5"/>
    <x v="3"/>
    <s v="Software DLP"/>
    <s v="PREVENTIVO"/>
    <x v="0"/>
    <x v="0"/>
    <s v="Politicas sin restricción para jefaturas"/>
    <n v="2.1"/>
    <n v="4"/>
    <n v="8.399999999999999"/>
    <x v="0"/>
  </r>
  <r>
    <x v="41"/>
    <x v="40"/>
    <s v="Archivo de registro que cuenta con el detalle de la cartera a transferir"/>
    <s v="DISCOS DUROS, SERVIDORES, DISCOS O MEDIOS PORTÁTILES, CINTAS O MEDIOS DE VIDEO Y AUDIO, ETC."/>
    <x v="1"/>
    <x v="1"/>
    <x v="1"/>
    <m/>
    <m/>
    <s v="X"/>
    <n v="2"/>
    <n v="2"/>
    <x v="1"/>
    <x v="1"/>
    <s v="Respaldo digital de información"/>
    <s v="PREVENTIVO"/>
    <x v="0"/>
    <x v="0"/>
    <s v="Almacenamiento sin prueba de efectividad"/>
    <n v="1.4"/>
    <n v="2"/>
    <n v="2.8"/>
    <x v="1"/>
  </r>
  <r>
    <x v="42"/>
    <x v="41"/>
    <s v="Escritura de hipoteca que realiza el socio y se recepta el físico"/>
    <s v="DOCUMENTO DE ARCHIVO-FÍSICO"/>
    <x v="1"/>
    <x v="15"/>
    <x v="0"/>
    <s v="X"/>
    <s v="X"/>
    <s v="X"/>
    <n v="3"/>
    <n v="3"/>
    <x v="7"/>
    <x v="0"/>
    <s v="Sortware DLP /Políticas de uso de información contractual"/>
    <s v="PREVENTIVO"/>
    <x v="0"/>
    <x v="0"/>
    <s v="Documentación sencible sin cifrar"/>
    <n v="2.1"/>
    <n v="3"/>
    <n v="6.299999999999999"/>
    <x v="0"/>
  </r>
  <r>
    <x v="42"/>
    <x v="41"/>
    <s v="Escritura de hipoteca que realiza el socio y se recepta el físico"/>
    <s v="DOCUMENTO DE ARCHIVO-FÍSICO"/>
    <x v="1"/>
    <x v="1"/>
    <x v="1"/>
    <m/>
    <m/>
    <s v="X"/>
    <n v="2"/>
    <n v="3"/>
    <x v="6"/>
    <x v="0"/>
    <s v="Respaldo digital de información"/>
    <s v="PREVENTIVO"/>
    <x v="0"/>
    <x v="0"/>
    <s v="Almacenamiento sin prueba de efectividad"/>
    <n v="1.4"/>
    <n v="3"/>
    <n v="4.199999999999999"/>
    <x v="1"/>
  </r>
  <r>
    <x v="43"/>
    <x v="42"/>
    <s v="Convenio de compra de cartera aprobado por GG y certificado por el CAD"/>
    <s v="DOCUMENTO DE ARCHIVO-FÍSICO"/>
    <x v="1"/>
    <x v="15"/>
    <x v="0"/>
    <s v="X"/>
    <s v="X"/>
    <s v="X"/>
    <n v="3"/>
    <n v="3"/>
    <x v="7"/>
    <x v="0"/>
    <s v="Sortware DLP /Políticas de uso de información contractual"/>
    <s v="PREVENTIVO"/>
    <x v="0"/>
    <x v="0"/>
    <s v="Documentación sencible sin cifrar"/>
    <n v="2.1"/>
    <n v="3"/>
    <n v="6.299999999999999"/>
    <x v="0"/>
  </r>
  <r>
    <x v="43"/>
    <x v="42"/>
    <s v="Convenio de compra de cartera aprobado por GG y certificado por el CAD"/>
    <s v="DOCUMENTO DE ARCHIVO-FÍSICO"/>
    <x v="1"/>
    <x v="1"/>
    <x v="1"/>
    <m/>
    <m/>
    <s v="X"/>
    <n v="2"/>
    <n v="3"/>
    <x v="6"/>
    <x v="0"/>
    <s v="Respaldo digital de información"/>
    <s v="PREVENTIVO"/>
    <x v="0"/>
    <x v="0"/>
    <s v="Almacenamiento sin prueba de efectividad"/>
    <n v="1.4"/>
    <n v="3"/>
    <n v="4.199999999999999"/>
    <x v="1"/>
  </r>
  <r>
    <x v="44"/>
    <x v="43"/>
    <s v="Documentación física resultante del proceso de compra de cartera "/>
    <s v="DOCUMENTO DE ARCHIVO-FÍSICO"/>
    <x v="1"/>
    <x v="3"/>
    <x v="2"/>
    <s v="X"/>
    <m/>
    <m/>
    <n v="3"/>
    <n v="3"/>
    <x v="7"/>
    <x v="0"/>
    <s v="Simulacros"/>
    <s v="PREVENTIVO"/>
    <x v="1"/>
    <x v="1"/>
    <s v="-"/>
    <n v="0.5999999999999999"/>
    <n v="3"/>
    <n v="1.8"/>
    <x v="1"/>
  </r>
  <r>
    <x v="44"/>
    <x v="43"/>
    <s v="Documentación física resultante del proceso de compra de cartera "/>
    <s v="DOCUMENTO DE ARCHIVO-FÍSICO"/>
    <x v="1"/>
    <x v="1"/>
    <x v="1"/>
    <m/>
    <m/>
    <s v="X"/>
    <n v="2"/>
    <n v="4"/>
    <x v="0"/>
    <x v="0"/>
    <s v="Respaldo digital de información"/>
    <s v="PREVENTIVO"/>
    <x v="0"/>
    <x v="0"/>
    <s v="Almacenamiento sin prueba de efectividad"/>
    <n v="1.4"/>
    <n v="4"/>
    <n v="5.6"/>
    <x v="0"/>
  </r>
  <r>
    <x v="45"/>
    <x v="44"/>
    <s v="Documentación digital resultante del proceso de compra de cartera "/>
    <s v="DISCOS DUROS, SERVIDORES, DISCOS O MEDIOS PORTÁTILES, CINTAS O MEDIOS DE VIDEO Y AUDIO, ETC."/>
    <x v="1"/>
    <x v="15"/>
    <x v="0"/>
    <s v="X"/>
    <s v="X"/>
    <s v="X"/>
    <n v="2"/>
    <n v="4"/>
    <x v="0"/>
    <x v="0"/>
    <s v="Sortware DLP /Políticas de uso de información contractual"/>
    <s v="PREVENTIVO"/>
    <x v="0"/>
    <x v="0"/>
    <s v="Documentación sencible sin cifrar"/>
    <n v="1.4"/>
    <n v="4"/>
    <n v="5.6"/>
    <x v="0"/>
  </r>
  <r>
    <x v="45"/>
    <x v="44"/>
    <s v="Documentación digital resultante del proceso de compra de cartera "/>
    <s v="DISCOS DUROS, SERVIDORES, DISCOS O MEDIOS PORTÁTILES, CINTAS O MEDIOS DE VIDEO Y AUDIO, ETC."/>
    <x v="1"/>
    <x v="1"/>
    <x v="1"/>
    <m/>
    <m/>
    <s v="X"/>
    <n v="2"/>
    <n v="4"/>
    <x v="0"/>
    <x v="0"/>
    <s v="Respaldo digital de información"/>
    <s v="PREVENTIVO"/>
    <x v="0"/>
    <x v="0"/>
    <s v="Almacenamiento sin prueba de efectividad"/>
    <n v="1.4"/>
    <n v="4"/>
    <n v="5.6"/>
    <x v="0"/>
  </r>
  <r>
    <x v="46"/>
    <x v="45"/>
    <s v="Garantías de pagarés recibidas por el proveedor"/>
    <s v="DOCUMENTO DE ARCHIVO-FÍSICO"/>
    <x v="1"/>
    <x v="15"/>
    <x v="0"/>
    <s v="X"/>
    <s v="X"/>
    <s v="X"/>
    <n v="3"/>
    <n v="2"/>
    <x v="6"/>
    <x v="0"/>
    <s v="Sortware DLP /Políticas de uso de información contractual"/>
    <s v="PREVENTIVO"/>
    <x v="0"/>
    <x v="0"/>
    <s v="Documentación sencible sin cifrar"/>
    <n v="2.1"/>
    <n v="2"/>
    <n v="4.199999999999999"/>
    <x v="1"/>
  </r>
  <r>
    <x v="46"/>
    <x v="45"/>
    <s v="Garantías de pagarés recibidas por el proveedor"/>
    <s v="DOCUMENTO DE ARCHIVO-FÍSICO"/>
    <x v="1"/>
    <x v="1"/>
    <x v="1"/>
    <m/>
    <m/>
    <s v="X"/>
    <n v="2"/>
    <n v="3"/>
    <x v="6"/>
    <x v="0"/>
    <s v="Respaldo digital de información"/>
    <s v="PREVENTIVO"/>
    <x v="0"/>
    <x v="0"/>
    <s v="Almacenamiento sin prueba de efectividad"/>
    <n v="1.4"/>
    <n v="3"/>
    <n v="4.199999999999999"/>
    <x v="1"/>
  </r>
  <r>
    <x v="47"/>
    <x v="46"/>
    <s v="Documentos de pólizas enviadas a Tesorería,   así como los pagares endosados hipotecas y pólizas de seguro para el archivo bajo custodio"/>
    <s v="DOCUMENTO DE ARCHIVO-FÍSICO"/>
    <x v="1"/>
    <x v="15"/>
    <x v="0"/>
    <s v="X"/>
    <s v="X"/>
    <s v="X"/>
    <n v="2"/>
    <n v="2"/>
    <x v="1"/>
    <x v="1"/>
    <s v="Sortware DLP /Políticas de uso de información contractual"/>
    <s v="PREVENTIVO"/>
    <x v="0"/>
    <x v="0"/>
    <s v="Documentación sencible sin cifrar"/>
    <n v="1.4"/>
    <n v="2"/>
    <n v="2.8"/>
    <x v="1"/>
  </r>
  <r>
    <x v="47"/>
    <x v="46"/>
    <s v="Documentos de pólizas enviadas a Tesorería,   así como los pagares endosados hipotecas y pólizas de seguro para el archivo bajo custodio"/>
    <s v="DOCUMENTO DE ARCHIVO-FÍSICO"/>
    <x v="1"/>
    <x v="1"/>
    <x v="1"/>
    <m/>
    <m/>
    <s v="X"/>
    <n v="2"/>
    <n v="3"/>
    <x v="6"/>
    <x v="0"/>
    <s v="Respaldo digital de información"/>
    <s v="PREVENTIVO"/>
    <x v="0"/>
    <x v="0"/>
    <s v="Almacenamiento sin prueba de efectividad"/>
    <n v="1.4"/>
    <n v="3"/>
    <n v="4.199999999999999"/>
    <x v="1"/>
  </r>
  <r>
    <x v="48"/>
    <x v="47"/>
    <s v="Pagaré otorgado por el proveedor"/>
    <s v="DOCUMENTO DE ARCHIVO-FÍSICO"/>
    <x v="1"/>
    <x v="3"/>
    <x v="2"/>
    <s v="X"/>
    <m/>
    <m/>
    <n v="2"/>
    <n v="3"/>
    <x v="6"/>
    <x v="0"/>
    <s v="Simulacros"/>
    <s v="PREVENTIVO"/>
    <x v="1"/>
    <x v="1"/>
    <s v="-"/>
    <n v="0.3999999999999999"/>
    <n v="3"/>
    <n v="1.2"/>
    <x v="1"/>
  </r>
  <r>
    <x v="48"/>
    <x v="47"/>
    <s v="Pagaré otorgado por el proveedor"/>
    <s v="DOCUMENTO DE ARCHIVO-FÍSICO"/>
    <x v="1"/>
    <x v="1"/>
    <x v="1"/>
    <m/>
    <m/>
    <s v="X"/>
    <n v="2"/>
    <n v="3"/>
    <x v="6"/>
    <x v="0"/>
    <s v="Respaldo digital de información"/>
    <s v="PREVENTIVO"/>
    <x v="0"/>
    <x v="0"/>
    <s v="Almacenamiento sin prueba de efectividad"/>
    <n v="1.4"/>
    <n v="3"/>
    <n v="4.199999999999999"/>
    <x v="1"/>
  </r>
  <r>
    <x v="49"/>
    <x v="48"/>
    <s v="Póliza de seguro vehicular de las operaciones canceladas"/>
    <s v="DOCUMENTO DE ARCHIVO-FÍSICO"/>
    <x v="1"/>
    <x v="15"/>
    <x v="0"/>
    <s v="X"/>
    <s v="X"/>
    <s v="X"/>
    <n v="2"/>
    <n v="2"/>
    <x v="1"/>
    <x v="1"/>
    <s v="Sortware DLP /Políticas de uso de información contractual"/>
    <s v="PREVENTIVO"/>
    <x v="0"/>
    <x v="0"/>
    <s v="Documentación sencible sin cifrar"/>
    <n v="1.4"/>
    <n v="2"/>
    <n v="2.8"/>
    <x v="1"/>
  </r>
  <r>
    <x v="49"/>
    <x v="48"/>
    <s v="Póliza de seguro vehicular de las operaciones canceladas"/>
    <s v="DOCUMENTO DE ARCHIVO-FÍSICO"/>
    <x v="1"/>
    <x v="1"/>
    <x v="1"/>
    <m/>
    <m/>
    <s v="X"/>
    <n v="2"/>
    <n v="2"/>
    <x v="1"/>
    <x v="1"/>
    <s v="Respaldo digital de información"/>
    <s v="PREVENTIVO"/>
    <x v="0"/>
    <x v="0"/>
    <s v="Almacenamiento sin prueba de efectividad"/>
    <n v="1.4"/>
    <n v="2"/>
    <n v="2.8"/>
    <x v="1"/>
  </r>
  <r>
    <x v="50"/>
    <x v="49"/>
    <s v="Reporte de cartera a venderse de acuerdo con los requerimientos del proveedor"/>
    <s v="DISCOS DUROS, SERVIDORES, DISCOS O MEDIOS PORTÁTILES, CINTAS O MEDIOS DE VIDEO Y AUDIO, ETC."/>
    <x v="1"/>
    <x v="3"/>
    <x v="2"/>
    <s v="X"/>
    <m/>
    <m/>
    <n v="3"/>
    <n v="4"/>
    <x v="5"/>
    <x v="3"/>
    <s v="Software DLP"/>
    <s v="PREVENTIVO"/>
    <x v="0"/>
    <x v="0"/>
    <s v="Politicas sin restricción para jefaturas"/>
    <n v="2.1"/>
    <n v="4"/>
    <n v="8.399999999999999"/>
    <x v="0"/>
  </r>
  <r>
    <x v="50"/>
    <x v="49"/>
    <s v="Reporte de cartera a venderse de acuerdo con los requerimientos del proveedor"/>
    <s v="DISCOS DUROS, SERVIDORES, DISCOS O MEDIOS PORTÁTILES, CINTAS O MEDIOS DE VIDEO Y AUDIO, ETC."/>
    <x v="1"/>
    <x v="1"/>
    <x v="1"/>
    <m/>
    <m/>
    <s v="X"/>
    <n v="2"/>
    <n v="2"/>
    <x v="1"/>
    <x v="1"/>
    <s v="Respaldo digital de información"/>
    <s v="PREVENTIVO"/>
    <x v="0"/>
    <x v="0"/>
    <s v="Almacenamiento sin prueba de efectividad"/>
    <n v="1.4"/>
    <n v="2"/>
    <n v="2.8"/>
    <x v="1"/>
  </r>
  <r>
    <x v="51"/>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1"/>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2"/>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2"/>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3"/>
    <x v="50"/>
    <s v="Audio de la llamada realizada por el gestor telefónica"/>
    <s v="PORTALES, INTRANET Y EXTRANET"/>
    <x v="1"/>
    <x v="3"/>
    <x v="2"/>
    <s v="X"/>
    <m/>
    <m/>
    <n v="3"/>
    <n v="2"/>
    <x v="6"/>
    <x v="0"/>
    <s v="Software DLP"/>
    <s v="PREVENTIVO"/>
    <x v="0"/>
    <x v="0"/>
    <s v="Politicas sin restricción para jefaturas"/>
    <n v="2.1"/>
    <n v="2"/>
    <n v="4.199999999999999"/>
    <x v="1"/>
  </r>
  <r>
    <x v="53"/>
    <x v="50"/>
    <s v="Audio de la llamada realizada por el gestor telefónica"/>
    <s v="PORTALES, INTRANET Y EXTRANET"/>
    <x v="1"/>
    <x v="1"/>
    <x v="1"/>
    <m/>
    <m/>
    <s v="X"/>
    <n v="2"/>
    <n v="3"/>
    <x v="6"/>
    <x v="0"/>
    <s v="Respaldo digital de información"/>
    <s v="PREVENTIVO"/>
    <x v="0"/>
    <x v="0"/>
    <s v="Almacenamiento sin prueba de efectividad"/>
    <n v="1.4"/>
    <n v="3"/>
    <n v="4.199999999999999"/>
    <x v="1"/>
  </r>
  <r>
    <x v="54"/>
    <x v="50"/>
    <s v="Audio de la llamada realizada por el gestor telefónico"/>
    <s v="PORTALES, INTRANET Y EXTRANET"/>
    <x v="1"/>
    <x v="3"/>
    <x v="2"/>
    <s v="X"/>
    <m/>
    <m/>
    <n v="3"/>
    <n v="2"/>
    <x v="6"/>
    <x v="0"/>
    <s v="Software DLP"/>
    <s v="PREVENTIVO"/>
    <x v="0"/>
    <x v="0"/>
    <s v="Politicas sin restricción para jefaturas"/>
    <n v="2.1"/>
    <n v="2"/>
    <n v="4.199999999999999"/>
    <x v="1"/>
  </r>
  <r>
    <x v="54"/>
    <x v="50"/>
    <s v="Audio de la llamada realizada por el gestor telefónico"/>
    <s v="PORTALES, INTRANET Y EXTRANET"/>
    <x v="1"/>
    <x v="1"/>
    <x v="1"/>
    <m/>
    <m/>
    <s v="X"/>
    <n v="2"/>
    <n v="3"/>
    <x v="6"/>
    <x v="0"/>
    <s v="Respaldo digital de información"/>
    <s v="PREVENTIVO"/>
    <x v="0"/>
    <x v="0"/>
    <s v="Almacenamiento sin prueba de efectividad"/>
    <n v="1.4"/>
    <n v="3"/>
    <n v="4.199999999999999"/>
    <x v="1"/>
  </r>
  <r>
    <x v="55"/>
    <x v="51"/>
    <s v="Reporte de clientes validados y registrados"/>
    <s v="DISCOS DUROS, SERVIDORES, DISCOS O MEDIOS PORTÁTILES, CINTAS O MEDIOS DE VIDEO Y AUDIO, ETC."/>
    <x v="1"/>
    <x v="15"/>
    <x v="0"/>
    <s v="X"/>
    <s v="X"/>
    <s v="X"/>
    <n v="4"/>
    <n v="4"/>
    <x v="4"/>
    <x v="3"/>
    <s v="Sortware DLP /Políticas de uso de información contractual"/>
    <s v="PREVENTIVO"/>
    <x v="0"/>
    <x v="0"/>
    <s v="Documentación sencible sin cifrar"/>
    <n v="2.8"/>
    <n v="4"/>
    <n v="11.2"/>
    <x v="2"/>
  </r>
  <r>
    <x v="55"/>
    <x v="51"/>
    <s v="Reporte de clientes validados y registrados"/>
    <s v="DISCOS DUROS, SERVIDORES, DISCOS O MEDIOS PORTÁTILES, CINTAS O MEDIOS DE VIDEO Y AUDIO, ETC."/>
    <x v="1"/>
    <x v="1"/>
    <x v="1"/>
    <m/>
    <m/>
    <s v="X"/>
    <n v="2"/>
    <n v="3"/>
    <x v="6"/>
    <x v="0"/>
    <s v="Respaldo digital de información"/>
    <s v="PREVENTIVO"/>
    <x v="0"/>
    <x v="0"/>
    <s v="Almacenamiento sin prueba de efectividad"/>
    <n v="1.4"/>
    <n v="3"/>
    <n v="4.199999999999999"/>
    <x v="1"/>
  </r>
  <r>
    <x v="56"/>
    <x v="50"/>
    <s v="Audio de la llamada realizada por el gestor telefónico"/>
    <s v="PORTALES, INTRANET Y EXTRANET"/>
    <x v="1"/>
    <x v="3"/>
    <x v="2"/>
    <s v="X"/>
    <m/>
    <m/>
    <n v="3"/>
    <n v="2"/>
    <x v="6"/>
    <x v="0"/>
    <s v="Software DLP"/>
    <s v="PREVENTIVO"/>
    <x v="0"/>
    <x v="0"/>
    <s v="Politicas sin restricción para jefaturas"/>
    <n v="2.1"/>
    <n v="2"/>
    <n v="4.199999999999999"/>
    <x v="1"/>
  </r>
  <r>
    <x v="57"/>
    <x v="52"/>
    <s v="Equipos de computación donde se realiza la gestión del área"/>
    <s v="DISCOS DUROS, SERVIDORES, DISCOS O MEDIOS PORTÁTILES, CINTAS O MEDIOS DE VIDEO Y AUDIO, ETC."/>
    <x v="3"/>
    <x v="16"/>
    <x v="7"/>
    <s v="X"/>
    <m/>
    <s v="X"/>
    <n v="1"/>
    <n v="3"/>
    <x v="8"/>
    <x v="1"/>
    <s v="Respaldo digital de información"/>
    <s v="PREVENTIVO"/>
    <x v="0"/>
    <x v="0"/>
    <s v="Almacenamiento sin prueba de efectividad"/>
    <n v="0.7"/>
    <n v="3"/>
    <n v="2.1"/>
    <x v="1"/>
  </r>
  <r>
    <x v="57"/>
    <x v="52"/>
    <s v="Equipos de computación donde se realiza la gestión del área"/>
    <s v="DISCOS DUROS, SERVIDORES, DISCOS O MEDIOS PORTÁTILES, CINTAS O MEDIOS DE VIDEO Y AUDIO, ETC."/>
    <x v="3"/>
    <x v="15"/>
    <x v="0"/>
    <s v="X"/>
    <s v="X"/>
    <s v="X"/>
    <n v="3"/>
    <n v="3"/>
    <x v="7"/>
    <x v="0"/>
    <s v="Sortware DLP /Políticas de uso de información contractual"/>
    <s v="PREVENTIVO"/>
    <x v="0"/>
    <x v="0"/>
    <s v="Documentación sencible sin cifrar"/>
    <n v="2.1"/>
    <n v="3"/>
    <n v="6.299999999999999"/>
    <x v="0"/>
  </r>
  <r>
    <x v="56"/>
    <x v="50"/>
    <s v="Audio de la llamada realizada por el gestor telefónico"/>
    <s v="PORTALES, INTRANET Y EXTRANET"/>
    <x v="1"/>
    <x v="1"/>
    <x v="1"/>
    <m/>
    <m/>
    <s v="X"/>
    <n v="2"/>
    <n v="2"/>
    <x v="1"/>
    <x v="1"/>
    <s v="Respaldo digital de información"/>
    <s v="PREVENTIVO"/>
    <x v="0"/>
    <x v="0"/>
    <s v="Almacenamiento sin prueba de efectividad"/>
    <n v="1.4"/>
    <n v="2"/>
    <n v="2.8"/>
    <x v="1"/>
  </r>
  <r>
    <x v="58"/>
    <x v="53"/>
    <s v="Documento contable de valor que utiliza una persona para retirar dinero de la cuenta de quien lo emite"/>
    <s v="DOCUMENTO DE ARCHIVO-FÍSICO"/>
    <x v="1"/>
    <x v="15"/>
    <x v="0"/>
    <s v="X"/>
    <s v="X"/>
    <s v="X"/>
    <n v="3"/>
    <n v="3"/>
    <x v="7"/>
    <x v="0"/>
    <s v="Sortware DLP /Políticas de uso de información contractual"/>
    <s v="PREVENTIVO"/>
    <x v="0"/>
    <x v="0"/>
    <s v="Documentación sencible sin cifrar"/>
    <n v="2.1"/>
    <n v="3"/>
    <n v="6.299999999999999"/>
    <x v="0"/>
  </r>
  <r>
    <x v="58"/>
    <x v="53"/>
    <s v="Documento contable de valor que utiliza una persona para retirar dinero de la cuenta de quien lo emite"/>
    <s v="DOCUMENTO DE ARCHIVO-FÍSICO"/>
    <x v="1"/>
    <x v="1"/>
    <x v="1"/>
    <m/>
    <m/>
    <s v="X"/>
    <n v="2"/>
    <n v="2"/>
    <x v="1"/>
    <x v="1"/>
    <s v="Respaldo digital de información"/>
    <s v="PREVENTIVO"/>
    <x v="0"/>
    <x v="0"/>
    <s v="Almacenamiento sin prueba de efectividad"/>
    <n v="1.4"/>
    <n v="2"/>
    <n v="2.8"/>
    <x v="1"/>
  </r>
  <r>
    <x v="59"/>
    <x v="54"/>
    <s v="Registro de ingreso y egreso que se imprime después de la recaudación con información del servicio y valor"/>
    <s v="DOCUMENTO DE ARCHIVO-FÍSICO"/>
    <x v="1"/>
    <x v="15"/>
    <x v="0"/>
    <s v="X"/>
    <s v="X"/>
    <s v="X"/>
    <n v="3"/>
    <n v="3"/>
    <x v="7"/>
    <x v="0"/>
    <s v="Sortware DLP /Políticas de uso de información contractual"/>
    <s v="PREVENTIVO"/>
    <x v="0"/>
    <x v="0"/>
    <s v="Documentación sencible sin cifrar"/>
    <n v="2.1"/>
    <n v="3"/>
    <n v="6.299999999999999"/>
    <x v="0"/>
  </r>
  <r>
    <x v="59"/>
    <x v="54"/>
    <s v="Registro de ingreso y egreso que se imprime después de la recaudación con información del servicio y valor"/>
    <s v="DOCUMENTO DE ARCHIVO-FÍSICO"/>
    <x v="1"/>
    <x v="1"/>
    <x v="1"/>
    <m/>
    <m/>
    <s v="X"/>
    <n v="2"/>
    <n v="2"/>
    <x v="1"/>
    <x v="1"/>
    <s v="Respaldo digital de información"/>
    <s v="PREVENTIVO"/>
    <x v="0"/>
    <x v="0"/>
    <s v="Almacenamiento sin prueba de efectividad"/>
    <n v="1.4"/>
    <n v="2"/>
    <n v="2.8"/>
    <x v="1"/>
  </r>
  <r>
    <x v="60"/>
    <x v="55"/>
    <s v="Cheque"/>
    <s v="DOCUMENTO DE ARCHIVO-FÍSICO"/>
    <x v="1"/>
    <x v="15"/>
    <x v="0"/>
    <s v="X"/>
    <s v="X"/>
    <s v="X"/>
    <n v="3"/>
    <n v="3"/>
    <x v="7"/>
    <x v="0"/>
    <s v="Sortware DLP /Políticas de uso de información contractual"/>
    <s v="PREVENTIVO"/>
    <x v="0"/>
    <x v="0"/>
    <s v="Documentación sencible sin cifrar"/>
    <n v="2.1"/>
    <n v="3"/>
    <n v="6.299999999999999"/>
    <x v="0"/>
  </r>
  <r>
    <x v="60"/>
    <x v="55"/>
    <s v="Cheque"/>
    <s v="DOCUMENTO DE ARCHIVO-FÍSICO"/>
    <x v="1"/>
    <x v="1"/>
    <x v="1"/>
    <m/>
    <m/>
    <s v="X"/>
    <n v="2"/>
    <n v="2"/>
    <x v="1"/>
    <x v="1"/>
    <s v="Respaldo digital de información"/>
    <s v="PREVENTIVO"/>
    <x v="0"/>
    <x v="0"/>
    <s v="Almacenamiento sin prueba de efectividad"/>
    <n v="1.4"/>
    <n v="2"/>
    <n v="2.8"/>
    <x v="1"/>
  </r>
  <r>
    <x v="61"/>
    <x v="56"/>
    <s v=" Documento contable que entrega el supervisor operativo al socio luego de la autorización del retiro por las áreas correspondientes"/>
    <s v="DOCUMENTO DE ARCHIVO-FÍSICO"/>
    <x v="1"/>
    <x v="15"/>
    <x v="0"/>
    <s v="X"/>
    <s v="X"/>
    <s v="X"/>
    <n v="3"/>
    <n v="2"/>
    <x v="6"/>
    <x v="0"/>
    <s v="Sortware DLP /Políticas de uso de información contractual"/>
    <s v="PREVENTIVO"/>
    <x v="0"/>
    <x v="0"/>
    <s v="Documentación sencible sin cifrar"/>
    <n v="2.1"/>
    <n v="2"/>
    <n v="4.199999999999999"/>
    <x v="1"/>
  </r>
  <r>
    <x v="62"/>
    <x v="57"/>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2"/>
    <x v="57"/>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1"/>
    <x v="56"/>
    <s v=" Documento contable que entrega el supervisor operativo al socio luego de la autorización del retiro por las áreas correspondientes"/>
    <s v="DOCUMENTO DE ARCHIVO-FÍSICO"/>
    <x v="1"/>
    <x v="1"/>
    <x v="1"/>
    <m/>
    <m/>
    <s v="X"/>
    <n v="2"/>
    <n v="2"/>
    <x v="1"/>
    <x v="1"/>
    <s v="Respaldo digital de información"/>
    <s v="PREVENTIVO"/>
    <x v="0"/>
    <x v="0"/>
    <s v="Almacenamiento sin prueba de efectividad"/>
    <n v="1.4"/>
    <n v="2"/>
    <n v="2.8"/>
    <x v="1"/>
  </r>
  <r>
    <x v="63"/>
    <x v="58"/>
    <s v="Pagaré, escritura de hipoteca, tabla de amortización, liquidación actualizada, tabla de pagos actualizada"/>
    <s v="DOCUMENTO DE ARCHIVO-FÍSICO"/>
    <x v="1"/>
    <x v="15"/>
    <x v="0"/>
    <s v="X"/>
    <s v="X"/>
    <s v="X"/>
    <n v="3"/>
    <n v="3"/>
    <x v="7"/>
    <x v="0"/>
    <s v="Sortware DLP /Políticas de uso de información contractual"/>
    <s v="PREVENTIVO"/>
    <x v="0"/>
    <x v="0"/>
    <s v="Documentación sencible sin cifrar"/>
    <n v="2.1"/>
    <n v="3"/>
    <n v="6.299999999999999"/>
    <x v="0"/>
  </r>
  <r>
    <x v="63"/>
    <x v="58"/>
    <s v="Pagaré, escritura de hipoteca, tabla de amortización, liquidación actualizada, tabla de pagos actualizada"/>
    <s v="DOCUMENTO DE ARCHIVO-FÍSICO"/>
    <x v="1"/>
    <x v="3"/>
    <x v="2"/>
    <s v="X"/>
    <m/>
    <m/>
    <n v="2"/>
    <n v="3"/>
    <x v="6"/>
    <x v="0"/>
    <s v="Software DLP"/>
    <s v="PREVENTIVO"/>
    <x v="0"/>
    <x v="0"/>
    <s v="Politicas sin restricción para jefaturas"/>
    <n v="1.4"/>
    <n v="3"/>
    <n v="4.199999999999999"/>
    <x v="1"/>
  </r>
  <r>
    <x v="64"/>
    <x v="59"/>
    <s v="Documentos entregados al abogado externo Anexo de asignación de cartera abogados externos/Acta entrega recepción de documentos/Documentos para el inicio de tramites judiciales"/>
    <s v="DOCUMENTO DE ARCHIVO-FÍSICO"/>
    <x v="1"/>
    <x v="15"/>
    <x v="0"/>
    <s v="X"/>
    <s v="X"/>
    <s v="X"/>
    <n v="3"/>
    <n v="3"/>
    <x v="7"/>
    <x v="0"/>
    <s v="Sortware DLP /Políticas de uso de información contractual"/>
    <s v="PREVENTIVO"/>
    <x v="0"/>
    <x v="0"/>
    <s v="Documentación sencible sin cifrar"/>
    <n v="2.1"/>
    <n v="3"/>
    <n v="6.299999999999999"/>
    <x v="0"/>
  </r>
  <r>
    <x v="64"/>
    <x v="59"/>
    <s v="Documentos entregados al abogado externo Anexo de asignación de cartera abogados externos/Acta entrega recepción de documentos/Documentos para el inicio de tramites judiciales"/>
    <s v="DOCUMENTO DE ARCHIVO-FÍSICO"/>
    <x v="1"/>
    <x v="3"/>
    <x v="2"/>
    <s v="X"/>
    <m/>
    <m/>
    <n v="2"/>
    <n v="3"/>
    <x v="6"/>
    <x v="0"/>
    <s v="Software DLP"/>
    <s v="PREVENTIVO"/>
    <x v="0"/>
    <x v="0"/>
    <s v="Politicas sin restricción para jefaturas"/>
    <n v="1.4"/>
    <n v="3"/>
    <n v="4.199999999999999"/>
    <x v="1"/>
  </r>
  <r>
    <x v="65"/>
    <x v="60"/>
    <s v="Registro de cartera asignada obtenida del sistema FIT"/>
    <s v="DISCOS DUROS, SERVIDORES, DISCOS O MEDIOS PORTÁTILES, CINTAS O MEDIOS DE VIDEO Y AUDIO, ETC."/>
    <x v="1"/>
    <x v="1"/>
    <x v="1"/>
    <m/>
    <m/>
    <s v="X"/>
    <n v="2"/>
    <n v="4"/>
    <x v="0"/>
    <x v="0"/>
    <s v="Respaldo digital de información"/>
    <s v="PREVENTIVO"/>
    <x v="0"/>
    <x v="0"/>
    <s v="Almacenamiento sin prueba de efectividad"/>
    <n v="1.4"/>
    <n v="4"/>
    <n v="5.6"/>
    <x v="0"/>
  </r>
  <r>
    <x v="65"/>
    <x v="60"/>
    <s v="Registro de cartera asignada obtenida del sistema FIT"/>
    <s v="DISCOS DUROS, SERVIDORES, DISCOS O MEDIOS PORTÁTILES, CINTAS O MEDIOS DE VIDEO Y AUDIO, ETC."/>
    <x v="1"/>
    <x v="3"/>
    <x v="2"/>
    <s v="X"/>
    <m/>
    <m/>
    <n v="3"/>
    <n v="4"/>
    <x v="5"/>
    <x v="3"/>
    <s v="Software DLP"/>
    <s v="PREVENTIVO"/>
    <x v="0"/>
    <x v="0"/>
    <s v="Politicas sin restricción para jefaturas"/>
    <n v="2.1"/>
    <n v="4"/>
    <n v="8.399999999999999"/>
    <x v="0"/>
  </r>
  <r>
    <x v="66"/>
    <x v="61"/>
    <s v="Escritura del bien correctamente legalizada"/>
    <s v="DOCUMENTO DE ARCHIVO-FÍSICO"/>
    <x v="1"/>
    <x v="1"/>
    <x v="1"/>
    <m/>
    <m/>
    <s v="X"/>
    <n v="2"/>
    <n v="3"/>
    <x v="6"/>
    <x v="0"/>
    <s v="Respaldo digital de información"/>
    <s v="PREVENTIVO"/>
    <x v="0"/>
    <x v="0"/>
    <s v="Almacenamiento sin prueba de efectividad"/>
    <n v="1.4"/>
    <n v="3"/>
    <n v="4.199999999999999"/>
    <x v="1"/>
  </r>
  <r>
    <x v="67"/>
    <x v="62"/>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7"/>
    <x v="62"/>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6"/>
    <x v="61"/>
    <s v="Escritura del bien correctamente legalizada"/>
    <s v="DOCUMENTO DE ARCHIVO-FÍSICO"/>
    <x v="1"/>
    <x v="15"/>
    <x v="0"/>
    <s v="X"/>
    <s v="X"/>
    <s v="X"/>
    <n v="3"/>
    <n v="3"/>
    <x v="7"/>
    <x v="0"/>
    <s v="Sortware DLP /Políticas de uso de información contractual"/>
    <s v="PREVENTIVO"/>
    <x v="0"/>
    <x v="0"/>
    <s v="Documentación sencible sin cifrar"/>
    <n v="2.1"/>
    <n v="3"/>
    <n v="9"/>
    <x v="0"/>
  </r>
</pivotCacheRecords>
</file>

<file path=xl/pivotCache/pivotCacheRecords2.xml><?xml version="1.0" encoding="utf-8"?>
<pivotCacheRecords xmlns="http://schemas.openxmlformats.org/spreadsheetml/2006/main" count="209">
  <r>
    <x v="0"/>
    <x v="0"/>
    <s v="Respaldo de Base de Datos (diario) "/>
    <m/>
    <x v="0"/>
    <x v="0"/>
    <x v="0"/>
    <s v="X"/>
    <s v="X"/>
    <s v="X"/>
    <n v="2"/>
    <n v="4"/>
    <x v="0"/>
    <x v="0"/>
    <s v="Procedimientos operativos documentados"/>
    <s v="PREVENTIVO"/>
    <x v="0"/>
    <x v="0"/>
    <s v="Dependencia del administrador (error humano)"/>
    <n v="1.4"/>
    <n v="4"/>
    <n v="5.6"/>
    <x v="0"/>
  </r>
  <r>
    <x v="0"/>
    <x v="0"/>
    <s v="Respaldo de Base de Datos (diario) "/>
    <m/>
    <x v="0"/>
    <x v="1"/>
    <x v="1"/>
    <m/>
    <m/>
    <s v="X"/>
    <n v="2"/>
    <n v="4"/>
    <x v="0"/>
    <x v="0"/>
    <s v="Respaldo digital de información"/>
    <s v="PREVENTIVO"/>
    <x v="0"/>
    <x v="0"/>
    <s v="Almacenamiento manual en medio extraible"/>
    <n v="1.4"/>
    <n v="4"/>
    <n v="5.6"/>
    <x v="0"/>
  </r>
  <r>
    <x v="0"/>
    <x v="0"/>
    <s v="Respaldo de Base de Datos (diario) "/>
    <m/>
    <x v="0"/>
    <x v="2"/>
    <x v="1"/>
    <m/>
    <m/>
    <s v="X"/>
    <n v="1"/>
    <n v="4"/>
    <x v="1"/>
    <x v="1"/>
    <s v="Sistema contra incendios"/>
    <s v="PREVENTIVO"/>
    <x v="0"/>
    <x v="0"/>
    <s v="-"/>
    <n v="0.7"/>
    <n v="4"/>
    <n v="2.8"/>
    <x v="1"/>
  </r>
  <r>
    <x v="0"/>
    <x v="0"/>
    <s v="Respaldo de Base de Datos (diario) "/>
    <m/>
    <x v="0"/>
    <x v="3"/>
    <x v="2"/>
    <s v="X"/>
    <m/>
    <m/>
    <n v="2"/>
    <n v="4"/>
    <x v="0"/>
    <x v="0"/>
    <s v="Politicas de manejo de información"/>
    <s v="PREVENTIVO"/>
    <x v="0"/>
    <x v="0"/>
    <s v="Dispositivos no encriptados"/>
    <n v="1.4"/>
    <n v="4"/>
    <n v="5.6"/>
    <x v="0"/>
  </r>
  <r>
    <x v="1"/>
    <x v="1"/>
    <s v="Matriz de registro de respaldos realizados por fechas, tipo de respaldo y responsable"/>
    <m/>
    <x v="1"/>
    <x v="0"/>
    <x v="0"/>
    <s v="X"/>
    <s v="X"/>
    <s v="X"/>
    <n v="1"/>
    <n v="2"/>
    <x v="2"/>
    <x v="1"/>
    <s v="Procedimientos operativos documentados"/>
    <s v="PREVENTIVO"/>
    <x v="0"/>
    <x v="0"/>
    <s v="Dependencia del administrador (error humano)"/>
    <n v="0.7"/>
    <n v="2"/>
    <n v="1.4"/>
    <x v="1"/>
  </r>
  <r>
    <x v="2"/>
    <x v="2"/>
    <s v="Aplicación Banca Virtual"/>
    <m/>
    <x v="2"/>
    <x v="4"/>
    <x v="3"/>
    <s v="X"/>
    <s v="X"/>
    <m/>
    <n v="4"/>
    <n v="5"/>
    <x v="3"/>
    <x v="2"/>
    <s v="Control de accesos"/>
    <s v="PREVENTIVO"/>
    <x v="0"/>
    <x v="0"/>
    <s v="Usuarios genéricos"/>
    <n v="2.8"/>
    <n v="5"/>
    <n v="14"/>
    <x v="2"/>
  </r>
  <r>
    <x v="2"/>
    <x v="2"/>
    <s v="Aplicación Banca Virtual"/>
    <m/>
    <x v="2"/>
    <x v="5"/>
    <x v="4"/>
    <s v="X"/>
    <s v="X"/>
    <m/>
    <n v="4"/>
    <n v="5"/>
    <x v="3"/>
    <x v="2"/>
    <s v="Doble autenticación"/>
    <s v="ELIMINACION"/>
    <x v="0"/>
    <x v="1"/>
    <s v="-"/>
    <n v="0.7999999999999998"/>
    <n v="5"/>
    <n v="3.999999999999999"/>
    <x v="1"/>
  </r>
  <r>
    <x v="2"/>
    <x v="2"/>
    <s v="Aplicación Banca Virtual"/>
    <m/>
    <x v="2"/>
    <x v="6"/>
    <x v="0"/>
    <s v="X"/>
    <s v="X"/>
    <s v="X"/>
    <n v="2"/>
    <n v="4"/>
    <x v="0"/>
    <x v="0"/>
    <s v="Registro de logs"/>
    <s v="DETECTIVO"/>
    <x v="0"/>
    <x v="0"/>
    <s v="Falta de revisión de perfiles de acceso"/>
    <n v="2"/>
    <n v="2.8"/>
    <n v="5.6"/>
    <x v="0"/>
  </r>
  <r>
    <x v="2"/>
    <x v="2"/>
    <s v="Aplicación Banca Virtual"/>
    <m/>
    <x v="2"/>
    <x v="7"/>
    <x v="0"/>
    <s v="X"/>
    <s v="X"/>
    <s v="X"/>
    <n v="4"/>
    <n v="4"/>
    <x v="4"/>
    <x v="3"/>
    <s v="Gestión de vulnerabilidades"/>
    <s v="PREVENTIVO"/>
    <x v="0"/>
    <x v="2"/>
    <s v="Recursos tecnológicos insuficientes para remediación"/>
    <n v="2.4"/>
    <n v="4"/>
    <n v="9.6"/>
    <x v="0"/>
  </r>
  <r>
    <x v="2"/>
    <x v="2"/>
    <s v="Aplicación Banca Virtual"/>
    <m/>
    <x v="2"/>
    <x v="8"/>
    <x v="5"/>
    <m/>
    <s v="X"/>
    <s v="X"/>
    <n v="3"/>
    <n v="4"/>
    <x v="5"/>
    <x v="3"/>
    <s v="Gestión de vulnerabilidades"/>
    <s v="PREVENTIVO"/>
    <x v="0"/>
    <x v="2"/>
    <s v="Recursos tecnológicos insuficientes para remediación"/>
    <n v="1.8"/>
    <n v="4"/>
    <n v="7.199999999999999"/>
    <x v="0"/>
  </r>
  <r>
    <x v="3"/>
    <x v="3"/>
    <s v="Servidor que aloja la Banca Electronica  _x000a_192.168.23.11"/>
    <m/>
    <x v="3"/>
    <x v="0"/>
    <x v="0"/>
    <s v="X"/>
    <s v="X"/>
    <s v="X"/>
    <n v="2"/>
    <n v="4"/>
    <x v="0"/>
    <x v="0"/>
    <s v="Control de cambios en los sistemas_x000a_Verificación posterior (informe)"/>
    <s v="ADMINISTRACION"/>
    <x v="0"/>
    <x v="0"/>
    <s v="No existe procedimiento formal de gestión de cambios"/>
    <n v="1.4"/>
    <n v="4"/>
    <n v="5.6"/>
    <x v="0"/>
  </r>
  <r>
    <x v="3"/>
    <x v="3"/>
    <s v="Servidor que aloja la Banca Electronica  _x000a_192.168.23.11"/>
    <m/>
    <x v="3"/>
    <x v="9"/>
    <x v="1"/>
    <m/>
    <m/>
    <s v="X"/>
    <n v="4"/>
    <n v="4"/>
    <x v="4"/>
    <x v="3"/>
    <s v="Monitoreo de Servidores presenta en el procedimiento operativo  Administración de Servidores en el Manua de Gestión de las Operaciones de TI"/>
    <s v="PREVENTIVO"/>
    <x v="0"/>
    <x v="2"/>
    <s v="Falta de alertas automáticas"/>
    <n v="2.4"/>
    <n v="4"/>
    <n v="9.6"/>
    <x v="0"/>
  </r>
  <r>
    <x v="3"/>
    <x v="3"/>
    <s v="Servidor que aloja la Banca Electronica  _x000a_192.168.23.11"/>
    <m/>
    <x v="3"/>
    <x v="4"/>
    <x v="3"/>
    <s v="X"/>
    <s v="X"/>
    <m/>
    <n v="3"/>
    <n v="4"/>
    <x v="5"/>
    <x v="3"/>
    <s v="Control de accesos / VPN"/>
    <s v="PREVENTIVO"/>
    <x v="0"/>
    <x v="0"/>
    <s v="Contreaseñas de VPN no expiran"/>
    <n v="2.1"/>
    <n v="4"/>
    <n v="8.399999999999999"/>
    <x v="0"/>
  </r>
  <r>
    <x v="3"/>
    <x v="3"/>
    <s v="Servidor que aloja la Banca Electronica  _x000a_192.168.23.11"/>
    <m/>
    <x v="3"/>
    <x v="10"/>
    <x v="6"/>
    <s v="X"/>
    <m/>
    <s v="X"/>
    <n v="3"/>
    <n v="4"/>
    <x v="5"/>
    <x v="3"/>
    <s v="Control de accesos"/>
    <s v="PREVENTIVO"/>
    <x v="0"/>
    <x v="0"/>
    <s v="Usuarios genéricos"/>
    <n v="2.1"/>
    <n v="4"/>
    <n v="8.399999999999999"/>
    <x v="0"/>
  </r>
  <r>
    <x v="3"/>
    <x v="3"/>
    <s v="Servidor que aloja la Banca Electronica  _x000a_192.168.23.11"/>
    <m/>
    <x v="3"/>
    <x v="11"/>
    <x v="1"/>
    <m/>
    <m/>
    <s v="X"/>
    <n v="4"/>
    <n v="5"/>
    <x v="3"/>
    <x v="2"/>
    <s v="Configuración segura de firewall"/>
    <s v="PREVENTIVO"/>
    <x v="0"/>
    <x v="0"/>
    <s v="Evidencia de validación de las configuraciones"/>
    <n v="2.8"/>
    <n v="5"/>
    <n v="14"/>
    <x v="2"/>
  </r>
  <r>
    <x v="3"/>
    <x v="3"/>
    <s v="Servidor que aloja la Banca Electronica  _x000a_192.168.23.11"/>
    <m/>
    <x v="3"/>
    <x v="12"/>
    <x v="1"/>
    <m/>
    <m/>
    <s v="X"/>
    <n v="3"/>
    <n v="4"/>
    <x v="5"/>
    <x v="3"/>
    <s v="Gestión de vulnerabilidades"/>
    <s v="PREVENTIVO"/>
    <x v="0"/>
    <x v="2"/>
    <s v="Recursos tecnológicos insuficientes para remediación"/>
    <n v="1.8"/>
    <n v="4"/>
    <n v="7.199999999999999"/>
    <x v="0"/>
  </r>
  <r>
    <x v="4"/>
    <x v="4"/>
    <s v="Administracion Contenidos y Correo electrónico"/>
    <m/>
    <x v="4"/>
    <x v="4"/>
    <x v="3"/>
    <s v="X"/>
    <s v="X"/>
    <m/>
    <n v="2"/>
    <n v="3"/>
    <x v="6"/>
    <x v="0"/>
    <s v="Control de accesos"/>
    <s v="PREVENTIVO"/>
    <x v="0"/>
    <x v="0"/>
    <s v="Usuarios genéricos"/>
    <n v="1.4"/>
    <n v="3"/>
    <n v="4.199999999999999"/>
    <x v="1"/>
  </r>
  <r>
    <x v="4"/>
    <x v="4"/>
    <s v="Administracion Contenidos y Correo electrónico"/>
    <m/>
    <x v="4"/>
    <x v="5"/>
    <x v="4"/>
    <s v="X"/>
    <s v="X"/>
    <m/>
    <n v="2"/>
    <n v="3"/>
    <x v="6"/>
    <x v="0"/>
    <s v="Politicas de contraseñas robustas"/>
    <s v="PREVENTIVO"/>
    <x v="0"/>
    <x v="0"/>
    <s v="Usuarios genéricos / claves compartidas y almacenadas en navegadores"/>
    <n v="1.4"/>
    <n v="3"/>
    <n v="4.199999999999999"/>
    <x v="1"/>
  </r>
  <r>
    <x v="4"/>
    <x v="4"/>
    <s v="Administracion Contenidos y Correo electrónico"/>
    <m/>
    <x v="4"/>
    <x v="13"/>
    <x v="2"/>
    <s v="X"/>
    <m/>
    <m/>
    <n v="2"/>
    <n v="3"/>
    <x v="6"/>
    <x v="0"/>
    <s v="Validación de destinatarios"/>
    <s v="PREVENTIVO"/>
    <x v="0"/>
    <x v="0"/>
    <s v="Politicas sin restricción para jefaturas"/>
    <n v="1.4"/>
    <n v="3"/>
    <n v="4.199999999999999"/>
    <x v="1"/>
  </r>
  <r>
    <x v="4"/>
    <x v="4"/>
    <s v="Administracion Contenidos y Correo electrónico"/>
    <m/>
    <x v="4"/>
    <x v="11"/>
    <x v="1"/>
    <m/>
    <m/>
    <s v="X"/>
    <n v="3"/>
    <n v="4"/>
    <x v="5"/>
    <x v="3"/>
    <s v="Software Antispam Fortimail"/>
    <s v="PREVENTIVO"/>
    <x v="0"/>
    <x v="0"/>
    <s v="No se realiza pruebas de carga"/>
    <n v="2.1"/>
    <n v="4"/>
    <n v="8.399999999999999"/>
    <x v="0"/>
  </r>
  <r>
    <x v="4"/>
    <x v="4"/>
    <s v="Administracion Contenidos y Correo electrónico"/>
    <m/>
    <x v="4"/>
    <x v="9"/>
    <x v="1"/>
    <m/>
    <m/>
    <s v="X"/>
    <n v="2"/>
    <n v="3"/>
    <x v="6"/>
    <x v="0"/>
    <s v="Monitoreo de Servidores presenta en el procedimiento operativo  Administración de Servidores en el Manua de Gestión de las Operaciones de TI"/>
    <s v="PREVENTIVO"/>
    <x v="0"/>
    <x v="2"/>
    <s v="Falta de alertas automáticas"/>
    <n v="1.2"/>
    <n v="3"/>
    <n v="3.6"/>
    <x v="1"/>
  </r>
  <r>
    <x v="5"/>
    <x v="5"/>
    <s v="Servidor web administracion correo electronico_x000a_192.168.23.2"/>
    <m/>
    <x v="4"/>
    <x v="4"/>
    <x v="3"/>
    <s v="X"/>
    <s v="X"/>
    <m/>
    <n v="3"/>
    <n v="3"/>
    <x v="7"/>
    <x v="0"/>
    <s v="Control de accesos"/>
    <s v="PREVENTIVO"/>
    <x v="0"/>
    <x v="0"/>
    <s v="Usuarios genéricos"/>
    <n v="2.1"/>
    <n v="3"/>
    <n v="6.299999999999999"/>
    <x v="0"/>
  </r>
  <r>
    <x v="5"/>
    <x v="5"/>
    <s v="Servidor web administracion correo electronico_x000a_192.168.23.2"/>
    <m/>
    <x v="4"/>
    <x v="5"/>
    <x v="4"/>
    <s v="X"/>
    <s v="X"/>
    <m/>
    <n v="3"/>
    <n v="3"/>
    <x v="7"/>
    <x v="0"/>
    <s v="Politicas de contraseñas robustas"/>
    <s v="PREVENTIVO"/>
    <x v="0"/>
    <x v="0"/>
    <s v="Usuarios genéricos / claves compartidas y almacenadas en navegadores"/>
    <n v="2.1"/>
    <n v="3"/>
    <n v="6.299999999999999"/>
    <x v="0"/>
  </r>
  <r>
    <x v="5"/>
    <x v="5"/>
    <s v="Servidor web administracion correo electronico_x000a_192.168.23.2"/>
    <m/>
    <x v="4"/>
    <x v="13"/>
    <x v="2"/>
    <s v="X"/>
    <m/>
    <m/>
    <n v="3"/>
    <n v="3"/>
    <x v="7"/>
    <x v="0"/>
    <s v="Validación de destinatarios"/>
    <s v="PREVENTIVO"/>
    <x v="0"/>
    <x v="0"/>
    <s v="Politicas sin restricción para jefaturas"/>
    <n v="2.1"/>
    <n v="3"/>
    <n v="6.299999999999999"/>
    <x v="0"/>
  </r>
  <r>
    <x v="5"/>
    <x v="5"/>
    <s v="Servidor web administracion correo electronico_x000a_192.168.23.2"/>
    <m/>
    <x v="4"/>
    <x v="11"/>
    <x v="1"/>
    <m/>
    <m/>
    <s v="X"/>
    <n v="3"/>
    <n v="3"/>
    <x v="7"/>
    <x v="0"/>
    <s v="Configuración segura de firewall"/>
    <s v="PREVENTIVO"/>
    <x v="0"/>
    <x v="0"/>
    <s v="Evidencia de validación de las configuraciones"/>
    <n v="2.1"/>
    <n v="3"/>
    <n v="6.299999999999999"/>
    <x v="0"/>
  </r>
  <r>
    <x v="5"/>
    <x v="5"/>
    <s v="Servidor web administracion correo electronico_x000a_192.168.23.2"/>
    <m/>
    <x v="4"/>
    <x v="9"/>
    <x v="1"/>
    <m/>
    <m/>
    <s v="X"/>
    <n v="2"/>
    <n v="4"/>
    <x v="0"/>
    <x v="0"/>
    <s v="Monitoreo de Servidores presenta en el procedimiento operativo  Administración de Servidores en el Manua de Gestión de las Operaciones de TI"/>
    <s v="PREVENTIVO"/>
    <x v="0"/>
    <x v="2"/>
    <s v="Falta de alertas automáticas"/>
    <n v="1.2"/>
    <n v="4"/>
    <n v="4.8"/>
    <x v="1"/>
  </r>
  <r>
    <x v="6"/>
    <x v="6"/>
    <s v="Proteccion perimetral, Analiza todas las conexiones, eventos inusuales"/>
    <m/>
    <x v="3"/>
    <x v="4"/>
    <x v="3"/>
    <s v="X"/>
    <s v="X"/>
    <m/>
    <n v="2"/>
    <n v="4"/>
    <x v="0"/>
    <x v="0"/>
    <s v="Control de accesos / VPN"/>
    <s v="PREVENTIVO"/>
    <x v="0"/>
    <x v="0"/>
    <s v="Contreaseñas de VPN no expiran"/>
    <n v="1.4"/>
    <n v="4"/>
    <n v="5.6"/>
    <x v="0"/>
  </r>
  <r>
    <x v="6"/>
    <x v="6"/>
    <s v="Proteccion perimetral, Analiza todas las conexiones, eventos inusuales"/>
    <m/>
    <x v="3"/>
    <x v="10"/>
    <x v="6"/>
    <s v="X"/>
    <m/>
    <s v="X"/>
    <n v="2"/>
    <n v="3"/>
    <x v="6"/>
    <x v="0"/>
    <s v="Control de accesos"/>
    <s v="PREVENTIVO"/>
    <x v="0"/>
    <x v="0"/>
    <s v="Usuarios genéricos"/>
    <n v="1.4"/>
    <n v="3"/>
    <n v="4.199999999999999"/>
    <x v="1"/>
  </r>
  <r>
    <x v="6"/>
    <x v="6"/>
    <s v="Proteccion perimetral, Analiza todas las conexiones, eventos inusuales"/>
    <m/>
    <x v="3"/>
    <x v="11"/>
    <x v="1"/>
    <m/>
    <m/>
    <s v="X"/>
    <n v="3"/>
    <n v="4"/>
    <x v="5"/>
    <x v="3"/>
    <s v="Configuración segura de firewall"/>
    <s v="PREVENTIVO"/>
    <x v="0"/>
    <x v="0"/>
    <s v="Evidencia de validación de las configuraciones"/>
    <n v="2.1"/>
    <n v="4"/>
    <n v="8.399999999999999"/>
    <x v="0"/>
  </r>
  <r>
    <x v="6"/>
    <x v="6"/>
    <s v="Proteccion perimetral, Analiza todas las conexiones, eventos inusuales"/>
    <m/>
    <x v="3"/>
    <x v="0"/>
    <x v="0"/>
    <s v="X"/>
    <s v="X"/>
    <s v="X"/>
    <n v="2"/>
    <n v="4"/>
    <x v="0"/>
    <x v="0"/>
    <s v="Control de cambios en los sistemas_x000a_Verificación posterior (informe)"/>
    <s v="ADMINISTRACION"/>
    <x v="0"/>
    <x v="0"/>
    <s v="No existe procedimiento formal de gestión de cambios"/>
    <n v="1.4"/>
    <n v="4"/>
    <n v="5.6"/>
    <x v="0"/>
  </r>
  <r>
    <x v="6"/>
    <x v="6"/>
    <s v="Proteccion perimetral, Analiza todas las conexiones, eventos inusuales"/>
    <m/>
    <x v="3"/>
    <x v="6"/>
    <x v="0"/>
    <s v="X"/>
    <s v="X"/>
    <s v="X"/>
    <n v="2"/>
    <n v="3"/>
    <x v="6"/>
    <x v="0"/>
    <s v="Registro de logs (FortiAnalyzer)"/>
    <s v="DETECTIVO"/>
    <x v="0"/>
    <x v="0"/>
    <s v="Falta de revisión de perfiles de acceso"/>
    <n v="2"/>
    <n v="2.1"/>
    <n v="4.199999999999999"/>
    <x v="1"/>
  </r>
  <r>
    <x v="7"/>
    <x v="7"/>
    <s v="Analizador de logs"/>
    <m/>
    <x v="2"/>
    <x v="4"/>
    <x v="3"/>
    <s v="X"/>
    <s v="X"/>
    <m/>
    <n v="2"/>
    <n v="2"/>
    <x v="1"/>
    <x v="1"/>
    <s v="Control de accesos"/>
    <s v="PREVENTIVO"/>
    <x v="0"/>
    <x v="0"/>
    <s v="Usuarios genéricos"/>
    <n v="1.4"/>
    <n v="2"/>
    <n v="2.8"/>
    <x v="1"/>
  </r>
  <r>
    <x v="7"/>
    <x v="7"/>
    <s v="Analizador de logs"/>
    <m/>
    <x v="2"/>
    <x v="10"/>
    <x v="6"/>
    <s v="X"/>
    <m/>
    <s v="X"/>
    <n v="2"/>
    <n v="2"/>
    <x v="1"/>
    <x v="1"/>
    <s v="Control de accesos"/>
    <s v="PREVENTIVO"/>
    <x v="0"/>
    <x v="0"/>
    <s v="Usuarios genéricos"/>
    <n v="1.4"/>
    <n v="2"/>
    <n v="2.8"/>
    <x v="1"/>
  </r>
  <r>
    <x v="7"/>
    <x v="7"/>
    <s v="Analizador de logs"/>
    <m/>
    <x v="2"/>
    <x v="6"/>
    <x v="0"/>
    <s v="X"/>
    <s v="X"/>
    <s v="X"/>
    <n v="2"/>
    <n v="2"/>
    <x v="1"/>
    <x v="1"/>
    <s v="Registro de logs"/>
    <s v="DETECTIVO"/>
    <x v="0"/>
    <x v="0"/>
    <s v="Falta de revisión de perfiles de acceso"/>
    <n v="2"/>
    <n v="1.4"/>
    <n v="2.8"/>
    <x v="1"/>
  </r>
  <r>
    <x v="7"/>
    <x v="7"/>
    <s v="Analizador de logs"/>
    <m/>
    <x v="2"/>
    <x v="11"/>
    <x v="1"/>
    <m/>
    <m/>
    <s v="X"/>
    <n v="2"/>
    <n v="2"/>
    <x v="1"/>
    <x v="1"/>
    <s v="Configuración segura de firewall"/>
    <s v="PREVENTIVO"/>
    <x v="0"/>
    <x v="0"/>
    <s v="Evidencia de validación de las configuraciones"/>
    <n v="1.4"/>
    <n v="2"/>
    <n v="2.8"/>
    <x v="1"/>
  </r>
  <r>
    <x v="7"/>
    <x v="7"/>
    <s v="Analizador de logs"/>
    <m/>
    <x v="2"/>
    <x v="9"/>
    <x v="1"/>
    <m/>
    <m/>
    <s v="X"/>
    <n v="2"/>
    <n v="2"/>
    <x v="1"/>
    <x v="1"/>
    <s v="Monitoreo de Servidores presenta en el procedimiento operativo  Administración de Servidores en el Manua de Gestión de las Operaciones de TI"/>
    <s v="PREVENTIVO"/>
    <x v="0"/>
    <x v="2"/>
    <s v="Falta de alertas automáticas"/>
    <n v="1.2"/>
    <n v="2"/>
    <n v="2.4"/>
    <x v="1"/>
  </r>
  <r>
    <x v="7"/>
    <x v="7"/>
    <s v="Analizador de logs"/>
    <m/>
    <x v="2"/>
    <x v="0"/>
    <x v="0"/>
    <s v="X"/>
    <s v="X"/>
    <s v="X"/>
    <n v="2"/>
    <n v="2"/>
    <x v="1"/>
    <x v="1"/>
    <s v="Control de cambios en los sistemas_x000a_Verificación posterior (informe)"/>
    <s v="ADMINISTRACION"/>
    <x v="0"/>
    <x v="0"/>
    <s v="No existe procedimiento formal de gestión de cambios"/>
    <n v="1.4"/>
    <n v="2"/>
    <n v="2.8"/>
    <x v="1"/>
  </r>
  <r>
    <x v="8"/>
    <x v="8"/>
    <s v="Revision y categorizacion urls y sitios peligrosos"/>
    <m/>
    <x v="2"/>
    <x v="4"/>
    <x v="3"/>
    <s v="X"/>
    <s v="X"/>
    <m/>
    <n v="2"/>
    <n v="4"/>
    <x v="0"/>
    <x v="0"/>
    <s v="Control de accesos"/>
    <s v="PREVENTIVO"/>
    <x v="0"/>
    <x v="0"/>
    <s v="Usuarios genéricos"/>
    <n v="1.4"/>
    <n v="4"/>
    <n v="5.6"/>
    <x v="0"/>
  </r>
  <r>
    <x v="8"/>
    <x v="8"/>
    <s v="Revision y categorizacion urls y sitios peligrosos"/>
    <m/>
    <x v="2"/>
    <x v="10"/>
    <x v="6"/>
    <s v="X"/>
    <m/>
    <s v="X"/>
    <n v="2"/>
    <n v="2"/>
    <x v="1"/>
    <x v="1"/>
    <s v="Control de accesos"/>
    <s v="PREVENTIVO"/>
    <x v="0"/>
    <x v="0"/>
    <s v="Usuarios genéricos"/>
    <n v="1.4"/>
    <n v="2"/>
    <n v="2.8"/>
    <x v="1"/>
  </r>
  <r>
    <x v="8"/>
    <x v="8"/>
    <s v="Revision y categorizacion urls y sitios peligrosos"/>
    <m/>
    <x v="2"/>
    <x v="6"/>
    <x v="0"/>
    <s v="X"/>
    <s v="X"/>
    <s v="X"/>
    <n v="2"/>
    <n v="2"/>
    <x v="1"/>
    <x v="1"/>
    <s v="Registro de logs (FortiAnalyzer)"/>
    <s v="DETECTIVO"/>
    <x v="0"/>
    <x v="0"/>
    <s v="Falta de revisión de perfiles de acceso"/>
    <n v="2"/>
    <n v="1.4"/>
    <n v="2.8"/>
    <x v="1"/>
  </r>
  <r>
    <x v="8"/>
    <x v="8"/>
    <s v="Revision y categorizacion urls y sitios peligrosos"/>
    <m/>
    <x v="2"/>
    <x v="11"/>
    <x v="1"/>
    <m/>
    <m/>
    <s v="X"/>
    <n v="3"/>
    <n v="2"/>
    <x v="6"/>
    <x v="0"/>
    <s v="Configuración segura de firewall"/>
    <s v="PREVENTIVO"/>
    <x v="0"/>
    <x v="0"/>
    <s v="Evidencia de validación de las configuraciones"/>
    <n v="2.1"/>
    <n v="2"/>
    <n v="4.199999999999999"/>
    <x v="1"/>
  </r>
  <r>
    <x v="8"/>
    <x v="8"/>
    <s v="Revision y categorizacion urls y sitios peligrosos"/>
    <m/>
    <x v="2"/>
    <x v="0"/>
    <x v="0"/>
    <s v="X"/>
    <s v="X"/>
    <s v="X"/>
    <n v="2"/>
    <n v="3"/>
    <x v="6"/>
    <x v="0"/>
    <s v="Control de cambios en los sistemas_x000a_Verificación posterior (informe)"/>
    <s v="ADMINISTRACION"/>
    <x v="0"/>
    <x v="0"/>
    <s v="No existe procedimiento formal de gestión de cambios"/>
    <n v="1.4"/>
    <n v="3"/>
    <n v="4.199999999999999"/>
    <x v="1"/>
  </r>
  <r>
    <x v="8"/>
    <x v="8"/>
    <s v="Revision y categorizacion urls y sitios peligrosos"/>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9"/>
    <x v="9"/>
    <s v="Herramienta de control de software malicioso"/>
    <m/>
    <x v="2"/>
    <x v="4"/>
    <x v="3"/>
    <s v="X"/>
    <s v="X"/>
    <m/>
    <n v="1"/>
    <n v="4"/>
    <x v="1"/>
    <x v="1"/>
    <s v="Control de accesos"/>
    <s v="PREVENTIVO"/>
    <x v="0"/>
    <x v="0"/>
    <s v="Usuarios genéricos"/>
    <n v="0.7"/>
    <n v="4"/>
    <n v="2.8"/>
    <x v="1"/>
  </r>
  <r>
    <x v="9"/>
    <x v="9"/>
    <s v="Herramienta de control de software malicioso"/>
    <m/>
    <x v="2"/>
    <x v="10"/>
    <x v="6"/>
    <s v="X"/>
    <m/>
    <s v="X"/>
    <n v="3"/>
    <n v="3"/>
    <x v="7"/>
    <x v="0"/>
    <s v="Control de accesos"/>
    <s v="PREVENTIVO"/>
    <x v="0"/>
    <x v="0"/>
    <s v="Usuarios genéricos"/>
    <n v="2.1"/>
    <n v="3"/>
    <n v="6.299999999999999"/>
    <x v="0"/>
  </r>
  <r>
    <x v="9"/>
    <x v="9"/>
    <s v="Herramienta de control de software malicioso"/>
    <m/>
    <x v="2"/>
    <x v="6"/>
    <x v="0"/>
    <s v="X"/>
    <s v="X"/>
    <s v="X"/>
    <n v="2"/>
    <n v="4"/>
    <x v="0"/>
    <x v="0"/>
    <s v="Registro de logs (FortiAnalyzer)"/>
    <s v="DETECTIVO"/>
    <x v="0"/>
    <x v="0"/>
    <s v="Falta de revisión de perfiles de acceso"/>
    <n v="2"/>
    <n v="2.8"/>
    <n v="5.6"/>
    <x v="0"/>
  </r>
  <r>
    <x v="9"/>
    <x v="9"/>
    <s v="Herramienta de control de software malicioso"/>
    <m/>
    <x v="2"/>
    <x v="11"/>
    <x v="1"/>
    <m/>
    <m/>
    <s v="X"/>
    <n v="3"/>
    <n v="4"/>
    <x v="5"/>
    <x v="3"/>
    <s v="Configuración segura de firewall"/>
    <s v="PREVENTIVO"/>
    <x v="0"/>
    <x v="0"/>
    <s v="Evidencia de validación de las configuraciones"/>
    <n v="2.1"/>
    <n v="4"/>
    <n v="8.399999999999999"/>
    <x v="0"/>
  </r>
  <r>
    <x v="9"/>
    <x v="9"/>
    <s v="Herramienta de control de software malicioso"/>
    <m/>
    <x v="2"/>
    <x v="0"/>
    <x v="0"/>
    <s v="X"/>
    <s v="X"/>
    <s v="X"/>
    <n v="2"/>
    <n v="3"/>
    <x v="6"/>
    <x v="0"/>
    <s v="Control de cambios en los sistemas_x000a_Verificación posterior (informe)"/>
    <s v="ADMINISTRACION"/>
    <x v="0"/>
    <x v="0"/>
    <s v="No existe procedimiento formal de gestión de cambios"/>
    <n v="1.4"/>
    <n v="3"/>
    <n v="4.199999999999999"/>
    <x v="1"/>
  </r>
  <r>
    <x v="9"/>
    <x v="9"/>
    <s v="Herramienta de control de software malicioso"/>
    <m/>
    <x v="2"/>
    <x v="9"/>
    <x v="1"/>
    <m/>
    <m/>
    <s v="X"/>
    <n v="3"/>
    <n v="3"/>
    <x v="7"/>
    <x v="0"/>
    <s v="Monitoreo de Servidores presenta en el procedimiento operativo  Administración de Servidores en el Manua de Gestión de las Operaciones de TI"/>
    <s v="PREVENTIVO"/>
    <x v="0"/>
    <x v="2"/>
    <s v="Falta de alertas automáticas"/>
    <n v="1.8"/>
    <n v="3"/>
    <n v="5.399999999999999"/>
    <x v="0"/>
  </r>
  <r>
    <x v="10"/>
    <x v="10"/>
    <s v="Control de correo no deseado Antispam"/>
    <m/>
    <x v="2"/>
    <x v="4"/>
    <x v="3"/>
    <s v="X"/>
    <s v="X"/>
    <m/>
    <n v="3"/>
    <n v="4"/>
    <x v="5"/>
    <x v="3"/>
    <s v="Control de accesos"/>
    <s v="PREVENTIVO"/>
    <x v="0"/>
    <x v="0"/>
    <s v="Usuarios genéricos"/>
    <n v="2.1"/>
    <n v="4"/>
    <n v="8.399999999999999"/>
    <x v="0"/>
  </r>
  <r>
    <x v="10"/>
    <x v="10"/>
    <s v="Control de correo no deseado Antispam"/>
    <m/>
    <x v="2"/>
    <x v="10"/>
    <x v="6"/>
    <s v="X"/>
    <m/>
    <s v="X"/>
    <n v="1"/>
    <n v="3"/>
    <x v="8"/>
    <x v="1"/>
    <s v="Control de accesos"/>
    <s v="PREVENTIVO"/>
    <x v="0"/>
    <x v="0"/>
    <s v="Usuarios genéricos"/>
    <n v="0.7"/>
    <n v="3"/>
    <n v="2.1"/>
    <x v="1"/>
  </r>
  <r>
    <x v="10"/>
    <x v="10"/>
    <s v="Control de correo no deseado Antispam"/>
    <m/>
    <x v="2"/>
    <x v="6"/>
    <x v="0"/>
    <s v="X"/>
    <s v="X"/>
    <s v="X"/>
    <n v="2"/>
    <n v="3"/>
    <x v="6"/>
    <x v="0"/>
    <s v="Registro de logs (FortiAnalyzer)"/>
    <s v="DETECTIVO"/>
    <x v="0"/>
    <x v="0"/>
    <s v="Falta de revisión de perfiles de acceso"/>
    <n v="2"/>
    <n v="2.1"/>
    <n v="4.199999999999999"/>
    <x v="1"/>
  </r>
  <r>
    <x v="10"/>
    <x v="10"/>
    <s v="Control de correo no deseado Antispam"/>
    <m/>
    <x v="2"/>
    <x v="11"/>
    <x v="1"/>
    <m/>
    <m/>
    <s v="X"/>
    <n v="3"/>
    <n v="3"/>
    <x v="7"/>
    <x v="0"/>
    <s v="Configuración segura de firewall"/>
    <s v="PREVENTIVO"/>
    <x v="0"/>
    <x v="0"/>
    <s v="Evidencia de validación de las configuraciones"/>
    <n v="2.1"/>
    <n v="3"/>
    <n v="6.299999999999999"/>
    <x v="0"/>
  </r>
  <r>
    <x v="10"/>
    <x v="10"/>
    <s v="Control de correo no deseado Antispam"/>
    <m/>
    <x v="2"/>
    <x v="0"/>
    <x v="0"/>
    <s v="X"/>
    <s v="X"/>
    <s v="X"/>
    <n v="2"/>
    <n v="3"/>
    <x v="6"/>
    <x v="0"/>
    <s v="Control de cambios en los sistemas_x000a_Verificación posterior (informe)"/>
    <s v="ADMINISTRACION"/>
    <x v="0"/>
    <x v="0"/>
    <s v="No existe procedimiento formal de gestión de cambios"/>
    <n v="1.4"/>
    <n v="3"/>
    <n v="4.199999999999999"/>
    <x v="1"/>
  </r>
  <r>
    <x v="10"/>
    <x v="10"/>
    <s v="Control de correo no deseado Antispam"/>
    <m/>
    <x v="2"/>
    <x v="9"/>
    <x v="1"/>
    <m/>
    <m/>
    <s v="X"/>
    <n v="2"/>
    <n v="4"/>
    <x v="0"/>
    <x v="0"/>
    <s v="Monitoreo de Servidores presenta en el procedimiento operativo  Administración de Servidores en el Manua de Gestión de las Operaciones de TI"/>
    <s v="PREVENTIVO"/>
    <x v="0"/>
    <x v="2"/>
    <s v="Falta de alertas automáticas"/>
    <n v="1.2"/>
    <n v="4"/>
    <n v="4.8"/>
    <x v="1"/>
  </r>
  <r>
    <x v="11"/>
    <x v="11"/>
    <s v="Informe eventos de seguridad"/>
    <m/>
    <x v="1"/>
    <x v="3"/>
    <x v="2"/>
    <s v="X"/>
    <m/>
    <m/>
    <n v="3"/>
    <n v="4"/>
    <x v="5"/>
    <x v="3"/>
    <s v="Software DLP"/>
    <s v="PREVENTIVO"/>
    <x v="0"/>
    <x v="0"/>
    <s v="Politicas sin restricción para jefaturas"/>
    <n v="2.1"/>
    <n v="4"/>
    <n v="8.399999999999999"/>
    <x v="0"/>
  </r>
  <r>
    <x v="11"/>
    <x v="11"/>
    <s v="Informe eventos de seguridad"/>
    <m/>
    <x v="1"/>
    <x v="1"/>
    <x v="1"/>
    <m/>
    <m/>
    <s v="X"/>
    <n v="3"/>
    <n v="3"/>
    <x v="7"/>
    <x v="0"/>
    <s v="Respaldo digital de información"/>
    <s v="PREVENTIVO"/>
    <x v="0"/>
    <x v="0"/>
    <s v="Almacenamiento manual en medio extraible"/>
    <n v="2.1"/>
    <n v="3"/>
    <n v="6.299999999999999"/>
    <x v="0"/>
  </r>
  <r>
    <x v="12"/>
    <x v="12"/>
    <s v="Servidor control software malicioso _x000a_192.168.100.235"/>
    <m/>
    <x v="3"/>
    <x v="4"/>
    <x v="3"/>
    <s v="X"/>
    <s v="X"/>
    <m/>
    <n v="2"/>
    <n v="3"/>
    <x v="6"/>
    <x v="0"/>
    <s v="Control de accesos / VPN"/>
    <s v="PREVENTIVO"/>
    <x v="0"/>
    <x v="0"/>
    <s v="Contreaseñas de VPN no expiran"/>
    <n v="1.4"/>
    <n v="3"/>
    <n v="4.199999999999999"/>
    <x v="1"/>
  </r>
  <r>
    <x v="12"/>
    <x v="12"/>
    <s v="Servidor control software malicioso _x000a_192.168.100.235"/>
    <m/>
    <x v="3"/>
    <x v="10"/>
    <x v="6"/>
    <s v="X"/>
    <m/>
    <s v="X"/>
    <n v="2"/>
    <n v="3"/>
    <x v="6"/>
    <x v="0"/>
    <s v="Control de accesos"/>
    <s v="PREVENTIVO"/>
    <x v="0"/>
    <x v="0"/>
    <s v="Usuarios genéricos"/>
    <n v="1.4"/>
    <n v="3"/>
    <n v="4.199999999999999"/>
    <x v="1"/>
  </r>
  <r>
    <x v="12"/>
    <x v="12"/>
    <s v="Servidor control software malicioso _x000a_192.168.100.235"/>
    <m/>
    <x v="3"/>
    <x v="6"/>
    <x v="0"/>
    <s v="X"/>
    <s v="X"/>
    <s v="X"/>
    <n v="2"/>
    <n v="3"/>
    <x v="6"/>
    <x v="0"/>
    <s v="Registro de logs (FortiAnalyzer)"/>
    <s v="DETECTIVO"/>
    <x v="0"/>
    <x v="0"/>
    <s v="Falta de revisión de perfiles de acceso"/>
    <n v="2"/>
    <n v="2.1"/>
    <n v="4.199999999999999"/>
    <x v="1"/>
  </r>
  <r>
    <x v="12"/>
    <x v="12"/>
    <s v="Servidor control software malicioso _x000a_192.168.100.235"/>
    <m/>
    <x v="3"/>
    <x v="11"/>
    <x v="1"/>
    <m/>
    <m/>
    <s v="X"/>
    <n v="3"/>
    <n v="4"/>
    <x v="5"/>
    <x v="3"/>
    <s v="Configuración segura de firewall"/>
    <s v="PREVENTIVO"/>
    <x v="0"/>
    <x v="0"/>
    <s v="Evidencia de validación de las configuraciones"/>
    <n v="2.1"/>
    <n v="4"/>
    <n v="8.399999999999999"/>
    <x v="0"/>
  </r>
  <r>
    <x v="12"/>
    <x v="12"/>
    <s v="Servidor control software malicioso _x000a_192.168.100.235"/>
    <m/>
    <x v="3"/>
    <x v="0"/>
    <x v="0"/>
    <s v="X"/>
    <s v="X"/>
    <s v="X"/>
    <n v="2"/>
    <n v="3"/>
    <x v="6"/>
    <x v="0"/>
    <s v="Control de cambios en los sistemas_x000a_Verificación posterior (informe)"/>
    <s v="ADMINISTRACION"/>
    <x v="0"/>
    <x v="0"/>
    <s v="No existe procedimiento formal de gestión de cambios"/>
    <n v="1.4"/>
    <n v="3"/>
    <n v="4.199999999999999"/>
    <x v="1"/>
  </r>
  <r>
    <x v="12"/>
    <x v="12"/>
    <s v="Servidor control software malicioso _x000a_192.168.100.235"/>
    <m/>
    <x v="3"/>
    <x v="9"/>
    <x v="1"/>
    <m/>
    <m/>
    <s v="X"/>
    <n v="2"/>
    <n v="3"/>
    <x v="6"/>
    <x v="0"/>
    <s v="Procedimiento de Gestión de la capacidad y desempeño de la Infraestructura"/>
    <s v="PREVENTIVO"/>
    <x v="0"/>
    <x v="0"/>
    <s v="Notificación automática de alertas"/>
    <n v="1.4"/>
    <n v="3"/>
    <n v="4.199999999999999"/>
    <x v="1"/>
  </r>
  <r>
    <x v="13"/>
    <x v="13"/>
    <s v="Servidor prevencion correo no deseado  _x000a_192.168.23.6"/>
    <m/>
    <x v="3"/>
    <x v="4"/>
    <x v="3"/>
    <s v="X"/>
    <s v="X"/>
    <m/>
    <n v="3"/>
    <n v="4"/>
    <x v="5"/>
    <x v="3"/>
    <s v="Control de accesos / VPN"/>
    <s v="PREVENTIVO"/>
    <x v="0"/>
    <x v="0"/>
    <s v="Contreaseñas de VPN no expiran"/>
    <n v="2.1"/>
    <n v="4"/>
    <n v="8.399999999999999"/>
    <x v="0"/>
  </r>
  <r>
    <x v="13"/>
    <x v="13"/>
    <s v="Servidor prevencion correo no deseado  _x000a_192.168.23.6"/>
    <m/>
    <x v="3"/>
    <x v="10"/>
    <x v="6"/>
    <s v="X"/>
    <m/>
    <s v="X"/>
    <n v="3"/>
    <n v="3"/>
    <x v="7"/>
    <x v="0"/>
    <s v="Control de accesos"/>
    <s v="PREVENTIVO"/>
    <x v="0"/>
    <x v="0"/>
    <s v="Usuarios genéricos"/>
    <n v="2.1"/>
    <n v="3"/>
    <n v="6.299999999999999"/>
    <x v="0"/>
  </r>
  <r>
    <x v="13"/>
    <x v="13"/>
    <s v="Servidor prevencion correo no deseado  _x000a_192.168.23.6"/>
    <m/>
    <x v="3"/>
    <x v="6"/>
    <x v="0"/>
    <s v="X"/>
    <s v="X"/>
    <s v="X"/>
    <n v="2"/>
    <n v="3"/>
    <x v="6"/>
    <x v="0"/>
    <s v="Registro de logs (FortiAnalyzer)"/>
    <s v="DETECTIVO"/>
    <x v="0"/>
    <x v="0"/>
    <s v="Falta de revisión de perfiles de acceso"/>
    <n v="2"/>
    <n v="2.1"/>
    <n v="4.199999999999999"/>
    <x v="1"/>
  </r>
  <r>
    <x v="13"/>
    <x v="13"/>
    <s v="Servidor prevencion correo no deseado  _x000a_192.168.23.6"/>
    <m/>
    <x v="3"/>
    <x v="11"/>
    <x v="1"/>
    <m/>
    <m/>
    <s v="X"/>
    <n v="3"/>
    <n v="4"/>
    <x v="5"/>
    <x v="3"/>
    <s v="Configuración segura de firewall"/>
    <s v="PREVENTIVO"/>
    <x v="0"/>
    <x v="0"/>
    <s v="Evidencia de validación de las configuraciones"/>
    <n v="2.1"/>
    <n v="4"/>
    <n v="8.399999999999999"/>
    <x v="0"/>
  </r>
  <r>
    <x v="13"/>
    <x v="13"/>
    <s v="Servidor prevencion correo no deseado  _x000a_192.168.23.6"/>
    <m/>
    <x v="3"/>
    <x v="0"/>
    <x v="0"/>
    <s v="X"/>
    <s v="X"/>
    <s v="X"/>
    <n v="2"/>
    <n v="4"/>
    <x v="0"/>
    <x v="0"/>
    <s v="Control de cambios en los sistemas_x000a_Verificación posterior (informe)"/>
    <s v="ADMINISTRACION"/>
    <x v="0"/>
    <x v="0"/>
    <s v="No existe procedimiento formal de gestión de cambios"/>
    <n v="1.4"/>
    <n v="4"/>
    <n v="5.6"/>
    <x v="0"/>
  </r>
  <r>
    <x v="13"/>
    <x v="13"/>
    <s v="Servidor prevencion correo no deseado  _x000a_192.168.23.6"/>
    <m/>
    <x v="3"/>
    <x v="9"/>
    <x v="1"/>
    <m/>
    <m/>
    <s v="X"/>
    <n v="2"/>
    <n v="3"/>
    <x v="6"/>
    <x v="0"/>
    <s v="Procedimiento de Gestión de la capacidad y desempeño de la Infraestructura"/>
    <s v="PREVENTIVO"/>
    <x v="0"/>
    <x v="0"/>
    <s v="Notificación automática de alertas"/>
    <n v="1.4"/>
    <n v="3"/>
    <n v="4.199999999999999"/>
    <x v="1"/>
  </r>
  <r>
    <x v="14"/>
    <x v="14"/>
    <s v="Consola de administracion firewall_x000a_192.168.21.2"/>
    <m/>
    <x v="3"/>
    <x v="4"/>
    <x v="3"/>
    <s v="X"/>
    <s v="X"/>
    <m/>
    <n v="3"/>
    <n v="4"/>
    <x v="5"/>
    <x v="3"/>
    <s v="Control de accesos / VPN"/>
    <s v="PREVENTIVO"/>
    <x v="0"/>
    <x v="0"/>
    <s v="Contreaseñas de VPN no expiran"/>
    <n v="2.1"/>
    <n v="4"/>
    <n v="8.399999999999999"/>
    <x v="0"/>
  </r>
  <r>
    <x v="14"/>
    <x v="14"/>
    <s v="Consola de administracion firewall_x000a_192.168.21.2"/>
    <m/>
    <x v="3"/>
    <x v="10"/>
    <x v="6"/>
    <s v="X"/>
    <m/>
    <s v="X"/>
    <n v="2"/>
    <n v="4"/>
    <x v="0"/>
    <x v="0"/>
    <s v="Control de accesos"/>
    <s v="PREVENTIVO"/>
    <x v="0"/>
    <x v="0"/>
    <s v="Usuarios genéricos"/>
    <n v="1.4"/>
    <n v="4"/>
    <n v="5.6"/>
    <x v="0"/>
  </r>
  <r>
    <x v="14"/>
    <x v="14"/>
    <s v="Consola de administracion firewall_x000a_192.168.21.2"/>
    <m/>
    <x v="3"/>
    <x v="6"/>
    <x v="0"/>
    <s v="X"/>
    <s v="X"/>
    <s v="X"/>
    <n v="2"/>
    <n v="4"/>
    <x v="0"/>
    <x v="0"/>
    <s v="Registro de logs (FortiAnalyzer)"/>
    <s v="DETECTIVO"/>
    <x v="0"/>
    <x v="0"/>
    <s v="Falta de revisión de perfiles de acceso"/>
    <n v="2"/>
    <n v="2.8"/>
    <n v="5.6"/>
    <x v="0"/>
  </r>
  <r>
    <x v="14"/>
    <x v="14"/>
    <s v="Consola de administracion firewall_x000a_192.168.21.2"/>
    <m/>
    <x v="3"/>
    <x v="11"/>
    <x v="1"/>
    <m/>
    <m/>
    <s v="X"/>
    <n v="3"/>
    <n v="5"/>
    <x v="9"/>
    <x v="3"/>
    <s v="Configuración segura de firewall"/>
    <s v="PREVENTIVO"/>
    <x v="0"/>
    <x v="0"/>
    <s v="Evidencia de validación de las configuraciones"/>
    <n v="2.1"/>
    <n v="5"/>
    <n v="10.5"/>
    <x v="2"/>
  </r>
  <r>
    <x v="14"/>
    <x v="14"/>
    <s v="Consola de administracion firewall_x000a_192.168.21.2"/>
    <m/>
    <x v="3"/>
    <x v="0"/>
    <x v="0"/>
    <s v="X"/>
    <s v="X"/>
    <s v="X"/>
    <n v="2"/>
    <n v="4"/>
    <x v="0"/>
    <x v="0"/>
    <s v="Control de cambios en los sistemas_x000a_Verificación posterior (informe)"/>
    <s v="ADMINISTRACION"/>
    <x v="0"/>
    <x v="0"/>
    <s v="No existe procedimiento formal de gestión de cambios"/>
    <n v="1.4"/>
    <n v="4"/>
    <n v="5.6"/>
    <x v="0"/>
  </r>
  <r>
    <x v="14"/>
    <x v="14"/>
    <s v="Consola de administracion firewall_x000a_192.168.21.2"/>
    <m/>
    <x v="3"/>
    <x v="9"/>
    <x v="1"/>
    <m/>
    <m/>
    <s v="X"/>
    <n v="2"/>
    <n v="3"/>
    <x v="6"/>
    <x v="0"/>
    <s v="Procedimiento de Gestión de la capacidad y desempeño de la Infraestructura"/>
    <s v="PREVENTIVO"/>
    <x v="0"/>
    <x v="0"/>
    <s v="Notificación automática de alertas"/>
    <n v="1.4"/>
    <n v="3"/>
    <n v="4.199999999999999"/>
    <x v="1"/>
  </r>
  <r>
    <x v="15"/>
    <x v="15"/>
    <s v="Analizador de logs_x000a_192.168.100.232"/>
    <m/>
    <x v="3"/>
    <x v="4"/>
    <x v="3"/>
    <s v="X"/>
    <s v="X"/>
    <m/>
    <n v="2"/>
    <n v="3"/>
    <x v="6"/>
    <x v="0"/>
    <s v="Control de accesos / VPN"/>
    <s v="PREVENTIVO"/>
    <x v="0"/>
    <x v="0"/>
    <s v="Contreaseñas de VPN no expiran"/>
    <n v="1.4"/>
    <n v="3"/>
    <n v="4.199999999999999"/>
    <x v="1"/>
  </r>
  <r>
    <x v="15"/>
    <x v="15"/>
    <s v="Analizador de logs_x000a_192.168.100.232"/>
    <m/>
    <x v="3"/>
    <x v="10"/>
    <x v="6"/>
    <s v="X"/>
    <m/>
    <s v="X"/>
    <n v="2"/>
    <n v="3"/>
    <x v="6"/>
    <x v="0"/>
    <s v="Control de accesos"/>
    <s v="PREVENTIVO"/>
    <x v="0"/>
    <x v="0"/>
    <s v="Usuarios genéricos"/>
    <n v="1.4"/>
    <n v="3"/>
    <n v="4.199999999999999"/>
    <x v="1"/>
  </r>
  <r>
    <x v="15"/>
    <x v="15"/>
    <s v="Analizador de logs_x000a_192.168.100.232"/>
    <m/>
    <x v="3"/>
    <x v="6"/>
    <x v="0"/>
    <s v="X"/>
    <s v="X"/>
    <s v="X"/>
    <n v="2"/>
    <n v="3"/>
    <x v="6"/>
    <x v="0"/>
    <s v="Registro de logs (FortiAnalyzer)"/>
    <s v="DETECTIVO"/>
    <x v="0"/>
    <x v="0"/>
    <s v="Falta de revisión de perfiles de acceso"/>
    <n v="2"/>
    <n v="2.1"/>
    <n v="4.199999999999999"/>
    <x v="1"/>
  </r>
  <r>
    <x v="15"/>
    <x v="15"/>
    <s v="Analizador de logs_x000a_192.168.100.232"/>
    <m/>
    <x v="3"/>
    <x v="11"/>
    <x v="1"/>
    <m/>
    <m/>
    <s v="X"/>
    <n v="3"/>
    <n v="3"/>
    <x v="7"/>
    <x v="0"/>
    <s v="Configuración segura de firewall"/>
    <s v="PREVENTIVO"/>
    <x v="0"/>
    <x v="0"/>
    <s v="Evidencia de validación de las configuraciones"/>
    <n v="2.1"/>
    <n v="3"/>
    <n v="6.299999999999999"/>
    <x v="0"/>
  </r>
  <r>
    <x v="15"/>
    <x v="15"/>
    <s v="Analizador de logs_x000a_192.168.100.232"/>
    <m/>
    <x v="3"/>
    <x v="0"/>
    <x v="0"/>
    <s v="X"/>
    <s v="X"/>
    <s v="X"/>
    <n v="2"/>
    <n v="3"/>
    <x v="6"/>
    <x v="0"/>
    <s v="Control de cambios en los sistemas_x000a_Verificación posterior (informe)"/>
    <s v="ADMINISTRACION"/>
    <x v="0"/>
    <x v="0"/>
    <s v="No existe procedimiento formal de gestión de cambios"/>
    <n v="1.4"/>
    <n v="3"/>
    <n v="4.199999999999999"/>
    <x v="1"/>
  </r>
  <r>
    <x v="15"/>
    <x v="15"/>
    <s v="Analizador de logs_x000a_192.168.100.232"/>
    <m/>
    <x v="3"/>
    <x v="9"/>
    <x v="1"/>
    <m/>
    <m/>
    <s v="X"/>
    <n v="3"/>
    <n v="3"/>
    <x v="7"/>
    <x v="0"/>
    <s v="Procedimiento de Gestión de la capacidad y desempeño de la Infraestructura"/>
    <s v="PREVENTIVO"/>
    <x v="0"/>
    <x v="0"/>
    <s v="Notificación automática de alertas"/>
    <n v="2.1"/>
    <n v="3"/>
    <n v="6.299999999999999"/>
    <x v="0"/>
  </r>
  <r>
    <x v="16"/>
    <x v="16"/>
    <s v="Consola de administracion  _x000a_192.168.100.238"/>
    <m/>
    <x v="3"/>
    <x v="4"/>
    <x v="3"/>
    <s v="X"/>
    <s v="X"/>
    <m/>
    <n v="3"/>
    <n v="4"/>
    <x v="5"/>
    <x v="3"/>
    <s v="Control de accesos / VPN"/>
    <s v="PREVENTIVO"/>
    <x v="0"/>
    <x v="0"/>
    <s v="Contreaseñas de VPN no expiran"/>
    <n v="2.1"/>
    <n v="4"/>
    <n v="8.399999999999999"/>
    <x v="0"/>
  </r>
  <r>
    <x v="16"/>
    <x v="16"/>
    <s v="Consola de administracion  _x000a_192.168.100.238"/>
    <m/>
    <x v="3"/>
    <x v="10"/>
    <x v="6"/>
    <s v="X"/>
    <m/>
    <s v="X"/>
    <n v="2"/>
    <n v="3"/>
    <x v="6"/>
    <x v="0"/>
    <s v="Control de accesos"/>
    <s v="PREVENTIVO"/>
    <x v="0"/>
    <x v="0"/>
    <s v="Usuarios genéricos"/>
    <n v="1.4"/>
    <n v="3"/>
    <n v="4.199999999999999"/>
    <x v="1"/>
  </r>
  <r>
    <x v="16"/>
    <x v="16"/>
    <s v="Consola de administracion  _x000a_192.168.100.238"/>
    <m/>
    <x v="3"/>
    <x v="6"/>
    <x v="0"/>
    <s v="X"/>
    <s v="X"/>
    <s v="X"/>
    <n v="2"/>
    <n v="4"/>
    <x v="0"/>
    <x v="0"/>
    <s v="Registro de logs (FortiAnalyzer)"/>
    <s v="DETECTIVO"/>
    <x v="0"/>
    <x v="0"/>
    <s v="Falta de revisión de perfiles de acceso"/>
    <n v="2"/>
    <n v="2.8"/>
    <n v="5.6"/>
    <x v="0"/>
  </r>
  <r>
    <x v="16"/>
    <x v="16"/>
    <s v="Consola de administracion  _x000a_192.168.100.238"/>
    <m/>
    <x v="3"/>
    <x v="11"/>
    <x v="1"/>
    <m/>
    <m/>
    <s v="X"/>
    <n v="3"/>
    <n v="4"/>
    <x v="5"/>
    <x v="3"/>
    <s v="Configuración segura de firewall"/>
    <s v="PREVENTIVO"/>
    <x v="0"/>
    <x v="0"/>
    <s v="Evidencia de validación de las configuraciones"/>
    <n v="2.1"/>
    <n v="4"/>
    <n v="8.399999999999999"/>
    <x v="0"/>
  </r>
  <r>
    <x v="16"/>
    <x v="16"/>
    <s v="Consola de administracion  _x000a_192.168.100.238"/>
    <m/>
    <x v="3"/>
    <x v="0"/>
    <x v="0"/>
    <s v="X"/>
    <s v="X"/>
    <s v="X"/>
    <n v="2"/>
    <n v="3"/>
    <x v="6"/>
    <x v="0"/>
    <s v="Control de cambios en los sistemas_x000a_Verificación posterior (informe)"/>
    <s v="ADMINISTRACION"/>
    <x v="0"/>
    <x v="0"/>
    <s v="No existe procedimiento formal de gestión de cambios"/>
    <n v="1.4"/>
    <n v="3"/>
    <n v="4.199999999999999"/>
    <x v="1"/>
  </r>
  <r>
    <x v="16"/>
    <x v="16"/>
    <s v="Consola de administracion  _x000a_192.168.100.238"/>
    <m/>
    <x v="3"/>
    <x v="9"/>
    <x v="1"/>
    <m/>
    <m/>
    <s v="X"/>
    <n v="2"/>
    <n v="4"/>
    <x v="0"/>
    <x v="0"/>
    <s v="Procedimiento de Gestión de la capacidad y desempeño de la Infraestructura"/>
    <s v="PREVENTIVO"/>
    <x v="0"/>
    <x v="0"/>
    <s v="Notificación automática de alertas"/>
    <n v="1.4"/>
    <n v="4"/>
    <n v="5.6"/>
    <x v="0"/>
  </r>
  <r>
    <x v="17"/>
    <x v="17"/>
    <s v="Funcionarios con el cargo de Administrador de Seguridad Informática"/>
    <m/>
    <x v="5"/>
    <x v="14"/>
    <x v="1"/>
    <m/>
    <m/>
    <s v="X"/>
    <n v="2"/>
    <n v="3"/>
    <x v="6"/>
    <x v="0"/>
    <s v="Plan de continuidad documentado"/>
    <s v="RECUPERACION"/>
    <x v="0"/>
    <x v="0"/>
    <s v="Dependencia de personal clave"/>
    <n v="2"/>
    <n v="2.1"/>
    <n v="4.199999999999999"/>
    <x v="1"/>
  </r>
  <r>
    <x v="18"/>
    <x v="18"/>
    <s v="Funcionarios con el cargo de Administrador de Base de Datos"/>
    <m/>
    <x v="5"/>
    <x v="14"/>
    <x v="1"/>
    <m/>
    <m/>
    <s v="X"/>
    <n v="2"/>
    <n v="3"/>
    <x v="6"/>
    <x v="0"/>
    <s v="Plan de continuidad documentado"/>
    <s v="RECUPERACION"/>
    <x v="0"/>
    <x v="0"/>
    <s v="Dependencia de personal clave"/>
    <n v="2"/>
    <n v="2.1"/>
    <n v="4.199999999999999"/>
    <x v="1"/>
  </r>
  <r>
    <x v="19"/>
    <x v="19"/>
    <s v="Ruteador para enlaces de comunicación / 192.168.100.253"/>
    <m/>
    <x v="3"/>
    <x v="0"/>
    <x v="0"/>
    <s v="X"/>
    <s v="X"/>
    <s v="X"/>
    <n v="2"/>
    <n v="3"/>
    <x v="6"/>
    <x v="0"/>
    <s v="Control de cambios en los sistemas_x000a_Verificación posterior (informe)"/>
    <s v="ADMINISTRACION"/>
    <x v="0"/>
    <x v="0"/>
    <s v="No existe procedimiento formal de gestión de cambios"/>
    <n v="1.4"/>
    <n v="3"/>
    <n v="4.199999999999999"/>
    <x v="1"/>
  </r>
  <r>
    <x v="19"/>
    <x v="19"/>
    <s v="Ruteador para enlaces de comunicación / 192.168.100.253"/>
    <m/>
    <x v="3"/>
    <x v="4"/>
    <x v="3"/>
    <s v="X"/>
    <s v="X"/>
    <m/>
    <n v="3"/>
    <n v="4"/>
    <x v="5"/>
    <x v="3"/>
    <s v="Control de accesos / VPN"/>
    <s v="PREVENTIVO"/>
    <x v="0"/>
    <x v="0"/>
    <s v="Contreaseñas de VPN no expiran"/>
    <n v="2.1"/>
    <n v="4"/>
    <n v="8.399999999999999"/>
    <x v="0"/>
  </r>
  <r>
    <x v="19"/>
    <x v="19"/>
    <s v="Ruteador para enlaces de comunicación / 192.168.100.253"/>
    <m/>
    <x v="3"/>
    <x v="6"/>
    <x v="0"/>
    <s v="X"/>
    <s v="X"/>
    <s v="X"/>
    <n v="2"/>
    <n v="4"/>
    <x v="0"/>
    <x v="0"/>
    <s v="Registro de logs"/>
    <s v="DETECTIVO"/>
    <x v="0"/>
    <x v="0"/>
    <s v="Falta de revisión de perfiles de acceso"/>
    <n v="2"/>
    <n v="2.8"/>
    <n v="5.6"/>
    <x v="0"/>
  </r>
  <r>
    <x v="19"/>
    <x v="19"/>
    <s v="Ruteador para enlaces de comunicación / 192.168.100.253"/>
    <m/>
    <x v="3"/>
    <x v="12"/>
    <x v="1"/>
    <m/>
    <m/>
    <s v="X"/>
    <n v="3"/>
    <n v="4"/>
    <x v="5"/>
    <x v="3"/>
    <s v="Gestión de vulnerabilidades"/>
    <s v="PREVENTIVO"/>
    <x v="0"/>
    <x v="2"/>
    <s v="Recursos tecnológicos insuficientes para remediación"/>
    <n v="1.8"/>
    <n v="4"/>
    <n v="7.199999999999999"/>
    <x v="0"/>
  </r>
  <r>
    <x v="20"/>
    <x v="20"/>
    <s v="Ruteador para enlaces de comunicación / 192.168.40.253"/>
    <m/>
    <x v="3"/>
    <x v="0"/>
    <x v="0"/>
    <s v="X"/>
    <s v="X"/>
    <s v="X"/>
    <n v="2"/>
    <n v="3"/>
    <x v="6"/>
    <x v="0"/>
    <s v="Control de cambios en los sistemas_x000a_Verificación posterior (informe)"/>
    <s v="ADMINISTRACION"/>
    <x v="0"/>
    <x v="0"/>
    <s v="No existe procedimiento formal de gestión de cambios"/>
    <n v="1.4"/>
    <n v="3"/>
    <n v="4.199999999999999"/>
    <x v="1"/>
  </r>
  <r>
    <x v="20"/>
    <x v="20"/>
    <s v="Ruteador para enlaces de comunicación / 192.168.40.253"/>
    <m/>
    <x v="3"/>
    <x v="4"/>
    <x v="3"/>
    <s v="X"/>
    <s v="X"/>
    <m/>
    <n v="2"/>
    <n v="4"/>
    <x v="0"/>
    <x v="0"/>
    <s v="Control de accesos / VPN"/>
    <s v="PREVENTIVO"/>
    <x v="0"/>
    <x v="0"/>
    <s v="Contreaseñas de VPN no expiran"/>
    <n v="1.4"/>
    <n v="4"/>
    <n v="5.6"/>
    <x v="0"/>
  </r>
  <r>
    <x v="20"/>
    <x v="20"/>
    <s v="Ruteador para enlaces de comunicación / 192.168.40.253"/>
    <m/>
    <x v="3"/>
    <x v="6"/>
    <x v="0"/>
    <s v="X"/>
    <s v="X"/>
    <s v="X"/>
    <n v="2"/>
    <n v="4"/>
    <x v="0"/>
    <x v="0"/>
    <s v="Registro de logs"/>
    <s v="DETECTIVO"/>
    <x v="0"/>
    <x v="0"/>
    <s v="Falta de revisión de perfiles de acceso"/>
    <n v="2"/>
    <n v="2.8"/>
    <n v="5.6"/>
    <x v="0"/>
  </r>
  <r>
    <x v="20"/>
    <x v="20"/>
    <s v="Ruteador para enlaces de comunicación / 192.168.40.253"/>
    <m/>
    <x v="3"/>
    <x v="12"/>
    <x v="1"/>
    <m/>
    <m/>
    <s v="X"/>
    <n v="3"/>
    <n v="3"/>
    <x v="7"/>
    <x v="0"/>
    <s v="Gestión de vulnerabilidades"/>
    <s v="PREVENTIVO"/>
    <x v="0"/>
    <x v="2"/>
    <s v="Recursos tecnológicos insuficientes para remediación"/>
    <n v="1.8"/>
    <n v="3"/>
    <n v="5.399999999999999"/>
    <x v="0"/>
  </r>
  <r>
    <x v="21"/>
    <x v="21"/>
    <s v="Ruteador para enlaces de comunicación / 192.168.50.253"/>
    <m/>
    <x v="3"/>
    <x v="0"/>
    <x v="0"/>
    <s v="X"/>
    <s v="X"/>
    <s v="X"/>
    <n v="2"/>
    <n v="3"/>
    <x v="6"/>
    <x v="0"/>
    <s v="Control de cambios en los sistemas_x000a_Verificación posterior (informe)"/>
    <s v="ADMINISTRACION"/>
    <x v="0"/>
    <x v="0"/>
    <s v="No existe procedimiento formal de gestión de cambios"/>
    <n v="1.4"/>
    <n v="3"/>
    <n v="4.199999999999999"/>
    <x v="1"/>
  </r>
  <r>
    <x v="21"/>
    <x v="21"/>
    <s v="Ruteador para enlaces de comunicación / 192.168.50.253"/>
    <m/>
    <x v="3"/>
    <x v="4"/>
    <x v="3"/>
    <s v="X"/>
    <s v="X"/>
    <m/>
    <n v="2"/>
    <n v="4"/>
    <x v="0"/>
    <x v="0"/>
    <s v="Control de accesos / VPN"/>
    <s v="PREVENTIVO"/>
    <x v="0"/>
    <x v="0"/>
    <s v="Contreaseñas de VPN no expiran"/>
    <n v="1.4"/>
    <n v="4"/>
    <n v="5.6"/>
    <x v="0"/>
  </r>
  <r>
    <x v="21"/>
    <x v="21"/>
    <s v="Ruteador para enlaces de comunicación / 192.168.50.253"/>
    <m/>
    <x v="3"/>
    <x v="6"/>
    <x v="0"/>
    <s v="X"/>
    <s v="X"/>
    <s v="X"/>
    <n v="2"/>
    <n v="4"/>
    <x v="0"/>
    <x v="0"/>
    <s v="Registro de logs"/>
    <s v="DETECTIVO"/>
    <x v="0"/>
    <x v="0"/>
    <s v="Falta de revisión de perfiles de acceso"/>
    <n v="2"/>
    <n v="2.8"/>
    <n v="5.6"/>
    <x v="0"/>
  </r>
  <r>
    <x v="21"/>
    <x v="21"/>
    <s v="Ruteador para enlaces de comunicación / 192.168.50.253"/>
    <m/>
    <x v="3"/>
    <x v="12"/>
    <x v="1"/>
    <m/>
    <m/>
    <s v="X"/>
    <n v="3"/>
    <n v="3"/>
    <x v="7"/>
    <x v="0"/>
    <s v="Gestión de vulnerabilidades"/>
    <s v="PREVENTIVO"/>
    <x v="0"/>
    <x v="2"/>
    <s v="Recursos tecnológicos insuficientes para remediación"/>
    <n v="1.8"/>
    <n v="3"/>
    <n v="5.399999999999999"/>
    <x v="0"/>
  </r>
  <r>
    <x v="22"/>
    <x v="22"/>
    <s v="Servidor que contiene el servidor BDD Oracle / SERVIDOR APARK 192.168.10.72"/>
    <m/>
    <x v="3"/>
    <x v="0"/>
    <x v="0"/>
    <s v="X"/>
    <s v="X"/>
    <s v="X"/>
    <n v="2"/>
    <n v="4"/>
    <x v="0"/>
    <x v="0"/>
    <s v="Control de cambios en los sistemas_x000a_Verificación posterior (informe)"/>
    <s v="ADMINISTRACION"/>
    <x v="0"/>
    <x v="0"/>
    <s v="No existe procedimiento formal de gestión de cambios"/>
    <n v="1.4"/>
    <n v="4"/>
    <n v="5.6"/>
    <x v="0"/>
  </r>
  <r>
    <x v="22"/>
    <x v="22"/>
    <s v="Servidor que contiene el servidor BDD Oracle / SERVIDOR APARK 192.168.10.72"/>
    <m/>
    <x v="3"/>
    <x v="4"/>
    <x v="3"/>
    <s v="X"/>
    <s v="X"/>
    <m/>
    <n v="3"/>
    <n v="5"/>
    <x v="9"/>
    <x v="3"/>
    <s v="Control de accesos / VPN"/>
    <s v="PREVENTIVO"/>
    <x v="0"/>
    <x v="0"/>
    <s v="Contreaseñas de VPN no expiran"/>
    <n v="2.1"/>
    <n v="5"/>
    <n v="10.5"/>
    <x v="2"/>
  </r>
  <r>
    <x v="22"/>
    <x v="22"/>
    <s v="Servidor que contiene el servidor BDD Oracle / SERVIDOR APARK 192.168.10.72"/>
    <m/>
    <x v="3"/>
    <x v="6"/>
    <x v="0"/>
    <s v="X"/>
    <s v="X"/>
    <s v="X"/>
    <n v="3"/>
    <n v="4"/>
    <x v="5"/>
    <x v="3"/>
    <s v="Registro de logs (FortiAnalyzer)"/>
    <s v="DETECTIVO"/>
    <x v="0"/>
    <x v="0"/>
    <s v="Falta de revisión de perfiles de acceso"/>
    <n v="3"/>
    <n v="2.8"/>
    <n v="8.399999999999999"/>
    <x v="0"/>
  </r>
  <r>
    <x v="22"/>
    <x v="22"/>
    <s v="Servidor que contiene el servidor BDD Oracle / SERVIDOR APARK 192.168.10.72"/>
    <m/>
    <x v="3"/>
    <x v="12"/>
    <x v="1"/>
    <m/>
    <m/>
    <s v="X"/>
    <n v="3"/>
    <n v="4"/>
    <x v="5"/>
    <x v="3"/>
    <s v="Gestión de vulnerabilidades"/>
    <s v="PREVENTIVO"/>
    <x v="0"/>
    <x v="2"/>
    <s v="Recursos tecnológicos insuficientes para remediación"/>
    <n v="1.8"/>
    <n v="4"/>
    <n v="7.199999999999999"/>
    <x v="0"/>
  </r>
  <r>
    <x v="23"/>
    <x v="23"/>
    <s v="Ruteador para enlaces de comunicación / 192.168.60.253"/>
    <m/>
    <x v="3"/>
    <x v="0"/>
    <x v="0"/>
    <s v="X"/>
    <s v="X"/>
    <s v="X"/>
    <n v="2"/>
    <n v="3"/>
    <x v="6"/>
    <x v="0"/>
    <s v="Control de cambios en los sistemas_x000a_Verificación posterior (informe)"/>
    <s v="ADMINISTRACION"/>
    <x v="0"/>
    <x v="0"/>
    <s v="No existe procedimiento formal de gestión de cambios"/>
    <n v="1.4"/>
    <n v="3"/>
    <n v="4.199999999999999"/>
    <x v="1"/>
  </r>
  <r>
    <x v="23"/>
    <x v="23"/>
    <s v="Ruteador para enlaces de comunicación / 192.168.60.253"/>
    <m/>
    <x v="3"/>
    <x v="4"/>
    <x v="3"/>
    <s v="X"/>
    <s v="X"/>
    <m/>
    <n v="2"/>
    <n v="4"/>
    <x v="0"/>
    <x v="0"/>
    <s v="Control de accesos / VPN"/>
    <s v="PREVENTIVO"/>
    <x v="0"/>
    <x v="0"/>
    <s v="Contreaseñas de VPN no expiran"/>
    <n v="1.4"/>
    <n v="4"/>
    <n v="5.6"/>
    <x v="0"/>
  </r>
  <r>
    <x v="23"/>
    <x v="23"/>
    <s v="Ruteador para enlaces de comunicación / 192.168.60.253"/>
    <m/>
    <x v="3"/>
    <x v="6"/>
    <x v="0"/>
    <s v="X"/>
    <s v="X"/>
    <s v="X"/>
    <n v="2"/>
    <n v="4"/>
    <x v="0"/>
    <x v="0"/>
    <s v="Registro de logs"/>
    <s v="DETECTIVO"/>
    <x v="0"/>
    <x v="0"/>
    <s v="Falta de revisión de perfiles de acceso"/>
    <n v="2"/>
    <n v="2.8"/>
    <n v="5.6"/>
    <x v="0"/>
  </r>
  <r>
    <x v="23"/>
    <x v="23"/>
    <s v="Ruteador para enlaces de comunicación / 192.168.60.253"/>
    <m/>
    <x v="3"/>
    <x v="12"/>
    <x v="1"/>
    <m/>
    <m/>
    <s v="X"/>
    <n v="3"/>
    <n v="3"/>
    <x v="7"/>
    <x v="0"/>
    <s v="Gestión de vulnerabilidades"/>
    <s v="PREVENTIVO"/>
    <x v="0"/>
    <x v="2"/>
    <s v="Recursos tecnológicos insuficientes para remediación"/>
    <n v="1.8"/>
    <n v="3"/>
    <n v="5.399999999999999"/>
    <x v="0"/>
  </r>
  <r>
    <x v="24"/>
    <x v="24"/>
    <s v="Ruteador para enlaces de comunicación / 192.168.31.253"/>
    <m/>
    <x v="3"/>
    <x v="0"/>
    <x v="0"/>
    <s v="X"/>
    <s v="X"/>
    <s v="X"/>
    <n v="2"/>
    <n v="3"/>
    <x v="6"/>
    <x v="0"/>
    <s v="Control de cambios en los sistemas_x000a_Verificación posterior (informe)"/>
    <s v="ADMINISTRACION"/>
    <x v="0"/>
    <x v="0"/>
    <s v="No existe procedimiento formal de gestión de cambios"/>
    <n v="1.4"/>
    <n v="3"/>
    <n v="4.199999999999999"/>
    <x v="1"/>
  </r>
  <r>
    <x v="24"/>
    <x v="24"/>
    <s v="Ruteador para enlaces de comunicación / 192.168.31.253"/>
    <m/>
    <x v="3"/>
    <x v="4"/>
    <x v="3"/>
    <s v="X"/>
    <s v="X"/>
    <m/>
    <n v="2"/>
    <n v="4"/>
    <x v="0"/>
    <x v="0"/>
    <s v="Control de accesos / VPN"/>
    <s v="PREVENTIVO"/>
    <x v="0"/>
    <x v="0"/>
    <s v="Contreaseñas de VPN no expiran"/>
    <n v="1.4"/>
    <n v="4"/>
    <n v="5.6"/>
    <x v="0"/>
  </r>
  <r>
    <x v="24"/>
    <x v="24"/>
    <s v="Ruteador para enlaces de comunicación / 192.168.31.253"/>
    <m/>
    <x v="3"/>
    <x v="6"/>
    <x v="0"/>
    <s v="X"/>
    <s v="X"/>
    <s v="X"/>
    <n v="2"/>
    <n v="4"/>
    <x v="0"/>
    <x v="0"/>
    <s v="Registro de logs"/>
    <s v="DETECTIVO"/>
    <x v="0"/>
    <x v="0"/>
    <s v="Falta de revisión de perfiles de acceso"/>
    <n v="2"/>
    <n v="2.8"/>
    <n v="5.6"/>
    <x v="0"/>
  </r>
  <r>
    <x v="24"/>
    <x v="24"/>
    <s v="Ruteador para enlaces de comunicación / 192.168.31.253"/>
    <m/>
    <x v="3"/>
    <x v="12"/>
    <x v="1"/>
    <m/>
    <m/>
    <s v="X"/>
    <n v="3"/>
    <n v="3"/>
    <x v="7"/>
    <x v="0"/>
    <s v="Gestión de vulnerabilidades"/>
    <s v="PREVENTIVO"/>
    <x v="0"/>
    <x v="2"/>
    <s v="Recursos tecnológicos insuficientes para remediación"/>
    <n v="1.8"/>
    <n v="3"/>
    <n v="5.399999999999999"/>
    <x v="0"/>
  </r>
  <r>
    <x v="25"/>
    <x v="25"/>
    <s v="Ruteador para enlaces de comunicación / 192.168.80.253"/>
    <m/>
    <x v="3"/>
    <x v="0"/>
    <x v="0"/>
    <s v="X"/>
    <s v="X"/>
    <s v="X"/>
    <n v="2"/>
    <n v="3"/>
    <x v="6"/>
    <x v="0"/>
    <s v="Control de cambios en los sistemas_x000a_Verificación posterior (informe)"/>
    <s v="ADMINISTRACION"/>
    <x v="0"/>
    <x v="0"/>
    <s v="No existe procedimiento formal de gestión de cambios"/>
    <n v="1.4"/>
    <n v="3"/>
    <n v="4.199999999999999"/>
    <x v="1"/>
  </r>
  <r>
    <x v="25"/>
    <x v="25"/>
    <s v="Ruteador para enlaces de comunicación / 192.168.80.253"/>
    <m/>
    <x v="3"/>
    <x v="4"/>
    <x v="3"/>
    <s v="X"/>
    <s v="X"/>
    <m/>
    <n v="2"/>
    <n v="4"/>
    <x v="0"/>
    <x v="0"/>
    <s v="Control de accesos / VPN"/>
    <s v="PREVENTIVO"/>
    <x v="0"/>
    <x v="0"/>
    <s v="Contreaseñas de VPN no expiran"/>
    <n v="1.4"/>
    <n v="4"/>
    <n v="5.6"/>
    <x v="0"/>
  </r>
  <r>
    <x v="25"/>
    <x v="25"/>
    <s v="Ruteador para enlaces de comunicación / 192.168.80.253"/>
    <m/>
    <x v="3"/>
    <x v="6"/>
    <x v="0"/>
    <s v="X"/>
    <s v="X"/>
    <s v="X"/>
    <n v="2"/>
    <n v="4"/>
    <x v="0"/>
    <x v="0"/>
    <s v="Registro de logs"/>
    <s v="DETECTIVO"/>
    <x v="0"/>
    <x v="0"/>
    <s v="Falta de revisión de perfiles de acceso"/>
    <n v="2"/>
    <n v="2.8"/>
    <n v="5.6"/>
    <x v="0"/>
  </r>
  <r>
    <x v="25"/>
    <x v="25"/>
    <s v="Ruteador para enlaces de comunicación / 192.168.80.253"/>
    <m/>
    <x v="3"/>
    <x v="12"/>
    <x v="1"/>
    <m/>
    <m/>
    <s v="X"/>
    <n v="3"/>
    <n v="3"/>
    <x v="7"/>
    <x v="0"/>
    <s v="Gestión de vulnerabilidades"/>
    <s v="PREVENTIVO"/>
    <x v="0"/>
    <x v="2"/>
    <s v="Recursos tecnológicos insuficientes para remediación"/>
    <n v="1.8"/>
    <n v="3"/>
    <n v="5.399999999999999"/>
    <x v="0"/>
  </r>
  <r>
    <x v="26"/>
    <x v="26"/>
    <s v="Ruteador para enlaces de comunicación / 192.168.82.253"/>
    <m/>
    <x v="3"/>
    <x v="0"/>
    <x v="0"/>
    <s v="X"/>
    <s v="X"/>
    <s v="X"/>
    <n v="2"/>
    <n v="3"/>
    <x v="6"/>
    <x v="0"/>
    <s v="Control de cambios en los sistemas_x000a_Verificación posterior (informe)"/>
    <s v="ADMINISTRACION"/>
    <x v="0"/>
    <x v="0"/>
    <s v="No existe procedimiento formal de gestión de cambios"/>
    <n v="1.4"/>
    <n v="3"/>
    <n v="4.199999999999999"/>
    <x v="1"/>
  </r>
  <r>
    <x v="26"/>
    <x v="26"/>
    <s v="Ruteador para enlaces de comunicación / 192.168.82.253"/>
    <m/>
    <x v="3"/>
    <x v="4"/>
    <x v="3"/>
    <s v="X"/>
    <s v="X"/>
    <m/>
    <n v="2"/>
    <n v="4"/>
    <x v="0"/>
    <x v="0"/>
    <s v="Control de accesos / VPN"/>
    <s v="PREVENTIVO"/>
    <x v="0"/>
    <x v="0"/>
    <s v="Contreaseñas de VPN no expiran"/>
    <n v="1.4"/>
    <n v="4"/>
    <n v="5.6"/>
    <x v="0"/>
  </r>
  <r>
    <x v="26"/>
    <x v="26"/>
    <s v="Ruteador para enlaces de comunicación / 192.168.82.253"/>
    <m/>
    <x v="3"/>
    <x v="6"/>
    <x v="0"/>
    <s v="X"/>
    <s v="X"/>
    <s v="X"/>
    <n v="2"/>
    <n v="4"/>
    <x v="0"/>
    <x v="0"/>
    <s v="Registro de logs"/>
    <s v="DETECTIVO"/>
    <x v="0"/>
    <x v="0"/>
    <s v="Falta de revisión de perfiles de acceso"/>
    <n v="2"/>
    <n v="2.8"/>
    <n v="5.6"/>
    <x v="0"/>
  </r>
  <r>
    <x v="26"/>
    <x v="26"/>
    <s v="Ruteador para enlaces de comunicación / 192.168.82.253"/>
    <m/>
    <x v="3"/>
    <x v="12"/>
    <x v="1"/>
    <m/>
    <m/>
    <s v="X"/>
    <n v="3"/>
    <n v="3"/>
    <x v="7"/>
    <x v="0"/>
    <s v="Gestión de vulnerabilidades"/>
    <s v="PREVENTIVO"/>
    <x v="0"/>
    <x v="2"/>
    <s v="Recursos tecnológicos insuficientes para remediación"/>
    <n v="1.8"/>
    <n v="3"/>
    <n v="5.399999999999999"/>
    <x v="0"/>
  </r>
  <r>
    <x v="27"/>
    <x v="27"/>
    <s v="Ruteador para enlaces de comunicación / 192.168.81.253"/>
    <m/>
    <x v="3"/>
    <x v="0"/>
    <x v="0"/>
    <s v="X"/>
    <s v="X"/>
    <s v="X"/>
    <n v="2"/>
    <n v="3"/>
    <x v="6"/>
    <x v="0"/>
    <s v="Control de cambios en los sistemas_x000a_Verificación posterior (informe)"/>
    <s v="ADMINISTRACION"/>
    <x v="0"/>
    <x v="0"/>
    <s v="No existe procedimiento formal de gestión de cambios"/>
    <n v="1.4"/>
    <n v="3"/>
    <n v="4.199999999999999"/>
    <x v="1"/>
  </r>
  <r>
    <x v="27"/>
    <x v="27"/>
    <s v="Ruteador para enlaces de comunicación / 192.168.81.253"/>
    <m/>
    <x v="3"/>
    <x v="4"/>
    <x v="3"/>
    <s v="X"/>
    <s v="X"/>
    <m/>
    <n v="2"/>
    <n v="4"/>
    <x v="0"/>
    <x v="0"/>
    <s v="Control de accesos / VPN"/>
    <s v="PREVENTIVO"/>
    <x v="0"/>
    <x v="0"/>
    <s v="Contreaseñas de VPN no expiran"/>
    <n v="1.4"/>
    <n v="4"/>
    <n v="5.6"/>
    <x v="0"/>
  </r>
  <r>
    <x v="27"/>
    <x v="27"/>
    <s v="Ruteador para enlaces de comunicación / 192.168.81.253"/>
    <m/>
    <x v="3"/>
    <x v="6"/>
    <x v="0"/>
    <s v="X"/>
    <s v="X"/>
    <s v="X"/>
    <n v="2"/>
    <n v="4"/>
    <x v="0"/>
    <x v="0"/>
    <s v="Registro de logs"/>
    <s v="DETECTIVO"/>
    <x v="0"/>
    <x v="0"/>
    <s v="Falta de revisión de perfiles de acceso"/>
    <n v="2"/>
    <n v="2.8"/>
    <n v="5.6"/>
    <x v="0"/>
  </r>
  <r>
    <x v="27"/>
    <x v="27"/>
    <s v="Ruteador para enlaces de comunicación / 192.168.81.253"/>
    <m/>
    <x v="3"/>
    <x v="12"/>
    <x v="1"/>
    <m/>
    <m/>
    <s v="X"/>
    <n v="3"/>
    <n v="3"/>
    <x v="7"/>
    <x v="0"/>
    <s v="Gestión de vulnerabilidades"/>
    <s v="PREVENTIVO"/>
    <x v="0"/>
    <x v="2"/>
    <s v="Recursos tecnológicos insuficientes para remediación"/>
    <n v="1.8"/>
    <n v="3"/>
    <n v="5.399999999999999"/>
    <x v="0"/>
  </r>
  <r>
    <x v="28"/>
    <x v="28"/>
    <s v="Ruteador para enlaces de comunicación"/>
    <m/>
    <x v="3"/>
    <x v="0"/>
    <x v="0"/>
    <s v="X"/>
    <s v="X"/>
    <s v="X"/>
    <n v="2"/>
    <n v="3"/>
    <x v="6"/>
    <x v="0"/>
    <s v="Control de cambios en los sistemas_x000a_Verificación posterior (informe)"/>
    <s v="ADMINISTRACION"/>
    <x v="0"/>
    <x v="0"/>
    <s v="No existe procedimiento formal de gestión de cambios"/>
    <n v="1.4"/>
    <n v="3"/>
    <n v="4.199999999999999"/>
    <x v="1"/>
  </r>
  <r>
    <x v="28"/>
    <x v="28"/>
    <s v="Ruteador para enlaces de comunicación"/>
    <m/>
    <x v="3"/>
    <x v="4"/>
    <x v="3"/>
    <s v="X"/>
    <s v="X"/>
    <m/>
    <n v="2"/>
    <n v="4"/>
    <x v="0"/>
    <x v="0"/>
    <s v="Control de accesos / VPN"/>
    <s v="PREVENTIVO"/>
    <x v="0"/>
    <x v="0"/>
    <s v="Contreaseñas de VPN no expiran"/>
    <n v="1.4"/>
    <n v="4"/>
    <n v="5.6"/>
    <x v="0"/>
  </r>
  <r>
    <x v="28"/>
    <x v="28"/>
    <s v="Ruteador para enlaces de comunicación"/>
    <m/>
    <x v="3"/>
    <x v="6"/>
    <x v="0"/>
    <s v="X"/>
    <s v="X"/>
    <s v="X"/>
    <n v="2"/>
    <n v="4"/>
    <x v="0"/>
    <x v="0"/>
    <s v="Registro de logs"/>
    <s v="DETECTIVO"/>
    <x v="0"/>
    <x v="0"/>
    <s v="Falta de revisión de perfiles de acceso"/>
    <n v="2"/>
    <n v="2.8"/>
    <n v="5.6"/>
    <x v="0"/>
  </r>
  <r>
    <x v="28"/>
    <x v="28"/>
    <s v="Ruteador para enlaces de comunicación"/>
    <m/>
    <x v="3"/>
    <x v="12"/>
    <x v="1"/>
    <m/>
    <m/>
    <s v="X"/>
    <n v="3"/>
    <n v="3"/>
    <x v="7"/>
    <x v="0"/>
    <s v="Gestión de vulnerabilidades"/>
    <s v="PREVENTIVO"/>
    <x v="0"/>
    <x v="2"/>
    <s v="Recursos tecnológicos insuficientes para remediación"/>
    <n v="1.8"/>
    <n v="3"/>
    <n v="5.399999999999999"/>
    <x v="0"/>
  </r>
  <r>
    <x v="29"/>
    <x v="29"/>
    <s v="SVR 192.168.100.145 que contiene Virtualizados: Servidor de Riesgos-Servidor PANDORA FMS Enterprise 7.0NG 760-Sistemas, WS Acceso Público"/>
    <m/>
    <x v="3"/>
    <x v="0"/>
    <x v="0"/>
    <s v="X"/>
    <s v="X"/>
    <s v="X"/>
    <n v="2"/>
    <n v="4"/>
    <x v="0"/>
    <x v="0"/>
    <s v="Control de cambios en los sistemas_x000a_Verificación posterior (informe)"/>
    <s v="ADMINISTRACION"/>
    <x v="0"/>
    <x v="0"/>
    <s v="No existe procedimiento formal de gestión de cambios"/>
    <n v="1.4"/>
    <n v="4"/>
    <n v="5.6"/>
    <x v="0"/>
  </r>
  <r>
    <x v="29"/>
    <x v="29"/>
    <s v="SVR 192.168.100.145 que contiene Virtualizados: Servidor de Riesgos-Servidor PANDORA FMS Enterprise 7.0NG 760-Sistemas, WS Acceso Público"/>
    <m/>
    <x v="3"/>
    <x v="9"/>
    <x v="1"/>
    <m/>
    <m/>
    <s v="X"/>
    <n v="3"/>
    <n v="5"/>
    <x v="9"/>
    <x v="3"/>
    <s v="Procedimiento de Gestión de la capacidad y desempeño de la Infraestructura"/>
    <s v="PREVENTIVO"/>
    <x v="0"/>
    <x v="0"/>
    <s v="Notificación automática de alertas"/>
    <n v="2.1"/>
    <n v="5"/>
    <n v="10.5"/>
    <x v="2"/>
  </r>
  <r>
    <x v="29"/>
    <x v="29"/>
    <s v="SVR 192.168.100.145 que contiene Virtualizados: Servidor de Riesgos-Servidor PANDORA FMS Enterprise 7.0NG 760-Sistemas, WS Acceso Público"/>
    <m/>
    <x v="3"/>
    <x v="4"/>
    <x v="3"/>
    <s v="X"/>
    <s v="X"/>
    <m/>
    <n v="2"/>
    <n v="4"/>
    <x v="0"/>
    <x v="0"/>
    <s v="Control de accesos / VPN"/>
    <s v="PREVENTIVO"/>
    <x v="0"/>
    <x v="0"/>
    <s v="Contreaseñas de VPN no expiran"/>
    <n v="1.4"/>
    <n v="4"/>
    <n v="5.6"/>
    <x v="0"/>
  </r>
  <r>
    <x v="29"/>
    <x v="29"/>
    <s v="SVR 192.168.100.145 que contiene Virtualizados: Servidor de Riesgos-Servidor PANDORA FMS Enterprise 7.0NG 760-Sistemas, WS Acceso Público"/>
    <m/>
    <x v="3"/>
    <x v="10"/>
    <x v="6"/>
    <s v="X"/>
    <m/>
    <s v="X"/>
    <n v="3"/>
    <n v="3"/>
    <x v="7"/>
    <x v="0"/>
    <s v="Control de accesos"/>
    <s v="PREVENTIVO"/>
    <x v="0"/>
    <x v="0"/>
    <s v="Usuarios genéricos"/>
    <n v="2.1"/>
    <n v="3"/>
    <n v="6.299999999999999"/>
    <x v="0"/>
  </r>
  <r>
    <x v="30"/>
    <x v="30"/>
    <s v="SVR 192.168.100.149 que contiene Virtualizados: Switch Transaccional Cajeros Automaticos PROSUPLY - Consola para Administracion Remota de Cajeros Automaticos- Consola para Administracion Remota de Cajeros Automaticos"/>
    <m/>
    <x v="3"/>
    <x v="0"/>
    <x v="0"/>
    <s v="X"/>
    <s v="X"/>
    <s v="X"/>
    <n v="2"/>
    <n v="4"/>
    <x v="0"/>
    <x v="0"/>
    <s v="Control de cambios en los sistemas_x000a_Verificación posterior (informe)"/>
    <s v="ADMINISTRACION"/>
    <x v="0"/>
    <x v="0"/>
    <s v="No existe procedimiento formal de gestión de cambios"/>
    <n v="1.4"/>
    <n v="4"/>
    <n v="5.6"/>
    <x v="0"/>
  </r>
  <r>
    <x v="30"/>
    <x v="30"/>
    <s v="SVR 192.168.100.149 que contiene Virtualizados: Switch Transaccional Cajeros Automaticos PROSUPLY - Consola para Administracion Remota de Cajeros Automaticos- Consola para Administracion Remota de Cajeros Automaticos"/>
    <m/>
    <x v="3"/>
    <x v="9"/>
    <x v="1"/>
    <m/>
    <m/>
    <s v="X"/>
    <n v="3"/>
    <n v="5"/>
    <x v="9"/>
    <x v="3"/>
    <s v="Procedimiento de Gestión de la capacidad y desempeño de la Infraestructura"/>
    <s v="PREVENTIVO"/>
    <x v="0"/>
    <x v="0"/>
    <s v="Notificación automática de alertas"/>
    <n v="2.1"/>
    <n v="5"/>
    <n v="10.5"/>
    <x v="2"/>
  </r>
  <r>
    <x v="30"/>
    <x v="30"/>
    <s v="SVR 192.168.100.149 que contiene Virtualizados: Switch Transaccional Cajeros Automaticos PROSUPLY - Consola para Administracion Remota de Cajeros Automaticos- Consola para Administracion Remota de Cajeros Automaticos"/>
    <m/>
    <x v="3"/>
    <x v="4"/>
    <x v="3"/>
    <s v="X"/>
    <s v="X"/>
    <m/>
    <n v="2"/>
    <n v="4"/>
    <x v="0"/>
    <x v="0"/>
    <s v="Control de accesos / VPN"/>
    <s v="PREVENTIVO"/>
    <x v="0"/>
    <x v="0"/>
    <s v="Contreaseñas de VPN no expiran"/>
    <n v="1.4"/>
    <n v="4"/>
    <n v="5.6"/>
    <x v="0"/>
  </r>
  <r>
    <x v="30"/>
    <x v="30"/>
    <s v="SVR 192.168.100.149 que contiene Virtualizados: Switch Transaccional Cajeros Automaticos PROSUPLY - Consola para Administracion Remota de Cajeros Automaticos- Consola para Administracion Remota de Cajeros Automaticos"/>
    <m/>
    <x v="3"/>
    <x v="10"/>
    <x v="6"/>
    <s v="X"/>
    <m/>
    <s v="X"/>
    <n v="3"/>
    <n v="3"/>
    <x v="7"/>
    <x v="0"/>
    <s v="Control de accesos"/>
    <s v="PREVENTIVO"/>
    <x v="0"/>
    <x v="0"/>
    <s v="Usuarios genéricos"/>
    <n v="2.1"/>
    <n v="3"/>
    <n v="6.299999999999999"/>
    <x v="0"/>
  </r>
  <r>
    <x v="31"/>
    <x v="31"/>
    <s v="AVR 192.168.100.146 que contiene virtualizados :  Servidor de Dominio (Active Directory) y DNS - Servidor Webcoop/Dynacoop/ Alertas SMS OTP Correo - Web Service Equifax, Bdd Sybase Riesgos - Servidor de Veeam Backup/ Servidor Impresión RICOH"/>
    <m/>
    <x v="3"/>
    <x v="0"/>
    <x v="0"/>
    <s v="X"/>
    <s v="X"/>
    <s v="X"/>
    <n v="2"/>
    <n v="4"/>
    <x v="0"/>
    <x v="0"/>
    <s v="Control de cambios en los sistemas_x000a_Verificación posterior (informe)"/>
    <s v="ADMINISTRACION"/>
    <x v="0"/>
    <x v="0"/>
    <s v="No existe procedimiento formal de gestión de cambios"/>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9"/>
    <x v="1"/>
    <m/>
    <m/>
    <s v="X"/>
    <n v="3"/>
    <n v="5"/>
    <x v="9"/>
    <x v="3"/>
    <s v="Procedimiento de Gestión de la capacidad y desempeño de la Infraestructura"/>
    <s v="PREVENTIVO"/>
    <x v="0"/>
    <x v="0"/>
    <s v="Notificación automática de alertas"/>
    <n v="2.1"/>
    <n v="5"/>
    <n v="10.5"/>
    <x v="2"/>
  </r>
  <r>
    <x v="31"/>
    <x v="31"/>
    <s v="AVR 192.168.100.146 que contiene virtualizados :  Servidor de Dominio (Active Directory) y DNS - Servidor Webcoop/Dynacoop/ Alertas SMS OTP Correo - Web Service Equifax, Bdd Sybase Riesgos - Servidor de Veeam Backup/ Servidor Impresión RICOH"/>
    <m/>
    <x v="3"/>
    <x v="4"/>
    <x v="3"/>
    <s v="X"/>
    <s v="X"/>
    <m/>
    <n v="2"/>
    <n v="4"/>
    <x v="0"/>
    <x v="0"/>
    <s v="Control de accesos / VPN"/>
    <s v="PREVENTIVO"/>
    <x v="0"/>
    <x v="0"/>
    <s v="Contreaseñas de VPN no expiran"/>
    <n v="1.4"/>
    <n v="4"/>
    <n v="5.6"/>
    <x v="0"/>
  </r>
  <r>
    <x v="31"/>
    <x v="31"/>
    <s v="AVR 192.168.100.146 que contiene virtualizados :  Servidor de Dominio (Active Directory) y DNS - Servidor Webcoop/Dynacoop/ Alertas SMS OTP Correo - Web Service Equifax, Bdd Sybase Riesgos - Servidor de Veeam Backup/ Servidor Impresión RICOH"/>
    <m/>
    <x v="3"/>
    <x v="10"/>
    <x v="6"/>
    <s v="X"/>
    <m/>
    <s v="X"/>
    <n v="3"/>
    <n v="3"/>
    <x v="7"/>
    <x v="0"/>
    <s v="Control de accesos"/>
    <s v="PREVENTIVO"/>
    <x v="0"/>
    <x v="0"/>
    <s v="Usuarios genéricos"/>
    <n v="2.1"/>
    <n v="3"/>
    <n v="6.299999999999999"/>
    <x v="0"/>
  </r>
  <r>
    <x v="32"/>
    <x v="32"/>
    <s v="SVR 192.168.100.242 que contiene virtualizados : Oracle VM Manager"/>
    <m/>
    <x v="3"/>
    <x v="0"/>
    <x v="0"/>
    <s v="X"/>
    <s v="X"/>
    <s v="X"/>
    <n v="2"/>
    <n v="4"/>
    <x v="0"/>
    <x v="0"/>
    <s v="Control de cambios en los sistemas_x000a_Verificación posterior (informe)"/>
    <s v="ADMINISTRACION"/>
    <x v="0"/>
    <x v="0"/>
    <s v="No existe procedimiento formal de gestión de cambios"/>
    <n v="1.4"/>
    <n v="4"/>
    <n v="5.6"/>
    <x v="0"/>
  </r>
  <r>
    <x v="32"/>
    <x v="32"/>
    <s v="SVR 192.168.100.242 que contiene virtualizados : Oracle VM Manager"/>
    <m/>
    <x v="3"/>
    <x v="9"/>
    <x v="1"/>
    <m/>
    <m/>
    <s v="X"/>
    <n v="3"/>
    <n v="5"/>
    <x v="9"/>
    <x v="3"/>
    <s v="Procedimiento de Gestión de la capacidad y desempeño de la Infraestructura"/>
    <s v="PREVENTIVO"/>
    <x v="0"/>
    <x v="0"/>
    <s v="Notificación automática de alertas"/>
    <n v="2.1"/>
    <n v="5"/>
    <n v="10.5"/>
    <x v="2"/>
  </r>
  <r>
    <x v="32"/>
    <x v="32"/>
    <s v="SVR 192.168.100.242 que contiene virtualizados : Oracle VM Manager"/>
    <m/>
    <x v="3"/>
    <x v="4"/>
    <x v="3"/>
    <s v="X"/>
    <s v="X"/>
    <m/>
    <n v="2"/>
    <n v="4"/>
    <x v="0"/>
    <x v="0"/>
    <s v="Control de accesos / VPN"/>
    <s v="PREVENTIVO"/>
    <x v="0"/>
    <x v="0"/>
    <s v="Contreaseñas de VPN no expiran"/>
    <n v="1.4"/>
    <n v="4"/>
    <n v="5.6"/>
    <x v="0"/>
  </r>
  <r>
    <x v="32"/>
    <x v="32"/>
    <s v="SVR 192.168.100.242 que contiene virtualizados : Oracle VM Manager"/>
    <m/>
    <x v="3"/>
    <x v="10"/>
    <x v="6"/>
    <s v="X"/>
    <m/>
    <s v="X"/>
    <n v="3"/>
    <n v="3"/>
    <x v="7"/>
    <x v="0"/>
    <s v="Control de accesos"/>
    <s v="PREVENTIVO"/>
    <x v="0"/>
    <x v="0"/>
    <s v="Usuarios genéricos"/>
    <n v="2.1"/>
    <n v="3"/>
    <n v="6.299999999999999"/>
    <x v="0"/>
  </r>
  <r>
    <x v="33"/>
    <x v="33"/>
    <s v="Funcionarios con el cargo de Administrador de Comunicación e Infraestructura - Consolas Operador Oracle VM - Web Service SERVIPAGOS"/>
    <m/>
    <x v="5"/>
    <x v="14"/>
    <x v="1"/>
    <m/>
    <m/>
    <s v="X"/>
    <n v="2"/>
    <n v="3"/>
    <x v="6"/>
    <x v="0"/>
    <s v="Plan de continuidad documentado"/>
    <s v="RECUPERACION"/>
    <x v="0"/>
    <x v="0"/>
    <s v="Dependencia de personal clave"/>
    <n v="2"/>
    <n v="2.1"/>
    <n v="4.199999999999999"/>
    <x v="1"/>
  </r>
  <r>
    <x v="34"/>
    <x v="18"/>
    <s v="Funcionarios con el cargo de Administrador de Base de Datos"/>
    <m/>
    <x v="5"/>
    <x v="14"/>
    <x v="1"/>
    <m/>
    <m/>
    <s v="X"/>
    <n v="2"/>
    <n v="3"/>
    <x v="6"/>
    <x v="0"/>
    <s v="Plan de continuidad documentado"/>
    <s v="RECUPERACION"/>
    <x v="0"/>
    <x v="0"/>
    <s v="Dependencia de personal clave"/>
    <n v="2"/>
    <n v="2.1"/>
    <n v="4.199999999999999"/>
    <x v="1"/>
  </r>
  <r>
    <x v="35"/>
    <x v="34"/>
    <s v="Escritura del bien inmueble que se va adjudicar con autorización del Gerente. G"/>
    <m/>
    <x v="1"/>
    <x v="3"/>
    <x v="2"/>
    <s v="X"/>
    <m/>
    <m/>
    <n v="3"/>
    <n v="4"/>
    <x v="5"/>
    <x v="3"/>
    <s v="Software DLP"/>
    <s v="PREVENTIVO"/>
    <x v="0"/>
    <x v="0"/>
    <s v="Politicas sin restricción para jefaturas"/>
    <n v="2.1"/>
    <n v="4"/>
    <n v="8.399999999999999"/>
    <x v="0"/>
  </r>
  <r>
    <x v="35"/>
    <x v="34"/>
    <s v="Escritura del bien inmueble que se va adjudicar con autorización del Gerente. G"/>
    <m/>
    <x v="1"/>
    <x v="1"/>
    <x v="1"/>
    <m/>
    <m/>
    <s v="X"/>
    <n v="3"/>
    <n v="3"/>
    <x v="7"/>
    <x v="0"/>
    <s v="Respaldo digital de información"/>
    <s v="PREVENTIVO"/>
    <x v="0"/>
    <x v="0"/>
    <s v="Almacenamiento manual en medio extraible"/>
    <n v="2.1"/>
    <n v="3"/>
    <n v="6.299999999999999"/>
    <x v="0"/>
  </r>
  <r>
    <x v="36"/>
    <x v="35"/>
    <s v="Pagos que se realiza a los proveedores en cheques"/>
    <m/>
    <x v="1"/>
    <x v="1"/>
    <x v="1"/>
    <m/>
    <m/>
    <s v="X"/>
    <n v="3"/>
    <n v="3"/>
    <x v="7"/>
    <x v="0"/>
    <s v="Respaldo digital de información"/>
    <s v="PREVENTIVO"/>
    <x v="0"/>
    <x v="0"/>
    <s v="Almacenamiento manual en medio extraible"/>
    <n v="2.1"/>
    <n v="3"/>
    <n v="6.299999999999999"/>
    <x v="0"/>
  </r>
  <r>
    <x v="37"/>
    <x v="36"/>
    <s v="Pre cancelación de inversiones Cancelación de inversiones Renovación de inversiones"/>
    <m/>
    <x v="1"/>
    <x v="1"/>
    <x v="1"/>
    <m/>
    <m/>
    <s v="X"/>
    <n v="3"/>
    <n v="3"/>
    <x v="7"/>
    <x v="0"/>
    <s v="Respaldo digital de información"/>
    <s v="PREVENTIVO"/>
    <x v="0"/>
    <x v="0"/>
    <s v="Almacenamiento manual en medio extraible"/>
    <n v="2.1"/>
    <n v="3"/>
    <n v="6.299999999999999"/>
    <x v="0"/>
  </r>
  <r>
    <x v="38"/>
    <x v="37"/>
    <s v="Sobres que contienen las claves de contingencia"/>
    <m/>
    <x v="1"/>
    <x v="1"/>
    <x v="1"/>
    <m/>
    <m/>
    <s v="X"/>
    <n v="2"/>
    <n v="5"/>
    <x v="10"/>
    <x v="3"/>
    <s v="Respaldo digital de información"/>
    <s v="PREVENTIVO"/>
    <x v="0"/>
    <x v="0"/>
    <s v="Almacenamiento manual en medio extraible"/>
    <n v="1.4"/>
    <n v="5"/>
    <n v="7"/>
    <x v="0"/>
  </r>
  <r>
    <x v="39"/>
    <x v="38"/>
    <s v="Formulario de registro de activación y desactivación, responsables y justificación"/>
    <m/>
    <x v="1"/>
    <x v="3"/>
    <x v="2"/>
    <s v="X"/>
    <m/>
    <m/>
    <n v="3"/>
    <n v="2"/>
    <x v="6"/>
    <x v="0"/>
    <s v="Software DLP"/>
    <s v="PREVENTIVO"/>
    <x v="0"/>
    <x v="0"/>
    <s v="Politicas sin restricción para jefaturas"/>
    <n v="2.1"/>
    <n v="2"/>
    <n v="4.199999999999999"/>
    <x v="1"/>
  </r>
  <r>
    <x v="40"/>
    <x v="39"/>
    <s v="Contrato receptado por Jurídico Físico o digital con sumilla legalizado por los responsables, y se entrega jurídico el físico y el digital se sube a SARA."/>
    <s v="SISTEMAS DE INFORMACIÓN CORPORATIVOS"/>
    <x v="1"/>
    <x v="15"/>
    <x v="0"/>
    <s v="X"/>
    <s v="X"/>
    <s v="X"/>
    <n v="3"/>
    <n v="3"/>
    <x v="7"/>
    <x v="0"/>
    <s v="Sortware DLP /Políticas de uso de información contractual"/>
    <s v="PREVENTIVO"/>
    <x v="0"/>
    <x v="0"/>
    <s v="Documentación sencible sin cifrar"/>
    <n v="2.1"/>
    <n v="3"/>
    <n v="6.299999999999999"/>
    <x v="0"/>
  </r>
  <r>
    <x v="40"/>
    <x v="39"/>
    <s v="Contrato receptado por Jurídico Físico o digital con sumilla legalizado por los responsables, y se entrega jurídico el físico y el digital se sube a SARA."/>
    <s v="SISTEMAS DE INFORMACIÓN CORPORATIVOS"/>
    <x v="1"/>
    <x v="1"/>
    <x v="1"/>
    <m/>
    <m/>
    <s v="X"/>
    <n v="2"/>
    <n v="4"/>
    <x v="0"/>
    <x v="0"/>
    <s v="Respaldo digital de información"/>
    <s v="PREVENTIVO"/>
    <x v="0"/>
    <x v="0"/>
    <s v="-"/>
    <n v="1.4"/>
    <n v="4"/>
    <n v="5.6"/>
    <x v="0"/>
  </r>
  <r>
    <x v="41"/>
    <x v="40"/>
    <s v="Archivo de registro que cuenta con el detalle de la cartera a transferir"/>
    <s v="DISCOS DUROS, SERVIDORES, DISCOS O MEDIOS PORTÁTILES, CINTAS O MEDIOS DE VIDEO Y AUDIO, ETC."/>
    <x v="1"/>
    <x v="3"/>
    <x v="2"/>
    <s v="X"/>
    <m/>
    <m/>
    <n v="3"/>
    <n v="4"/>
    <x v="5"/>
    <x v="3"/>
    <s v="Software DLP"/>
    <s v="PREVENTIVO"/>
    <x v="0"/>
    <x v="0"/>
    <s v="Politicas sin restricción para jefaturas"/>
    <n v="2.1"/>
    <n v="4"/>
    <n v="8.399999999999999"/>
    <x v="0"/>
  </r>
  <r>
    <x v="41"/>
    <x v="40"/>
    <s v="Archivo de registro que cuenta con el detalle de la cartera a transferir"/>
    <s v="DISCOS DUROS, SERVIDORES, DISCOS O MEDIOS PORTÁTILES, CINTAS O MEDIOS DE VIDEO Y AUDIO, ETC."/>
    <x v="1"/>
    <x v="1"/>
    <x v="1"/>
    <m/>
    <m/>
    <s v="X"/>
    <n v="2"/>
    <n v="2"/>
    <x v="1"/>
    <x v="1"/>
    <s v="Respaldo digital de información"/>
    <s v="PREVENTIVO"/>
    <x v="0"/>
    <x v="0"/>
    <s v="Almacenamiento sin prueba de efectividad"/>
    <n v="1.4"/>
    <n v="2"/>
    <n v="2.8"/>
    <x v="1"/>
  </r>
  <r>
    <x v="42"/>
    <x v="41"/>
    <s v="Escritura de hipoteca que realiza el socio y se recepta el físico"/>
    <s v="DOCUMENTO DE ARCHIVO-FÍSICO"/>
    <x v="1"/>
    <x v="15"/>
    <x v="0"/>
    <s v="X"/>
    <s v="X"/>
    <s v="X"/>
    <n v="3"/>
    <n v="3"/>
    <x v="7"/>
    <x v="0"/>
    <s v="Sortware DLP /Políticas de uso de información contractual"/>
    <s v="PREVENTIVO"/>
    <x v="0"/>
    <x v="0"/>
    <s v="Documentación sencible sin cifrar"/>
    <n v="2.1"/>
    <n v="3"/>
    <n v="6.299999999999999"/>
    <x v="0"/>
  </r>
  <r>
    <x v="42"/>
    <x v="41"/>
    <s v="Escritura de hipoteca que realiza el socio y se recepta el físico"/>
    <s v="DOCUMENTO DE ARCHIVO-FÍSICO"/>
    <x v="1"/>
    <x v="1"/>
    <x v="1"/>
    <m/>
    <m/>
    <s v="X"/>
    <n v="2"/>
    <n v="3"/>
    <x v="6"/>
    <x v="0"/>
    <s v="Respaldo digital de información"/>
    <s v="PREVENTIVO"/>
    <x v="0"/>
    <x v="0"/>
    <s v="Almacenamiento sin prueba de efectividad"/>
    <n v="1.4"/>
    <n v="3"/>
    <n v="4.199999999999999"/>
    <x v="1"/>
  </r>
  <r>
    <x v="43"/>
    <x v="42"/>
    <s v="Convenio de compra de cartera aprobado por GG y certificado por el CAD"/>
    <s v="DOCUMENTO DE ARCHIVO-FÍSICO"/>
    <x v="1"/>
    <x v="15"/>
    <x v="0"/>
    <s v="X"/>
    <s v="X"/>
    <s v="X"/>
    <n v="3"/>
    <n v="3"/>
    <x v="7"/>
    <x v="0"/>
    <s v="Sortware DLP /Políticas de uso de información contractual"/>
    <s v="PREVENTIVO"/>
    <x v="0"/>
    <x v="0"/>
    <s v="Documentación sencible sin cifrar"/>
    <n v="2.1"/>
    <n v="3"/>
    <n v="6.299999999999999"/>
    <x v="0"/>
  </r>
  <r>
    <x v="43"/>
    <x v="42"/>
    <s v="Convenio de compra de cartera aprobado por GG y certificado por el CAD"/>
    <s v="DOCUMENTO DE ARCHIVO-FÍSICO"/>
    <x v="1"/>
    <x v="1"/>
    <x v="1"/>
    <m/>
    <m/>
    <s v="X"/>
    <n v="2"/>
    <n v="3"/>
    <x v="6"/>
    <x v="0"/>
    <s v="Respaldo digital de información"/>
    <s v="PREVENTIVO"/>
    <x v="0"/>
    <x v="0"/>
    <s v="Almacenamiento sin prueba de efectividad"/>
    <n v="1.4"/>
    <n v="3"/>
    <n v="4.199999999999999"/>
    <x v="1"/>
  </r>
  <r>
    <x v="44"/>
    <x v="43"/>
    <s v="Documentación física resultante del proceso de compra de cartera "/>
    <s v="DOCUMENTO DE ARCHIVO-FÍSICO"/>
    <x v="1"/>
    <x v="3"/>
    <x v="2"/>
    <s v="X"/>
    <m/>
    <m/>
    <n v="3"/>
    <n v="3"/>
    <x v="7"/>
    <x v="0"/>
    <s v="Simulacros"/>
    <s v="PREVENTIVO"/>
    <x v="1"/>
    <x v="1"/>
    <s v="-"/>
    <n v="0.5999999999999999"/>
    <n v="3"/>
    <n v="1.8"/>
    <x v="1"/>
  </r>
  <r>
    <x v="44"/>
    <x v="43"/>
    <s v="Documentación física resultante del proceso de compra de cartera "/>
    <s v="DOCUMENTO DE ARCHIVO-FÍSICO"/>
    <x v="1"/>
    <x v="1"/>
    <x v="1"/>
    <m/>
    <m/>
    <s v="X"/>
    <n v="2"/>
    <n v="4"/>
    <x v="0"/>
    <x v="0"/>
    <s v="Respaldo digital de información"/>
    <s v="PREVENTIVO"/>
    <x v="0"/>
    <x v="0"/>
    <s v="Almacenamiento sin prueba de efectividad"/>
    <n v="1.4"/>
    <n v="4"/>
    <n v="5.6"/>
    <x v="0"/>
  </r>
  <r>
    <x v="45"/>
    <x v="44"/>
    <s v="Documentación digital resultante del proceso de compra de cartera "/>
    <s v="DISCOS DUROS, SERVIDORES, DISCOS O MEDIOS PORTÁTILES, CINTAS O MEDIOS DE VIDEO Y AUDIO, ETC."/>
    <x v="1"/>
    <x v="15"/>
    <x v="0"/>
    <s v="X"/>
    <s v="X"/>
    <s v="X"/>
    <n v="2"/>
    <n v="4"/>
    <x v="0"/>
    <x v="0"/>
    <s v="Sortware DLP /Políticas de uso de información contractual"/>
    <s v="PREVENTIVO"/>
    <x v="0"/>
    <x v="0"/>
    <s v="Documentación sencible sin cifrar"/>
    <n v="1.4"/>
    <n v="4"/>
    <n v="5.6"/>
    <x v="0"/>
  </r>
  <r>
    <x v="45"/>
    <x v="44"/>
    <s v="Documentación digital resultante del proceso de compra de cartera "/>
    <s v="DISCOS DUROS, SERVIDORES, DISCOS O MEDIOS PORTÁTILES, CINTAS O MEDIOS DE VIDEO Y AUDIO, ETC."/>
    <x v="1"/>
    <x v="1"/>
    <x v="1"/>
    <m/>
    <m/>
    <s v="X"/>
    <n v="2"/>
    <n v="4"/>
    <x v="0"/>
    <x v="0"/>
    <s v="Respaldo digital de información"/>
    <s v="PREVENTIVO"/>
    <x v="0"/>
    <x v="0"/>
    <s v="Almacenamiento sin prueba de efectividad"/>
    <n v="1.4"/>
    <n v="4"/>
    <n v="5.6"/>
    <x v="0"/>
  </r>
  <r>
    <x v="46"/>
    <x v="45"/>
    <s v="Garantías de pagarés recibidas por el proveedor"/>
    <s v="DOCUMENTO DE ARCHIVO-FÍSICO"/>
    <x v="1"/>
    <x v="15"/>
    <x v="0"/>
    <s v="X"/>
    <s v="X"/>
    <s v="X"/>
    <n v="3"/>
    <n v="2"/>
    <x v="6"/>
    <x v="0"/>
    <s v="Sortware DLP /Políticas de uso de información contractual"/>
    <s v="PREVENTIVO"/>
    <x v="0"/>
    <x v="0"/>
    <s v="Documentación sencible sin cifrar"/>
    <n v="2.1"/>
    <n v="2"/>
    <n v="4.199999999999999"/>
    <x v="1"/>
  </r>
  <r>
    <x v="46"/>
    <x v="45"/>
    <s v="Garantías de pagarés recibidas por el proveedor"/>
    <s v="DOCUMENTO DE ARCHIVO-FÍSICO"/>
    <x v="1"/>
    <x v="1"/>
    <x v="1"/>
    <m/>
    <m/>
    <s v="X"/>
    <n v="2"/>
    <n v="3"/>
    <x v="6"/>
    <x v="0"/>
    <s v="Respaldo digital de información"/>
    <s v="PREVENTIVO"/>
    <x v="0"/>
    <x v="0"/>
    <s v="Almacenamiento sin prueba de efectividad"/>
    <n v="1.4"/>
    <n v="3"/>
    <n v="4.199999999999999"/>
    <x v="1"/>
  </r>
  <r>
    <x v="47"/>
    <x v="46"/>
    <s v="Documentos de pólizas enviadas a Tesorería,   así como los pagares endosados hipotecas y pólizas de seguro para el archivo bajo custodio"/>
    <s v="DOCUMENTO DE ARCHIVO-FÍSICO"/>
    <x v="1"/>
    <x v="15"/>
    <x v="0"/>
    <s v="X"/>
    <s v="X"/>
    <s v="X"/>
    <n v="2"/>
    <n v="2"/>
    <x v="1"/>
    <x v="1"/>
    <s v="Sortware DLP /Políticas de uso de información contractual"/>
    <s v="PREVENTIVO"/>
    <x v="0"/>
    <x v="0"/>
    <s v="Documentación sencible sin cifrar"/>
    <n v="1.4"/>
    <n v="2"/>
    <n v="2.8"/>
    <x v="1"/>
  </r>
  <r>
    <x v="47"/>
    <x v="46"/>
    <s v="Documentos de pólizas enviadas a Tesorería,   así como los pagares endosados hipotecas y pólizas de seguro para el archivo bajo custodio"/>
    <s v="DOCUMENTO DE ARCHIVO-FÍSICO"/>
    <x v="1"/>
    <x v="1"/>
    <x v="1"/>
    <m/>
    <m/>
    <s v="X"/>
    <n v="2"/>
    <n v="3"/>
    <x v="6"/>
    <x v="0"/>
    <s v="Respaldo digital de información"/>
    <s v="PREVENTIVO"/>
    <x v="0"/>
    <x v="0"/>
    <s v="Almacenamiento sin prueba de efectividad"/>
    <n v="1.4"/>
    <n v="3"/>
    <n v="4.199999999999999"/>
    <x v="1"/>
  </r>
  <r>
    <x v="48"/>
    <x v="47"/>
    <s v="Pagaré otorgado por el proveedor"/>
    <s v="DOCUMENTO DE ARCHIVO-FÍSICO"/>
    <x v="1"/>
    <x v="3"/>
    <x v="2"/>
    <s v="X"/>
    <m/>
    <m/>
    <n v="2"/>
    <n v="3"/>
    <x v="6"/>
    <x v="0"/>
    <s v="Simulacros"/>
    <s v="PREVENTIVO"/>
    <x v="1"/>
    <x v="1"/>
    <s v="-"/>
    <n v="0.3999999999999999"/>
    <n v="3"/>
    <n v="1.2"/>
    <x v="1"/>
  </r>
  <r>
    <x v="48"/>
    <x v="47"/>
    <s v="Pagaré otorgado por el proveedor"/>
    <s v="DOCUMENTO DE ARCHIVO-FÍSICO"/>
    <x v="1"/>
    <x v="1"/>
    <x v="1"/>
    <m/>
    <m/>
    <s v="X"/>
    <n v="2"/>
    <n v="3"/>
    <x v="6"/>
    <x v="0"/>
    <s v="Respaldo digital de información"/>
    <s v="PREVENTIVO"/>
    <x v="0"/>
    <x v="0"/>
    <s v="Almacenamiento sin prueba de efectividad"/>
    <n v="1.4"/>
    <n v="3"/>
    <n v="4.199999999999999"/>
    <x v="1"/>
  </r>
  <r>
    <x v="49"/>
    <x v="48"/>
    <s v="Póliza de seguro vehicular de las operaciones canceladas"/>
    <s v="DOCUMENTO DE ARCHIVO-FÍSICO"/>
    <x v="1"/>
    <x v="15"/>
    <x v="0"/>
    <s v="X"/>
    <s v="X"/>
    <s v="X"/>
    <n v="2"/>
    <n v="2"/>
    <x v="1"/>
    <x v="1"/>
    <s v="Sortware DLP /Políticas de uso de información contractual"/>
    <s v="PREVENTIVO"/>
    <x v="0"/>
    <x v="0"/>
    <s v="Documentación sencible sin cifrar"/>
    <n v="1.4"/>
    <n v="2"/>
    <n v="2.8"/>
    <x v="1"/>
  </r>
  <r>
    <x v="49"/>
    <x v="48"/>
    <s v="Póliza de seguro vehicular de las operaciones canceladas"/>
    <s v="DOCUMENTO DE ARCHIVO-FÍSICO"/>
    <x v="1"/>
    <x v="1"/>
    <x v="1"/>
    <m/>
    <m/>
    <s v="X"/>
    <n v="2"/>
    <n v="2"/>
    <x v="1"/>
    <x v="1"/>
    <s v="Respaldo digital de información"/>
    <s v="PREVENTIVO"/>
    <x v="0"/>
    <x v="0"/>
    <s v="Almacenamiento sin prueba de efectividad"/>
    <n v="1.4"/>
    <n v="2"/>
    <n v="2.8"/>
    <x v="1"/>
  </r>
  <r>
    <x v="50"/>
    <x v="49"/>
    <s v="Reporte de cartera a venderse de acuerdo con los requerimientos del proveedor"/>
    <s v="DISCOS DUROS, SERVIDORES, DISCOS O MEDIOS PORTÁTILES, CINTAS O MEDIOS DE VIDEO Y AUDIO, ETC."/>
    <x v="1"/>
    <x v="3"/>
    <x v="2"/>
    <s v="X"/>
    <m/>
    <m/>
    <n v="3"/>
    <n v="4"/>
    <x v="5"/>
    <x v="3"/>
    <s v="Software DLP"/>
    <s v="PREVENTIVO"/>
    <x v="0"/>
    <x v="0"/>
    <s v="Politicas sin restricción para jefaturas"/>
    <n v="2.1"/>
    <n v="4"/>
    <n v="8.399999999999999"/>
    <x v="0"/>
  </r>
  <r>
    <x v="50"/>
    <x v="49"/>
    <s v="Reporte de cartera a venderse de acuerdo con los requerimientos del proveedor"/>
    <s v="DISCOS DUROS, SERVIDORES, DISCOS O MEDIOS PORTÁTILES, CINTAS O MEDIOS DE VIDEO Y AUDIO, ETC."/>
    <x v="1"/>
    <x v="1"/>
    <x v="1"/>
    <m/>
    <m/>
    <s v="X"/>
    <n v="2"/>
    <n v="2"/>
    <x v="1"/>
    <x v="1"/>
    <s v="Respaldo digital de información"/>
    <s v="PREVENTIVO"/>
    <x v="0"/>
    <x v="0"/>
    <s v="Almacenamiento sin prueba de efectividad"/>
    <n v="1.4"/>
    <n v="2"/>
    <n v="2.8"/>
    <x v="1"/>
  </r>
  <r>
    <x v="51"/>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1"/>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2"/>
    <x v="50"/>
    <s v="Archivos de sonido donde se evidencia la gestión de la campaña"/>
    <s v="PORTALES, INTRANET Y EXTRANET"/>
    <x v="1"/>
    <x v="3"/>
    <x v="2"/>
    <s v="X"/>
    <m/>
    <m/>
    <n v="3"/>
    <n v="2"/>
    <x v="6"/>
    <x v="0"/>
    <s v="Software DLP"/>
    <s v="PREVENTIVO"/>
    <x v="0"/>
    <x v="0"/>
    <s v="Politicas sin restricción para jefaturas"/>
    <n v="2.1"/>
    <n v="2"/>
    <n v="4.199999999999999"/>
    <x v="1"/>
  </r>
  <r>
    <x v="52"/>
    <x v="50"/>
    <s v="Archivos de sonido donde se evidencia la gestión de la campaña"/>
    <s v="PORTALES, INTRANET Y EXTRANET"/>
    <x v="1"/>
    <x v="1"/>
    <x v="1"/>
    <m/>
    <m/>
    <s v="X"/>
    <n v="2"/>
    <n v="3"/>
    <x v="6"/>
    <x v="0"/>
    <s v="Respaldo digital de información"/>
    <s v="PREVENTIVO"/>
    <x v="0"/>
    <x v="0"/>
    <s v="Almacenamiento sin prueba de efectividad"/>
    <n v="1.4"/>
    <n v="3"/>
    <n v="4.199999999999999"/>
    <x v="1"/>
  </r>
  <r>
    <x v="53"/>
    <x v="50"/>
    <s v="Audio de la llamada realizada por el gestor telefónica"/>
    <s v="PORTALES, INTRANET Y EXTRANET"/>
    <x v="1"/>
    <x v="3"/>
    <x v="2"/>
    <s v="X"/>
    <m/>
    <m/>
    <n v="3"/>
    <n v="2"/>
    <x v="6"/>
    <x v="0"/>
    <s v="Software DLP"/>
    <s v="PREVENTIVO"/>
    <x v="0"/>
    <x v="0"/>
    <s v="Politicas sin restricción para jefaturas"/>
    <n v="2.1"/>
    <n v="2"/>
    <n v="4.199999999999999"/>
    <x v="1"/>
  </r>
  <r>
    <x v="53"/>
    <x v="50"/>
    <s v="Audio de la llamada realizada por el gestor telefónica"/>
    <s v="PORTALES, INTRANET Y EXTRANET"/>
    <x v="1"/>
    <x v="1"/>
    <x v="1"/>
    <m/>
    <m/>
    <s v="X"/>
    <n v="2"/>
    <n v="3"/>
    <x v="6"/>
    <x v="0"/>
    <s v="Respaldo digital de información"/>
    <s v="PREVENTIVO"/>
    <x v="0"/>
    <x v="0"/>
    <s v="Almacenamiento sin prueba de efectividad"/>
    <n v="1.4"/>
    <n v="3"/>
    <n v="4.199999999999999"/>
    <x v="1"/>
  </r>
  <r>
    <x v="54"/>
    <x v="50"/>
    <s v="Audio de la llamada realizada por el gestor telefónico"/>
    <s v="PORTALES, INTRANET Y EXTRANET"/>
    <x v="1"/>
    <x v="3"/>
    <x v="2"/>
    <s v="X"/>
    <m/>
    <m/>
    <n v="3"/>
    <n v="2"/>
    <x v="6"/>
    <x v="0"/>
    <s v="Software DLP"/>
    <s v="PREVENTIVO"/>
    <x v="0"/>
    <x v="0"/>
    <s v="Politicas sin restricción para jefaturas"/>
    <n v="2.1"/>
    <n v="2"/>
    <n v="4.199999999999999"/>
    <x v="1"/>
  </r>
  <r>
    <x v="54"/>
    <x v="50"/>
    <s v="Audio de la llamada realizada por el gestor telefónico"/>
    <s v="PORTALES, INTRANET Y EXTRANET"/>
    <x v="1"/>
    <x v="1"/>
    <x v="1"/>
    <m/>
    <m/>
    <s v="X"/>
    <n v="2"/>
    <n v="3"/>
    <x v="6"/>
    <x v="0"/>
    <s v="Respaldo digital de información"/>
    <s v="PREVENTIVO"/>
    <x v="0"/>
    <x v="0"/>
    <s v="Almacenamiento sin prueba de efectividad"/>
    <n v="1.4"/>
    <n v="3"/>
    <n v="4.199999999999999"/>
    <x v="1"/>
  </r>
  <r>
    <x v="55"/>
    <x v="51"/>
    <s v="Reporte de clientes validados y registrados"/>
    <s v="DISCOS DUROS, SERVIDORES, DISCOS O MEDIOS PORTÁTILES, CINTAS O MEDIOS DE VIDEO Y AUDIO, ETC."/>
    <x v="1"/>
    <x v="15"/>
    <x v="0"/>
    <s v="X"/>
    <s v="X"/>
    <s v="X"/>
    <n v="4"/>
    <n v="4"/>
    <x v="4"/>
    <x v="3"/>
    <s v="Sortware DLP /Políticas de uso de información contractual"/>
    <s v="PREVENTIVO"/>
    <x v="0"/>
    <x v="0"/>
    <s v="Documentación sencible sin cifrar"/>
    <n v="2.8"/>
    <n v="4"/>
    <n v="11.2"/>
    <x v="2"/>
  </r>
  <r>
    <x v="55"/>
    <x v="51"/>
    <s v="Reporte de clientes validados y registrados"/>
    <s v="DISCOS DUROS, SERVIDORES, DISCOS O MEDIOS PORTÁTILES, CINTAS O MEDIOS DE VIDEO Y AUDIO, ETC."/>
    <x v="1"/>
    <x v="1"/>
    <x v="1"/>
    <m/>
    <m/>
    <s v="X"/>
    <n v="2"/>
    <n v="3"/>
    <x v="6"/>
    <x v="0"/>
    <s v="Respaldo digital de información"/>
    <s v="PREVENTIVO"/>
    <x v="0"/>
    <x v="0"/>
    <s v="Almacenamiento sin prueba de efectividad"/>
    <n v="1.4"/>
    <n v="3"/>
    <n v="4.199999999999999"/>
    <x v="1"/>
  </r>
  <r>
    <x v="56"/>
    <x v="50"/>
    <s v="Audio de la llamada realizada por el gestor telefónico"/>
    <s v="PORTALES, INTRANET Y EXTRANET"/>
    <x v="1"/>
    <x v="3"/>
    <x v="2"/>
    <s v="X"/>
    <m/>
    <m/>
    <n v="3"/>
    <n v="2"/>
    <x v="6"/>
    <x v="0"/>
    <s v="Software DLP"/>
    <s v="PREVENTIVO"/>
    <x v="0"/>
    <x v="0"/>
    <s v="Politicas sin restricción para jefaturas"/>
    <n v="2.1"/>
    <n v="2"/>
    <n v="4.199999999999999"/>
    <x v="1"/>
  </r>
  <r>
    <x v="57"/>
    <x v="52"/>
    <s v="Equipos de computación donde se realiza la gestión del área"/>
    <s v="DISCOS DUROS, SERVIDORES, DISCOS O MEDIOS PORTÁTILES, CINTAS O MEDIOS DE VIDEO Y AUDIO, ETC."/>
    <x v="3"/>
    <x v="16"/>
    <x v="7"/>
    <s v="X"/>
    <m/>
    <s v="X"/>
    <n v="1"/>
    <n v="3"/>
    <x v="8"/>
    <x v="1"/>
    <s v="Respaldo digital de información"/>
    <s v="PREVENTIVO"/>
    <x v="0"/>
    <x v="0"/>
    <s v="Almacenamiento sin prueba de efectividad"/>
    <n v="0.7"/>
    <n v="3"/>
    <n v="2.1"/>
    <x v="1"/>
  </r>
  <r>
    <x v="57"/>
    <x v="52"/>
    <s v="Equipos de computación donde se realiza la gestión del área"/>
    <s v="DISCOS DUROS, SERVIDORES, DISCOS O MEDIOS PORTÁTILES, CINTAS O MEDIOS DE VIDEO Y AUDIO, ETC."/>
    <x v="3"/>
    <x v="15"/>
    <x v="0"/>
    <s v="X"/>
    <s v="X"/>
    <s v="X"/>
    <n v="3"/>
    <n v="3"/>
    <x v="7"/>
    <x v="0"/>
    <s v="Sortware DLP /Políticas de uso de información contractual"/>
    <s v="PREVENTIVO"/>
    <x v="0"/>
    <x v="0"/>
    <s v="Documentación sencible sin cifrar"/>
    <n v="2.1"/>
    <n v="3"/>
    <n v="6.299999999999999"/>
    <x v="0"/>
  </r>
  <r>
    <x v="56"/>
    <x v="50"/>
    <s v="Audio de la llamada realizada por el gestor telefónico"/>
    <s v="PORTALES, INTRANET Y EXTRANET"/>
    <x v="1"/>
    <x v="1"/>
    <x v="1"/>
    <m/>
    <m/>
    <s v="X"/>
    <n v="2"/>
    <n v="2"/>
    <x v="1"/>
    <x v="1"/>
    <s v="Respaldo digital de información"/>
    <s v="PREVENTIVO"/>
    <x v="0"/>
    <x v="0"/>
    <s v="Almacenamiento sin prueba de efectividad"/>
    <n v="1.4"/>
    <n v="2"/>
    <n v="2.8"/>
    <x v="1"/>
  </r>
  <r>
    <x v="58"/>
    <x v="53"/>
    <s v="Documento contable de valor que utiliza una persona para retirar dinero de la cuenta de quien lo emite"/>
    <s v="DOCUMENTO DE ARCHIVO-FÍSICO"/>
    <x v="1"/>
    <x v="15"/>
    <x v="0"/>
    <s v="X"/>
    <s v="X"/>
    <s v="X"/>
    <n v="3"/>
    <n v="3"/>
    <x v="7"/>
    <x v="0"/>
    <s v="Sortware DLP /Políticas de uso de información contractual"/>
    <s v="PREVENTIVO"/>
    <x v="0"/>
    <x v="0"/>
    <s v="Documentación sencible sin cifrar"/>
    <n v="2.1"/>
    <n v="3"/>
    <n v="6.299999999999999"/>
    <x v="0"/>
  </r>
  <r>
    <x v="58"/>
    <x v="53"/>
    <s v="Documento contable de valor que utiliza una persona para retirar dinero de la cuenta de quien lo emite"/>
    <s v="DOCUMENTO DE ARCHIVO-FÍSICO"/>
    <x v="1"/>
    <x v="1"/>
    <x v="1"/>
    <m/>
    <m/>
    <s v="X"/>
    <n v="2"/>
    <n v="2"/>
    <x v="1"/>
    <x v="1"/>
    <s v="Respaldo digital de información"/>
    <s v="PREVENTIVO"/>
    <x v="0"/>
    <x v="0"/>
    <s v="Almacenamiento sin prueba de efectividad"/>
    <n v="1.4"/>
    <n v="2"/>
    <n v="2.8"/>
    <x v="1"/>
  </r>
  <r>
    <x v="59"/>
    <x v="54"/>
    <s v="Registro de ingreso y egreso que se imprime después de la recaudación con información del servicio y valor"/>
    <s v="DOCUMENTO DE ARCHIVO-FÍSICO"/>
    <x v="1"/>
    <x v="15"/>
    <x v="0"/>
    <s v="X"/>
    <s v="X"/>
    <s v="X"/>
    <n v="3"/>
    <n v="3"/>
    <x v="7"/>
    <x v="0"/>
    <s v="Sortware DLP /Políticas de uso de información contractual"/>
    <s v="PREVENTIVO"/>
    <x v="0"/>
    <x v="0"/>
    <s v="Documentación sencible sin cifrar"/>
    <n v="2.1"/>
    <n v="3"/>
    <n v="6.299999999999999"/>
    <x v="0"/>
  </r>
  <r>
    <x v="59"/>
    <x v="54"/>
    <s v="Registro de ingreso y egreso que se imprime después de la recaudación con información del servicio y valor"/>
    <s v="DOCUMENTO DE ARCHIVO-FÍSICO"/>
    <x v="1"/>
    <x v="1"/>
    <x v="1"/>
    <m/>
    <m/>
    <s v="X"/>
    <n v="2"/>
    <n v="2"/>
    <x v="1"/>
    <x v="1"/>
    <s v="Respaldo digital de información"/>
    <s v="PREVENTIVO"/>
    <x v="0"/>
    <x v="0"/>
    <s v="Almacenamiento sin prueba de efectividad"/>
    <n v="1.4"/>
    <n v="2"/>
    <n v="2.8"/>
    <x v="1"/>
  </r>
  <r>
    <x v="60"/>
    <x v="55"/>
    <s v="Cheque"/>
    <s v="DOCUMENTO DE ARCHIVO-FÍSICO"/>
    <x v="1"/>
    <x v="15"/>
    <x v="0"/>
    <s v="X"/>
    <s v="X"/>
    <s v="X"/>
    <n v="3"/>
    <n v="3"/>
    <x v="7"/>
    <x v="0"/>
    <s v="Sortware DLP /Políticas de uso de información contractual"/>
    <s v="PREVENTIVO"/>
    <x v="0"/>
    <x v="0"/>
    <s v="Documentación sencible sin cifrar"/>
    <n v="2.1"/>
    <n v="3"/>
    <n v="6.299999999999999"/>
    <x v="0"/>
  </r>
  <r>
    <x v="60"/>
    <x v="55"/>
    <s v="Cheque"/>
    <s v="DOCUMENTO DE ARCHIVO-FÍSICO"/>
    <x v="1"/>
    <x v="1"/>
    <x v="1"/>
    <m/>
    <m/>
    <s v="X"/>
    <n v="2"/>
    <n v="2"/>
    <x v="1"/>
    <x v="1"/>
    <s v="Respaldo digital de información"/>
    <s v="PREVENTIVO"/>
    <x v="0"/>
    <x v="0"/>
    <s v="Almacenamiento sin prueba de efectividad"/>
    <n v="1.4"/>
    <n v="2"/>
    <n v="2.8"/>
    <x v="1"/>
  </r>
  <r>
    <x v="61"/>
    <x v="56"/>
    <s v=" Documento contable que entrega el supervisor operativo al socio luego de la autorización del retiro por las áreas correspondientes"/>
    <s v="DOCUMENTO DE ARCHIVO-FÍSICO"/>
    <x v="1"/>
    <x v="15"/>
    <x v="0"/>
    <s v="X"/>
    <s v="X"/>
    <s v="X"/>
    <n v="3"/>
    <n v="2"/>
    <x v="6"/>
    <x v="0"/>
    <s v="Sortware DLP /Políticas de uso de información contractual"/>
    <s v="PREVENTIVO"/>
    <x v="0"/>
    <x v="0"/>
    <s v="Documentación sencible sin cifrar"/>
    <n v="2.1"/>
    <n v="2"/>
    <n v="4.199999999999999"/>
    <x v="1"/>
  </r>
  <r>
    <x v="62"/>
    <x v="57"/>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2"/>
    <x v="57"/>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1"/>
    <x v="56"/>
    <s v=" Documento contable que entrega el supervisor operativo al socio luego de la autorización del retiro por las áreas correspondientes"/>
    <s v="DOCUMENTO DE ARCHIVO-FÍSICO"/>
    <x v="1"/>
    <x v="1"/>
    <x v="1"/>
    <m/>
    <m/>
    <s v="X"/>
    <n v="2"/>
    <n v="2"/>
    <x v="1"/>
    <x v="1"/>
    <s v="Respaldo digital de información"/>
    <s v="PREVENTIVO"/>
    <x v="0"/>
    <x v="0"/>
    <s v="Almacenamiento sin prueba de efectividad"/>
    <n v="1.4"/>
    <n v="2"/>
    <n v="2.8"/>
    <x v="1"/>
  </r>
  <r>
    <x v="63"/>
    <x v="58"/>
    <s v="Pagaré, escritura de hipoteca, tabla de amortización, liquidación actualizada, tabla de pagos actualizada"/>
    <s v="DOCUMENTO DE ARCHIVO-FÍSICO"/>
    <x v="1"/>
    <x v="15"/>
    <x v="0"/>
    <s v="X"/>
    <s v="X"/>
    <s v="X"/>
    <n v="3"/>
    <n v="3"/>
    <x v="7"/>
    <x v="0"/>
    <s v="Sortware DLP /Políticas de uso de información contractual"/>
    <s v="PREVENTIVO"/>
    <x v="0"/>
    <x v="0"/>
    <s v="Documentación sencible sin cifrar"/>
    <n v="2.1"/>
    <n v="3"/>
    <n v="6.299999999999999"/>
    <x v="0"/>
  </r>
  <r>
    <x v="63"/>
    <x v="58"/>
    <s v="Pagaré, escritura de hipoteca, tabla de amortización, liquidación actualizada, tabla de pagos actualizada"/>
    <s v="DOCUMENTO DE ARCHIVO-FÍSICO"/>
    <x v="1"/>
    <x v="3"/>
    <x v="2"/>
    <s v="X"/>
    <m/>
    <m/>
    <n v="2"/>
    <n v="3"/>
    <x v="6"/>
    <x v="0"/>
    <s v="Software DLP"/>
    <s v="PREVENTIVO"/>
    <x v="0"/>
    <x v="0"/>
    <s v="Politicas sin restricción para jefaturas"/>
    <n v="1.4"/>
    <n v="3"/>
    <n v="4.199999999999999"/>
    <x v="1"/>
  </r>
  <r>
    <x v="64"/>
    <x v="59"/>
    <s v="Documentos entregados al abogado externo Anexo de asignación de cartera abogados externos/Acta entrega recepción de documentos/Documentos para el inicio de tramites judiciales"/>
    <s v="DOCUMENTO DE ARCHIVO-FÍSICO"/>
    <x v="1"/>
    <x v="15"/>
    <x v="0"/>
    <s v="X"/>
    <s v="X"/>
    <s v="X"/>
    <n v="3"/>
    <n v="3"/>
    <x v="7"/>
    <x v="0"/>
    <s v="Sortware DLP /Políticas de uso de información contractual"/>
    <s v="PREVENTIVO"/>
    <x v="0"/>
    <x v="0"/>
    <s v="Documentación sencible sin cifrar"/>
    <n v="2.1"/>
    <n v="3"/>
    <n v="6.299999999999999"/>
    <x v="0"/>
  </r>
  <r>
    <x v="64"/>
    <x v="59"/>
    <s v="Documentos entregados al abogado externo Anexo de asignación de cartera abogados externos/Acta entrega recepción de documentos/Documentos para el inicio de tramites judiciales"/>
    <s v="DOCUMENTO DE ARCHIVO-FÍSICO"/>
    <x v="1"/>
    <x v="3"/>
    <x v="2"/>
    <s v="X"/>
    <m/>
    <m/>
    <n v="2"/>
    <n v="3"/>
    <x v="6"/>
    <x v="0"/>
    <s v="Software DLP"/>
    <s v="PREVENTIVO"/>
    <x v="0"/>
    <x v="0"/>
    <s v="Politicas sin restricción para jefaturas"/>
    <n v="1.4"/>
    <n v="3"/>
    <n v="4.199999999999999"/>
    <x v="1"/>
  </r>
  <r>
    <x v="65"/>
    <x v="60"/>
    <s v="Registro de cartera asignada obtenida del sistema FIT"/>
    <s v="DISCOS DUROS, SERVIDORES, DISCOS O MEDIOS PORTÁTILES, CINTAS O MEDIOS DE VIDEO Y AUDIO, ETC."/>
    <x v="1"/>
    <x v="1"/>
    <x v="1"/>
    <m/>
    <m/>
    <s v="X"/>
    <n v="2"/>
    <n v="4"/>
    <x v="0"/>
    <x v="0"/>
    <s v="Respaldo digital de información"/>
    <s v="PREVENTIVO"/>
    <x v="0"/>
    <x v="0"/>
    <s v="Almacenamiento sin prueba de efectividad"/>
    <n v="1.4"/>
    <n v="4"/>
    <n v="5.6"/>
    <x v="0"/>
  </r>
  <r>
    <x v="65"/>
    <x v="60"/>
    <s v="Registro de cartera asignada obtenida del sistema FIT"/>
    <s v="DISCOS DUROS, SERVIDORES, DISCOS O MEDIOS PORTÁTILES, CINTAS O MEDIOS DE VIDEO Y AUDIO, ETC."/>
    <x v="1"/>
    <x v="3"/>
    <x v="2"/>
    <s v="X"/>
    <m/>
    <m/>
    <n v="3"/>
    <n v="4"/>
    <x v="5"/>
    <x v="3"/>
    <s v="Software DLP"/>
    <s v="PREVENTIVO"/>
    <x v="0"/>
    <x v="0"/>
    <s v="Politicas sin restricción para jefaturas"/>
    <n v="2.1"/>
    <n v="4"/>
    <n v="8.399999999999999"/>
    <x v="0"/>
  </r>
  <r>
    <x v="66"/>
    <x v="61"/>
    <s v="Escritura del bien correctamente legalizada"/>
    <s v="DOCUMENTO DE ARCHIVO-FÍSICO"/>
    <x v="1"/>
    <x v="1"/>
    <x v="1"/>
    <m/>
    <m/>
    <s v="X"/>
    <n v="2"/>
    <n v="3"/>
    <x v="6"/>
    <x v="0"/>
    <s v="Respaldo digital de información"/>
    <s v="PREVENTIVO"/>
    <x v="0"/>
    <x v="0"/>
    <s v="Almacenamiento sin prueba de efectividad"/>
    <n v="1.4"/>
    <n v="3"/>
    <n v="4.199999999999999"/>
    <x v="1"/>
  </r>
  <r>
    <x v="67"/>
    <x v="62"/>
    <s v="Equipos de computación donde se realiza la gestión del área"/>
    <s v="DOCUMENTO DE ARCHIVO-FÍSICO"/>
    <x v="3"/>
    <x v="16"/>
    <x v="7"/>
    <s v="X"/>
    <m/>
    <s v="X"/>
    <n v="1"/>
    <n v="3"/>
    <x v="8"/>
    <x v="1"/>
    <s v="Respaldo digital de información"/>
    <s v="PREVENTIVO"/>
    <x v="0"/>
    <x v="0"/>
    <s v="Almacenamiento sin prueba de efectividad"/>
    <n v="0.7"/>
    <n v="3"/>
    <n v="2.1"/>
    <x v="1"/>
  </r>
  <r>
    <x v="67"/>
    <x v="62"/>
    <s v="Equipos de computación donde se realiza la gestión del área"/>
    <s v="DOCUMENTO DE ARCHIVO-FÍSICO"/>
    <x v="3"/>
    <x v="15"/>
    <x v="0"/>
    <s v="X"/>
    <s v="X"/>
    <s v="X"/>
    <n v="3"/>
    <n v="3"/>
    <x v="7"/>
    <x v="0"/>
    <s v="Sortware DLP /Políticas de uso de información contractual"/>
    <s v="PREVENTIVO"/>
    <x v="0"/>
    <x v="0"/>
    <s v="Documentación sencible sin cifrar"/>
    <n v="2.1"/>
    <n v="3"/>
    <n v="6.299999999999999"/>
    <x v="0"/>
  </r>
  <r>
    <x v="66"/>
    <x v="61"/>
    <s v="Escritura del bien correctamente legalizada"/>
    <s v="DOCUMENTO DE ARCHIVO-FÍSICO"/>
    <x v="1"/>
    <x v="15"/>
    <x v="0"/>
    <s v="X"/>
    <s v="X"/>
    <s v="X"/>
    <n v="3"/>
    <n v="3"/>
    <x v="7"/>
    <x v="0"/>
    <s v="Sortware DLP /Políticas de uso de información contractual"/>
    <s v="PREVENTIVO"/>
    <x v="0"/>
    <x v="0"/>
    <s v="Documentación sencible sin cifrar"/>
    <n v="2.1"/>
    <n v="3"/>
    <n v="9"/>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6.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7.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6" cacheId="1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8" fieldListSortAscending="0" mdxSubqueries="0" applyNumberFormats="0" applyBorderFormats="0" applyFontFormats="0" applyPatternFormats="0" applyAlignmentFormats="0" applyWidthHeightFormats="1" r:id="rId1">
  <location ref="A11:B18" firstHeaderRow="1" firstDataRow="1" firstDataCol="1" rowPageCount="1" colPageCount="1"/>
  <pivotFields count="23">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dragToPage="1" dragToData="1" dragOff="1" showAll="0" topAutoShow="1" itemPageCount="10" sortType="manual" defaultSubtotal="0">
      <items count="6">
        <item t="data" sd="1" x="1"/>
        <item t="data" sd="1" x="3"/>
        <item t="data" sd="1" x="0"/>
        <item t="data" sd="1" x="5"/>
        <item t="data" sd="1" x="4"/>
        <item t="data" sd="1" x="2"/>
      </items>
    </pivotField>
    <pivotField axis="axisPage" dataField="1" showDropDowns="1" compact="0" outline="0" subtotalTop="0" dragToRow="1" dragToCol="1" dragToPage="1" dragToData="1" dragOff="1" showAll="0" topAutoShow="1" itemPageCount="10" sortType="manual" defaultSubtotal="0">
      <items count="17">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numFmtId="9"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numFmtId="2" outline="0" subtotalTop="0" dragToRow="1" dragToCol="1" dragToPage="1" dragToData="1" dragOff="1" showAll="0" topAutoShow="1" itemPageCount="10" sortType="manual" defaultSubtotal="0"/>
    <pivotField showDropDowns="1" compact="0" numFmtId="2"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1">
    <field x="4"/>
  </rowFields>
  <rowItems count="7">
    <i t="data" r="0" i="0">
      <x v="0"/>
    </i>
    <i t="data" r="0" i="0">
      <x v="1"/>
    </i>
    <i t="data" r="0" i="0">
      <x v="2"/>
    </i>
    <i t="data" r="0" i="0">
      <x v="3"/>
    </i>
    <i t="data" r="0" i="0">
      <x v="4"/>
    </i>
    <i t="data" r="0" i="0">
      <x v="5"/>
    </i>
    <i t="grand" r="0" i="0">
      <x v="0"/>
    </i>
  </rowItems>
  <colItems count="1">
    <i t="data" r="0" i="0"/>
  </colItems>
  <pageFields count="1">
    <pageField fld="5" hier="-1"/>
  </pageFields>
  <dataFields count="1">
    <dataField name="Cuenta de EVENTO DE AMENAZA" fld="5" subtotal="count" showDataAs="normal" baseField="0" baseItem="0"/>
  </dataFields>
  <chartFormats count="7">
    <chartFormat chart="2" format="0" series="1">
      <pivotArea type="data" dataOnly="1" outline="0" fieldPosition="0">
        <references count="1">
          <reference field="4294967294" selected="0">
            <x v="0"/>
          </reference>
        </references>
      </pivotArea>
    </chartFormat>
    <chartFormat chart="2" format="1" series="0">
      <pivotArea type="data" dataOnly="1" outline="0" fieldPosition="0">
        <references count="2">
          <reference field="4294967294" selected="0">
            <x v="0"/>
          </reference>
          <reference field="4" selected="0">
            <x v="0"/>
          </reference>
        </references>
      </pivotArea>
    </chartFormat>
    <chartFormat chart="2" format="2" series="0">
      <pivotArea type="data" dataOnly="1" outline="0" fieldPosition="0">
        <references count="2">
          <reference field="4294967294" selected="0">
            <x v="0"/>
          </reference>
          <reference field="4" selected="0">
            <x v="1"/>
          </reference>
        </references>
      </pivotArea>
    </chartFormat>
    <chartFormat chart="2" format="3" series="0">
      <pivotArea type="data" dataOnly="1" outline="0" fieldPosition="0">
        <references count="2">
          <reference field="4294967294" selected="0">
            <x v="0"/>
          </reference>
          <reference field="4" selected="0">
            <x v="2"/>
          </reference>
        </references>
      </pivotArea>
    </chartFormat>
    <chartFormat chart="2" format="4" series="0">
      <pivotArea type="data" dataOnly="1" outline="0" fieldPosition="0">
        <references count="2">
          <reference field="4294967294" selected="0">
            <x v="0"/>
          </reference>
          <reference field="4" selected="0">
            <x v="3"/>
          </reference>
        </references>
      </pivotArea>
    </chartFormat>
    <chartFormat chart="2" format="5" series="0">
      <pivotArea type="data" dataOnly="1" outline="0" fieldPosition="0">
        <references count="2">
          <reference field="4294967294" selected="0">
            <x v="0"/>
          </reference>
          <reference field="4" selected="0">
            <x v="4"/>
          </reference>
        </references>
      </pivotArea>
    </chartFormat>
    <chartFormat chart="2" format="6" series="0">
      <pivotArea type="data" dataOnly="1" outline="0" fieldPosition="0">
        <references count="2">
          <reference field="4294967294" selected="0">
            <x v="0"/>
          </reference>
          <reference field="4" selected="0">
            <x v="5"/>
          </reference>
        </references>
      </pivotArea>
    </chartFormat>
  </chart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7" cacheId="1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45" rowHeaderCaption="NIVELES DE RIESGO HINNERENTE" fieldListSortAscending="0" mdxSubqueries="0" applyNumberFormats="0" applyBorderFormats="0" applyFontFormats="0" applyPatternFormats="0" applyAlignmentFormats="0" applyWidthHeightFormats="1" r:id="rId1">
  <location ref="A32:B37"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3"/>
  </rowFields>
  <rowItems count="5">
    <i t="data" r="0" i="0">
      <x v="0"/>
    </i>
    <i t="data" r="0" i="0">
      <x v="1"/>
    </i>
    <i t="data" r="0" i="0">
      <x v="2"/>
    </i>
    <i t="data" r="0" i="0">
      <x v="3"/>
    </i>
    <i t="grand" r="0" i="0">
      <x v="0"/>
    </i>
  </rowItems>
  <colItems count="1">
    <i t="data" r="0" i="0"/>
  </colItems>
  <dataFields count="1">
    <dataField name="Cuenta de DETERMINACION RIESGO ACUMULADO O INHERENTE" fld="13" subtotal="count" showDataAs="normal" baseField="0" baseItem="0"/>
  </dataFields>
  <chartFormats count="10">
    <chartFormat chart="37" format="0" series="1">
      <pivotArea type="data" dataOnly="1" outline="0" fieldPosition="0">
        <references count="1">
          <reference field="4294967294" selected="0">
            <x v="0"/>
          </reference>
        </references>
      </pivotArea>
    </chartFormat>
    <chartFormat chart="44" format="6" series="1">
      <pivotArea type="data" dataOnly="1" outline="0" fieldPosition="0">
        <references count="1">
          <reference field="4294967294" selected="0">
            <x v="0"/>
          </reference>
        </references>
      </pivotArea>
    </chartFormat>
    <chartFormat chart="44" format="7" series="0">
      <pivotArea type="data" dataOnly="1" outline="0" fieldPosition="0">
        <references count="2">
          <reference field="4294967294" selected="0">
            <x v="0"/>
          </reference>
          <reference field="13" selected="0">
            <x v="0"/>
          </reference>
        </references>
      </pivotArea>
    </chartFormat>
    <chartFormat chart="44" format="8" series="0">
      <pivotArea type="data" dataOnly="1" outline="0" fieldPosition="0">
        <references count="2">
          <reference field="4294967294" selected="0">
            <x v="0"/>
          </reference>
          <reference field="13" selected="0">
            <x v="1"/>
          </reference>
        </references>
      </pivotArea>
    </chartFormat>
    <chartFormat chart="44" format="9" series="0">
      <pivotArea type="data" dataOnly="1" outline="0" fieldPosition="0">
        <references count="2">
          <reference field="4294967294" selected="0">
            <x v="0"/>
          </reference>
          <reference field="13" selected="0">
            <x v="2"/>
          </reference>
        </references>
      </pivotArea>
    </chartFormat>
    <chartFormat chart="44" format="10" series="0">
      <pivotArea type="data" dataOnly="1" outline="0" fieldPosition="0">
        <references count="2">
          <reference field="4294967294" selected="0">
            <x v="0"/>
          </reference>
          <reference field="13" selected="0">
            <x v="3"/>
          </reference>
        </references>
      </pivotArea>
    </chartFormat>
    <chartFormat chart="37" format="1" series="0">
      <pivotArea type="data" dataOnly="1" outline="0" fieldPosition="0">
        <references count="2">
          <reference field="4294967294" selected="0">
            <x v="0"/>
          </reference>
          <reference field="13" selected="0">
            <x v="0"/>
          </reference>
        </references>
      </pivotArea>
    </chartFormat>
    <chartFormat chart="37" format="2" series="0">
      <pivotArea type="data" dataOnly="1" outline="0" fieldPosition="0">
        <references count="2">
          <reference field="4294967294" selected="0">
            <x v="0"/>
          </reference>
          <reference field="13" selected="0">
            <x v="1"/>
          </reference>
        </references>
      </pivotArea>
    </chartFormat>
    <chartFormat chart="37" format="3" series="0">
      <pivotArea type="data" dataOnly="1" outline="0" fieldPosition="0">
        <references count="2">
          <reference field="4294967294" selected="0">
            <x v="0"/>
          </reference>
          <reference field="13" selected="0">
            <x v="2"/>
          </reference>
        </references>
      </pivotArea>
    </chartFormat>
    <chartFormat chart="37" format="4" series="0">
      <pivotArea type="data" dataOnly="1" outline="0" fieldPosition="0">
        <references count="2">
          <reference field="4294967294" selected="0">
            <x v="0"/>
          </reference>
          <reference field="13" selected="0">
            <x v="3"/>
          </reference>
        </references>
      </pivotArea>
    </chartFormat>
  </chart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8" cacheId="1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52" rowHeaderCaption="NIVELES DE RIESGO HINNERENTE" fieldListSortAscending="0" mdxSubqueries="0" applyNumberFormats="0" applyBorderFormats="0" applyFontFormats="0" applyPatternFormats="0" applyAlignmentFormats="0" applyWidthHeightFormats="1" r:id="rId1">
  <location ref="A52:B56"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4">
        <item t="data" sd="1" x="2"/>
        <item t="data" sd="1" x="1"/>
        <item t="data" sd="1" x="0"/>
        <item t="default" sd="1"/>
      </items>
    </pivotField>
  </pivotFields>
  <rowFields count="1">
    <field x="22"/>
  </rowFields>
  <rowItems count="4">
    <i t="data" r="0" i="0">
      <x v="0"/>
    </i>
    <i t="data" r="0" i="0">
      <x v="1"/>
    </i>
    <i t="data" r="0" i="0">
      <x v="2"/>
    </i>
    <i t="grand" r="0" i="0">
      <x v="0"/>
    </i>
  </rowItems>
  <colItems count="1">
    <i t="data" r="0" i="0"/>
  </colItems>
  <dataFields count="1">
    <dataField name="Cuenta de DETERMINACION RIESGO RESIDUAL" fld="22" subtotal="count" showDataAs="normal" baseField="0" baseItem="0"/>
  </dataFields>
  <chartFormats count="4">
    <chartFormat chart="46" format="0" series="1">
      <pivotArea type="data" dataOnly="1" outline="0" fieldPosition="0">
        <references count="1">
          <reference field="4294967294" selected="0">
            <x v="0"/>
          </reference>
        </references>
      </pivotArea>
    </chartFormat>
    <chartFormat chart="46" format="1" series="0">
      <pivotArea type="data" dataOnly="1" outline="0" fieldPosition="0">
        <references count="2">
          <reference field="4294967294" selected="0">
            <x v="0"/>
          </reference>
          <reference field="22" selected="0">
            <x v="0"/>
          </reference>
        </references>
      </pivotArea>
    </chartFormat>
    <chartFormat chart="46" format="2" series="0">
      <pivotArea type="data" dataOnly="1" outline="0" fieldPosition="0">
        <references count="2">
          <reference field="4294967294" selected="0">
            <x v="0"/>
          </reference>
          <reference field="22" selected="0">
            <x v="1"/>
          </reference>
        </references>
      </pivotArea>
    </chartFormat>
    <chartFormat chart="46" format="3" series="0">
      <pivotArea type="data" dataOnly="1" outline="0" fieldPosition="0">
        <references count="2">
          <reference field="4294967294" selected="0">
            <x v="0"/>
          </reference>
          <reference field="22" selected="0">
            <x v="2"/>
          </reference>
        </references>
      </pivotArea>
    </chartFormat>
  </chart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1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6" rowHeaderCaption="NIVELES DE RIESGO HINNERENTE" fieldListSortAscending="0" mdxSubqueries="0" applyNumberFormats="0" applyBorderFormats="0" applyFontFormats="0" applyPatternFormats="0" applyAlignmentFormats="0" applyWidthHeightFormats="1" r:id="rId1">
  <location ref="A22:F30" firstHeaderRow="1" firstDataRow="2"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dataField="1"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4"/>
  </rowFields>
  <rowItems count="7">
    <i t="data" r="0" i="0">
      <x v="0"/>
    </i>
    <i t="data" r="0" i="0">
      <x v="1"/>
    </i>
    <i t="data" r="0" i="0">
      <x v="2"/>
    </i>
    <i t="data" r="0" i="0">
      <x v="3"/>
    </i>
    <i t="data" r="0" i="0">
      <x v="4"/>
    </i>
    <i t="data" r="0" i="0">
      <x v="5"/>
    </i>
    <i t="grand" r="0" i="0">
      <x v="0"/>
    </i>
  </rowItems>
  <colFields count="1">
    <field x="13"/>
  </colFields>
  <colItems count="5">
    <i t="data" r="0" i="0">
      <x v="0"/>
    </i>
    <i t="data" r="0" i="0">
      <x v="1"/>
    </i>
    <i t="data" r="0" i="0">
      <x v="2"/>
    </i>
    <i t="data" r="0" i="0">
      <x v="3"/>
    </i>
    <i t="grand" r="0" i="0">
      <x v="0"/>
    </i>
  </colItems>
  <dataFields count="1">
    <dataField name="Cuenta de EVENTO DE AMENAZA" fld="5" subtotal="count" showDataAs="normal" baseField="0" baseItem="0"/>
  </dataFields>
  <formats count="5">
    <format action="formatting" dxfId="11">
      <pivotArea type="normal" dataOnly="1" outline="1" collapsedLevelsAreSubtotals="1" fieldPosition="0">
        <references count="2">
          <reference field="4"/>
          <reference field="13" selected="0">
            <x v="0"/>
          </reference>
        </references>
      </pivotArea>
    </format>
    <format action="formatting" dxfId="10">
      <pivotArea type="normal" dataOnly="1" outline="1" collapsedLevelsAreSubtotals="1" fieldPosition="0">
        <references count="2">
          <reference field="4"/>
          <reference field="13" selected="0">
            <x v="1"/>
          </reference>
        </references>
      </pivotArea>
    </format>
    <format action="formatting" dxfId="9">
      <pivotArea type="normal" dataOnly="1" outline="1" collapsedLevelsAreSubtotals="1" fieldPosition="0">
        <references count="2">
          <reference field="4"/>
          <reference field="13" selected="0">
            <x v="2"/>
          </reference>
        </references>
      </pivotArea>
    </format>
    <format action="formatting" dxfId="8">
      <pivotArea type="normal" dataOnly="1" outline="1" collapsedLevelsAreSubtotals="1" fieldPosition="0">
        <references count="2">
          <reference field="4"/>
          <reference field="13" selected="0">
            <x v="3"/>
          </reference>
        </references>
      </pivotArea>
    </format>
    <format action="formatting" dxfId="7">
      <pivotArea type="normal" dataOnly="1" outline="1" collapsedLevelsAreSubtotals="1" fieldPosition="0">
        <references count="2">
          <reference field="4"/>
          <reference field="13" selected="0">
            <x v="0"/>
          </reference>
        </references>
      </pivotArea>
    </format>
  </formats>
  <chartFormats count="16">
    <chartFormat chart="18" format="0" series="1">
      <pivotArea type="data" dataOnly="1" outline="0" fieldPosition="0">
        <references count="2">
          <reference field="4294967294" selected="0">
            <x v="0"/>
          </reference>
          <reference field="13" selected="0">
            <x v="0"/>
          </reference>
        </references>
      </pivotArea>
    </chartFormat>
    <chartFormat chart="18" format="1" series="1">
      <pivotArea type="data" dataOnly="1" outline="0" fieldPosition="0">
        <references count="2">
          <reference field="4294967294" selected="0">
            <x v="0"/>
          </reference>
          <reference field="13" selected="0">
            <x v="1"/>
          </reference>
        </references>
      </pivotArea>
    </chartFormat>
    <chartFormat chart="18" format="2" series="1">
      <pivotArea type="data" dataOnly="1" outline="0" fieldPosition="0">
        <references count="2">
          <reference field="4294967294" selected="0">
            <x v="0"/>
          </reference>
          <reference field="13" selected="0">
            <x v="2"/>
          </reference>
        </references>
      </pivotArea>
    </chartFormat>
    <chartFormat chart="18" format="3" series="1">
      <pivotArea type="data" dataOnly="1" outline="0" fieldPosition="0">
        <references count="2">
          <reference field="4294967294" selected="0">
            <x v="0"/>
          </reference>
          <reference field="13" selected="0">
            <x v="3"/>
          </reference>
        </references>
      </pivotArea>
    </chartFormat>
    <chartFormat chart="18" format="4" series="0">
      <pivotArea type="data" dataOnly="1" outline="0" fieldPosition="0">
        <references count="3">
          <reference field="4294967294" selected="0">
            <x v="0"/>
          </reference>
          <reference field="4" selected="0">
            <x v="1"/>
          </reference>
          <reference field="13" selected="0">
            <x v="0"/>
          </reference>
        </references>
      </pivotArea>
    </chartFormat>
    <chartFormat chart="18" format="5" series="0">
      <pivotArea type="data" dataOnly="1" outline="0" fieldPosition="0">
        <references count="3">
          <reference field="4294967294" selected="0">
            <x v="0"/>
          </reference>
          <reference field="4" selected="0">
            <x v="4"/>
          </reference>
          <reference field="13" selected="0">
            <x v="0"/>
          </reference>
        </references>
      </pivotArea>
    </chartFormat>
    <chartFormat chart="18" format="6" series="0">
      <pivotArea type="data" dataOnly="1" outline="0" fieldPosition="0">
        <references count="3">
          <reference field="4294967294" selected="0">
            <x v="0"/>
          </reference>
          <reference field="4" selected="0">
            <x v="0"/>
          </reference>
          <reference field="13" selected="0">
            <x v="0"/>
          </reference>
        </references>
      </pivotArea>
    </chartFormat>
    <chartFormat chart="18" format="7" series="0">
      <pivotArea type="data" dataOnly="1" outline="0" fieldPosition="0">
        <references count="3">
          <reference field="4294967294" selected="0">
            <x v="0"/>
          </reference>
          <reference field="4" selected="0">
            <x v="5"/>
          </reference>
          <reference field="13" selected="0">
            <x v="0"/>
          </reference>
        </references>
      </pivotArea>
    </chartFormat>
    <chartFormat chart="22" format="0" series="1">
      <pivotArea type="data" dataOnly="1" outline="0" fieldPosition="0">
        <references count="2">
          <reference field="4294967294" selected="0">
            <x v="0"/>
          </reference>
          <reference field="13" selected="0">
            <x v="0"/>
          </reference>
        </references>
      </pivotArea>
    </chartFormat>
    <chartFormat chart="22" format="1" series="1">
      <pivotArea type="data" dataOnly="1" outline="0" fieldPosition="0">
        <references count="2">
          <reference field="4294967294" selected="0">
            <x v="0"/>
          </reference>
          <reference field="13" selected="0">
            <x v="1"/>
          </reference>
        </references>
      </pivotArea>
    </chartFormat>
    <chartFormat chart="22" format="2" series="1">
      <pivotArea type="data" dataOnly="1" outline="0" fieldPosition="0">
        <references count="2">
          <reference field="4294967294" selected="0">
            <x v="0"/>
          </reference>
          <reference field="13" selected="0">
            <x v="2"/>
          </reference>
        </references>
      </pivotArea>
    </chartFormat>
    <chartFormat chart="22" format="3" series="1">
      <pivotArea type="data" dataOnly="1" outline="0" fieldPosition="0">
        <references count="2">
          <reference field="4294967294" selected="0">
            <x v="0"/>
          </reference>
          <reference field="13" selected="0">
            <x v="3"/>
          </reference>
        </references>
      </pivotArea>
    </chartFormat>
    <chartFormat chart="22" format="4" series="0">
      <pivotArea type="data" dataOnly="1" outline="0" fieldPosition="0">
        <references count="3">
          <reference field="4294967294" selected="0">
            <x v="0"/>
          </reference>
          <reference field="4" selected="0">
            <x v="1"/>
          </reference>
          <reference field="13" selected="0">
            <x v="0"/>
          </reference>
        </references>
      </pivotArea>
    </chartFormat>
    <chartFormat chart="22" format="5" series="0">
      <pivotArea type="data" dataOnly="1" outline="0" fieldPosition="0">
        <references count="3">
          <reference field="4294967294" selected="0">
            <x v="0"/>
          </reference>
          <reference field="4" selected="0">
            <x v="0"/>
          </reference>
          <reference field="13" selected="0">
            <x v="0"/>
          </reference>
        </references>
      </pivotArea>
    </chartFormat>
    <chartFormat chart="22" format="6" series="0">
      <pivotArea type="data" dataOnly="1" outline="0" fieldPosition="0">
        <references count="3">
          <reference field="4294967294" selected="0">
            <x v="0"/>
          </reference>
          <reference field="4" selected="0">
            <x v="5"/>
          </reference>
          <reference field="13" selected="0">
            <x v="0"/>
          </reference>
        </references>
      </pivotArea>
    </chartFormat>
    <chartFormat chart="22" format="7" series="0">
      <pivotArea type="data" dataOnly="1" outline="0" fieldPosition="0">
        <references count="3">
          <reference field="4294967294" selected="0">
            <x v="0"/>
          </reference>
          <reference field="4" selected="0">
            <x v="4"/>
          </reference>
          <reference field="13" selected="0">
            <x v="0"/>
          </reference>
        </references>
      </pivotArea>
    </chartFormat>
  </chart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10" cacheId="1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rowHeaderCaption="Efectividad de los controles" fieldListSortAscending="0" mdxSubqueries="0" applyNumberFormats="0" applyBorderFormats="0" applyFontFormats="0" applyPatternFormats="0" applyAlignmentFormats="0" applyWidthHeightFormats="1" r:id="rId1">
  <location ref="A60:B68" firstHeaderRow="1" firstDataRow="1"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
        <item t="data" sd="1" x="1"/>
        <item t="data" sd="1" x="0"/>
        <item t="default" sd="1"/>
      </items>
    </pivotField>
    <pivotField axis="axisRow" showDropDowns="1" compact="1" numFmtId="9" outline="1" subtotalTop="1" dragToRow="1" dragToCol="1" dragToPage="1" dragToData="1" dragOff="1" showAll="0" topAutoShow="1" itemPageCount="10" sortType="manual" defaultSubtotal="1">
      <items count="4">
        <item t="data" sd="1" x="0"/>
        <item t="data" sd="1" x="2"/>
        <item t="data" sd="1" x="1"/>
        <item t="default" sd="1"/>
      </items>
    </pivotField>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2">
    <field x="17"/>
    <field x="16"/>
  </rowFields>
  <rowItems count="8">
    <i t="data" r="0" i="0">
      <x v="0"/>
    </i>
    <i t="data" r="1" i="0">
      <x v="1"/>
    </i>
    <i t="data" r="0" i="0">
      <x v="1"/>
    </i>
    <i t="data" r="1" i="0">
      <x v="1"/>
    </i>
    <i t="data" r="0" i="0">
      <x v="2"/>
    </i>
    <i t="data" r="1" i="0">
      <x v="0"/>
    </i>
    <i t="data" r="1" i="0">
      <x v="1"/>
    </i>
    <i t="grand" r="0" i="0">
      <x v="0"/>
    </i>
  </rowItems>
  <colItems count="1">
    <i t="data" r="0" i="0"/>
  </colItems>
  <dataFields count="1">
    <dataField name="Número de controles" fld="14" subtotal="count" showDataAs="normal" baseField="0" baseItem="0"/>
  </dataField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TablaDinámica5" cacheId="1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11" fieldListSortAscending="0" mdxSubqueries="0" applyNumberFormats="0" applyBorderFormats="0" applyFontFormats="0" applyPatternFormats="0" applyAlignmentFormats="0" applyWidthHeightFormats="1" r:id="rId1">
  <location ref="A1:B5" firstHeaderRow="1" firstDataRow="1" firstDataCol="1"/>
  <pivotFields count="24">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dataField="1" showDropDowns="1" compact="1" outline="1" subtotalTop="1" dragToRow="1" dragToCol="1" dragToPage="1" dragToData="1" dragOff="1" showAll="0" topAutoShow="1" itemPageCount="10" sortType="manual" defaultSubtotal="1">
      <items count="4">
        <item t="data" sd="1" x="2"/>
        <item t="data" sd="1" x="0"/>
        <item t="data" sd="1" x="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19"/>
  </rowFields>
  <rowItems count="4">
    <i t="data" r="0" i="0">
      <x v="0"/>
    </i>
    <i t="data" r="0" i="0">
      <x v="1"/>
    </i>
    <i t="data" r="0" i="0">
      <x v="2"/>
    </i>
    <i t="grand" r="0" i="0">
      <x v="0"/>
    </i>
  </rowItems>
  <colItems count="1">
    <i t="data" r="0" i="0"/>
  </colItems>
  <dataFields count="1">
    <dataField name="Cuenta de CRITICIDAD" fld="19" subtotal="count" showDataAs="normal" baseField="0" baseItem="0"/>
  </dataFields>
  <chartFormats count="4">
    <chartFormat chart="0" format="0" series="1">
      <pivotArea type="data" dataOnly="1" outline="0" fieldPosition="0">
        <references count="1">
          <reference field="4294967294" selected="0">
            <x v="0"/>
          </reference>
        </references>
      </pivotArea>
    </chartFormat>
    <chartFormat chart="0" format="1" series="0">
      <pivotArea type="data" dataOnly="1" outline="0" fieldPosition="0">
        <references count="2">
          <reference field="4294967294" selected="0">
            <x v="0"/>
          </reference>
          <reference field="19" selected="0">
            <x v="0"/>
          </reference>
        </references>
      </pivotArea>
    </chartFormat>
    <chartFormat chart="0" format="2" series="0">
      <pivotArea type="data" dataOnly="1" outline="0" fieldPosition="0">
        <references count="2">
          <reference field="4294967294" selected="0">
            <x v="0"/>
          </reference>
          <reference field="19" selected="0">
            <x v="1"/>
          </reference>
        </references>
      </pivotArea>
    </chartFormat>
    <chartFormat chart="0" format="3" series="0">
      <pivotArea type="data" dataOnly="1" outline="0" fieldPosition="0">
        <references count="2">
          <reference field="4294967294" selected="0">
            <x v="0"/>
          </reference>
          <reference field="19" selected="0">
            <x v="2"/>
          </reference>
        </references>
      </pivotArea>
    </chartFormat>
  </chart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TablaDinámica9" cacheId="12"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6" rowHeaderCaption="NIVELES DE RIESGO RESIDUAL" fieldListSortAscending="0" mdxSubqueries="0" applyNumberFormats="0" applyBorderFormats="0" applyFontFormats="0" applyPatternFormats="0" applyAlignmentFormats="0" applyWidthHeightFormats="1" r:id="rId1">
  <location ref="A42:E50" firstHeaderRow="1" firstDataRow="2" firstDataCol="1"/>
  <pivotFields count="23">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7">
        <item t="data" sd="1" x="1"/>
        <item t="data" sd="1" x="3"/>
        <item t="data" sd="1" x="0"/>
        <item t="data" sd="1" x="5"/>
        <item t="data" sd="1" x="4"/>
        <item t="data" sd="1" x="2"/>
        <item t="default" sd="1"/>
      </items>
    </pivotField>
    <pivotField dataField="1" showDropDowns="1" compact="1" outline="1" subtotalTop="1" dragToRow="1" dragToCol="1" dragToPage="1" dragToData="1" dragOff="1" showAll="0" topAutoShow="1" itemPageCount="10" sortType="manual" defaultSubtotal="1">
      <items count="18">
        <item t="data" sd="1" x="4"/>
        <item t="data" sd="1" x="13"/>
        <item t="data" sd="1" x="10"/>
        <item t="data" sd="1" x="11"/>
        <item t="data" sd="1" x="5"/>
        <item t="data" sd="1" x="6"/>
        <item t="data" sd="1" x="15"/>
        <item t="data" sd="1" x="1"/>
        <item t="data" sd="1" x="3"/>
        <item t="data" sd="1" x="0"/>
        <item t="data" sd="1" x="7"/>
        <item t="data" sd="1" x="8"/>
        <item t="data" sd="1" x="12"/>
        <item t="data" sd="1" x="9"/>
        <item t="data" sd="1" x="16"/>
        <item t="data" sd="1" x="14"/>
        <item t="data" sd="1" x="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items count="5">
        <item t="data" sd="1" x="3"/>
        <item t="data" sd="1" x="1"/>
        <item t="data" sd="1" x="2"/>
        <item t="data" sd="1" x="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numFmtId="2"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Col" showDropDowns="1" compact="1" outline="1" subtotalTop="1" dragToRow="1" dragToCol="1" dragToPage="1" dragToData="1" dragOff="1" showAll="0" topAutoShow="1" itemPageCount="10" sortType="manual" defaultSubtotal="1">
      <items count="4">
        <item t="data" sd="1" x="2"/>
        <item t="data" sd="1" x="1"/>
        <item t="data" sd="1" x="0"/>
        <item t="default" sd="1"/>
      </items>
    </pivotField>
  </pivotFields>
  <rowFields count="1">
    <field x="4"/>
  </rowFields>
  <rowItems count="7">
    <i t="data" r="0" i="0">
      <x v="0"/>
    </i>
    <i t="data" r="0" i="0">
      <x v="1"/>
    </i>
    <i t="data" r="0" i="0">
      <x v="2"/>
    </i>
    <i t="data" r="0" i="0">
      <x v="3"/>
    </i>
    <i t="data" r="0" i="0">
      <x v="4"/>
    </i>
    <i t="data" r="0" i="0">
      <x v="5"/>
    </i>
    <i t="grand" r="0" i="0">
      <x v="0"/>
    </i>
  </rowItems>
  <colFields count="1">
    <field x="22"/>
  </colFields>
  <colItems count="4">
    <i t="data" r="0" i="0">
      <x v="0"/>
    </i>
    <i t="data" r="0" i="0">
      <x v="1"/>
    </i>
    <i t="data" r="0" i="0">
      <x v="2"/>
    </i>
    <i t="grand" r="0" i="0">
      <x v="0"/>
    </i>
  </colItems>
  <dataFields count="1">
    <dataField name="Cuenta de EVENTO DE AMENAZA" fld="5" subtotal="count" showDataAs="normal" baseField="0" baseItem="0"/>
  </dataFields>
  <formats count="3">
    <format action="formatting" dxfId="14">
      <pivotArea type="normal" dataOnly="1" outline="1" collapsedLevelsAreSubtotals="1" fieldPosition="0">
        <references count="2">
          <reference field="4"/>
          <reference field="22" selected="0">
            <x v="0"/>
          </reference>
        </references>
      </pivotArea>
    </format>
    <format action="formatting" dxfId="13">
      <pivotArea type="normal" dataOnly="1" outline="1" collapsedLevelsAreSubtotals="1" fieldPosition="0">
        <references count="2">
          <reference field="4"/>
          <reference field="22" selected="0">
            <x v="1"/>
          </reference>
        </references>
      </pivotArea>
    </format>
    <format action="formatting" dxfId="12">
      <pivotArea type="normal" dataOnly="1" outline="1" collapsedLevelsAreSubtotals="1" fieldPosition="0">
        <references count="2">
          <reference field="4"/>
          <reference field="22" selected="0">
            <x v="2"/>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a2" displayName="Tabla2" ref="A2:X1406" headerRowCount="1" totalsRowShown="0" headerRowDxfId="79" headerRowBorderDxfId="78" tableBorderDxfId="77" totalsRowBorderDxfId="76">
  <autoFilter ref="A2:X1406"/>
  <tableColumns count="24">
    <tableColumn id="1" name="ID" dataDxfId="75"/>
    <tableColumn id="2" name="TIPO DE PROCESO" dataDxfId="74"/>
    <tableColumn id="3" name="TIPO DE MACROPROCESO" dataDxfId="73"/>
    <tableColumn id="4" name="CODIGO MACROPROCESO" dataDxfId="72"/>
    <tableColumn id="5" name="PROCESO" dataDxfId="71"/>
    <tableColumn id="6" name="SUBPROCESO" dataDxfId="70"/>
    <tableColumn id="7" name="PROCEDIMIENTO" dataDxfId="69"/>
    <tableColumn id="8" name="NOMBRE" dataDxfId="68"/>
    <tableColumn id="9" name="DESCRIPCIÓN" dataDxfId="67"/>
    <tableColumn id="10" name="RESPONSABLE" dataDxfId="66"/>
    <tableColumn id="11" name="CUSTODIO" dataDxfId="65"/>
    <tableColumn id="12" name="UBICACIÓN" dataDxfId="64"/>
    <tableColumn id="13" name="MEDIO DE CONSERVACIÓN" dataDxfId="63"/>
    <tableColumn id="14" name="TIPO DE ACTIVO" dataDxfId="62"/>
    <tableColumn id="15" name="CATEGORÍA" dataDxfId="61"/>
    <tableColumn id="16" name="CONFIDENCIALIDAD" dataDxfId="60"/>
    <tableColumn id="17" name="INTEGRIDAD" dataDxfId="59"/>
    <tableColumn id="18" name="DISPONIBILIDAD" dataDxfId="58"/>
    <tableColumn id="19" name="VALORACION" dataDxfId="57">
      <calculatedColumnFormula>+(IF(P3="PUBLICA(1)",1,IF(P3="USO INTERNO(2)",2,IF(P3="RESTRINGIDO(3)",3,3))))+(IF(Q3="BAJA(1)",1,IF(Q3="MEDIA(2)",2,IF(Q3="ALTA(3)",3,3))))+(IF(R3="BAJA(1)",1,IF(R3="MEDIA(2)",2,IF(R3="ALTA(3)",3,3))))</calculatedColumnFormula>
    </tableColumn>
    <tableColumn id="20" name="CRITICIDAD" dataDxfId="56">
      <calculatedColumnFormula>+IF(S3&lt;6,"BAJA",IF(S3&lt;8,"MEDIA","ALTA"))</calculatedColumnFormula>
    </tableColumn>
    <tableColumn id="21" name="ACCESO EXTERNO" dataDxfId="55"/>
    <tableColumn id="22" name="FECHA DE REGISTRO" dataDxfId="54"/>
    <tableColumn id="23" name="FECHA DE SALIDA" dataDxfId="53"/>
    <tableColumn id="24" name="RIESGO EVALUADO" dataDxfId="52">
      <calculatedColumnFormula>+IFERROR(IF(VLOOKUP(Tabla2[[#This Row],[ID]],'EVALUACION DE RIESGO'!A:A,1,FALSE)=Tabla2[[#This Row],[ID]],"SI","NO"),"NO")</calculatedColumnFormula>
    </tableColumn>
  </tableColumns>
  <tableStyleInfo showFirstColumn="0" showLastColumn="0" showRowStripes="1" showColumnStripes="0"/>
</table>
</file>

<file path=xl/tables/table2.xml><?xml version="1.0" encoding="utf-8"?>
<table xmlns="http://schemas.openxmlformats.org/spreadsheetml/2006/main" id="2" name="Tabla5" displayName="Tabla5" ref="A2:Z211" headerRowCount="1" totalsRowShown="0" headerRowDxfId="51" dataDxfId="49" headerRowBorderDxfId="50" tableBorderDxfId="48" totalsRowBorderDxfId="47">
  <autoFilter ref="A2:Z211">
    <filterColumn colId="21" hiddenButton="0" showButton="1">
      <filters>
        <filter val="ALTO"/>
      </filters>
    </filterColumn>
  </autoFilter>
  <tableColumns count="26">
    <tableColumn id="1" name="ACTIVO" dataDxfId="46"/>
    <tableColumn id="2" name="NOMBRE" dataDxfId="45"/>
    <tableColumn id="3" name="DESCRIPCION" dataDxfId="44"/>
    <tableColumn id="5" name="TIPO DE ACTIVO MAGGERIT" dataDxfId="43"/>
    <tableColumn id="6" name="EVENTO DE AMENAZA" dataDxfId="42"/>
    <tableColumn id="7" name="CID" dataDxfId="41"/>
    <tableColumn id="23" name="CONFIDENCIALIDAD" dataDxfId="40"/>
    <tableColumn id="22" name="INTEGRIDAD" dataDxfId="39"/>
    <tableColumn id="21" name="DISPONIBILIDAD" dataDxfId="38"/>
    <tableColumn id="8" name="PROBABILIDAD" dataDxfId="37"/>
    <tableColumn id="9" name="IMPACTO" dataDxfId="36"/>
    <tableColumn id="10" name="RIESGO INHERENTE" dataDxfId="35">
      <calculatedColumnFormula>+J3*K3</calculatedColumnFormula>
    </tableColumn>
    <tableColumn id="11" name="DETERMINACION RIESGO ACUMULADO O INHERENTE" dataDxfId="34"/>
    <tableColumn id="12" name="CONTROLES EXISTENTES" dataDxfId="33"/>
    <tableColumn id="13" name="TIPO DE PROTECCION" dataDxfId="32"/>
    <tableColumn id="14" name="MADUREZ DEL CONTROL" dataDxfId="31"/>
    <tableColumn id="15" name="VALOR DE EFICACIA" dataDxfId="30"/>
    <tableColumn id="16" name="VULNERABILIDADES" dataDxfId="29"/>
    <tableColumn id="17" name="PROBABILIDAD RESIDUAL" dataDxfId="28"/>
    <tableColumn id="18" name="IMPACTO RESIDUAL" dataDxfId="27"/>
    <tableColumn id="19" name="RIESGO RESIDUAL" dataDxfId="26"/>
    <tableColumn id="20" name="DETERMINACION RIESGO RESIDUAL" dataDxfId="25"/>
    <tableColumn id="27" name="APETITO DE RIESGO" dataDxfId="24"/>
    <tableColumn id="24" name="REQUIERE TRATAMIENTO_x000a_NORMATIVA SEPS 002-2022" dataDxfId="23"/>
    <tableColumn id="25" name="PLAN DE ACCION" dataDxfId="22"/>
    <tableColumn id="26" name="DESCIPCION PLAN DE ACCIÓN" dataDxfId="21"/>
  </tableColumns>
  <tableStyleInfo name="TableStyleMedium2" showFirstColumn="0" showLastColumn="0" showRowStripes="1" showColumnStripes="0"/>
</table>
</file>

<file path=xl/tables/table3.xml><?xml version="1.0" encoding="utf-8"?>
<table xmlns="http://schemas.openxmlformats.org/spreadsheetml/2006/main" id="3" name="Tabla3" displayName="Tabla3" ref="A1:D7" headerRowCount="1" totalsRowShown="0" dataDxfId="20" tableBorderDxfId="19">
  <autoFilter ref="A1:D7"/>
  <tableColumns count="4">
    <tableColumn id="1" name="PLAN DE ACCION" dataDxfId="18"/>
    <tableColumn id="2" name="DESCIPCION PLAN DE ACCIÓN" dataDxfId="17"/>
    <tableColumn id="4" name="RESPONSABLE" dataDxfId="16"/>
    <tableColumn id="5" name="PLAZO" dataDxfId="15"/>
  </tableColumns>
  <tableStyleInfo name="TableStyleMedium2" showFirstColumn="0" showLastColumn="0" showRowStripes="1" showColumnStripes="0"/>
</table>
</file>

<file path=xl/tables/table4.xml><?xml version="1.0" encoding="utf-8"?>
<table xmlns="http://schemas.openxmlformats.org/spreadsheetml/2006/main" id="4" name="Tabla1" displayName="Tabla1" ref="A1:B11" headerRowCount="1" totalsRowShown="0" tableBorderDxfId="6">
  <autoFilter ref="A1:B11"/>
  <tableColumns count="2">
    <tableColumn id="1" name="TIPO DE ACTIVO" dataDxfId="5"/>
    <tableColumn id="2" name="DESCRIPCION" dataDxfId="4"/>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 Type="http://schemas.openxmlformats.org/officeDocument/2006/relationships/pivotTable" Target="/xl/pivotTables/pivotTable5.xml" Id="rId6" /><Relationship Type="http://schemas.openxmlformats.org/officeDocument/2006/relationships/pivotTable" Target="/xl/pivotTables/pivotTable6.xml" Id="rId7" /><Relationship Type="http://schemas.openxmlformats.org/officeDocument/2006/relationships/pivotTable" Target="/xl/pivotTables/pivotTable7.xml" Id="rId8"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X1406"/>
  <sheetViews>
    <sheetView topLeftCell="A196" workbookViewId="0">
      <selection activeCell="M19" sqref="M19"/>
    </sheetView>
  </sheetViews>
  <sheetFormatPr baseColWidth="10" defaultRowHeight="11"/>
  <cols>
    <col hidden="1" width="19.25" customWidth="1" style="98" min="2" max="2"/>
    <col hidden="1" width="26" customWidth="1" style="98" min="3" max="3"/>
    <col hidden="1" width="26.25" customWidth="1" style="98" min="4" max="4"/>
    <col hidden="1" width="41.75" customWidth="1" style="98" min="5" max="5"/>
    <col hidden="1" width="15.25" customWidth="1" style="98" min="6" max="6"/>
    <col hidden="1" width="31" customWidth="1" style="98" min="7" max="7"/>
    <col width="40.25" customWidth="1" style="98" min="8" max="8"/>
    <col width="44.75" customWidth="1" style="98" min="9" max="9"/>
    <col hidden="1" width="16.25" customWidth="1" style="98" min="10" max="10"/>
    <col hidden="1" width="19.25" customWidth="1" style="98" min="11" max="11"/>
    <col width="18.5" customWidth="1" style="98" min="12" max="12"/>
    <col width="26.25" customWidth="1" style="98" min="13" max="13"/>
    <col width="17.75" customWidth="1" style="98" min="14" max="14"/>
    <col width="33.25" bestFit="1" customWidth="1" style="98" min="15" max="15"/>
    <col width="20.5" customWidth="1" style="98" min="16" max="16"/>
    <col width="13.75" customWidth="1" style="98" min="17" max="17"/>
    <col width="17.25" customWidth="1" style="98" min="18" max="18"/>
    <col width="15.25" customWidth="1" style="98" min="19" max="19"/>
    <col width="13.5" customWidth="1" style="98" min="20" max="20"/>
    <col width="19.25" customWidth="1" style="98" min="21" max="21"/>
    <col width="21.25" customWidth="1" style="98" min="22" max="22"/>
    <col width="19" customWidth="1" style="98" min="23" max="23"/>
    <col width="27.75" customWidth="1" style="98" min="24" max="24"/>
  </cols>
  <sheetData>
    <row r="1">
      <c r="A1" s="89" t="n"/>
      <c r="B1" s="89" t="inlineStr">
        <is>
          <t>PROCESO/PROCEDIMIENTO</t>
        </is>
      </c>
      <c r="C1" s="90" t="n"/>
      <c r="D1" s="90" t="n"/>
      <c r="E1" s="90" t="n"/>
      <c r="F1" s="90" t="n"/>
      <c r="G1" s="91" t="n"/>
      <c r="H1" s="89" t="n"/>
      <c r="I1" s="89" t="n"/>
      <c r="J1" s="89" t="n"/>
      <c r="K1" s="89" t="n"/>
      <c r="L1" s="89" t="n"/>
      <c r="M1" s="89" t="n"/>
      <c r="N1" s="27" t="n"/>
      <c r="O1" s="89" t="n"/>
      <c r="P1" s="89" t="inlineStr">
        <is>
          <t>CLASIFICACIÓN</t>
        </is>
      </c>
      <c r="Q1" s="90" t="n"/>
      <c r="R1" s="91" t="n"/>
      <c r="S1" s="89" t="inlineStr">
        <is>
          <t>CRITICIDAD</t>
        </is>
      </c>
      <c r="T1" s="91" t="n"/>
      <c r="U1" s="89" t="n"/>
      <c r="V1" s="89" t="n"/>
      <c r="W1" s="89" t="n"/>
    </row>
    <row r="2" ht="24" customHeight="1" s="98">
      <c r="A2" s="28" t="inlineStr">
        <is>
          <t>ID</t>
        </is>
      </c>
      <c r="B2" s="29" t="inlineStr">
        <is>
          <t>TIPO DE PROCESO</t>
        </is>
      </c>
      <c r="C2" s="29" t="inlineStr">
        <is>
          <t>TIPO DE MACROPROCESO</t>
        </is>
      </c>
      <c r="D2" s="29" t="inlineStr">
        <is>
          <t>CODIGO MACROPROCESO</t>
        </is>
      </c>
      <c r="E2" s="29" t="inlineStr">
        <is>
          <t>PROCESO</t>
        </is>
      </c>
      <c r="F2" s="29" t="inlineStr">
        <is>
          <t>SUBPROCESO</t>
        </is>
      </c>
      <c r="G2" s="29" t="inlineStr">
        <is>
          <t>PROCEDIMIENTO</t>
        </is>
      </c>
      <c r="H2" s="29" t="inlineStr">
        <is>
          <t>NOMBRE</t>
        </is>
      </c>
      <c r="I2" s="29" t="inlineStr">
        <is>
          <t>DESCRIPCIÓN</t>
        </is>
      </c>
      <c r="J2" s="29" t="inlineStr">
        <is>
          <t>RESPONSABLE</t>
        </is>
      </c>
      <c r="K2" s="29" t="inlineStr">
        <is>
          <t>CUSTODIO</t>
        </is>
      </c>
      <c r="L2" s="29" t="inlineStr">
        <is>
          <t>UBICACIÓN</t>
        </is>
      </c>
      <c r="M2" s="29" t="inlineStr">
        <is>
          <t>MEDIO DE CONSERVACIÓN</t>
        </is>
      </c>
      <c r="N2" s="30" t="inlineStr">
        <is>
          <t>TIPO DE ACTIVO</t>
        </is>
      </c>
      <c r="O2" s="29" t="inlineStr">
        <is>
          <t>CATEGORÍA</t>
        </is>
      </c>
      <c r="P2" s="29" t="inlineStr">
        <is>
          <t>CONFIDENCIALIDAD</t>
        </is>
      </c>
      <c r="Q2" s="29" t="inlineStr">
        <is>
          <t>INTEGRIDAD</t>
        </is>
      </c>
      <c r="R2" s="29" t="inlineStr">
        <is>
          <t>DISPONIBILIDAD</t>
        </is>
      </c>
      <c r="S2" s="29" t="inlineStr">
        <is>
          <t>VALORACION</t>
        </is>
      </c>
      <c r="T2" s="29" t="inlineStr">
        <is>
          <t>CRITICIDAD</t>
        </is>
      </c>
      <c r="U2" s="29" t="inlineStr">
        <is>
          <t>ACCESO EXTERNO</t>
        </is>
      </c>
      <c r="V2" s="29" t="inlineStr">
        <is>
          <t>FECHA DE REGISTRO</t>
        </is>
      </c>
      <c r="W2" s="23" t="inlineStr">
        <is>
          <t>FECHA DE SALIDA</t>
        </is>
      </c>
      <c r="X2" s="29" t="inlineStr">
        <is>
          <t>RIESGO EVALUADO</t>
        </is>
      </c>
    </row>
    <row r="3">
      <c r="A3" s="91" t="inlineStr">
        <is>
          <t>1-GAD</t>
        </is>
      </c>
      <c r="B3" s="10" t="inlineStr">
        <is>
          <t>APOYO</t>
        </is>
      </c>
      <c r="C3" s="10" t="inlineStr">
        <is>
          <t xml:space="preserve">Gestión Administrativa </t>
        </is>
      </c>
      <c r="D3" s="10" t="inlineStr">
        <is>
          <t>GAD</t>
        </is>
      </c>
      <c r="E3" s="10" t="inlineStr">
        <is>
          <t xml:space="preserve">Comunicación y Asistencia Gerencial </t>
        </is>
      </c>
      <c r="F3" s="10" t="inlineStr">
        <is>
          <t>-</t>
        </is>
      </c>
      <c r="G3" s="10" t="inlineStr">
        <is>
          <t xml:space="preserve">Recepción y registro de documentos </t>
        </is>
      </c>
      <c r="H3" s="10" t="inlineStr">
        <is>
          <t>Matriz de control de documentos Gerencia</t>
        </is>
      </c>
      <c r="I3" s="10" t="inlineStr">
        <is>
          <t>Reporte que genera el sistema Ventanilla Virtual - Administra Procesos y opera la S de Gerencia</t>
        </is>
      </c>
      <c r="J3" s="10" t="inlineStr">
        <is>
          <t>Secretaria de Gerencia General</t>
        </is>
      </c>
      <c r="K3" s="10" t="inlineStr">
        <is>
          <t>Secretaria de Gerencia General</t>
        </is>
      </c>
      <c r="L3" s="10" t="inlineStr">
        <is>
          <t>UBICACIÓN DIGITAL-EQUIPO DEL RESPONSABLE</t>
        </is>
      </c>
      <c r="M3" s="10" t="inlineStr">
        <is>
          <t>DISCOS DUROS, SERVIDORES, DISCOS O MEDIOS PORTÁTILES, CINTAS O MEDIOS DE VIDEO Y AUDIO, ETC.</t>
        </is>
      </c>
      <c r="N3" s="10" t="inlineStr">
        <is>
          <t>PRIMARIOS</t>
        </is>
      </c>
      <c r="O3" s="10" t="inlineStr">
        <is>
          <t>DOCUMENTOS TÉCNICOS</t>
        </is>
      </c>
      <c r="P3" s="10" t="inlineStr">
        <is>
          <t>USO INTERNO(2)</t>
        </is>
      </c>
      <c r="Q3" s="10" t="inlineStr">
        <is>
          <t>BAJA(1)</t>
        </is>
      </c>
      <c r="R3" s="10" t="inlineStr">
        <is>
          <t>BAJA(1)</t>
        </is>
      </c>
      <c r="S3" s="10">
        <f>+(IF(P3="PUBLICA(1)",1,IF(P3="USO INTERNO(2)",2,IF(P3="RESTRINGIDO(3)",3,3))))+(IF(Q3="BAJA(1)",1,IF(Q3="MEDIA(2)",2,IF(Q3="ALTA(3)",3,3))))+(IF(R3="BAJA(1)",1,IF(R3="MEDIA(2)",2,IF(R3="ALTA(3)",3,3))))</f>
        <v/>
      </c>
      <c r="T3" s="10">
        <f>+IF(S3&lt;6,"BAJA",IF(S3&lt;8,"MEDIA","ALTA"))</f>
        <v/>
      </c>
      <c r="U3" s="10" t="inlineStr">
        <is>
          <t>-</t>
        </is>
      </c>
      <c r="V3" s="24" t="n">
        <v>45673</v>
      </c>
      <c r="W3" s="19" t="inlineStr">
        <is>
          <t>N/A</t>
        </is>
      </c>
      <c r="X3" s="96">
        <f>+IFERROR(IF(VLOOKUP(Tabla2[[#This Row],[ID]],'EVALUACION DE RIESGO'!A:A,1,FALSE)=Tabla2[[#This Row],[ID]],"SI","NO"),"NO")</f>
        <v/>
      </c>
    </row>
    <row r="4">
      <c r="A4" s="91" t="inlineStr">
        <is>
          <t>2-GAD</t>
        </is>
      </c>
      <c r="B4" s="10" t="inlineStr">
        <is>
          <t>APOYO</t>
        </is>
      </c>
      <c r="C4" s="10" t="inlineStr">
        <is>
          <t xml:space="preserve">Gestión Administrativa </t>
        </is>
      </c>
      <c r="D4" s="10" t="inlineStr">
        <is>
          <t>GAD</t>
        </is>
      </c>
      <c r="E4" s="10" t="inlineStr">
        <is>
          <t xml:space="preserve">Comunicación y Asistencia Gerencial </t>
        </is>
      </c>
      <c r="F4" s="10" t="inlineStr">
        <is>
          <t>-</t>
        </is>
      </c>
      <c r="G4" s="10" t="inlineStr">
        <is>
          <t xml:space="preserve">Recepción y registro de documentos </t>
        </is>
      </c>
      <c r="H4" s="10" t="inlineStr">
        <is>
          <t>Registro de entrega recepción de documentos</t>
        </is>
      </c>
      <c r="I4" s="10" t="inlineStr">
        <is>
          <t>Recepción de archivos físicos como digitales</t>
        </is>
      </c>
      <c r="J4" s="10" t="inlineStr">
        <is>
          <t>Secretaria de Gerencia General</t>
        </is>
      </c>
      <c r="K4" s="10" t="inlineStr">
        <is>
          <t>Secretaria de Gerencia General</t>
        </is>
      </c>
      <c r="L4" s="10" t="inlineStr">
        <is>
          <t>UBICACIÓN FISICA-MATRIZ ATUNTAQUI</t>
        </is>
      </c>
      <c r="M4" s="10" t="inlineStr">
        <is>
          <t>DOCUMENTO DE ARCHIVO-FÍSICO</t>
        </is>
      </c>
      <c r="N4" s="10" t="inlineStr">
        <is>
          <t>PRIMARIOS</t>
        </is>
      </c>
      <c r="O4" s="10" t="inlineStr">
        <is>
          <t>DOCUMENTOS HABILITANTES</t>
        </is>
      </c>
      <c r="P4" s="10" t="inlineStr">
        <is>
          <t>USO INTERNO(2)</t>
        </is>
      </c>
      <c r="Q4" s="10" t="inlineStr">
        <is>
          <t>BAJA(1)</t>
        </is>
      </c>
      <c r="R4" s="10" t="inlineStr">
        <is>
          <t>BAJA(1)</t>
        </is>
      </c>
      <c r="S4" s="10">
        <f>+(IF(P4="PUBLICA(1)",1,IF(P4="USO INTERNO(2)",2,IF(P4="RESTRINGIDO(3)",3,3))))+(IF(Q4="BAJA(1)",1,IF(Q4="MEDIA(2)",2,IF(Q4="ALTA(3)",3,3))))+(IF(R4="BAJA(1)",1,IF(R4="MEDIA(2)",2,IF(R4="ALTA(3)",3,3))))</f>
        <v/>
      </c>
      <c r="T4" s="10">
        <f>+IF(S4&lt;6,"BAJA",IF(S4&lt;8,"MEDIA","ALTA"))</f>
        <v/>
      </c>
      <c r="U4" s="10" t="inlineStr">
        <is>
          <t>-</t>
        </is>
      </c>
      <c r="V4" s="24" t="n">
        <v>45673</v>
      </c>
      <c r="W4" s="19" t="inlineStr">
        <is>
          <t>N/A</t>
        </is>
      </c>
      <c r="X4" s="10">
        <f>+IFERROR(IF(VLOOKUP(Tabla2[[#This Row],[ID]],'EVALUACION DE RIESGO'!A:A,1,FALSE)=Tabla2[[#This Row],[ID]],"SI","NO"),"NO")</f>
        <v/>
      </c>
    </row>
    <row r="5">
      <c r="A5" s="91" t="inlineStr">
        <is>
          <t>3-GAD</t>
        </is>
      </c>
      <c r="B5" s="10" t="inlineStr">
        <is>
          <t>APOYO</t>
        </is>
      </c>
      <c r="C5" s="10" t="inlineStr">
        <is>
          <t xml:space="preserve">Gestión Administrativa </t>
        </is>
      </c>
      <c r="D5" s="10" t="inlineStr">
        <is>
          <t>GAD</t>
        </is>
      </c>
      <c r="E5" s="10" t="inlineStr">
        <is>
          <t xml:space="preserve">Comunicación y Asistencia Gerencial </t>
        </is>
      </c>
      <c r="F5" s="10" t="inlineStr">
        <is>
          <t>-</t>
        </is>
      </c>
      <c r="G5" s="10" t="inlineStr">
        <is>
          <t>Seguimiento y cierre de trámites</t>
        </is>
      </c>
      <c r="H5" s="10" t="inlineStr">
        <is>
          <t>Matriz de control de documentos Gerencia (Seguimiento)</t>
        </is>
      </c>
      <c r="I5" s="10" t="inlineStr">
        <is>
          <t>Matriz de control de documentos Gerencia</t>
        </is>
      </c>
      <c r="J5" s="10" t="inlineStr">
        <is>
          <t>Secretaria de Gerencia General</t>
        </is>
      </c>
      <c r="K5" s="10" t="inlineStr">
        <is>
          <t>Secretaria de Gerencia General</t>
        </is>
      </c>
      <c r="L5" s="10" t="inlineStr">
        <is>
          <t>UBICACIÓN DIGITAL-EQUIPO DEL RESPONSABLE</t>
        </is>
      </c>
      <c r="M5" s="10" t="inlineStr">
        <is>
          <t>DISCOS DUROS, SERVIDORES, DISCOS O MEDIOS PORTÁTILES, CINTAS O MEDIOS DE VIDEO Y AUDIO, ETC.</t>
        </is>
      </c>
      <c r="N5" s="10" t="inlineStr">
        <is>
          <t>PRIMARIOS</t>
        </is>
      </c>
      <c r="O5" s="10" t="inlineStr">
        <is>
          <t>DOCUMENTOS TÉCNICOS</t>
        </is>
      </c>
      <c r="P5" s="10" t="inlineStr">
        <is>
          <t>USO INTERNO(2)</t>
        </is>
      </c>
      <c r="Q5" s="10" t="inlineStr">
        <is>
          <t>MEDIA(2)</t>
        </is>
      </c>
      <c r="R5" s="10" t="inlineStr">
        <is>
          <t>BAJA(1)</t>
        </is>
      </c>
      <c r="S5" s="10">
        <f>+(IF(P5="PUBLICA(1)",1,IF(P5="USO INTERNO(2)",2,IF(P5="RESTRINGIDO(3)",3,3))))+(IF(Q5="BAJA(1)",1,IF(Q5="MEDIA(2)",2,IF(Q5="ALTA(3)",3,3))))+(IF(R5="BAJA(1)",1,IF(R5="MEDIA(2)",2,IF(R5="ALTA(3)",3,3))))</f>
        <v/>
      </c>
      <c r="T5" s="10">
        <f>+IF(S5&lt;6,"BAJA",IF(S5&lt;8,"MEDIA","ALTA"))</f>
        <v/>
      </c>
      <c r="U5" s="10" t="inlineStr">
        <is>
          <t>-</t>
        </is>
      </c>
      <c r="V5" s="24" t="n">
        <v>45673</v>
      </c>
      <c r="W5" s="19" t="inlineStr">
        <is>
          <t>N/A</t>
        </is>
      </c>
      <c r="X5" s="10">
        <f>+IFERROR(IF(VLOOKUP(Tabla2[[#This Row],[ID]],'EVALUACION DE RIESGO'!A:A,1,FALSE)=Tabla2[[#This Row],[ID]],"SI","NO"),"NO")</f>
        <v/>
      </c>
    </row>
    <row r="6">
      <c r="A6" s="91" t="inlineStr">
        <is>
          <t>4-GAD</t>
        </is>
      </c>
      <c r="B6" s="10" t="inlineStr">
        <is>
          <t>APOYO</t>
        </is>
      </c>
      <c r="C6" s="10" t="inlineStr">
        <is>
          <t xml:space="preserve">Gestión Administrativa </t>
        </is>
      </c>
      <c r="D6" s="10" t="inlineStr">
        <is>
          <t>GAD</t>
        </is>
      </c>
      <c r="E6" s="10" t="inlineStr">
        <is>
          <t xml:space="preserve">Comunicación y Asistencia Gerencial </t>
        </is>
      </c>
      <c r="F6" s="10" t="inlineStr">
        <is>
          <t>-</t>
        </is>
      </c>
      <c r="G6" s="10" t="inlineStr">
        <is>
          <t xml:space="preserve">Despacho de oficios generados en otras áreas </t>
        </is>
      </c>
      <c r="H6" s="10" t="inlineStr">
        <is>
          <t>Oficio Memorandos</t>
        </is>
      </c>
      <c r="I6" s="10" t="inlineStr">
        <is>
          <t>Archivos físicos como digitales de Gerencia</t>
        </is>
      </c>
      <c r="J6" s="10" t="inlineStr">
        <is>
          <t>Secretaria de Gerencia General</t>
        </is>
      </c>
      <c r="K6" s="10" t="inlineStr">
        <is>
          <t>Secretaria de Gerencia General</t>
        </is>
      </c>
      <c r="L6" s="10" t="inlineStr">
        <is>
          <t>UBICACIÓN DIGITAL-EQUIPO DEL RESPONSABLE</t>
        </is>
      </c>
      <c r="M6" s="10" t="inlineStr">
        <is>
          <t>DOCUMENTO DE ARCHIVO-FÍSICO</t>
        </is>
      </c>
      <c r="N6" s="10" t="inlineStr">
        <is>
          <t>PRIMARIOS</t>
        </is>
      </c>
      <c r="O6" s="10" t="inlineStr">
        <is>
          <t>DOCUMENTOS HABILITANTES</t>
        </is>
      </c>
      <c r="P6" s="10" t="inlineStr">
        <is>
          <t>RESTRINGIDO(3)</t>
        </is>
      </c>
      <c r="Q6" s="10" t="inlineStr">
        <is>
          <t>BAJA(1)</t>
        </is>
      </c>
      <c r="R6" s="10" t="inlineStr">
        <is>
          <t>MEDIA(2)</t>
        </is>
      </c>
      <c r="S6" s="10">
        <f>+(IF(P6="PUBLICA(1)",1,IF(P6="USO INTERNO(2)",2,IF(P6="RESTRINGIDO(3)",3,3))))+(IF(Q6="BAJA(1)",1,IF(Q6="MEDIA(2)",2,IF(Q6="ALTA(3)",3,3))))+(IF(R6="BAJA(1)",1,IF(R6="MEDIA(2)",2,IF(R6="ALTA(3)",3,3))))</f>
        <v/>
      </c>
      <c r="T6" s="10">
        <f>+IF(S6&lt;6,"BAJA",IF(S6&lt;8,"MEDIA","ALTA"))</f>
        <v/>
      </c>
      <c r="U6" s="10" t="inlineStr">
        <is>
          <t>-</t>
        </is>
      </c>
      <c r="V6" s="24" t="n">
        <v>45673</v>
      </c>
      <c r="W6" s="19" t="inlineStr">
        <is>
          <t>N/A</t>
        </is>
      </c>
      <c r="X6" s="10">
        <f>+IFERROR(IF(VLOOKUP(Tabla2[[#This Row],[ID]],'EVALUACION DE RIESGO'!A:A,1,FALSE)=Tabla2[[#This Row],[ID]],"SI","NO"),"NO")</f>
        <v/>
      </c>
    </row>
    <row r="7">
      <c r="A7" s="91" t="inlineStr">
        <is>
          <t>5-GAD</t>
        </is>
      </c>
      <c r="B7" s="10" t="inlineStr">
        <is>
          <t>APOYO</t>
        </is>
      </c>
      <c r="C7" s="10" t="inlineStr">
        <is>
          <t xml:space="preserve">Gestión Administrativa </t>
        </is>
      </c>
      <c r="D7" s="10" t="inlineStr">
        <is>
          <t>GAD</t>
        </is>
      </c>
      <c r="E7" s="10" t="inlineStr">
        <is>
          <t xml:space="preserve">Comunicación y Asistencia Gerencial </t>
        </is>
      </c>
      <c r="F7" s="10" t="inlineStr">
        <is>
          <t>-</t>
        </is>
      </c>
      <c r="G7" s="10" t="inlineStr">
        <is>
          <t xml:space="preserve">Manejo de Agenda </t>
        </is>
      </c>
      <c r="H7" s="10" t="inlineStr">
        <is>
          <t>Agenda gerencial</t>
        </is>
      </c>
      <c r="I7" s="10" t="inlineStr">
        <is>
          <t>Reporte mensual que se presenta a gerencia</t>
        </is>
      </c>
      <c r="J7" s="10" t="inlineStr">
        <is>
          <t>Secretaria de Gerencia General</t>
        </is>
      </c>
      <c r="K7" s="10" t="inlineStr">
        <is>
          <t>Secretaria de Gerencia General</t>
        </is>
      </c>
      <c r="L7" s="10" t="inlineStr">
        <is>
          <t>UBICACIÓN DIGITAL-EQUIPO DEL RESPONSABLE</t>
        </is>
      </c>
      <c r="M7" s="10" t="inlineStr">
        <is>
          <t>DISCOS DUROS, SERVIDORES, DISCOS O MEDIOS PORTÁTILES, CINTAS O MEDIOS DE VIDEO Y AUDIO, ETC.</t>
        </is>
      </c>
      <c r="N7" s="10" t="inlineStr">
        <is>
          <t>PRIMARIOS</t>
        </is>
      </c>
      <c r="O7" s="10" t="inlineStr">
        <is>
          <t>DOCUMENTOS TÉCNICOS</t>
        </is>
      </c>
      <c r="P7" s="10" t="inlineStr">
        <is>
          <t>RESTRINGIDO(3)</t>
        </is>
      </c>
      <c r="Q7" s="10" t="inlineStr">
        <is>
          <t>MEDIA(2)</t>
        </is>
      </c>
      <c r="R7" s="10" t="inlineStr">
        <is>
          <t>BAJA(1)</t>
        </is>
      </c>
      <c r="S7" s="10">
        <f>+(IF(P7="PUBLICA(1)",1,IF(P7="USO INTERNO(2)",2,IF(P7="RESTRINGIDO(3)",3,3))))+(IF(Q7="BAJA(1)",1,IF(Q7="MEDIA(2)",2,IF(Q7="ALTA(3)",3,3))))+(IF(R7="BAJA(1)",1,IF(R7="MEDIA(2)",2,IF(R7="ALTA(3)",3,3))))</f>
        <v/>
      </c>
      <c r="T7" s="10">
        <f>+IF(S7&lt;6,"BAJA",IF(S7&lt;8,"MEDIA","ALTA"))</f>
        <v/>
      </c>
      <c r="U7" s="10" t="inlineStr">
        <is>
          <t>-</t>
        </is>
      </c>
      <c r="V7" s="24" t="n">
        <v>45673</v>
      </c>
      <c r="W7" s="19" t="inlineStr">
        <is>
          <t>N/A</t>
        </is>
      </c>
      <c r="X7" s="10">
        <f>+IFERROR(IF(VLOOKUP(Tabla2[[#This Row],[ID]],'EVALUACION DE RIESGO'!A:A,1,FALSE)=Tabla2[[#This Row],[ID]],"SI","NO"),"NO")</f>
        <v/>
      </c>
    </row>
    <row r="8">
      <c r="A8" s="91" t="inlineStr">
        <is>
          <t>6-GAD</t>
        </is>
      </c>
      <c r="B8" s="10" t="inlineStr">
        <is>
          <t>APOYO</t>
        </is>
      </c>
      <c r="C8" s="10" t="inlineStr">
        <is>
          <t xml:space="preserve">Gestión Administrativa </t>
        </is>
      </c>
      <c r="D8" s="10" t="inlineStr">
        <is>
          <t>GAD</t>
        </is>
      </c>
      <c r="E8" s="10" t="inlineStr">
        <is>
          <t xml:space="preserve">Comunicación y Asistencia Gerencial </t>
        </is>
      </c>
      <c r="F8" s="10" t="inlineStr">
        <is>
          <t>-</t>
        </is>
      </c>
      <c r="G8" s="10" t="inlineStr">
        <is>
          <t>N/A</t>
        </is>
      </c>
      <c r="H8" s="10" t="inlineStr">
        <is>
          <t>Archivo de Secretaria de Gerencia</t>
        </is>
      </c>
      <c r="I8" s="10" t="inlineStr">
        <is>
          <t>Archivos físicos que reposan en el archivo del área</t>
        </is>
      </c>
      <c r="J8" s="10" t="inlineStr">
        <is>
          <t>Secretaria de Gerencia General</t>
        </is>
      </c>
      <c r="K8" s="10" t="inlineStr">
        <is>
          <t>Secretaria de Gerencia General</t>
        </is>
      </c>
      <c r="L8" s="10" t="inlineStr">
        <is>
          <t>DOCUMENTOS FISICOS-ARCHIVOS DE LA OFICINA</t>
        </is>
      </c>
      <c r="M8" s="10" t="inlineStr">
        <is>
          <t>DOCUMENTO DE ARCHIVO-FÍSICO</t>
        </is>
      </c>
      <c r="N8" s="10" t="inlineStr">
        <is>
          <t>PRIMARIOS</t>
        </is>
      </c>
      <c r="O8" s="10" t="inlineStr">
        <is>
          <t>DOCUMENTOS HABILITANTES</t>
        </is>
      </c>
      <c r="P8" s="10" t="inlineStr">
        <is>
          <t>RESTRINGIDO(3)</t>
        </is>
      </c>
      <c r="Q8" s="10" t="inlineStr">
        <is>
          <t>MEDIA(2)</t>
        </is>
      </c>
      <c r="R8" s="10" t="inlineStr">
        <is>
          <t>MEDIA(2)</t>
        </is>
      </c>
      <c r="S8" s="10">
        <f>+(IF(P8="PUBLICA(1)",1,IF(P8="USO INTERNO(2)",2,IF(P8="RESTRINGIDO(3)",3,3))))+(IF(Q8="BAJA(1)",1,IF(Q8="MEDIA(2)",2,IF(Q8="ALTA(3)",3,3))))+(IF(R8="BAJA(1)",1,IF(R8="MEDIA(2)",2,IF(R8="ALTA(3)",3,3))))</f>
        <v/>
      </c>
      <c r="T8" s="10">
        <f>+IF(S8&lt;6,"BAJA",IF(S8&lt;8,"MEDIA","ALTA"))</f>
        <v/>
      </c>
      <c r="U8" s="10" t="inlineStr">
        <is>
          <t>-</t>
        </is>
      </c>
      <c r="V8" s="24" t="n">
        <v>45673</v>
      </c>
      <c r="W8" s="19" t="inlineStr">
        <is>
          <t>N/A</t>
        </is>
      </c>
      <c r="X8" s="10">
        <f>+IFERROR(IF(VLOOKUP(Tabla2[[#This Row],[ID]],'EVALUACION DE RIESGO'!A:A,1,FALSE)=Tabla2[[#This Row],[ID]],"SI","NO"),"NO")</f>
        <v/>
      </c>
    </row>
    <row r="9">
      <c r="A9" s="91" t="inlineStr">
        <is>
          <t>7-GAD</t>
        </is>
      </c>
      <c r="B9" s="10" t="inlineStr">
        <is>
          <t>APOYO</t>
        </is>
      </c>
      <c r="C9" s="10" t="inlineStr">
        <is>
          <t xml:space="preserve">Gestión Administrativa </t>
        </is>
      </c>
      <c r="D9" s="10" t="inlineStr">
        <is>
          <t>GAD</t>
        </is>
      </c>
      <c r="E9" s="10" t="inlineStr">
        <is>
          <t xml:space="preserve">Comunicación y Asistencia Gerencial </t>
        </is>
      </c>
      <c r="F9" s="10" t="inlineStr">
        <is>
          <t>-</t>
        </is>
      </c>
      <c r="G9" s="10" t="inlineStr">
        <is>
          <t>N/A</t>
        </is>
      </c>
      <c r="H9" s="10" t="inlineStr">
        <is>
          <t>Equipos de computación de Asistente de Gerencia</t>
        </is>
      </c>
      <c r="I9" s="10" t="inlineStr">
        <is>
          <t>Equipos de computación donde se realiza la gestión del área</t>
        </is>
      </c>
      <c r="J9" s="10" t="inlineStr">
        <is>
          <t>Secretaria de Gerencia General</t>
        </is>
      </c>
      <c r="K9" s="10" t="inlineStr">
        <is>
          <t>Secretaria de Gerencia General</t>
        </is>
      </c>
      <c r="L9" s="10" t="inlineStr">
        <is>
          <t>DOCUMENTOS FISICOS-ARCHIVOS DE LA OFICINA</t>
        </is>
      </c>
      <c r="M9" s="10" t="inlineStr">
        <is>
          <t>DOCUMENTO DE ARCHIVO-FÍSICO</t>
        </is>
      </c>
      <c r="N9" s="10" t="inlineStr">
        <is>
          <t>APOYO</t>
        </is>
      </c>
      <c r="O9" s="10" t="inlineStr">
        <is>
          <t>HARDWARE</t>
        </is>
      </c>
      <c r="P9" s="10" t="inlineStr">
        <is>
          <t>USO INTERNO(2)</t>
        </is>
      </c>
      <c r="Q9" s="10" t="inlineStr">
        <is>
          <t>BAJA(1)</t>
        </is>
      </c>
      <c r="R9" s="10" t="inlineStr">
        <is>
          <t>MEDIA(2)</t>
        </is>
      </c>
      <c r="S9" s="10">
        <f>+(IF(P9="PUBLICA(1)",1,IF(P9="USO INTERNO(2)",2,IF(P9="RESTRINGIDO(3)",3,3))))+(IF(Q9="BAJA(1)",1,IF(Q9="MEDIA(2)",2,IF(Q9="ALTA(3)",3,3))))+(IF(R9="BAJA(1)",1,IF(R9="MEDIA(2)",2,IF(R9="ALTA(3)",3,3))))</f>
        <v/>
      </c>
      <c r="T9" s="10">
        <f>+IF(S9&lt;6,"BAJA",IF(S9&lt;8,"MEDIA","ALTA"))</f>
        <v/>
      </c>
      <c r="U9" s="10" t="inlineStr">
        <is>
          <t>-</t>
        </is>
      </c>
      <c r="V9" s="24" t="n">
        <v>45673</v>
      </c>
      <c r="W9" s="19" t="inlineStr">
        <is>
          <t>N/A</t>
        </is>
      </c>
      <c r="X9" s="10">
        <f>+IFERROR(IF(VLOOKUP(Tabla2[[#This Row],[ID]],'EVALUACION DE RIESGO'!A:A,1,FALSE)=Tabla2[[#This Row],[ID]],"SI","NO"),"NO")</f>
        <v/>
      </c>
    </row>
    <row r="10">
      <c r="A10" s="91" t="inlineStr">
        <is>
          <t>8-GAD</t>
        </is>
      </c>
      <c r="B10" s="10" t="inlineStr">
        <is>
          <t>APOYO</t>
        </is>
      </c>
      <c r="C10" s="10" t="inlineStr">
        <is>
          <t xml:space="preserve">Gestión Administrativa </t>
        </is>
      </c>
      <c r="D10" s="10" t="inlineStr">
        <is>
          <t>GAD</t>
        </is>
      </c>
      <c r="E10" s="10" t="inlineStr">
        <is>
          <t xml:space="preserve">Comunicación y Asistencia Gerencial </t>
        </is>
      </c>
      <c r="F10" s="10" t="inlineStr">
        <is>
          <t>-</t>
        </is>
      </c>
      <c r="G10" s="10" t="inlineStr">
        <is>
          <t>N/A</t>
        </is>
      </c>
      <c r="H10" s="10" t="inlineStr">
        <is>
          <t>Asistente de Gerencia</t>
        </is>
      </c>
      <c r="I10" s="10" t="inlineStr">
        <is>
          <t>N/A</t>
        </is>
      </c>
      <c r="J10" s="10" t="inlineStr">
        <is>
          <t>Secretaria de Gerencia General</t>
        </is>
      </c>
      <c r="K10" s="10" t="inlineStr">
        <is>
          <t>Secretaria de Gerencia General</t>
        </is>
      </c>
      <c r="L10" s="10" t="inlineStr">
        <is>
          <t>N/A</t>
        </is>
      </c>
      <c r="M10" s="10" t="inlineStr">
        <is>
          <t>N/A</t>
        </is>
      </c>
      <c r="N10" s="10" t="inlineStr">
        <is>
          <t>APOYO</t>
        </is>
      </c>
      <c r="O10" s="10" t="inlineStr">
        <is>
          <t>RECURSO HUMANO</t>
        </is>
      </c>
      <c r="P10" s="10" t="inlineStr">
        <is>
          <t>USO INTERNO(2)</t>
        </is>
      </c>
      <c r="Q10" s="10" t="inlineStr">
        <is>
          <t>BAJA(1)</t>
        </is>
      </c>
      <c r="R10" s="10" t="inlineStr">
        <is>
          <t>MEDIA(2)</t>
        </is>
      </c>
      <c r="S10" s="10">
        <f>+(IF(P10="PUBLICA(1)",1,IF(P10="USO INTERNO(2)",2,IF(P10="RESTRINGIDO(3)",3,3))))+(IF(Q10="BAJA(1)",1,IF(Q10="MEDIA(2)",2,IF(Q10="ALTA(3)",3,3))))+(IF(R10="BAJA(1)",1,IF(R10="MEDIA(2)",2,IF(R10="ALTA(3)",3,3))))</f>
        <v/>
      </c>
      <c r="T10" s="10">
        <f>+IF(S10&lt;6,"BAJA",IF(S10&lt;8,"MEDIA","ALTA"))</f>
        <v/>
      </c>
      <c r="U10" s="10" t="inlineStr">
        <is>
          <t>-</t>
        </is>
      </c>
      <c r="V10" s="24" t="n">
        <v>45673</v>
      </c>
      <c r="W10" s="19" t="inlineStr">
        <is>
          <t>N/A</t>
        </is>
      </c>
      <c r="X10" s="10">
        <f>+IFERROR(IF(VLOOKUP(Tabla2[[#This Row],[ID]],'EVALUACION DE RIESGO'!A:A,1,FALSE)=Tabla2[[#This Row],[ID]],"SI","NO"),"NO")</f>
        <v/>
      </c>
    </row>
    <row r="11">
      <c r="A11" s="91" t="inlineStr">
        <is>
          <t>9-GAD</t>
        </is>
      </c>
      <c r="B11" s="10" t="inlineStr">
        <is>
          <t>APOYO</t>
        </is>
      </c>
      <c r="C11" s="10" t="inlineStr">
        <is>
          <t xml:space="preserve">Gestión Administrativa </t>
        </is>
      </c>
      <c r="D11" s="10" t="inlineStr">
        <is>
          <t>GAD</t>
        </is>
      </c>
      <c r="E11" s="10" t="inlineStr">
        <is>
          <t xml:space="preserve">Gestión de Activos </t>
        </is>
      </c>
      <c r="F11" s="10" t="inlineStr">
        <is>
          <t>-</t>
        </is>
      </c>
      <c r="G11" s="10" t="inlineStr">
        <is>
          <t>Registro de activos fijos</t>
        </is>
      </c>
      <c r="H11" s="10" t="inlineStr">
        <is>
          <t>Documentos habilitantes</t>
        </is>
      </c>
      <c r="I11" s="10" t="inlineStr">
        <is>
          <t>Documentos recibidos de activos fijos adquiridos, no almacena en un repositorio porque toda la información del activo se registra en FIT, serie, marca, modelo, color, custodio, oficina de destino, ubicación de la oficina.</t>
        </is>
      </c>
      <c r="J11" s="10" t="inlineStr">
        <is>
          <t>Jefe Administrativo</t>
        </is>
      </c>
      <c r="K11" s="10" t="inlineStr">
        <is>
          <t>Jefe Administrativo</t>
        </is>
      </c>
      <c r="L11" s="10" t="inlineStr">
        <is>
          <t>UBICACIÓN DIGITAL-EQUIPO DEL CUSTODIO</t>
        </is>
      </c>
      <c r="M11" s="10" t="inlineStr">
        <is>
          <t>DISCOS DUROS, SERVIDORES, DISCOS O MEDIOS PORTÁTILES, CINTAS O MEDIOS DE VIDEO Y AUDIO, ETC.</t>
        </is>
      </c>
      <c r="N11" s="10" t="inlineStr">
        <is>
          <t>PRIMARIOS</t>
        </is>
      </c>
      <c r="O11" s="10" t="inlineStr">
        <is>
          <t>DOCUMENTOS HABILITANTES</t>
        </is>
      </c>
      <c r="P11" s="10" t="inlineStr">
        <is>
          <t>PUBLICA(1)</t>
        </is>
      </c>
      <c r="Q11" s="10" t="inlineStr">
        <is>
          <t>BAJA(1)</t>
        </is>
      </c>
      <c r="R11" s="10" t="inlineStr">
        <is>
          <t>MEDIA(2)</t>
        </is>
      </c>
      <c r="S11" s="10">
        <f>+(IF(P11="PUBLICA(1)",1,IF(P11="USO INTERNO(2)",2,IF(P11="RESTRINGIDO(3)",3,3))))+(IF(Q11="BAJA(1)",1,IF(Q11="MEDIA(2)",2,IF(Q11="ALTA(3)",3,3))))+(IF(R11="BAJA(1)",1,IF(R11="MEDIA(2)",2,IF(R11="ALTA(3)",3,3))))</f>
        <v/>
      </c>
      <c r="T11" s="10">
        <f>+IF(S11&lt;6,"BAJA",IF(S11&lt;8,"MEDIA","ALTA"))</f>
        <v/>
      </c>
      <c r="U11" s="10" t="inlineStr">
        <is>
          <t>-</t>
        </is>
      </c>
      <c r="V11" s="24" t="n">
        <v>45680</v>
      </c>
      <c r="W11" s="19" t="inlineStr">
        <is>
          <t>N/A</t>
        </is>
      </c>
      <c r="X11" s="10">
        <f>+IFERROR(IF(VLOOKUP(Tabla2[[#This Row],[ID]],'EVALUACION DE RIESGO'!A:A,1,FALSE)=Tabla2[[#This Row],[ID]],"SI","NO"),"NO")</f>
        <v/>
      </c>
    </row>
    <row r="12">
      <c r="A12" s="91" t="inlineStr">
        <is>
          <t>10-GAD</t>
        </is>
      </c>
      <c r="B12" s="10" t="inlineStr">
        <is>
          <t>APOYO</t>
        </is>
      </c>
      <c r="C12" s="10" t="inlineStr">
        <is>
          <t xml:space="preserve">Gestión Administrativa </t>
        </is>
      </c>
      <c r="D12" s="10" t="inlineStr">
        <is>
          <t>GAD</t>
        </is>
      </c>
      <c r="E12" s="10" t="inlineStr">
        <is>
          <t xml:space="preserve">Gestión de Activos </t>
        </is>
      </c>
      <c r="F12" s="10" t="inlineStr">
        <is>
          <t>-</t>
        </is>
      </c>
      <c r="G12" s="10" t="inlineStr">
        <is>
          <t>Planificación de mantenimientos</t>
        </is>
      </c>
      <c r="H12" s="10" t="inlineStr">
        <is>
          <t>Informe de mantenimiento</t>
        </is>
      </c>
      <c r="I12" s="10" t="inlineStr">
        <is>
          <t>Informe de avances de la planificación realizada con detalles de descripción, elementos, actividad, área ubicación de mantenimiento, cantidad, observación, cronograma cumplido</t>
        </is>
      </c>
      <c r="J12" s="10" t="inlineStr">
        <is>
          <t>Jefe Administrativo</t>
        </is>
      </c>
      <c r="K12" s="10" t="inlineStr">
        <is>
          <t>Jefe Administrativo</t>
        </is>
      </c>
      <c r="L12" s="10" t="inlineStr">
        <is>
          <t>UBICACIÓN DIGITAL-EQUIPO DEL CUSTODIO</t>
        </is>
      </c>
      <c r="M12" s="10" t="inlineStr">
        <is>
          <t>DISCOS DUROS, SERVIDORES, DISCOS O MEDIOS PORTÁTILES, CINTAS O MEDIOS DE VIDEO Y AUDIO, ETC.</t>
        </is>
      </c>
      <c r="N12" s="10" t="inlineStr">
        <is>
          <t>PRIMARIOS</t>
        </is>
      </c>
      <c r="O12" s="10" t="inlineStr">
        <is>
          <t>DOCUMENTOS HABILITANTES</t>
        </is>
      </c>
      <c r="P12" s="10" t="inlineStr">
        <is>
          <t>PUBLICA(1)</t>
        </is>
      </c>
      <c r="Q12" s="10" t="inlineStr">
        <is>
          <t>BAJA(1)</t>
        </is>
      </c>
      <c r="R12" s="10" t="inlineStr">
        <is>
          <t>MEDIA(2)</t>
        </is>
      </c>
      <c r="S12" s="10">
        <f>+(IF(P12="PUBLICA(1)",1,IF(P12="USO INTERNO(2)",2,IF(P12="RESTRINGIDO(3)",3,3))))+(IF(Q12="BAJA(1)",1,IF(Q12="MEDIA(2)",2,IF(Q12="ALTA(3)",3,3))))+(IF(R12="BAJA(1)",1,IF(R12="MEDIA(2)",2,IF(R12="ALTA(3)",3,3))))</f>
        <v/>
      </c>
      <c r="T12" s="10">
        <f>+IF(S12&lt;6,"BAJA",IF(S12&lt;8,"MEDIA","ALTA"))</f>
        <v/>
      </c>
      <c r="U12" s="10" t="inlineStr">
        <is>
          <t>-</t>
        </is>
      </c>
      <c r="V12" s="24" t="n">
        <v>45680</v>
      </c>
      <c r="W12" s="19" t="inlineStr">
        <is>
          <t>N/A</t>
        </is>
      </c>
      <c r="X12" s="10">
        <f>+IFERROR(IF(VLOOKUP(Tabla2[[#This Row],[ID]],'EVALUACION DE RIESGO'!A:A,1,FALSE)=Tabla2[[#This Row],[ID]],"SI","NO"),"NO")</f>
        <v/>
      </c>
    </row>
    <row r="13">
      <c r="A13" s="91" t="inlineStr">
        <is>
          <t>11-GAD</t>
        </is>
      </c>
      <c r="B13" s="10" t="inlineStr">
        <is>
          <t>APOYO</t>
        </is>
      </c>
      <c r="C13" s="10" t="inlineStr">
        <is>
          <t xml:space="preserve">Gestión Administrativa </t>
        </is>
      </c>
      <c r="D13" s="10" t="inlineStr">
        <is>
          <t>GAD</t>
        </is>
      </c>
      <c r="E13" s="10" t="inlineStr">
        <is>
          <t xml:space="preserve">Gestión de Activos </t>
        </is>
      </c>
      <c r="F13" s="10" t="inlineStr">
        <is>
          <t>-</t>
        </is>
      </c>
      <c r="G13" s="10" t="inlineStr">
        <is>
          <t>Planificación de mantenimientos</t>
        </is>
      </c>
      <c r="H13" s="10" t="inlineStr">
        <is>
          <t>Cronograma/Bitácora de mantenimiento</t>
        </is>
      </c>
      <c r="I13" s="10" t="inlineStr">
        <is>
          <t>Archivo de planificación que contiene descripción, elementos, actividad, área ubicación de mantenimiento, cantidad, observación, cronograma cumplido</t>
        </is>
      </c>
      <c r="J13" s="10" t="inlineStr">
        <is>
          <t>Jefe Administrativo</t>
        </is>
      </c>
      <c r="K13" s="10" t="inlineStr">
        <is>
          <t>Jefe Administrativo</t>
        </is>
      </c>
      <c r="L13" s="10" t="inlineStr">
        <is>
          <t>UBICACIÓN DIGITAL-EQUIPO DEL CUSTODIO</t>
        </is>
      </c>
      <c r="M13" s="10" t="inlineStr">
        <is>
          <t>DISCOS DUROS, SERVIDORES, DISCOS O MEDIOS PORTÁTILES, CINTAS O MEDIOS DE VIDEO Y AUDIO, ETC.</t>
        </is>
      </c>
      <c r="N13" s="10" t="inlineStr">
        <is>
          <t>PRIMARIOS</t>
        </is>
      </c>
      <c r="O13" s="10" t="inlineStr">
        <is>
          <t>DOCUMENTOS TÉCNICOS</t>
        </is>
      </c>
      <c r="P13" s="10" t="inlineStr">
        <is>
          <t>PUBLICA(1)</t>
        </is>
      </c>
      <c r="Q13" s="10" t="inlineStr">
        <is>
          <t>BAJA(1)</t>
        </is>
      </c>
      <c r="R13" s="10" t="inlineStr">
        <is>
          <t>MEDIA(2)</t>
        </is>
      </c>
      <c r="S13" s="10">
        <f>+(IF(P13="PUBLICA(1)",1,IF(P13="USO INTERNO(2)",2,IF(P13="RESTRINGIDO(3)",3,3))))+(IF(Q13="BAJA(1)",1,IF(Q13="MEDIA(2)",2,IF(Q13="ALTA(3)",3,3))))+(IF(R13="BAJA(1)",1,IF(R13="MEDIA(2)",2,IF(R13="ALTA(3)",3,3))))</f>
        <v/>
      </c>
      <c r="T13" s="10">
        <f>+IF(S13&lt;6,"BAJA",IF(S13&lt;8,"MEDIA","ALTA"))</f>
        <v/>
      </c>
      <c r="U13" s="10" t="inlineStr">
        <is>
          <t>-</t>
        </is>
      </c>
      <c r="V13" s="24" t="n">
        <v>45680</v>
      </c>
      <c r="W13" s="19" t="inlineStr">
        <is>
          <t>N/A</t>
        </is>
      </c>
      <c r="X13" s="10">
        <f>+IFERROR(IF(VLOOKUP(Tabla2[[#This Row],[ID]],'EVALUACION DE RIESGO'!A:A,1,FALSE)=Tabla2[[#This Row],[ID]],"SI","NO"),"NO")</f>
        <v/>
      </c>
    </row>
    <row r="14">
      <c r="A14" s="91" t="inlineStr">
        <is>
          <t>12-GAD</t>
        </is>
      </c>
      <c r="B14" s="10" t="inlineStr">
        <is>
          <t>APOYO</t>
        </is>
      </c>
      <c r="C14" s="10" t="inlineStr">
        <is>
          <t xml:space="preserve">Gestión Administrativa </t>
        </is>
      </c>
      <c r="D14" s="10" t="inlineStr">
        <is>
          <t>GAD</t>
        </is>
      </c>
      <c r="E14" s="10" t="inlineStr">
        <is>
          <t xml:space="preserve">Gestión de Activos </t>
        </is>
      </c>
      <c r="F14" s="10" t="inlineStr">
        <is>
          <t>-</t>
        </is>
      </c>
      <c r="G14" s="10" t="inlineStr">
        <is>
          <t>Mantenimiento preventivo de bienes e inmuebles</t>
        </is>
      </c>
      <c r="H14" s="10" t="inlineStr">
        <is>
          <t>Solicitud de adquisiciones y contratación</t>
        </is>
      </c>
      <c r="I14" s="10" t="inlineStr">
        <is>
          <t>solicitudes que se gestionan en el sistema Sara con información de número de solicitud, requerimiento, justificación de la adquisición, bienes y servicio, información del plan anual, fechas inicio de proceso, documentos anexos, TDR</t>
        </is>
      </c>
      <c r="J14" s="10" t="inlineStr">
        <is>
          <t>Jefe Administrativo</t>
        </is>
      </c>
      <c r="K14" s="10" t="inlineStr">
        <is>
          <t>Jefe Administrativo</t>
        </is>
      </c>
      <c r="L14" s="10" t="inlineStr">
        <is>
          <t>UBICACIÓN DIGITAL-EQUIPO DEL CUSTODIO</t>
        </is>
      </c>
      <c r="M14" s="10" t="inlineStr">
        <is>
          <t>DISCOS DUROS, SERVIDORES, DISCOS O MEDIOS PORTÁTILES, CINTAS O MEDIOS DE VIDEO Y AUDIO, ETC.</t>
        </is>
      </c>
      <c r="N14" s="10" t="inlineStr">
        <is>
          <t>PRIMARIOS</t>
        </is>
      </c>
      <c r="O14" s="10" t="inlineStr">
        <is>
          <t>DOCUMENTOS HABILITANTES</t>
        </is>
      </c>
      <c r="P14" s="10" t="inlineStr">
        <is>
          <t>PUBLICA(1)</t>
        </is>
      </c>
      <c r="Q14" s="10" t="inlineStr">
        <is>
          <t>BAJA(1)</t>
        </is>
      </c>
      <c r="R14" s="10" t="inlineStr">
        <is>
          <t>MEDIA(2)</t>
        </is>
      </c>
      <c r="S14" s="10">
        <f>+(IF(P14="PUBLICA(1)",1,IF(P14="USO INTERNO(2)",2,IF(P14="RESTRINGIDO(3)",3,3))))+(IF(Q14="BAJA(1)",1,IF(Q14="MEDIA(2)",2,IF(Q14="ALTA(3)",3,3))))+(IF(R14="BAJA(1)",1,IF(R14="MEDIA(2)",2,IF(R14="ALTA(3)",3,3))))</f>
        <v/>
      </c>
      <c r="T14" s="10">
        <f>+IF(S14&lt;6,"BAJA",IF(S14&lt;8,"MEDIA","ALTA"))</f>
        <v/>
      </c>
      <c r="U14" s="10" t="inlineStr">
        <is>
          <t>-</t>
        </is>
      </c>
      <c r="V14" s="24" t="n">
        <v>45680</v>
      </c>
      <c r="W14" s="19" t="inlineStr">
        <is>
          <t>N/A</t>
        </is>
      </c>
      <c r="X14" s="10">
        <f>+IFERROR(IF(VLOOKUP(Tabla2[[#This Row],[ID]],'EVALUACION DE RIESGO'!A:A,1,FALSE)=Tabla2[[#This Row],[ID]],"SI","NO"),"NO")</f>
        <v/>
      </c>
    </row>
    <row r="15">
      <c r="A15" s="91" t="inlineStr">
        <is>
          <t>13-GAD</t>
        </is>
      </c>
      <c r="B15" s="10" t="inlineStr">
        <is>
          <t>APOYO</t>
        </is>
      </c>
      <c r="C15" s="10" t="inlineStr">
        <is>
          <t xml:space="preserve">Gestión Administrativa </t>
        </is>
      </c>
      <c r="D15" s="10" t="inlineStr">
        <is>
          <t>GAD</t>
        </is>
      </c>
      <c r="E15" s="10" t="inlineStr">
        <is>
          <t xml:space="preserve">Gestión de Activos </t>
        </is>
      </c>
      <c r="F15" s="10" t="inlineStr">
        <is>
          <t>-</t>
        </is>
      </c>
      <c r="G15" s="10" t="inlineStr">
        <is>
          <t>Mantenimiento preventivo de bienes e inmuebles</t>
        </is>
      </c>
      <c r="H15" s="10" t="inlineStr">
        <is>
          <t>Acta entrega recepción del bien</t>
        </is>
      </c>
      <c r="I15" s="10" t="inlineStr">
        <is>
          <t>Documentos de recepción del bien que contiene firmas de responsabilidad de los administradores</t>
        </is>
      </c>
      <c r="J15" s="10" t="inlineStr">
        <is>
          <t>Jefe Administrativo</t>
        </is>
      </c>
      <c r="K15" s="10" t="inlineStr">
        <is>
          <t>Jefe Administrativo</t>
        </is>
      </c>
      <c r="L15" s="10" t="inlineStr">
        <is>
          <t>DOCUMENTOS FISICOS-ARCHIVOS DE LA OFICINA</t>
        </is>
      </c>
      <c r="M15" s="10" t="inlineStr">
        <is>
          <t>DOCUMENTO DE ARCHIVO-FÍSICO</t>
        </is>
      </c>
      <c r="N15" s="10" t="inlineStr">
        <is>
          <t>PRIMARIOS</t>
        </is>
      </c>
      <c r="O15" s="10" t="inlineStr">
        <is>
          <t>DOCUMENTOS HABILITANTES</t>
        </is>
      </c>
      <c r="P15" s="10" t="inlineStr">
        <is>
          <t>PUBLICA(1)</t>
        </is>
      </c>
      <c r="Q15" s="10" t="inlineStr">
        <is>
          <t>BAJA(1)</t>
        </is>
      </c>
      <c r="R15" s="10" t="inlineStr">
        <is>
          <t>MEDIA(2)</t>
        </is>
      </c>
      <c r="S15" s="10">
        <f>+(IF(P15="PUBLICA(1)",1,IF(P15="USO INTERNO(2)",2,IF(P15="RESTRINGIDO(3)",3,3))))+(IF(Q15="BAJA(1)",1,IF(Q15="MEDIA(2)",2,IF(Q15="ALTA(3)",3,3))))+(IF(R15="BAJA(1)",1,IF(R15="MEDIA(2)",2,IF(R15="ALTA(3)",3,3))))</f>
        <v/>
      </c>
      <c r="T15" s="10">
        <f>+IF(S15&lt;6,"BAJA",IF(S15&lt;8,"MEDIA","ALTA"))</f>
        <v/>
      </c>
      <c r="U15" s="10" t="inlineStr">
        <is>
          <t>-</t>
        </is>
      </c>
      <c r="V15" s="24" t="n">
        <v>45680</v>
      </c>
      <c r="W15" s="19" t="inlineStr">
        <is>
          <t>N/A</t>
        </is>
      </c>
      <c r="X15" s="10">
        <f>+IFERROR(IF(VLOOKUP(Tabla2[[#This Row],[ID]],'EVALUACION DE RIESGO'!A:A,1,FALSE)=Tabla2[[#This Row],[ID]],"SI","NO"),"NO")</f>
        <v/>
      </c>
    </row>
    <row r="16">
      <c r="A16" s="91" t="inlineStr">
        <is>
          <t>14-GAD</t>
        </is>
      </c>
      <c r="B16" s="10" t="inlineStr">
        <is>
          <t>APOYO</t>
        </is>
      </c>
      <c r="C16" s="10" t="inlineStr">
        <is>
          <t xml:space="preserve">Gestión Administrativa </t>
        </is>
      </c>
      <c r="D16" s="10" t="inlineStr">
        <is>
          <t>GAD</t>
        </is>
      </c>
      <c r="E16" s="10" t="inlineStr">
        <is>
          <t xml:space="preserve">Gestión de Activos </t>
        </is>
      </c>
      <c r="F16" s="10" t="inlineStr">
        <is>
          <t>-</t>
        </is>
      </c>
      <c r="G16" s="10" t="inlineStr">
        <is>
          <t>Mantenimiento preventivo de bienes e inmuebles</t>
        </is>
      </c>
      <c r="H16" s="10" t="inlineStr">
        <is>
          <t>Aval de recepción</t>
        </is>
      </c>
      <c r="I16" s="10" t="inlineStr">
        <is>
          <t>Registro que se realiza en SARA. Donde se califica el servicio adquirido</t>
        </is>
      </c>
      <c r="J16" s="10" t="inlineStr">
        <is>
          <t>Jefe Administrativo</t>
        </is>
      </c>
      <c r="K16" s="10" t="inlineStr">
        <is>
          <t>Jefe Administrativo</t>
        </is>
      </c>
      <c r="L16" s="10" t="inlineStr">
        <is>
          <t>UBICACIÓN DIGITAL-EQUIPO DEL CUSTODIO</t>
        </is>
      </c>
      <c r="M16" s="10" t="inlineStr">
        <is>
          <t>DISCOS DUROS, SERVIDORES, DISCOS O MEDIOS PORTÁTILES, CINTAS O MEDIOS DE VIDEO Y AUDIO, ETC.</t>
        </is>
      </c>
      <c r="N16" s="10" t="inlineStr">
        <is>
          <t>PRIMARIOS</t>
        </is>
      </c>
      <c r="O16" s="10" t="inlineStr">
        <is>
          <t>DOCUMENTOS HABILITANTES</t>
        </is>
      </c>
      <c r="P16" s="10" t="inlineStr">
        <is>
          <t>PUBLICA(1)</t>
        </is>
      </c>
      <c r="Q16" s="10" t="inlineStr">
        <is>
          <t>BAJA(1)</t>
        </is>
      </c>
      <c r="R16" s="10" t="inlineStr">
        <is>
          <t>MEDIA(2)</t>
        </is>
      </c>
      <c r="S16" s="10">
        <f>+(IF(P16="PUBLICA(1)",1,IF(P16="USO INTERNO(2)",2,IF(P16="RESTRINGIDO(3)",3,3))))+(IF(Q16="BAJA(1)",1,IF(Q16="MEDIA(2)",2,IF(Q16="ALTA(3)",3,3))))+(IF(R16="BAJA(1)",1,IF(R16="MEDIA(2)",2,IF(R16="ALTA(3)",3,3))))</f>
        <v/>
      </c>
      <c r="T16" s="10">
        <f>+IF(S16&lt;6,"BAJA",IF(S16&lt;8,"MEDIA","ALTA"))</f>
        <v/>
      </c>
      <c r="U16" s="10" t="inlineStr">
        <is>
          <t>-</t>
        </is>
      </c>
      <c r="V16" s="24" t="n">
        <v>45680</v>
      </c>
      <c r="W16" s="19" t="inlineStr">
        <is>
          <t>N/A</t>
        </is>
      </c>
      <c r="X16" s="10">
        <f>+IFERROR(IF(VLOOKUP(Tabla2[[#This Row],[ID]],'EVALUACION DE RIESGO'!A:A,1,FALSE)=Tabla2[[#This Row],[ID]],"SI","NO"),"NO")</f>
        <v/>
      </c>
    </row>
    <row r="17">
      <c r="A17" s="91" t="inlineStr">
        <is>
          <t>15-GAD</t>
        </is>
      </c>
      <c r="B17" s="10" t="inlineStr">
        <is>
          <t>APOYO</t>
        </is>
      </c>
      <c r="C17" s="10" t="inlineStr">
        <is>
          <t xml:space="preserve">Gestión Administrativa </t>
        </is>
      </c>
      <c r="D17" s="10" t="inlineStr">
        <is>
          <t>GAD</t>
        </is>
      </c>
      <c r="E17" s="10" t="inlineStr">
        <is>
          <t xml:space="preserve">Gestión de Activos </t>
        </is>
      </c>
      <c r="F17" s="10" t="inlineStr">
        <is>
          <t>-</t>
        </is>
      </c>
      <c r="G17" s="10" t="inlineStr">
        <is>
          <t>Mantenimiento correctivo de bienes</t>
        </is>
      </c>
      <c r="H17" s="10" t="inlineStr">
        <is>
          <t>Solicitud de adquisiciones y contratación</t>
        </is>
      </c>
      <c r="I17" s="10" t="inlineStr">
        <is>
          <t>solicitudes que se gestionan en el sistema Sara con información de número de solicitud, requerimiento, justificación de la adquisición, bienes y servicio, información del plan anual, fechas inicio de proceso, documentos anexos, TDR</t>
        </is>
      </c>
      <c r="J17" s="10" t="inlineStr">
        <is>
          <t>Jefe Administrativo</t>
        </is>
      </c>
      <c r="K17" s="10" t="inlineStr">
        <is>
          <t>Jefe Administrativo</t>
        </is>
      </c>
      <c r="L17" s="10" t="inlineStr">
        <is>
          <t>UBICACIÓN DIGITAL-EQUIPO DEL CUSTODIO</t>
        </is>
      </c>
      <c r="M17" s="10" t="inlineStr">
        <is>
          <t>DISCOS DUROS, SERVIDORES, DISCOS O MEDIOS PORTÁTILES, CINTAS O MEDIOS DE VIDEO Y AUDIO, ETC.</t>
        </is>
      </c>
      <c r="N17" s="10" t="inlineStr">
        <is>
          <t>PRIMARIOS</t>
        </is>
      </c>
      <c r="O17" s="10" t="inlineStr">
        <is>
          <t>DOCUMENTOS HABILITANTES</t>
        </is>
      </c>
      <c r="P17" s="10" t="inlineStr">
        <is>
          <t>PUBLICA(1)</t>
        </is>
      </c>
      <c r="Q17" s="10" t="inlineStr">
        <is>
          <t>BAJA(1)</t>
        </is>
      </c>
      <c r="R17" s="10" t="inlineStr">
        <is>
          <t>MEDIA(2)</t>
        </is>
      </c>
      <c r="S17" s="10">
        <f>+(IF(P17="PUBLICA(1)",1,IF(P17="USO INTERNO(2)",2,IF(P17="RESTRINGIDO(3)",3,3))))+(IF(Q17="BAJA(1)",1,IF(Q17="MEDIA(2)",2,IF(Q17="ALTA(3)",3,3))))+(IF(R17="BAJA(1)",1,IF(R17="MEDIA(2)",2,IF(R17="ALTA(3)",3,3))))</f>
        <v/>
      </c>
      <c r="T17" s="10">
        <f>+IF(S17&lt;6,"BAJA",IF(S17&lt;8,"MEDIA","ALTA"))</f>
        <v/>
      </c>
      <c r="U17" s="10" t="inlineStr">
        <is>
          <t>-</t>
        </is>
      </c>
      <c r="V17" s="24" t="n">
        <v>45680</v>
      </c>
      <c r="W17" s="19" t="inlineStr">
        <is>
          <t>N/A</t>
        </is>
      </c>
      <c r="X17" s="10">
        <f>+IFERROR(IF(VLOOKUP(Tabla2[[#This Row],[ID]],'EVALUACION DE RIESGO'!A:A,1,FALSE)=Tabla2[[#This Row],[ID]],"SI","NO"),"NO")</f>
        <v/>
      </c>
    </row>
    <row r="18">
      <c r="A18" s="91" t="inlineStr">
        <is>
          <t>16-GAD</t>
        </is>
      </c>
      <c r="B18" s="10" t="inlineStr">
        <is>
          <t>APOYO</t>
        </is>
      </c>
      <c r="C18" s="10" t="inlineStr">
        <is>
          <t xml:space="preserve">Gestión Administrativa </t>
        </is>
      </c>
      <c r="D18" s="10" t="inlineStr">
        <is>
          <t>GAD</t>
        </is>
      </c>
      <c r="E18" s="10" t="inlineStr">
        <is>
          <t xml:space="preserve">Gestión de Activos </t>
        </is>
      </c>
      <c r="F18" s="10" t="inlineStr">
        <is>
          <t>-</t>
        </is>
      </c>
      <c r="G18" s="10" t="inlineStr">
        <is>
          <t>Mantenimiento correctivo de bienes</t>
        </is>
      </c>
      <c r="H18" s="10" t="inlineStr">
        <is>
          <t>Registro de salida de bienes</t>
        </is>
      </c>
      <c r="I18" s="10" t="inlineStr">
        <is>
          <t>Registro de salida que registra el personal de seguridad y se recibe por correo electrónico, contiene información con fecha y código de activo</t>
        </is>
      </c>
      <c r="J18" s="10" t="inlineStr">
        <is>
          <t>Jefe Administrativo</t>
        </is>
      </c>
      <c r="K18" s="10" t="inlineStr">
        <is>
          <t>Jefe Administrativo</t>
        </is>
      </c>
      <c r="L18" s="10" t="inlineStr">
        <is>
          <t>UBICACIÓN DIGITAL-EQUIPO DEL CUSTODIO</t>
        </is>
      </c>
      <c r="M18" s="10" t="inlineStr">
        <is>
          <t>DISCOS DUROS, SERVIDORES, DISCOS O MEDIOS PORTÁTILES, CINTAS O MEDIOS DE VIDEO Y AUDIO, ETC.</t>
        </is>
      </c>
      <c r="N18" s="10" t="inlineStr">
        <is>
          <t>PRIMARIOS</t>
        </is>
      </c>
      <c r="O18" s="10" t="inlineStr">
        <is>
          <t>DOCUMENTOS TÉCNICOS</t>
        </is>
      </c>
      <c r="P18" s="10" t="inlineStr">
        <is>
          <t>PUBLICA(1)</t>
        </is>
      </c>
      <c r="Q18" s="10" t="inlineStr">
        <is>
          <t>BAJA(1)</t>
        </is>
      </c>
      <c r="R18" s="10" t="inlineStr">
        <is>
          <t>MEDIA(2)</t>
        </is>
      </c>
      <c r="S18" s="10">
        <f>+(IF(P18="PUBLICA(1)",1,IF(P18="USO INTERNO(2)",2,IF(P18="RESTRINGIDO(3)",3,3))))+(IF(Q18="BAJA(1)",1,IF(Q18="MEDIA(2)",2,IF(Q18="ALTA(3)",3,3))))+(IF(R18="BAJA(1)",1,IF(R18="MEDIA(2)",2,IF(R18="ALTA(3)",3,3))))</f>
        <v/>
      </c>
      <c r="T18" s="10">
        <f>+IF(S18&lt;6,"BAJA",IF(S18&lt;8,"MEDIA","ALTA"))</f>
        <v/>
      </c>
      <c r="U18" s="10" t="inlineStr">
        <is>
          <t>-</t>
        </is>
      </c>
      <c r="V18" s="24" t="n">
        <v>45680</v>
      </c>
      <c r="W18" s="19" t="inlineStr">
        <is>
          <t>N/A</t>
        </is>
      </c>
      <c r="X18" s="10">
        <f>+IFERROR(IF(VLOOKUP(Tabla2[[#This Row],[ID]],'EVALUACION DE RIESGO'!A:A,1,FALSE)=Tabla2[[#This Row],[ID]],"SI","NO"),"NO")</f>
        <v/>
      </c>
    </row>
    <row r="19">
      <c r="A19" s="91" t="inlineStr">
        <is>
          <t>17-GAD</t>
        </is>
      </c>
      <c r="B19" s="10" t="inlineStr">
        <is>
          <t>APOYO</t>
        </is>
      </c>
      <c r="C19" s="10" t="inlineStr">
        <is>
          <t xml:space="preserve">Gestión Administrativa </t>
        </is>
      </c>
      <c r="D19" s="10" t="inlineStr">
        <is>
          <t>GAD</t>
        </is>
      </c>
      <c r="E19" s="10" t="inlineStr">
        <is>
          <t xml:space="preserve">Gestión de Activos </t>
        </is>
      </c>
      <c r="F19" s="10" t="inlineStr">
        <is>
          <t>-</t>
        </is>
      </c>
      <c r="G19" s="10" t="inlineStr">
        <is>
          <t>Mantenimiento correctivo de bienes</t>
        </is>
      </c>
      <c r="H19" s="10" t="inlineStr">
        <is>
          <t>Formulario de entrega recepción del bien</t>
        </is>
      </c>
      <c r="I19" s="10" t="inlineStr">
        <is>
          <t>Informe recibido por los proveedores se detalla, el servicio, fechas, tipo de mantenimiento, detalle de lo realizado por activo</t>
        </is>
      </c>
      <c r="J19" s="10" t="inlineStr">
        <is>
          <t>Jefe Administrativo</t>
        </is>
      </c>
      <c r="K19" s="10" t="inlineStr">
        <is>
          <t>Jefe Administrativo</t>
        </is>
      </c>
      <c r="L19" s="10" t="inlineStr">
        <is>
          <t>UBICACIÓN DIGITAL-EQUIPO DEL CUSTODIO</t>
        </is>
      </c>
      <c r="M19" s="10" t="inlineStr">
        <is>
          <t>DISCOS DUROS, SERVIDORES, DISCOS O MEDIOS PORTÁTILES, CINTAS O MEDIOS DE VIDEO Y AUDIO, ETC.</t>
        </is>
      </c>
      <c r="N19" s="10" t="inlineStr">
        <is>
          <t>PRIMARIOS</t>
        </is>
      </c>
      <c r="O19" s="10" t="inlineStr">
        <is>
          <t>DOCUMENTOS TÉCNICOS</t>
        </is>
      </c>
      <c r="P19" s="10" t="inlineStr">
        <is>
          <t>PUBLICA(1)</t>
        </is>
      </c>
      <c r="Q19" s="10" t="inlineStr">
        <is>
          <t>BAJA(1)</t>
        </is>
      </c>
      <c r="R19" s="10" t="inlineStr">
        <is>
          <t>MEDIA(2)</t>
        </is>
      </c>
      <c r="S19" s="10">
        <f>+(IF(P19="PUBLICA(1)",1,IF(P19="USO INTERNO(2)",2,IF(P19="RESTRINGIDO(3)",3,3))))+(IF(Q19="BAJA(1)",1,IF(Q19="MEDIA(2)",2,IF(Q19="ALTA(3)",3,3))))+(IF(R19="BAJA(1)",1,IF(R19="MEDIA(2)",2,IF(R19="ALTA(3)",3,3))))</f>
        <v/>
      </c>
      <c r="T19" s="10">
        <f>+IF(S19&lt;6,"BAJA",IF(S19&lt;8,"MEDIA","ALTA"))</f>
        <v/>
      </c>
      <c r="U19" s="10" t="inlineStr">
        <is>
          <t>-</t>
        </is>
      </c>
      <c r="V19" s="24" t="n">
        <v>45680</v>
      </c>
      <c r="W19" s="19" t="inlineStr">
        <is>
          <t>N/A</t>
        </is>
      </c>
      <c r="X19" s="10">
        <f>+IFERROR(IF(VLOOKUP(Tabla2[[#This Row],[ID]],'EVALUACION DE RIESGO'!A:A,1,FALSE)=Tabla2[[#This Row],[ID]],"SI","NO"),"NO")</f>
        <v/>
      </c>
    </row>
    <row r="20">
      <c r="A20" s="91" t="inlineStr">
        <is>
          <t>18-GAD</t>
        </is>
      </c>
      <c r="B20" s="10" t="inlineStr">
        <is>
          <t>APOYO</t>
        </is>
      </c>
      <c r="C20" s="10" t="inlineStr">
        <is>
          <t xml:space="preserve">Gestión Administrativa </t>
        </is>
      </c>
      <c r="D20" s="10" t="inlineStr">
        <is>
          <t>GAD</t>
        </is>
      </c>
      <c r="E20" s="10" t="inlineStr">
        <is>
          <t xml:space="preserve">Gestión de Activos </t>
        </is>
      </c>
      <c r="F20" s="10" t="inlineStr">
        <is>
          <t>-</t>
        </is>
      </c>
      <c r="G20" s="10" t="inlineStr">
        <is>
          <t>Mantenimiento correctivo de bienes</t>
        </is>
      </c>
      <c r="H20" s="10" t="inlineStr">
        <is>
          <t>Registro de bienes a darse de baja</t>
        </is>
      </c>
      <c r="I20" s="10" t="inlineStr">
        <is>
          <t>Archivo de registro de activos en desuso que contiene oficina, código, descripción, custodio, observación</t>
        </is>
      </c>
      <c r="J20" s="10" t="inlineStr">
        <is>
          <t>Jefe Administrativo</t>
        </is>
      </c>
      <c r="K20" s="10" t="inlineStr">
        <is>
          <t>Jefe Administrativo</t>
        </is>
      </c>
      <c r="L20" s="10" t="inlineStr">
        <is>
          <t>UBICACIÓN DIGITAL-EQUIPO DEL CUSTODIO</t>
        </is>
      </c>
      <c r="M20" s="10" t="inlineStr">
        <is>
          <t>DISCOS DUROS, SERVIDORES, DISCOS O MEDIOS PORTÁTILES, CINTAS O MEDIOS DE VIDEO Y AUDIO, ETC.</t>
        </is>
      </c>
      <c r="N20" s="10" t="inlineStr">
        <is>
          <t>PRIMARIOS</t>
        </is>
      </c>
      <c r="O20" s="10" t="inlineStr">
        <is>
          <t>DOCUMENTOS TÉCNICOS</t>
        </is>
      </c>
      <c r="P20" s="10" t="inlineStr">
        <is>
          <t>PUBLICA(1)</t>
        </is>
      </c>
      <c r="Q20" s="10" t="inlineStr">
        <is>
          <t>BAJA(1)</t>
        </is>
      </c>
      <c r="R20" s="10" t="inlineStr">
        <is>
          <t>BAJA(1)</t>
        </is>
      </c>
      <c r="S20" s="10">
        <f>+(IF(P20="PUBLICA(1)",1,IF(P20="USO INTERNO(2)",2,IF(P20="RESTRINGIDO(3)",3,3))))+(IF(Q20="BAJA(1)",1,IF(Q20="MEDIA(2)",2,IF(Q20="ALTA(3)",3,3))))+(IF(R20="BAJA(1)",1,IF(R20="MEDIA(2)",2,IF(R20="ALTA(3)",3,3))))</f>
        <v/>
      </c>
      <c r="T20" s="10">
        <f>+IF(S20&lt;6,"BAJA",IF(S20&lt;8,"MEDIA","ALTA"))</f>
        <v/>
      </c>
      <c r="U20" s="10" t="inlineStr">
        <is>
          <t>-</t>
        </is>
      </c>
      <c r="V20" s="24" t="n">
        <v>45680</v>
      </c>
      <c r="W20" s="19" t="inlineStr">
        <is>
          <t>N/A</t>
        </is>
      </c>
      <c r="X20" s="10">
        <f>+IFERROR(IF(VLOOKUP(Tabla2[[#This Row],[ID]],'EVALUACION DE RIESGO'!A:A,1,FALSE)=Tabla2[[#This Row],[ID]],"SI","NO"),"NO")</f>
        <v/>
      </c>
    </row>
    <row r="21">
      <c r="A21" s="91" t="inlineStr">
        <is>
          <t>19-GAD</t>
        </is>
      </c>
      <c r="B21" s="10" t="inlineStr">
        <is>
          <t>APOYO</t>
        </is>
      </c>
      <c r="C21" s="10" t="inlineStr">
        <is>
          <t xml:space="preserve">Gestión Administrativa </t>
        </is>
      </c>
      <c r="D21" s="10" t="inlineStr">
        <is>
          <t>GAD</t>
        </is>
      </c>
      <c r="E21" s="10" t="inlineStr">
        <is>
          <t xml:space="preserve">Gestión de Activos </t>
        </is>
      </c>
      <c r="F21" s="10" t="inlineStr">
        <is>
          <t>-</t>
        </is>
      </c>
      <c r="G21" s="10" t="inlineStr">
        <is>
          <t>Constatación de activos fijos</t>
        </is>
      </c>
      <c r="H21" s="10" t="inlineStr">
        <is>
          <t>Informe de contratación y plan de regularización de activos fijos</t>
        </is>
      </c>
      <c r="I21" s="10" t="inlineStr">
        <is>
          <t>Informe donde se incluyen bienes de control y se detallan la cantidad de activos por oficina y custodio, activos no ubicados, activos que se encuentran con los funcionarios, cada registro cuenta con observaciones para su regularización, las conclusiones y recomendaciones</t>
        </is>
      </c>
      <c r="J21" s="10" t="inlineStr">
        <is>
          <t>Jefe Administrativo</t>
        </is>
      </c>
      <c r="K21" s="10" t="inlineStr">
        <is>
          <t>Jefe Administrativo</t>
        </is>
      </c>
      <c r="L21" s="10" t="inlineStr">
        <is>
          <t>UBICACIÓN DIGITAL-EQUIPO DEL CUSTODIO</t>
        </is>
      </c>
      <c r="M21" s="10" t="inlineStr">
        <is>
          <t>DISCOS DUROS, SERVIDORES, DISCOS O MEDIOS PORTÁTILES, CINTAS O MEDIOS DE VIDEO Y AUDIO, ETC.</t>
        </is>
      </c>
      <c r="N21" s="10" t="inlineStr">
        <is>
          <t>PRIMARIOS</t>
        </is>
      </c>
      <c r="O21" s="10" t="inlineStr">
        <is>
          <t>COMUNICACIÓN INTERNA</t>
        </is>
      </c>
      <c r="P21" s="10" t="inlineStr">
        <is>
          <t>USO INTERNO(2)</t>
        </is>
      </c>
      <c r="Q21" s="10" t="inlineStr">
        <is>
          <t>BAJA(1)</t>
        </is>
      </c>
      <c r="R21" s="10" t="inlineStr">
        <is>
          <t>MEDIA(2)</t>
        </is>
      </c>
      <c r="S21" s="10">
        <f>+(IF(P21="PUBLICA(1)",1,IF(P21="USO INTERNO(2)",2,IF(P21="RESTRINGIDO(3)",3,3))))+(IF(Q21="BAJA(1)",1,IF(Q21="MEDIA(2)",2,IF(Q21="ALTA(3)",3,3))))+(IF(R21="BAJA(1)",1,IF(R21="MEDIA(2)",2,IF(R21="ALTA(3)",3,3))))</f>
        <v/>
      </c>
      <c r="T21" s="10">
        <f>+IF(S21&lt;6,"BAJA",IF(S21&lt;8,"MEDIA","ALTA"))</f>
        <v/>
      </c>
      <c r="U21" s="10" t="inlineStr">
        <is>
          <t>-</t>
        </is>
      </c>
      <c r="V21" s="24" t="n">
        <v>45680</v>
      </c>
      <c r="W21" s="19" t="inlineStr">
        <is>
          <t>N/A</t>
        </is>
      </c>
      <c r="X21" s="10">
        <f>+IFERROR(IF(VLOOKUP(Tabla2[[#This Row],[ID]],'EVALUACION DE RIESGO'!A:A,1,FALSE)=Tabla2[[#This Row],[ID]],"SI","NO"),"NO")</f>
        <v/>
      </c>
    </row>
    <row r="22">
      <c r="A22" s="91" t="inlineStr">
        <is>
          <t>20-GAD</t>
        </is>
      </c>
      <c r="B22" s="10" t="inlineStr">
        <is>
          <t>APOYO</t>
        </is>
      </c>
      <c r="C22" s="10" t="inlineStr">
        <is>
          <t xml:space="preserve">Gestión Administrativa </t>
        </is>
      </c>
      <c r="D22" s="10" t="inlineStr">
        <is>
          <t>GAD</t>
        </is>
      </c>
      <c r="E22" s="10" t="inlineStr">
        <is>
          <t xml:space="preserve">Gestión de Activos </t>
        </is>
      </c>
      <c r="F22" s="10" t="inlineStr">
        <is>
          <t>-</t>
        </is>
      </c>
      <c r="G22" s="10" t="inlineStr">
        <is>
          <t>Baja de activos fijos / Baja de activos extraviado</t>
        </is>
      </c>
      <c r="H22" s="10" t="inlineStr">
        <is>
          <t>Acta de baja/ acta de donación de activos</t>
        </is>
      </c>
      <c r="I22" s="10" t="inlineStr">
        <is>
          <t>Documento notariado donde se detallan los activos a dar de baja, se dona , código, descripción, oficina custodio, resoluciones</t>
        </is>
      </c>
      <c r="J22" s="10" t="inlineStr">
        <is>
          <t>Jefe Administrativo</t>
        </is>
      </c>
      <c r="K22" s="10" t="inlineStr">
        <is>
          <t>Jefe Administrativo</t>
        </is>
      </c>
      <c r="L22" s="10" t="inlineStr">
        <is>
          <t>DOCUMENTOS FISICOS-ARCHIVOS DE LA OFICINA</t>
        </is>
      </c>
      <c r="M22" s="10" t="inlineStr">
        <is>
          <t>DOCUMENTO DE ARCHIVO-FÍSICO</t>
        </is>
      </c>
      <c r="N22" s="10" t="inlineStr">
        <is>
          <t>PRIMARIOS</t>
        </is>
      </c>
      <c r="O22" s="10" t="inlineStr">
        <is>
          <t>COMUNICACIÓN INTERNA</t>
        </is>
      </c>
      <c r="P22" s="10" t="inlineStr">
        <is>
          <t>PUBLICA(1)</t>
        </is>
      </c>
      <c r="Q22" s="10" t="inlineStr">
        <is>
          <t>BAJA(1)</t>
        </is>
      </c>
      <c r="R22" s="10" t="inlineStr">
        <is>
          <t>BAJA(1)</t>
        </is>
      </c>
      <c r="S22" s="10">
        <f>+(IF(P22="PUBLICA(1)",1,IF(P22="USO INTERNO(2)",2,IF(P22="RESTRINGIDO(3)",3,3))))+(IF(Q22="BAJA(1)",1,IF(Q22="MEDIA(2)",2,IF(Q22="ALTA(3)",3,3))))+(IF(R22="BAJA(1)",1,IF(R22="MEDIA(2)",2,IF(R22="ALTA(3)",3,3))))</f>
        <v/>
      </c>
      <c r="T22" s="10">
        <f>+IF(S22&lt;6,"BAJA",IF(S22&lt;8,"MEDIA","ALTA"))</f>
        <v/>
      </c>
      <c r="U22" s="10" t="inlineStr">
        <is>
          <t>-</t>
        </is>
      </c>
      <c r="V22" s="24" t="n">
        <v>45680</v>
      </c>
      <c r="W22" s="19" t="inlineStr">
        <is>
          <t>N/A</t>
        </is>
      </c>
      <c r="X22" s="10">
        <f>+IFERROR(IF(VLOOKUP(Tabla2[[#This Row],[ID]],'EVALUACION DE RIESGO'!A:A,1,FALSE)=Tabla2[[#This Row],[ID]],"SI","NO"),"NO")</f>
        <v/>
      </c>
    </row>
    <row r="23">
      <c r="A23" s="91" t="inlineStr">
        <is>
          <t>21-GAD</t>
        </is>
      </c>
      <c r="B23" s="10" t="inlineStr">
        <is>
          <t>APOYO</t>
        </is>
      </c>
      <c r="C23" s="10" t="inlineStr">
        <is>
          <t xml:space="preserve">Gestión Administrativa </t>
        </is>
      </c>
      <c r="D23" s="10" t="inlineStr">
        <is>
          <t>GAD</t>
        </is>
      </c>
      <c r="E23" s="10" t="inlineStr">
        <is>
          <t xml:space="preserve">Gestión de Activos </t>
        </is>
      </c>
      <c r="F23" s="10" t="inlineStr">
        <is>
          <t>-</t>
        </is>
      </c>
      <c r="G23" s="10" t="inlineStr">
        <is>
          <t xml:space="preserve">Subasta de bienes </t>
        </is>
      </c>
      <c r="H23" s="10" t="inlineStr">
        <is>
          <t>Formulario de propuestas</t>
        </is>
      </c>
      <c r="I23" s="10" t="inlineStr">
        <is>
          <t xml:space="preserve">Formulario que se recibe del comprador donde indica el detalle del bien, el valor y firmas </t>
        </is>
      </c>
      <c r="J23" s="10" t="inlineStr">
        <is>
          <t>Jefe Administrativo</t>
        </is>
      </c>
      <c r="K23" s="10" t="inlineStr">
        <is>
          <t>Jefe Administrativo</t>
        </is>
      </c>
      <c r="L23" s="10" t="inlineStr">
        <is>
          <t>UBICACIÓN DIGITAL-EQUIPO DEL CUSTODIO</t>
        </is>
      </c>
      <c r="M23" s="10" t="inlineStr">
        <is>
          <t>DISCOS DUROS, SERVIDORES, DISCOS O MEDIOS PORTÁTILES, CINTAS O MEDIOS DE VIDEO Y AUDIO, ETC.</t>
        </is>
      </c>
      <c r="N23" s="10" t="inlineStr">
        <is>
          <t>PRIMARIOS</t>
        </is>
      </c>
      <c r="O23" s="10" t="inlineStr">
        <is>
          <t>DOCUMENTOS TÉCNICOS</t>
        </is>
      </c>
      <c r="P23" s="10" t="inlineStr">
        <is>
          <t>PUBLICA(1)</t>
        </is>
      </c>
      <c r="Q23" s="10" t="inlineStr">
        <is>
          <t>BAJA(1)</t>
        </is>
      </c>
      <c r="R23" s="10" t="inlineStr">
        <is>
          <t>BAJA(1)</t>
        </is>
      </c>
      <c r="S23" s="10">
        <f>+(IF(P23="PUBLICA(1)",1,IF(P23="USO INTERNO(2)",2,IF(P23="RESTRINGIDO(3)",3,3))))+(IF(Q23="BAJA(1)",1,IF(Q23="MEDIA(2)",2,IF(Q23="ALTA(3)",3,3))))+(IF(R23="BAJA(1)",1,IF(R23="MEDIA(2)",2,IF(R23="ALTA(3)",3,3))))</f>
        <v/>
      </c>
      <c r="T23" s="10">
        <f>+IF(S23&lt;6,"BAJA",IF(S23&lt;8,"MEDIA","ALTA"))</f>
        <v/>
      </c>
      <c r="U23" s="10" t="inlineStr">
        <is>
          <t>-</t>
        </is>
      </c>
      <c r="V23" s="24" t="n">
        <v>45680</v>
      </c>
      <c r="W23" s="19" t="inlineStr">
        <is>
          <t>N/A</t>
        </is>
      </c>
      <c r="X23" s="10">
        <f>+IFERROR(IF(VLOOKUP(Tabla2[[#This Row],[ID]],'EVALUACION DE RIESGO'!A:A,1,FALSE)=Tabla2[[#This Row],[ID]],"SI","NO"),"NO")</f>
        <v/>
      </c>
    </row>
    <row r="24">
      <c r="A24" s="91" t="inlineStr">
        <is>
          <t>22-GAD</t>
        </is>
      </c>
      <c r="B24" s="10" t="inlineStr">
        <is>
          <t>APOYO</t>
        </is>
      </c>
      <c r="C24" s="10" t="inlineStr">
        <is>
          <t xml:space="preserve">Gestión Administrativa </t>
        </is>
      </c>
      <c r="D24" s="10" t="inlineStr">
        <is>
          <t>GAD</t>
        </is>
      </c>
      <c r="E24" s="10" t="inlineStr">
        <is>
          <t xml:space="preserve">Gestión de Activos </t>
        </is>
      </c>
      <c r="F24" s="10" t="inlineStr">
        <is>
          <t>-</t>
        </is>
      </c>
      <c r="G24" s="10" t="inlineStr">
        <is>
          <t xml:space="preserve">Subasta de bienes </t>
        </is>
      </c>
      <c r="H24" s="10" t="inlineStr">
        <is>
          <t>Acta de la apertura de sobres</t>
        </is>
      </c>
      <c r="I24" s="10" t="inlineStr">
        <is>
          <t>Acta donde se presenta el detalle de la compra venta</t>
        </is>
      </c>
      <c r="J24" s="10" t="inlineStr">
        <is>
          <t>Jefe Administrativo</t>
        </is>
      </c>
      <c r="K24" s="10" t="inlineStr">
        <is>
          <t>Asistente administrativo</t>
        </is>
      </c>
      <c r="L24" s="10" t="inlineStr">
        <is>
          <t>DOCUMENTOS FISICOS-ARCHIVOS DE LA OFICINA</t>
        </is>
      </c>
      <c r="M24" s="10" t="inlineStr">
        <is>
          <t>DOCUMENTO DE ARCHIVO-FÍSICO</t>
        </is>
      </c>
      <c r="N24" s="10" t="inlineStr">
        <is>
          <t>PRIMARIOS</t>
        </is>
      </c>
      <c r="O24" s="10" t="inlineStr">
        <is>
          <t>DOCUMENTOS HABILITANTES</t>
        </is>
      </c>
      <c r="P24" s="10" t="inlineStr">
        <is>
          <t>USO INTERNO(2)</t>
        </is>
      </c>
      <c r="Q24" s="10" t="inlineStr">
        <is>
          <t>MEDIA(2)</t>
        </is>
      </c>
      <c r="R24" s="10" t="inlineStr">
        <is>
          <t>MEDIA(2)</t>
        </is>
      </c>
      <c r="S24" s="10">
        <f>+(IF(P24="PUBLICA(1)",1,IF(P24="USO INTERNO(2)",2,IF(P24="RESTRINGIDO(3)",3,3))))+(IF(Q24="BAJA(1)",1,IF(Q24="MEDIA(2)",2,IF(Q24="ALTA(3)",3,3))))+(IF(R24="BAJA(1)",1,IF(R24="MEDIA(2)",2,IF(R24="ALTA(3)",3,3))))</f>
        <v/>
      </c>
      <c r="T24" s="10">
        <f>+IF(S24&lt;6,"BAJA",IF(S24&lt;8,"MEDIA","ALTA"))</f>
        <v/>
      </c>
      <c r="U24" s="10" t="inlineStr">
        <is>
          <t>-</t>
        </is>
      </c>
      <c r="V24" s="24" t="n">
        <v>45680</v>
      </c>
      <c r="W24" s="19" t="inlineStr">
        <is>
          <t>N/A</t>
        </is>
      </c>
      <c r="X24" s="10">
        <f>+IFERROR(IF(VLOOKUP(Tabla2[[#This Row],[ID]],'EVALUACION DE RIESGO'!A:A,1,FALSE)=Tabla2[[#This Row],[ID]],"SI","NO"),"NO")</f>
        <v/>
      </c>
    </row>
    <row r="25">
      <c r="A25" s="91" t="inlineStr">
        <is>
          <t>23-GAD</t>
        </is>
      </c>
      <c r="B25" s="10" t="inlineStr">
        <is>
          <t>APOYO</t>
        </is>
      </c>
      <c r="C25" s="10" t="inlineStr">
        <is>
          <t xml:space="preserve">Gestión Administrativa </t>
        </is>
      </c>
      <c r="D25" s="10" t="inlineStr">
        <is>
          <t>GAD</t>
        </is>
      </c>
      <c r="E25" s="10" t="inlineStr">
        <is>
          <t xml:space="preserve">Gestión de Activos </t>
        </is>
      </c>
      <c r="F25" s="10" t="inlineStr">
        <is>
          <t>-</t>
        </is>
      </c>
      <c r="G25" s="10" t="inlineStr">
        <is>
          <t xml:space="preserve">Subasta de bienes </t>
        </is>
      </c>
      <c r="H25" s="10" t="inlineStr">
        <is>
          <t>Listado de ofertas preferenciales</t>
        </is>
      </c>
      <c r="I25" s="10" t="inlineStr">
        <is>
          <t>Listado de ofertas en caso de existir, en general no se tiene un listado extenso de ofertas</t>
        </is>
      </c>
      <c r="J25" s="10" t="inlineStr">
        <is>
          <t>Jefe Administrativo</t>
        </is>
      </c>
      <c r="K25" s="10" t="inlineStr">
        <is>
          <t>Jefe Administrativo</t>
        </is>
      </c>
      <c r="L25" s="10" t="inlineStr">
        <is>
          <t>UBICACIÓN DIGITAL-EQUIPO DEL CUSTODIO</t>
        </is>
      </c>
      <c r="M25" s="10" t="inlineStr">
        <is>
          <t>DISCOS DUROS, SERVIDORES, DISCOS O MEDIOS PORTÁTILES, CINTAS O MEDIOS DE VIDEO Y AUDIO, ETC.</t>
        </is>
      </c>
      <c r="N25" s="10" t="inlineStr">
        <is>
          <t>PRIMARIOS</t>
        </is>
      </c>
      <c r="O25" s="10" t="inlineStr">
        <is>
          <t>DOCUMENTOS TÉCNICOS</t>
        </is>
      </c>
      <c r="P25" s="10" t="inlineStr">
        <is>
          <t>USO INTERNO(2)</t>
        </is>
      </c>
      <c r="Q25" s="10" t="inlineStr">
        <is>
          <t>BAJA(1)</t>
        </is>
      </c>
      <c r="R25" s="10" t="inlineStr">
        <is>
          <t>BAJA(1)</t>
        </is>
      </c>
      <c r="S25" s="10">
        <f>+(IF(P25="PUBLICA(1)",1,IF(P25="USO INTERNO(2)",2,IF(P25="RESTRINGIDO(3)",3,3))))+(IF(Q25="BAJA(1)",1,IF(Q25="MEDIA(2)",2,IF(Q25="ALTA(3)",3,3))))+(IF(R25="BAJA(1)",1,IF(R25="MEDIA(2)",2,IF(R25="ALTA(3)",3,3))))</f>
        <v/>
      </c>
      <c r="T25" s="10">
        <f>+IF(S25&lt;6,"BAJA",IF(S25&lt;8,"MEDIA","ALTA"))</f>
        <v/>
      </c>
      <c r="U25" s="10" t="inlineStr">
        <is>
          <t>-</t>
        </is>
      </c>
      <c r="V25" s="24" t="n">
        <v>45680</v>
      </c>
      <c r="W25" s="19" t="inlineStr">
        <is>
          <t>N/A</t>
        </is>
      </c>
      <c r="X25" s="10">
        <f>+IFERROR(IF(VLOOKUP(Tabla2[[#This Row],[ID]],'EVALUACION DE RIESGO'!A:A,1,FALSE)=Tabla2[[#This Row],[ID]],"SI","NO"),"NO")</f>
        <v/>
      </c>
    </row>
    <row r="26">
      <c r="A26" s="91" t="inlineStr">
        <is>
          <t>24-GAD</t>
        </is>
      </c>
      <c r="B26" s="10" t="inlineStr">
        <is>
          <t>APOYO</t>
        </is>
      </c>
      <c r="C26" s="10" t="inlineStr">
        <is>
          <t xml:space="preserve">Gestión Administrativa </t>
        </is>
      </c>
      <c r="D26" s="10" t="inlineStr">
        <is>
          <t>GAD</t>
        </is>
      </c>
      <c r="E26" s="10" t="inlineStr">
        <is>
          <t xml:space="preserve">Gestión de Activos </t>
        </is>
      </c>
      <c r="F26" s="10" t="inlineStr">
        <is>
          <t>-</t>
        </is>
      </c>
      <c r="G26" s="10" t="inlineStr">
        <is>
          <t xml:space="preserve">Subasta de bienes </t>
        </is>
      </c>
      <c r="H26" s="10" t="inlineStr">
        <is>
          <t>Lista de ganadores</t>
        </is>
      </c>
      <c r="I26" s="10" t="inlineStr">
        <is>
          <t>Resolución adjunta al contrato de compra venta, detallando el inmueble, valores ofertantes, valores de venta, entre otros</t>
        </is>
      </c>
      <c r="J26" s="10" t="inlineStr">
        <is>
          <t>Jefe Administrativo</t>
        </is>
      </c>
      <c r="K26" s="10" t="inlineStr">
        <is>
          <t>Asistente administrativo</t>
        </is>
      </c>
      <c r="L26" s="10" t="inlineStr">
        <is>
          <t>DOCUMENTOS FISICOS-ARCHIVOS DE LA OFICINA</t>
        </is>
      </c>
      <c r="M26" s="10" t="inlineStr">
        <is>
          <t>DOCUMENTO DE ARCHIVO-FÍSICO</t>
        </is>
      </c>
      <c r="N26" s="10" t="inlineStr">
        <is>
          <t>PRIMARIOS</t>
        </is>
      </c>
      <c r="O26" s="10" t="inlineStr">
        <is>
          <t>DOCUMENTOS TÉCNICOS</t>
        </is>
      </c>
      <c r="P26" s="10" t="inlineStr">
        <is>
          <t>USO INTERNO(2)</t>
        </is>
      </c>
      <c r="Q26" s="10" t="inlineStr">
        <is>
          <t>BAJA(1)</t>
        </is>
      </c>
      <c r="R26" s="10" t="inlineStr">
        <is>
          <t>BAJA(1)</t>
        </is>
      </c>
      <c r="S26" s="10">
        <f>+(IF(P26="PUBLICA(1)",1,IF(P26="USO INTERNO(2)",2,IF(P26="RESTRINGIDO(3)",3,3))))+(IF(Q26="BAJA(1)",1,IF(Q26="MEDIA(2)",2,IF(Q26="ALTA(3)",3,3))))+(IF(R26="BAJA(1)",1,IF(R26="MEDIA(2)",2,IF(R26="ALTA(3)",3,3))))</f>
        <v/>
      </c>
      <c r="T26" s="10">
        <f>+IF(S26&lt;6,"BAJA",IF(S26&lt;8,"MEDIA","ALTA"))</f>
        <v/>
      </c>
      <c r="U26" s="10" t="inlineStr">
        <is>
          <t>-</t>
        </is>
      </c>
      <c r="V26" s="24" t="n">
        <v>45680</v>
      </c>
      <c r="W26" s="19" t="inlineStr">
        <is>
          <t>N/A</t>
        </is>
      </c>
      <c r="X26" s="10">
        <f>+IFERROR(IF(VLOOKUP(Tabla2[[#This Row],[ID]],'EVALUACION DE RIESGO'!A:A,1,FALSE)=Tabla2[[#This Row],[ID]],"SI","NO"),"NO")</f>
        <v/>
      </c>
    </row>
    <row r="27">
      <c r="A27" s="91" t="inlineStr">
        <is>
          <t>25-GAD</t>
        </is>
      </c>
      <c r="B27" s="10" t="inlineStr">
        <is>
          <t>APOYO</t>
        </is>
      </c>
      <c r="C27" s="10" t="inlineStr">
        <is>
          <t xml:space="preserve">Gestión Administrativa </t>
        </is>
      </c>
      <c r="D27" s="10" t="inlineStr">
        <is>
          <t>GAD</t>
        </is>
      </c>
      <c r="E27" s="10" t="inlineStr">
        <is>
          <t xml:space="preserve">Gestión de Activos </t>
        </is>
      </c>
      <c r="F27" s="10" t="inlineStr">
        <is>
          <t>-</t>
        </is>
      </c>
      <c r="G27" s="10" t="inlineStr">
        <is>
          <t>Venta de bienes adjudicados o en dación en pago/Subasta pública de bienes recibidos por dación en pago</t>
        </is>
      </c>
      <c r="H27" s="10" t="inlineStr">
        <is>
          <t>Documento de sustento del pago</t>
        </is>
      </c>
      <c r="I27" s="10" t="inlineStr">
        <is>
          <t>Comprobante de transferencia, depósito que se realiza en el proceso</t>
        </is>
      </c>
      <c r="J27" s="10" t="inlineStr">
        <is>
          <t>Jefe Administrativo</t>
        </is>
      </c>
      <c r="K27" s="10" t="inlineStr">
        <is>
          <t>Asistente administrativo</t>
        </is>
      </c>
      <c r="L27" s="10" t="inlineStr">
        <is>
          <t>DOCUMENTOS FISICOS-ARCHIVOS DE LA OFICINA</t>
        </is>
      </c>
      <c r="M27" s="10" t="inlineStr">
        <is>
          <t>DOCUMENTO DE ARCHIVO-FÍSICO</t>
        </is>
      </c>
      <c r="N27" s="10" t="inlineStr">
        <is>
          <t>PRIMARIOS</t>
        </is>
      </c>
      <c r="O27" s="10" t="inlineStr">
        <is>
          <t>DOCUMENTOS HABILITANTES</t>
        </is>
      </c>
      <c r="P27" s="10" t="inlineStr">
        <is>
          <t>USO INTERNO(2)</t>
        </is>
      </c>
      <c r="Q27" s="10" t="inlineStr">
        <is>
          <t>MEDIA(2)</t>
        </is>
      </c>
      <c r="R27" s="10" t="inlineStr">
        <is>
          <t>MEDIA(2)</t>
        </is>
      </c>
      <c r="S27" s="10">
        <f>+(IF(P27="PUBLICA(1)",1,IF(P27="USO INTERNO(2)",2,IF(P27="RESTRINGIDO(3)",3,3))))+(IF(Q27="BAJA(1)",1,IF(Q27="MEDIA(2)",2,IF(Q27="ALTA(3)",3,3))))+(IF(R27="BAJA(1)",1,IF(R27="MEDIA(2)",2,IF(R27="ALTA(3)",3,3))))</f>
        <v/>
      </c>
      <c r="T27" s="10">
        <f>+IF(S27&lt;6,"BAJA",IF(S27&lt;8,"MEDIA","ALTA"))</f>
        <v/>
      </c>
      <c r="U27" s="10" t="inlineStr">
        <is>
          <t>-</t>
        </is>
      </c>
      <c r="V27" s="24" t="n">
        <v>45680</v>
      </c>
      <c r="W27" s="19" t="inlineStr">
        <is>
          <t>N/A</t>
        </is>
      </c>
      <c r="X27" s="10">
        <f>+IFERROR(IF(VLOOKUP(Tabla2[[#This Row],[ID]],'EVALUACION DE RIESGO'!A:A,1,FALSE)=Tabla2[[#This Row],[ID]],"SI","NO"),"NO")</f>
        <v/>
      </c>
    </row>
    <row r="28">
      <c r="A28" s="91" t="inlineStr">
        <is>
          <t>26-GAD</t>
        </is>
      </c>
      <c r="B28" s="10" t="inlineStr">
        <is>
          <t>APOYO</t>
        </is>
      </c>
      <c r="C28" s="10" t="inlineStr">
        <is>
          <t xml:space="preserve">Gestión Administrativa </t>
        </is>
      </c>
      <c r="D28" s="10" t="inlineStr">
        <is>
          <t>GAD</t>
        </is>
      </c>
      <c r="E28" s="10" t="inlineStr">
        <is>
          <t xml:space="preserve">Gestión de Activos </t>
        </is>
      </c>
      <c r="F28" s="10" t="inlineStr">
        <is>
          <t>-</t>
        </is>
      </c>
      <c r="G28" s="10" t="inlineStr">
        <is>
          <t>Venta de bienes adjudicados o en dación en pago/Subasta pública de bienes recibidos por dación en pago</t>
        </is>
      </c>
      <c r="H28" s="10" t="inlineStr">
        <is>
          <t>Contrato de compraventa</t>
        </is>
      </c>
      <c r="I28" s="10" t="inlineStr">
        <is>
          <t>Minuta elaborada entre la cooperativa y el comprador, se adjuntan todos los documentos que avalan</t>
        </is>
      </c>
      <c r="J28" s="10" t="inlineStr">
        <is>
          <t>Jefe Administrativo</t>
        </is>
      </c>
      <c r="K28" s="10" t="inlineStr">
        <is>
          <t>Asistente administrativo</t>
        </is>
      </c>
      <c r="L28" s="10" t="inlineStr">
        <is>
          <t>DOCUMENTOS FISICOS-ARCHIVOS DE LA OFICINA</t>
        </is>
      </c>
      <c r="M28" s="10" t="inlineStr">
        <is>
          <t>DOCUMENTO DE ARCHIVO-FÍSICO</t>
        </is>
      </c>
      <c r="N28" s="10" t="inlineStr">
        <is>
          <t>PRIMARIOS</t>
        </is>
      </c>
      <c r="O28" s="10" t="inlineStr">
        <is>
          <t>CONVENIOS Y CONTRATOS</t>
        </is>
      </c>
      <c r="P28" s="10" t="inlineStr">
        <is>
          <t>USO INTERNO(2)</t>
        </is>
      </c>
      <c r="Q28" s="10" t="inlineStr">
        <is>
          <t>MEDIA(2)</t>
        </is>
      </c>
      <c r="R28" s="10" t="inlineStr">
        <is>
          <t>MEDIA(2)</t>
        </is>
      </c>
      <c r="S28" s="10">
        <f>+(IF(P28="PUBLICA(1)",1,IF(P28="USO INTERNO(2)",2,IF(P28="RESTRINGIDO(3)",3,3))))+(IF(Q28="BAJA(1)",1,IF(Q28="MEDIA(2)",2,IF(Q28="ALTA(3)",3,3))))+(IF(R28="BAJA(1)",1,IF(R28="MEDIA(2)",2,IF(R28="ALTA(3)",3,3))))</f>
        <v/>
      </c>
      <c r="T28" s="10">
        <f>+IF(S28&lt;6,"BAJA",IF(S28&lt;8,"MEDIA","ALTA"))</f>
        <v/>
      </c>
      <c r="U28" s="10" t="inlineStr">
        <is>
          <t>-</t>
        </is>
      </c>
      <c r="V28" s="24" t="n">
        <v>45680</v>
      </c>
      <c r="W28" s="19" t="inlineStr">
        <is>
          <t>N/A</t>
        </is>
      </c>
      <c r="X28" s="10">
        <f>+IFERROR(IF(VLOOKUP(Tabla2[[#This Row],[ID]],'EVALUACION DE RIESGO'!A:A,1,FALSE)=Tabla2[[#This Row],[ID]],"SI","NO"),"NO")</f>
        <v/>
      </c>
    </row>
    <row r="29">
      <c r="A29" s="91" t="inlineStr">
        <is>
          <t>27-GAD</t>
        </is>
      </c>
      <c r="B29" s="10" t="inlineStr">
        <is>
          <t>APOYO</t>
        </is>
      </c>
      <c r="C29" s="10" t="inlineStr">
        <is>
          <t xml:space="preserve">Gestión Administrativa </t>
        </is>
      </c>
      <c r="D29" s="10" t="inlineStr">
        <is>
          <t>GAD</t>
        </is>
      </c>
      <c r="E29" s="10" t="inlineStr">
        <is>
          <t>Gestión de Seguros</t>
        </is>
      </c>
      <c r="F29" s="10" t="inlineStr">
        <is>
          <t>-</t>
        </is>
      </c>
      <c r="G29" s="10" t="inlineStr">
        <is>
          <t xml:space="preserve">Selección de Asesor Productor de Seguros     </t>
        </is>
      </c>
      <c r="H29" s="10" t="inlineStr">
        <is>
          <t>TDR para selección de empresa asesora productora de seguros</t>
        </is>
      </c>
      <c r="I29" s="10" t="inlineStr">
        <is>
          <t>Acuerdo a la necesidad institucional, TDR para la designación de empresa Asesora Proveedora de Seguros y reriva el proceso de selección conforma disposición del CAD</t>
        </is>
      </c>
      <c r="J29" s="10" t="inlineStr">
        <is>
          <t>Jefe Administrativo</t>
        </is>
      </c>
      <c r="K29" s="10" t="inlineStr">
        <is>
          <t>Asistente jurídico</t>
        </is>
      </c>
      <c r="L29" s="10" t="inlineStr">
        <is>
          <t>UBICACIÓN DIGITAL-EQUIPO DEL CUSTODIO</t>
        </is>
      </c>
      <c r="M29" s="10" t="inlineStr">
        <is>
          <t>DISCOS DUROS, SERVIDORES, DISCOS O MEDIOS PORTÁTILES, CINTAS O MEDIOS DE VIDEO Y AUDIO, ETC.</t>
        </is>
      </c>
      <c r="N29" s="10" t="inlineStr">
        <is>
          <t>PRIMARIOS</t>
        </is>
      </c>
      <c r="O29" s="10" t="inlineStr">
        <is>
          <t>DOCUMENTOS TÉCNICOS</t>
        </is>
      </c>
      <c r="P29" s="10" t="inlineStr">
        <is>
          <t>USO INTERNO(2)</t>
        </is>
      </c>
      <c r="Q29" s="10" t="inlineStr">
        <is>
          <t>MEDIA(2)</t>
        </is>
      </c>
      <c r="R29" s="10" t="inlineStr">
        <is>
          <t>MEDIA(2)</t>
        </is>
      </c>
      <c r="S29" s="10">
        <f>+(IF(P29="PUBLICA(1)",1,IF(P29="USO INTERNO(2)",2,IF(P29="RESTRINGIDO(3)",3,3))))+(IF(Q29="BAJA(1)",1,IF(Q29="MEDIA(2)",2,IF(Q29="ALTA(3)",3,3))))+(IF(R29="BAJA(1)",1,IF(R29="MEDIA(2)",2,IF(R29="ALTA(3)",3,3))))</f>
        <v/>
      </c>
      <c r="T29" s="10">
        <f>+IF(S29&lt;6,"BAJA",IF(S29&lt;8,"MEDIA","ALTA"))</f>
        <v/>
      </c>
      <c r="U29" s="10" t="inlineStr">
        <is>
          <t>-</t>
        </is>
      </c>
      <c r="V29" s="24" t="n">
        <v>45680</v>
      </c>
      <c r="W29" s="19" t="inlineStr">
        <is>
          <t>N/A</t>
        </is>
      </c>
      <c r="X29" s="10">
        <f>+IFERROR(IF(VLOOKUP(Tabla2[[#This Row],[ID]],'EVALUACION DE RIESGO'!A:A,1,FALSE)=Tabla2[[#This Row],[ID]],"SI","NO"),"NO")</f>
        <v/>
      </c>
    </row>
    <row r="30">
      <c r="A30" s="91" t="inlineStr">
        <is>
          <t>28-GAD</t>
        </is>
      </c>
      <c r="B30" s="10" t="inlineStr">
        <is>
          <t>APOYO</t>
        </is>
      </c>
      <c r="C30" s="10" t="inlineStr">
        <is>
          <t xml:space="preserve">Gestión Administrativa </t>
        </is>
      </c>
      <c r="D30" s="10" t="inlineStr">
        <is>
          <t>GAD</t>
        </is>
      </c>
      <c r="E30" s="10" t="inlineStr">
        <is>
          <t>Gestión de Seguros</t>
        </is>
      </c>
      <c r="F30" s="10" t="inlineStr">
        <is>
          <t>-</t>
        </is>
      </c>
      <c r="G30" s="10" t="inlineStr">
        <is>
          <t>Contratación de seguros</t>
        </is>
      </c>
      <c r="H30" s="10" t="inlineStr">
        <is>
          <t>Póliza de seguros</t>
        </is>
      </c>
      <c r="I30" s="10" t="inlineStr">
        <is>
          <t>Archivos físicos o dispositivos de almacenamiento digital con el file de la poliza</t>
        </is>
      </c>
      <c r="J30" s="10" t="inlineStr">
        <is>
          <t>Jefe Administrativo</t>
        </is>
      </c>
      <c r="K30" s="10" t="inlineStr">
        <is>
          <t>Jefe Administrativo</t>
        </is>
      </c>
      <c r="L30" s="10" t="inlineStr">
        <is>
          <t>DOCUMENTOS FISICOS-ARCHIVOS DE LA OFICINA</t>
        </is>
      </c>
      <c r="M30" s="10" t="inlineStr">
        <is>
          <t>DOCUMENTO DE ARCHIVO-FÍSICO</t>
        </is>
      </c>
      <c r="N30" s="10" t="inlineStr">
        <is>
          <t>PRIMARIOS</t>
        </is>
      </c>
      <c r="O30" s="10" t="inlineStr">
        <is>
          <t>DOCUMENTOS HABILITANTES</t>
        </is>
      </c>
      <c r="P30" s="10" t="inlineStr">
        <is>
          <t>USO INTERNO(2)</t>
        </is>
      </c>
      <c r="Q30" s="10" t="inlineStr">
        <is>
          <t>MEDIA(2)</t>
        </is>
      </c>
      <c r="R30" s="10" t="inlineStr">
        <is>
          <t>ALTA(3)</t>
        </is>
      </c>
      <c r="S30" s="10">
        <f>+(IF(P30="PUBLICA(1)",1,IF(P30="USO INTERNO(2)",2,IF(P30="RESTRINGIDO(3)",3,3))))+(IF(Q30="BAJA(1)",1,IF(Q30="MEDIA(2)",2,IF(Q30="ALTA(3)",3,3))))+(IF(R30="BAJA(1)",1,IF(R30="MEDIA(2)",2,IF(R30="ALTA(3)",3,3))))</f>
        <v/>
      </c>
      <c r="T30" s="10">
        <f>+IF(S30&lt;6,"BAJA",IF(S30&lt;8,"MEDIA","ALTA"))</f>
        <v/>
      </c>
      <c r="U30" s="10" t="inlineStr">
        <is>
          <t>-</t>
        </is>
      </c>
      <c r="V30" s="24" t="n">
        <v>45680</v>
      </c>
      <c r="W30" s="19" t="inlineStr">
        <is>
          <t>N/A</t>
        </is>
      </c>
      <c r="X30" s="10">
        <f>+IFERROR(IF(VLOOKUP(Tabla2[[#This Row],[ID]],'EVALUACION DE RIESGO'!A:A,1,FALSE)=Tabla2[[#This Row],[ID]],"SI","NO"),"NO")</f>
        <v/>
      </c>
    </row>
    <row r="31">
      <c r="A31" s="91" t="inlineStr">
        <is>
          <t>29-GAD</t>
        </is>
      </c>
      <c r="B31" s="10" t="inlineStr">
        <is>
          <t>APOYO</t>
        </is>
      </c>
      <c r="C31" s="10" t="inlineStr">
        <is>
          <t xml:space="preserve">Gestión Administrativa </t>
        </is>
      </c>
      <c r="D31" s="10" t="inlineStr">
        <is>
          <t>GAD</t>
        </is>
      </c>
      <c r="E31" s="10" t="inlineStr">
        <is>
          <t>Gestión de Seguros</t>
        </is>
      </c>
      <c r="F31" s="10" t="inlineStr">
        <is>
          <t>-</t>
        </is>
      </c>
      <c r="G31" s="10" t="inlineStr">
        <is>
          <t xml:space="preserve">Evaluación de Asesor Productor de Seguros  </t>
        </is>
      </c>
      <c r="H31" s="10" t="inlineStr">
        <is>
          <t>Informe de análisis de desempeño del Asesor Productor de Seguros</t>
        </is>
      </c>
      <c r="I31" s="10" t="inlineStr">
        <is>
          <t>Informe de análisis de desempeño de Asesor Productor de Seguros con base al cumplimiento de las cláusulas establecidas en el convenio</t>
        </is>
      </c>
      <c r="J31" s="10" t="inlineStr">
        <is>
          <t>Jefe Administrativo</t>
        </is>
      </c>
      <c r="K31" s="10" t="inlineStr">
        <is>
          <t>Jefe Administrativo</t>
        </is>
      </c>
      <c r="L31" s="10" t="inlineStr">
        <is>
          <t>UBICACIÓN DIGITAL-EQUIPO DEL CUSTODIO</t>
        </is>
      </c>
      <c r="M31" s="10" t="inlineStr">
        <is>
          <t>DISCOS DUROS, SERVIDORES, DISCOS O MEDIOS PORTÁTILES, CINTAS O MEDIOS DE VIDEO Y AUDIO, ETC.</t>
        </is>
      </c>
      <c r="N31" s="10" t="inlineStr">
        <is>
          <t>PRIMARIOS</t>
        </is>
      </c>
      <c r="O31" s="10" t="inlineStr">
        <is>
          <t>DOCUMENTOS TÉCNICOS</t>
        </is>
      </c>
      <c r="P31" s="10" t="inlineStr">
        <is>
          <t>USO INTERNO(2)</t>
        </is>
      </c>
      <c r="Q31" s="10" t="inlineStr">
        <is>
          <t>BAJA(1)</t>
        </is>
      </c>
      <c r="R31" s="10" t="inlineStr">
        <is>
          <t>MEDIA(2)</t>
        </is>
      </c>
      <c r="S31" s="10">
        <f>+(IF(P31="PUBLICA(1)",1,IF(P31="USO INTERNO(2)",2,IF(P31="RESTRINGIDO(3)",3,3))))+(IF(Q31="BAJA(1)",1,IF(Q31="MEDIA(2)",2,IF(Q31="ALTA(3)",3,3))))+(IF(R31="BAJA(1)",1,IF(R31="MEDIA(2)",2,IF(R31="ALTA(3)",3,3))))</f>
        <v/>
      </c>
      <c r="T31" s="10">
        <f>+IF(S31&lt;6,"BAJA",IF(S31&lt;8,"MEDIA","ALTA"))</f>
        <v/>
      </c>
      <c r="U31" s="10" t="inlineStr">
        <is>
          <t>-</t>
        </is>
      </c>
      <c r="V31" s="24" t="n">
        <v>45680</v>
      </c>
      <c r="W31" s="19" t="inlineStr">
        <is>
          <t>N/A</t>
        </is>
      </c>
      <c r="X31" s="10">
        <f>+IFERROR(IF(VLOOKUP(Tabla2[[#This Row],[ID]],'EVALUACION DE RIESGO'!A:A,1,FALSE)=Tabla2[[#This Row],[ID]],"SI","NO"),"NO")</f>
        <v/>
      </c>
    </row>
    <row r="32">
      <c r="A32" s="91" t="inlineStr">
        <is>
          <t>30-GAD</t>
        </is>
      </c>
      <c r="B32" s="10" t="inlineStr">
        <is>
          <t>APOYO</t>
        </is>
      </c>
      <c r="C32" s="10" t="inlineStr">
        <is>
          <t xml:space="preserve">Gestión Administrativa </t>
        </is>
      </c>
      <c r="D32" s="10" t="inlineStr">
        <is>
          <t>GAD</t>
        </is>
      </c>
      <c r="E32" s="10" t="inlineStr">
        <is>
          <t>Gestión de Seguros</t>
        </is>
      </c>
      <c r="F32" s="10" t="inlineStr">
        <is>
          <t>-</t>
        </is>
      </c>
      <c r="G32" s="10" t="inlineStr">
        <is>
          <t xml:space="preserve">Evaluación de Asesor Productor de Seguros  </t>
        </is>
      </c>
      <c r="H32" s="10" t="inlineStr">
        <is>
          <t>Resolución del consejo de Administración</t>
        </is>
      </c>
      <c r="I32" s="10" t="inlineStr">
        <is>
          <t>Resolución sobre las acciones a efectual para mejorar la gestión</t>
        </is>
      </c>
      <c r="J32" s="10" t="inlineStr">
        <is>
          <t>Jefe Administrativo</t>
        </is>
      </c>
      <c r="K32" s="10" t="inlineStr">
        <is>
          <t>Jefe Administrativo</t>
        </is>
      </c>
      <c r="L32" s="10" t="inlineStr">
        <is>
          <t>UBICACIÓN DIGITAL-EQUIPO DEL CUSTODIO</t>
        </is>
      </c>
      <c r="M32" s="10" t="inlineStr">
        <is>
          <t>DISCOS DUROS, SERVIDORES, DISCOS O MEDIOS PORTÁTILES, CINTAS O MEDIOS DE VIDEO Y AUDIO, ETC.</t>
        </is>
      </c>
      <c r="N32" s="10" t="inlineStr">
        <is>
          <t>PRIMARIOS</t>
        </is>
      </c>
      <c r="O32" s="10" t="inlineStr">
        <is>
          <t>COMUNICACIÓN INTERNA</t>
        </is>
      </c>
      <c r="P32" s="10" t="inlineStr">
        <is>
          <t>USO INTERNO(2)</t>
        </is>
      </c>
      <c r="Q32" s="10" t="inlineStr">
        <is>
          <t>MEDIA(2)</t>
        </is>
      </c>
      <c r="R32" s="10" t="inlineStr">
        <is>
          <t>MEDIA(2)</t>
        </is>
      </c>
      <c r="S32" s="10">
        <f>+(IF(P32="PUBLICA(1)",1,IF(P32="USO INTERNO(2)",2,IF(P32="RESTRINGIDO(3)",3,3))))+(IF(Q32="BAJA(1)",1,IF(Q32="MEDIA(2)",2,IF(Q32="ALTA(3)",3,3))))+(IF(R32="BAJA(1)",1,IF(R32="MEDIA(2)",2,IF(R32="ALTA(3)",3,3))))</f>
        <v/>
      </c>
      <c r="T32" s="10">
        <f>+IF(S32&lt;6,"BAJA",IF(S32&lt;8,"MEDIA","ALTA"))</f>
        <v/>
      </c>
      <c r="U32" s="10" t="inlineStr">
        <is>
          <t>-</t>
        </is>
      </c>
      <c r="V32" s="24" t="n">
        <v>45680</v>
      </c>
      <c r="W32" s="19" t="inlineStr">
        <is>
          <t>N/A</t>
        </is>
      </c>
      <c r="X32" s="10">
        <f>+IFERROR(IF(VLOOKUP(Tabla2[[#This Row],[ID]],'EVALUACION DE RIESGO'!A:A,1,FALSE)=Tabla2[[#This Row],[ID]],"SI","NO"),"NO")</f>
        <v/>
      </c>
    </row>
    <row r="33">
      <c r="A33" s="91" t="inlineStr">
        <is>
          <t>31-GAD</t>
        </is>
      </c>
      <c r="B33" s="10" t="inlineStr">
        <is>
          <t>APOYO</t>
        </is>
      </c>
      <c r="C33" s="10" t="inlineStr">
        <is>
          <t xml:space="preserve">Gestión Administrativa </t>
        </is>
      </c>
      <c r="D33" s="10" t="inlineStr">
        <is>
          <t>GAD</t>
        </is>
      </c>
      <c r="E33" s="10" t="inlineStr">
        <is>
          <t>Gestión de Seguros</t>
        </is>
      </c>
      <c r="F33" s="10" t="inlineStr">
        <is>
          <t>-</t>
        </is>
      </c>
      <c r="G33" s="10" t="inlineStr">
        <is>
          <t xml:space="preserve">Convenios de gestión de cobranza y/o uso de red  </t>
        </is>
      </c>
      <c r="H33" s="10" t="inlineStr">
        <is>
          <t>Factura electrónica</t>
        </is>
      </c>
      <c r="I33" s="10" t="inlineStr">
        <is>
          <t>Factura emitidad por Administrativo Financiero con el detalle de los valores</t>
        </is>
      </c>
      <c r="J33" s="10" t="inlineStr">
        <is>
          <t>Jefe Administrativo</t>
        </is>
      </c>
      <c r="K33" s="10" t="inlineStr">
        <is>
          <t>Jefe Administrativo</t>
        </is>
      </c>
      <c r="L33" s="10" t="inlineStr">
        <is>
          <t>UBICACIÓN DIGITAL-EQUIPO DEL CUSTODIO</t>
        </is>
      </c>
      <c r="M33" s="10" t="inlineStr">
        <is>
          <t>DISCOS DUROS, SERVIDORES, DISCOS O MEDIOS PORTÁTILES, CINTAS O MEDIOS DE VIDEO Y AUDIO, ETC.</t>
        </is>
      </c>
      <c r="N33" s="10" t="inlineStr">
        <is>
          <t>PRIMARIOS</t>
        </is>
      </c>
      <c r="O33" s="10" t="inlineStr">
        <is>
          <t>DOCUMENTOS HABILITANTES</t>
        </is>
      </c>
      <c r="P33" s="10" t="inlineStr">
        <is>
          <t>USO INTERNO(2)</t>
        </is>
      </c>
      <c r="Q33" s="10" t="inlineStr">
        <is>
          <t>MEDIA(2)</t>
        </is>
      </c>
      <c r="R33" s="10" t="inlineStr">
        <is>
          <t>MEDIA(2)</t>
        </is>
      </c>
      <c r="S33" s="10">
        <f>+(IF(P33="PUBLICA(1)",1,IF(P33="USO INTERNO(2)",2,IF(P33="RESTRINGIDO(3)",3,3))))+(IF(Q33="BAJA(1)",1,IF(Q33="MEDIA(2)",2,IF(Q33="ALTA(3)",3,3))))+(IF(R33="BAJA(1)",1,IF(R33="MEDIA(2)",2,IF(R33="ALTA(3)",3,3))))</f>
        <v/>
      </c>
      <c r="T33" s="10">
        <f>+IF(S33&lt;6,"BAJA",IF(S33&lt;8,"MEDIA","ALTA"))</f>
        <v/>
      </c>
      <c r="U33" s="10" t="inlineStr">
        <is>
          <t>-</t>
        </is>
      </c>
      <c r="V33" s="24" t="n">
        <v>45680</v>
      </c>
      <c r="W33" s="19" t="inlineStr">
        <is>
          <t>N/A</t>
        </is>
      </c>
      <c r="X33" s="10">
        <f>+IFERROR(IF(VLOOKUP(Tabla2[[#This Row],[ID]],'EVALUACION DE RIESGO'!A:A,1,FALSE)=Tabla2[[#This Row],[ID]],"SI","NO"),"NO")</f>
        <v/>
      </c>
    </row>
    <row r="34">
      <c r="A34" s="91" t="inlineStr">
        <is>
          <t>32-GAD</t>
        </is>
      </c>
      <c r="B34" s="10" t="inlineStr">
        <is>
          <t>APOYO</t>
        </is>
      </c>
      <c r="C34" s="10" t="inlineStr">
        <is>
          <t xml:space="preserve">Gestión Administrativa </t>
        </is>
      </c>
      <c r="D34" s="10" t="inlineStr">
        <is>
          <t>GAD</t>
        </is>
      </c>
      <c r="E34" s="10" t="inlineStr">
        <is>
          <t>Gestión de Seguros</t>
        </is>
      </c>
      <c r="F34" s="10" t="inlineStr">
        <is>
          <t>-</t>
        </is>
      </c>
      <c r="G34" s="10" t="inlineStr">
        <is>
          <t xml:space="preserve">Reclamo de siniestros de terceros  </t>
        </is>
      </c>
      <c r="H34" s="10" t="inlineStr">
        <is>
          <t>Finiquito de aseguradora</t>
        </is>
      </c>
      <c r="I34" s="10" t="inlineStr">
        <is>
          <t>Finiquito regalizado por el Asesor Productor de Seguros</t>
        </is>
      </c>
      <c r="J34" s="10" t="inlineStr">
        <is>
          <t>Jefe Administrativo</t>
        </is>
      </c>
      <c r="K34" s="10" t="inlineStr">
        <is>
          <t>Jefe Administrativo</t>
        </is>
      </c>
      <c r="L34" s="10" t="inlineStr">
        <is>
          <t>UBICACIÓN DIGITAL-EQUIPO DEL CUSTODIO</t>
        </is>
      </c>
      <c r="M34" s="10" t="inlineStr">
        <is>
          <t>DISCOS DUROS, SERVIDORES, DISCOS O MEDIOS PORTÁTILES, CINTAS O MEDIOS DE VIDEO Y AUDIO, ETC.</t>
        </is>
      </c>
      <c r="N34" s="10" t="inlineStr">
        <is>
          <t>PRIMARIOS</t>
        </is>
      </c>
      <c r="O34" s="10" t="inlineStr">
        <is>
          <t>DOCUMENTOS HABILITANTES</t>
        </is>
      </c>
      <c r="P34" s="10" t="inlineStr">
        <is>
          <t>USO INTERNO(2)</t>
        </is>
      </c>
      <c r="Q34" s="10" t="inlineStr">
        <is>
          <t>MEDIA(2)</t>
        </is>
      </c>
      <c r="R34" s="10" t="inlineStr">
        <is>
          <t>ALTA(3)</t>
        </is>
      </c>
      <c r="S34" s="10">
        <f>+(IF(P34="PUBLICA(1)",1,IF(P34="USO INTERNO(2)",2,IF(P34="RESTRINGIDO(3)",3,3))))+(IF(Q34="BAJA(1)",1,IF(Q34="MEDIA(2)",2,IF(Q34="ALTA(3)",3,3))))+(IF(R34="BAJA(1)",1,IF(R34="MEDIA(2)",2,IF(R34="ALTA(3)",3,3))))</f>
        <v/>
      </c>
      <c r="T34" s="10">
        <f>+IF(S34&lt;6,"BAJA",IF(S34&lt;8,"MEDIA","ALTA"))</f>
        <v/>
      </c>
      <c r="U34" s="10" t="inlineStr">
        <is>
          <t>-</t>
        </is>
      </c>
      <c r="V34" s="24" t="n">
        <v>45680</v>
      </c>
      <c r="W34" s="19" t="inlineStr">
        <is>
          <t>N/A</t>
        </is>
      </c>
      <c r="X34" s="10">
        <f>+IFERROR(IF(VLOOKUP(Tabla2[[#This Row],[ID]],'EVALUACION DE RIESGO'!A:A,1,FALSE)=Tabla2[[#This Row],[ID]],"SI","NO"),"NO")</f>
        <v/>
      </c>
    </row>
    <row r="35">
      <c r="A35" s="91" t="inlineStr">
        <is>
          <t>33-GAD</t>
        </is>
      </c>
      <c r="B35" s="10" t="inlineStr">
        <is>
          <t>APOYO</t>
        </is>
      </c>
      <c r="C35" s="10" t="inlineStr">
        <is>
          <t xml:space="preserve">Gestión Administrativa </t>
        </is>
      </c>
      <c r="D35" s="10" t="inlineStr">
        <is>
          <t>GAD</t>
        </is>
      </c>
      <c r="E35" s="10" t="inlineStr">
        <is>
          <t>Gestión de Seguros</t>
        </is>
      </c>
      <c r="F35" s="10" t="inlineStr">
        <is>
          <t>-</t>
        </is>
      </c>
      <c r="G35" s="10" t="inlineStr">
        <is>
          <t xml:space="preserve">Reclamo de siniestros de terceros  </t>
        </is>
      </c>
      <c r="H35" s="10" t="inlineStr">
        <is>
          <t>Registro de siniestros</t>
        </is>
      </c>
      <c r="I35" s="10" t="inlineStr">
        <is>
          <t>Registro de siniestro compartido por el Jefe de Oficina o Jefe Administrativo</t>
        </is>
      </c>
      <c r="J35" s="10" t="inlineStr">
        <is>
          <t>Jefe Administrativo</t>
        </is>
      </c>
      <c r="K35" s="10" t="inlineStr">
        <is>
          <t>Jefe Administrativo</t>
        </is>
      </c>
      <c r="L35" s="10" t="inlineStr">
        <is>
          <t>UBICACIÓN DIGITAL-EQUIPO DEL CUSTODIO</t>
        </is>
      </c>
      <c r="M35" s="10" t="inlineStr">
        <is>
          <t>DISCOS DUROS, SERVIDORES, DISCOS O MEDIOS PORTÁTILES, CINTAS O MEDIOS DE VIDEO Y AUDIO, ETC.</t>
        </is>
      </c>
      <c r="N35" s="10" t="inlineStr">
        <is>
          <t>PRIMARIOS</t>
        </is>
      </c>
      <c r="O35" s="10" t="inlineStr">
        <is>
          <t>DOCUMENTOS TÉCNICOS</t>
        </is>
      </c>
      <c r="P35" s="10" t="inlineStr">
        <is>
          <t>USO INTERNO(2)</t>
        </is>
      </c>
      <c r="Q35" s="10" t="inlineStr">
        <is>
          <t>MEDIA(2)</t>
        </is>
      </c>
      <c r="R35" s="10" t="inlineStr">
        <is>
          <t>ALTA(3)</t>
        </is>
      </c>
      <c r="S35" s="10">
        <f>+(IF(P35="PUBLICA(1)",1,IF(P35="USO INTERNO(2)",2,IF(P35="RESTRINGIDO(3)",3,3))))+(IF(Q35="BAJA(1)",1,IF(Q35="MEDIA(2)",2,IF(Q35="ALTA(3)",3,3))))+(IF(R35="BAJA(1)",1,IF(R35="MEDIA(2)",2,IF(R35="ALTA(3)",3,3))))</f>
        <v/>
      </c>
      <c r="T35" s="10">
        <f>+IF(S35&lt;6,"BAJA",IF(S35&lt;8,"MEDIA","ALTA"))</f>
        <v/>
      </c>
      <c r="U35" s="10" t="inlineStr">
        <is>
          <t>-</t>
        </is>
      </c>
      <c r="V35" s="24" t="n">
        <v>45680</v>
      </c>
      <c r="W35" s="19" t="inlineStr">
        <is>
          <t>N/A</t>
        </is>
      </c>
      <c r="X35" s="10">
        <f>+IFERROR(IF(VLOOKUP(Tabla2[[#This Row],[ID]],'EVALUACION DE RIESGO'!A:A,1,FALSE)=Tabla2[[#This Row],[ID]],"SI","NO"),"NO")</f>
        <v/>
      </c>
    </row>
    <row r="36">
      <c r="A36" s="91" t="inlineStr">
        <is>
          <t>34-GAD</t>
        </is>
      </c>
      <c r="B36" s="10" t="inlineStr">
        <is>
          <t>APOYO</t>
        </is>
      </c>
      <c r="C36" s="10" t="inlineStr">
        <is>
          <t xml:space="preserve">Gestión Administrativa </t>
        </is>
      </c>
      <c r="D36" s="10" t="inlineStr">
        <is>
          <t>GAD</t>
        </is>
      </c>
      <c r="E36" s="10" t="inlineStr">
        <is>
          <t>Gestión de Seguros</t>
        </is>
      </c>
      <c r="F36" s="10" t="inlineStr">
        <is>
          <t>-</t>
        </is>
      </c>
      <c r="G36" s="10" t="inlineStr">
        <is>
          <t xml:space="preserve">Reclamo de siniestros de terceros  </t>
        </is>
      </c>
      <c r="H36" s="10" t="inlineStr">
        <is>
          <t>Informe del siniestro</t>
        </is>
      </c>
      <c r="I36" s="10" t="inlineStr">
        <is>
          <t>Informe del siniestro y sustentos legales necesarios</t>
        </is>
      </c>
      <c r="J36" s="10" t="inlineStr">
        <is>
          <t>Jefe Administrativo</t>
        </is>
      </c>
      <c r="K36" s="10" t="inlineStr">
        <is>
          <t>Jefe Administrativo</t>
        </is>
      </c>
      <c r="L36" s="10" t="inlineStr">
        <is>
          <t>UBICACIÓN DIGITAL-EQUIPO DEL CUSTODIO</t>
        </is>
      </c>
      <c r="M36" s="10" t="inlineStr">
        <is>
          <t>DISCOS DUROS, SERVIDORES, DISCOS O MEDIOS PORTÁTILES, CINTAS O MEDIOS DE VIDEO Y AUDIO, ETC.</t>
        </is>
      </c>
      <c r="N36" s="10" t="inlineStr">
        <is>
          <t>PRIMARIOS</t>
        </is>
      </c>
      <c r="O36" s="10" t="inlineStr">
        <is>
          <t>DOCUMENTOS TÉCNICOS</t>
        </is>
      </c>
      <c r="P36" s="10" t="inlineStr">
        <is>
          <t>USO INTERNO(2)</t>
        </is>
      </c>
      <c r="Q36" s="10" t="inlineStr">
        <is>
          <t>MEDIA(2)</t>
        </is>
      </c>
      <c r="R36" s="10" t="inlineStr">
        <is>
          <t>MEDIA(2)</t>
        </is>
      </c>
      <c r="S36" s="10">
        <f>+(IF(P36="PUBLICA(1)",1,IF(P36="USO INTERNO(2)",2,IF(P36="RESTRINGIDO(3)",3,3))))+(IF(Q36="BAJA(1)",1,IF(Q36="MEDIA(2)",2,IF(Q36="ALTA(3)",3,3))))+(IF(R36="BAJA(1)",1,IF(R36="MEDIA(2)",2,IF(R36="ALTA(3)",3,3))))</f>
        <v/>
      </c>
      <c r="T36" s="10">
        <f>+IF(S36&lt;6,"BAJA",IF(S36&lt;8,"MEDIA","ALTA"))</f>
        <v/>
      </c>
      <c r="U36" s="10" t="inlineStr">
        <is>
          <t>-</t>
        </is>
      </c>
      <c r="V36" s="24" t="n">
        <v>45680</v>
      </c>
      <c r="W36" s="19" t="inlineStr">
        <is>
          <t>N/A</t>
        </is>
      </c>
      <c r="X36" s="10">
        <f>+IFERROR(IF(VLOOKUP(Tabla2[[#This Row],[ID]],'EVALUACION DE RIESGO'!A:A,1,FALSE)=Tabla2[[#This Row],[ID]],"SI","NO"),"NO")</f>
        <v/>
      </c>
    </row>
    <row r="37">
      <c r="A37" s="91" t="inlineStr">
        <is>
          <t>35-GAD</t>
        </is>
      </c>
      <c r="B37" s="10" t="inlineStr">
        <is>
          <t>APOYO</t>
        </is>
      </c>
      <c r="C37" s="10" t="inlineStr">
        <is>
          <t xml:space="preserve">Gestión Administrativa </t>
        </is>
      </c>
      <c r="D37" s="10" t="inlineStr">
        <is>
          <t>GAD</t>
        </is>
      </c>
      <c r="E37" s="10" t="inlineStr">
        <is>
          <t>Gestión de Seguros</t>
        </is>
      </c>
      <c r="F37" s="10" t="inlineStr">
        <is>
          <t>-</t>
        </is>
      </c>
      <c r="G37" s="10" t="inlineStr">
        <is>
          <t xml:space="preserve">Pago a empresas aseguradoras        </t>
        </is>
      </c>
      <c r="H37" s="10" t="inlineStr">
        <is>
          <t>Facturas</t>
        </is>
      </c>
      <c r="I37" s="10" t="inlineStr">
        <is>
          <t>Facturas del pago a la empresa aseguradora</t>
        </is>
      </c>
      <c r="J37" s="10" t="inlineStr">
        <is>
          <t>Jefe Administrativo</t>
        </is>
      </c>
      <c r="K37" s="10" t="inlineStr">
        <is>
          <t>Jefe Administrativo</t>
        </is>
      </c>
      <c r="L37" s="10" t="inlineStr">
        <is>
          <t>UBICACIÓN DIGITAL-EQUIPO DEL CUSTODIO</t>
        </is>
      </c>
      <c r="M37" s="10" t="inlineStr">
        <is>
          <t>DISCOS DUROS, SERVIDORES, DISCOS O MEDIOS PORTÁTILES, CINTAS O MEDIOS DE VIDEO Y AUDIO, ETC.</t>
        </is>
      </c>
      <c r="N37" s="10" t="inlineStr">
        <is>
          <t>PRIMARIOS</t>
        </is>
      </c>
      <c r="O37" s="10" t="inlineStr">
        <is>
          <t>DOCUMENTOS HABILITANTES</t>
        </is>
      </c>
      <c r="P37" s="10" t="inlineStr">
        <is>
          <t>USO INTERNO(2)</t>
        </is>
      </c>
      <c r="Q37" s="10" t="inlineStr">
        <is>
          <t>MEDIA(2)</t>
        </is>
      </c>
      <c r="R37" s="10" t="inlineStr">
        <is>
          <t>ALTA(3)</t>
        </is>
      </c>
      <c r="S37" s="10">
        <f>+(IF(P37="PUBLICA(1)",1,IF(P37="USO INTERNO(2)",2,IF(P37="RESTRINGIDO(3)",3,3))))+(IF(Q37="BAJA(1)",1,IF(Q37="MEDIA(2)",2,IF(Q37="ALTA(3)",3,3))))+(IF(R37="BAJA(1)",1,IF(R37="MEDIA(2)",2,IF(R37="ALTA(3)",3,3))))</f>
        <v/>
      </c>
      <c r="T37" s="10">
        <f>+IF(S37&lt;6,"BAJA",IF(S37&lt;8,"MEDIA","ALTA"))</f>
        <v/>
      </c>
      <c r="U37" s="10" t="inlineStr">
        <is>
          <t>-</t>
        </is>
      </c>
      <c r="V37" s="24" t="n">
        <v>45680</v>
      </c>
      <c r="W37" s="19" t="inlineStr">
        <is>
          <t>N/A</t>
        </is>
      </c>
      <c r="X37" s="10">
        <f>+IFERROR(IF(VLOOKUP(Tabla2[[#This Row],[ID]],'EVALUACION DE RIESGO'!A:A,1,FALSE)=Tabla2[[#This Row],[ID]],"SI","NO"),"NO")</f>
        <v/>
      </c>
    </row>
    <row r="38">
      <c r="A38" s="91" t="inlineStr">
        <is>
          <t>36-GAD</t>
        </is>
      </c>
      <c r="B38" s="10" t="inlineStr">
        <is>
          <t>APOYO</t>
        </is>
      </c>
      <c r="C38" s="10" t="inlineStr">
        <is>
          <t xml:space="preserve">Gestión Administrativa </t>
        </is>
      </c>
      <c r="D38" s="10" t="inlineStr">
        <is>
          <t>GAD</t>
        </is>
      </c>
      <c r="E38" s="10" t="inlineStr">
        <is>
          <t>Administración de Vehículos</t>
        </is>
      </c>
      <c r="F38" s="10" t="inlineStr">
        <is>
          <t>-</t>
        </is>
      </c>
      <c r="G38" s="10" t="inlineStr">
        <is>
          <t xml:space="preserve">Solicitud de vehículo </t>
        </is>
      </c>
      <c r="H38" s="10" t="inlineStr">
        <is>
          <t>Formulario de uso de vehículo/Análisis de unidades de transporte / Reporte vehicular Hunter</t>
        </is>
      </c>
      <c r="I38" s="10" t="inlineStr">
        <is>
          <t>Formulario enviado vía correo electrónico donde se detalla placa marca modelo color matrícula, Reporte vehicular Hunter, telepass, detalle de multas y puntos de licencia del conductor asignado</t>
        </is>
      </c>
      <c r="J38" s="10" t="inlineStr">
        <is>
          <t>Jefe Administrativo</t>
        </is>
      </c>
      <c r="K38" s="10" t="inlineStr">
        <is>
          <t>Asistente administrativo</t>
        </is>
      </c>
      <c r="L38" s="10" t="inlineStr">
        <is>
          <t>UBICACIÓN DIGITAL-EQUIPO DEL CUSTODIO</t>
        </is>
      </c>
      <c r="M38" s="10" t="inlineStr">
        <is>
          <t>DISCOS DUROS, SERVIDORES, DISCOS O MEDIOS PORTÁTILES, CINTAS O MEDIOS DE VIDEO Y AUDIO, ETC.</t>
        </is>
      </c>
      <c r="N38" s="10" t="inlineStr">
        <is>
          <t>PRIMARIOS</t>
        </is>
      </c>
      <c r="O38" s="10" t="inlineStr">
        <is>
          <t>DOCUMENTOS TÉCNICOS</t>
        </is>
      </c>
      <c r="P38" s="10" t="inlineStr">
        <is>
          <t>USO INTERNO(2)</t>
        </is>
      </c>
      <c r="Q38" s="10" t="inlineStr">
        <is>
          <t>BAJA(1)</t>
        </is>
      </c>
      <c r="R38" s="10" t="inlineStr">
        <is>
          <t>BAJA(1)</t>
        </is>
      </c>
      <c r="S38" s="10">
        <f>+(IF(P38="PUBLICA(1)",1,IF(P38="USO INTERNO(2)",2,IF(P38="RESTRINGIDO(3)",3,3))))+(IF(Q38="BAJA(1)",1,IF(Q38="MEDIA(2)",2,IF(Q38="ALTA(3)",3,3))))+(IF(R38="BAJA(1)",1,IF(R38="MEDIA(2)",2,IF(R38="ALTA(3)",3,3))))</f>
        <v/>
      </c>
      <c r="T38" s="10">
        <f>+IF(S38&lt;6,"BAJA",IF(S38&lt;8,"MEDIA","ALTA"))</f>
        <v/>
      </c>
      <c r="U38" s="10" t="inlineStr">
        <is>
          <t>-</t>
        </is>
      </c>
      <c r="V38" s="24" t="n">
        <v>45680</v>
      </c>
      <c r="W38" s="19" t="inlineStr">
        <is>
          <t>N/A</t>
        </is>
      </c>
      <c r="X38" s="10">
        <f>+IFERROR(IF(VLOOKUP(Tabla2[[#This Row],[ID]],'EVALUACION DE RIESGO'!A:A,1,FALSE)=Tabla2[[#This Row],[ID]],"SI","NO"),"NO")</f>
        <v/>
      </c>
    </row>
    <row r="39">
      <c r="A39" s="91" t="inlineStr">
        <is>
          <t>37-GAD</t>
        </is>
      </c>
      <c r="B39" s="10" t="inlineStr">
        <is>
          <t>APOYO</t>
        </is>
      </c>
      <c r="C39" s="10" t="inlineStr">
        <is>
          <t xml:space="preserve">Gestión Administrativa </t>
        </is>
      </c>
      <c r="D39" s="10" t="inlineStr">
        <is>
          <t>GAD</t>
        </is>
      </c>
      <c r="E39" s="10" t="inlineStr">
        <is>
          <t>Administración de Vehículos</t>
        </is>
      </c>
      <c r="F39" s="10" t="inlineStr">
        <is>
          <t>-</t>
        </is>
      </c>
      <c r="G39" s="10" t="inlineStr">
        <is>
          <t>Uso de transporte externo</t>
        </is>
      </c>
      <c r="H39" s="10" t="inlineStr">
        <is>
          <t>Solicitud de adquisiciones</t>
        </is>
      </c>
      <c r="I39" s="10" t="inlineStr">
        <is>
          <t>Correo de solicitud donde se detalla la actividad a realizar</t>
        </is>
      </c>
      <c r="J39" s="10" t="inlineStr">
        <is>
          <t>Jefe Administrativo</t>
        </is>
      </c>
      <c r="K39" s="10" t="inlineStr">
        <is>
          <t>Asistente administrativo</t>
        </is>
      </c>
      <c r="L39" s="10" t="inlineStr">
        <is>
          <t>UBICACIÓN DIGITAL-EQUIPO DEL CUSTODIO</t>
        </is>
      </c>
      <c r="M39" s="10" t="inlineStr">
        <is>
          <t>DISCOS DUROS, SERVIDORES, DISCOS O MEDIOS PORTÁTILES, CINTAS O MEDIOS DE VIDEO Y AUDIO, ETC.</t>
        </is>
      </c>
      <c r="N39" s="10" t="inlineStr">
        <is>
          <t>PRIMARIOS</t>
        </is>
      </c>
      <c r="O39" s="10" t="inlineStr">
        <is>
          <t>DOCUMENTOS HABILITANTES</t>
        </is>
      </c>
      <c r="P39" s="10" t="inlineStr">
        <is>
          <t>USO INTERNO(2)</t>
        </is>
      </c>
      <c r="Q39" s="10" t="inlineStr">
        <is>
          <t>BAJA(1)</t>
        </is>
      </c>
      <c r="R39" s="10" t="inlineStr">
        <is>
          <t>BAJA(1)</t>
        </is>
      </c>
      <c r="S39" s="10">
        <f>+(IF(P39="PUBLICA(1)",1,IF(P39="USO INTERNO(2)",2,IF(P39="RESTRINGIDO(3)",3,3))))+(IF(Q39="BAJA(1)",1,IF(Q39="MEDIA(2)",2,IF(Q39="ALTA(3)",3,3))))+(IF(R39="BAJA(1)",1,IF(R39="MEDIA(2)",2,IF(R39="ALTA(3)",3,3))))</f>
        <v/>
      </c>
      <c r="T39" s="10">
        <f>+IF(S39&lt;6,"BAJA",IF(S39&lt;8,"MEDIA","ALTA"))</f>
        <v/>
      </c>
      <c r="U39" s="10" t="inlineStr">
        <is>
          <t>-</t>
        </is>
      </c>
      <c r="V39" s="24" t="n">
        <v>45680</v>
      </c>
      <c r="W39" s="19" t="inlineStr">
        <is>
          <t>N/A</t>
        </is>
      </c>
      <c r="X39" s="10">
        <f>+IFERROR(IF(VLOOKUP(Tabla2[[#This Row],[ID]],'EVALUACION DE RIESGO'!A:A,1,FALSE)=Tabla2[[#This Row],[ID]],"SI","NO"),"NO")</f>
        <v/>
      </c>
    </row>
    <row r="40">
      <c r="A40" s="91" t="inlineStr">
        <is>
          <t>38-GAD</t>
        </is>
      </c>
      <c r="B40" s="10" t="inlineStr">
        <is>
          <t>APOYO</t>
        </is>
      </c>
      <c r="C40" s="10" t="inlineStr">
        <is>
          <t xml:space="preserve">Gestión Administrativa </t>
        </is>
      </c>
      <c r="D40" s="10" t="inlineStr">
        <is>
          <t>GAD</t>
        </is>
      </c>
      <c r="E40" s="10" t="inlineStr">
        <is>
          <t>Administración de Vehículos</t>
        </is>
      </c>
      <c r="F40" s="10" t="inlineStr">
        <is>
          <t>-</t>
        </is>
      </c>
      <c r="G40" s="10" t="inlineStr">
        <is>
          <t>Uso de transporte externo</t>
        </is>
      </c>
      <c r="H40" s="10" t="inlineStr">
        <is>
          <t>Autorización para uso de transporte</t>
        </is>
      </c>
      <c r="I40" s="10" t="inlineStr">
        <is>
          <t xml:space="preserve">Correo de aceptación enviado por correo electrónico por parte del área administrativa </t>
        </is>
      </c>
      <c r="J40" s="10" t="inlineStr">
        <is>
          <t>Jefe Administrativo</t>
        </is>
      </c>
      <c r="K40" s="10" t="inlineStr">
        <is>
          <t>Asistente administrativo</t>
        </is>
      </c>
      <c r="L40" s="10" t="inlineStr">
        <is>
          <t>UBICACIÓN DIGITAL-EQUIPO DEL CUSTODIO</t>
        </is>
      </c>
      <c r="M40" s="10" t="inlineStr">
        <is>
          <t>DISCOS DUROS, SERVIDORES, DISCOS O MEDIOS PORTÁTILES, CINTAS O MEDIOS DE VIDEO Y AUDIO, ETC.</t>
        </is>
      </c>
      <c r="N40" s="10" t="inlineStr">
        <is>
          <t>PRIMARIOS</t>
        </is>
      </c>
      <c r="O40" s="10" t="inlineStr">
        <is>
          <t>DOCUMENTOS HABILITANTES</t>
        </is>
      </c>
      <c r="P40" s="10" t="inlineStr">
        <is>
          <t>USO INTERNO(2)</t>
        </is>
      </c>
      <c r="Q40" s="10" t="inlineStr">
        <is>
          <t>BAJA(1)</t>
        </is>
      </c>
      <c r="R40" s="10" t="inlineStr">
        <is>
          <t>BAJA(1)</t>
        </is>
      </c>
      <c r="S40" s="10">
        <f>+(IF(P40="PUBLICA(1)",1,IF(P40="USO INTERNO(2)",2,IF(P40="RESTRINGIDO(3)",3,3))))+(IF(Q40="BAJA(1)",1,IF(Q40="MEDIA(2)",2,IF(Q40="ALTA(3)",3,3))))+(IF(R40="BAJA(1)",1,IF(R40="MEDIA(2)",2,IF(R40="ALTA(3)",3,3))))</f>
        <v/>
      </c>
      <c r="T40" s="10">
        <f>+IF(S40&lt;6,"BAJA",IF(S40&lt;8,"MEDIA","ALTA"))</f>
        <v/>
      </c>
      <c r="U40" s="10" t="inlineStr">
        <is>
          <t>-</t>
        </is>
      </c>
      <c r="V40" s="24" t="n">
        <v>45680</v>
      </c>
      <c r="W40" s="19" t="inlineStr">
        <is>
          <t>N/A</t>
        </is>
      </c>
      <c r="X40" s="10">
        <f>+IFERROR(IF(VLOOKUP(Tabla2[[#This Row],[ID]],'EVALUACION DE RIESGO'!A:A,1,FALSE)=Tabla2[[#This Row],[ID]],"SI","NO"),"NO")</f>
        <v/>
      </c>
    </row>
    <row r="41">
      <c r="A41" s="91" t="inlineStr">
        <is>
          <t>39-GAD</t>
        </is>
      </c>
      <c r="B41" s="10" t="inlineStr">
        <is>
          <t>APOYO</t>
        </is>
      </c>
      <c r="C41" s="10" t="inlineStr">
        <is>
          <t xml:space="preserve">Gestión Administrativa </t>
        </is>
      </c>
      <c r="D41" s="10" t="inlineStr">
        <is>
          <t>GAD</t>
        </is>
      </c>
      <c r="E41" s="10" t="inlineStr">
        <is>
          <t>Administración de Vehículos</t>
        </is>
      </c>
      <c r="F41" s="10" t="inlineStr">
        <is>
          <t>-</t>
        </is>
      </c>
      <c r="G41" s="10" t="inlineStr">
        <is>
          <t>Uso de transporte externo</t>
        </is>
      </c>
      <c r="H41" s="10" t="inlineStr">
        <is>
          <t>Factura del transportista</t>
        </is>
      </c>
      <c r="I41" s="10" t="inlineStr">
        <is>
          <t>Facturas receptadas en el correo facturas@atuntaqui.fin.ec</t>
        </is>
      </c>
      <c r="J41" s="10" t="inlineStr">
        <is>
          <t>Jefe Administrativo</t>
        </is>
      </c>
      <c r="K41" s="10" t="inlineStr">
        <is>
          <t>Asistente administrativo</t>
        </is>
      </c>
      <c r="L41" s="10" t="inlineStr">
        <is>
          <t>DOCUMENTOS FISICOS-ARCHIVOS DE LA OFICINA</t>
        </is>
      </c>
      <c r="M41" s="10" t="inlineStr">
        <is>
          <t>DOCUMENTO DE ARCHIVO-FÍSICO</t>
        </is>
      </c>
      <c r="N41" s="10" t="inlineStr">
        <is>
          <t>PRIMARIOS</t>
        </is>
      </c>
      <c r="O41" s="10" t="inlineStr">
        <is>
          <t>DOCUMENTOS HABILITANTES</t>
        </is>
      </c>
      <c r="P41" s="10" t="inlineStr">
        <is>
          <t>USO INTERNO(2)</t>
        </is>
      </c>
      <c r="Q41" s="10" t="inlineStr">
        <is>
          <t>MEDIA(2)</t>
        </is>
      </c>
      <c r="R41" s="10" t="inlineStr">
        <is>
          <t>MEDIA(2)</t>
        </is>
      </c>
      <c r="S41" s="10">
        <f>+(IF(P41="PUBLICA(1)",1,IF(P41="USO INTERNO(2)",2,IF(P41="RESTRINGIDO(3)",3,3))))+(IF(Q41="BAJA(1)",1,IF(Q41="MEDIA(2)",2,IF(Q41="ALTA(3)",3,3))))+(IF(R41="BAJA(1)",1,IF(R41="MEDIA(2)",2,IF(R41="ALTA(3)",3,3))))</f>
        <v/>
      </c>
      <c r="T41" s="10">
        <f>+IF(S41&lt;6,"BAJA",IF(S41&lt;8,"MEDIA","ALTA"))</f>
        <v/>
      </c>
      <c r="U41" s="10" t="inlineStr">
        <is>
          <t>-</t>
        </is>
      </c>
      <c r="V41" s="24" t="n">
        <v>45680</v>
      </c>
      <c r="W41" s="19" t="inlineStr">
        <is>
          <t>N/A</t>
        </is>
      </c>
      <c r="X41" s="10">
        <f>+IFERROR(IF(VLOOKUP(Tabla2[[#This Row],[ID]],'EVALUACION DE RIESGO'!A:A,1,FALSE)=Tabla2[[#This Row],[ID]],"SI","NO"),"NO")</f>
        <v/>
      </c>
    </row>
    <row r="42">
      <c r="A42" s="91" t="inlineStr">
        <is>
          <t>40-GAD</t>
        </is>
      </c>
      <c r="B42" s="10" t="inlineStr">
        <is>
          <t>APOYO</t>
        </is>
      </c>
      <c r="C42" s="10" t="inlineStr">
        <is>
          <t xml:space="preserve">Gestión Administrativa </t>
        </is>
      </c>
      <c r="D42" s="10" t="inlineStr">
        <is>
          <t>GAD</t>
        </is>
      </c>
      <c r="E42" s="10" t="inlineStr">
        <is>
          <t>Administración de Vehículos</t>
        </is>
      </c>
      <c r="F42" s="10" t="inlineStr">
        <is>
          <t>-</t>
        </is>
      </c>
      <c r="G42" s="10" t="inlineStr">
        <is>
          <t>Control consumo de combustible</t>
        </is>
      </c>
      <c r="H42" s="10" t="inlineStr">
        <is>
          <t>Tickets para el abastecimiento de gasolina</t>
        </is>
      </c>
      <c r="I42" s="10" t="inlineStr">
        <is>
          <t xml:space="preserve"> Tickets de comprobación que contiene el numero de comprobante, fecha, código, cupo, cliente, información del vehículo, valores</t>
        </is>
      </c>
      <c r="J42" s="10" t="inlineStr">
        <is>
          <t>Jefe Administrativo</t>
        </is>
      </c>
      <c r="K42" s="10" t="inlineStr">
        <is>
          <t>Asistente administrativo</t>
        </is>
      </c>
      <c r="L42" s="10" t="inlineStr">
        <is>
          <t>DOCUMENTOS FISICOS-ARCHIVOS DE LA OFICINA</t>
        </is>
      </c>
      <c r="M42" s="10" t="inlineStr">
        <is>
          <t>DOCUMENTO DE ARCHIVO-FÍSICO</t>
        </is>
      </c>
      <c r="N42" s="10" t="inlineStr">
        <is>
          <t>PRIMARIOS</t>
        </is>
      </c>
      <c r="O42" s="10" t="inlineStr">
        <is>
          <t>DOCUMENTOS HABILITANTES</t>
        </is>
      </c>
      <c r="P42" s="10" t="inlineStr">
        <is>
          <t>USO INTERNO(2)</t>
        </is>
      </c>
      <c r="Q42" s="10" t="inlineStr">
        <is>
          <t>BAJA(1)</t>
        </is>
      </c>
      <c r="R42" s="10" t="inlineStr">
        <is>
          <t>BAJA(1)</t>
        </is>
      </c>
      <c r="S42" s="10">
        <f>+(IF(P42="PUBLICA(1)",1,IF(P42="USO INTERNO(2)",2,IF(P42="RESTRINGIDO(3)",3,3))))+(IF(Q42="BAJA(1)",1,IF(Q42="MEDIA(2)",2,IF(Q42="ALTA(3)",3,3))))+(IF(R42="BAJA(1)",1,IF(R42="MEDIA(2)",2,IF(R42="ALTA(3)",3,3))))</f>
        <v/>
      </c>
      <c r="T42" s="10">
        <f>+IF(S42&lt;6,"BAJA",IF(S42&lt;8,"MEDIA","ALTA"))</f>
        <v/>
      </c>
      <c r="U42" s="10" t="inlineStr">
        <is>
          <t>-</t>
        </is>
      </c>
      <c r="V42" s="24" t="n">
        <v>45680</v>
      </c>
      <c r="W42" s="19" t="inlineStr">
        <is>
          <t>N/A</t>
        </is>
      </c>
      <c r="X42" s="10">
        <f>+IFERROR(IF(VLOOKUP(Tabla2[[#This Row],[ID]],'EVALUACION DE RIESGO'!A:A,1,FALSE)=Tabla2[[#This Row],[ID]],"SI","NO"),"NO")</f>
        <v/>
      </c>
    </row>
    <row r="43">
      <c r="A43" s="91" t="inlineStr">
        <is>
          <t>41-GAD</t>
        </is>
      </c>
      <c r="B43" s="10" t="inlineStr">
        <is>
          <t>APOYO</t>
        </is>
      </c>
      <c r="C43" s="10" t="inlineStr">
        <is>
          <t xml:space="preserve">Gestión Administrativa </t>
        </is>
      </c>
      <c r="D43" s="10" t="inlineStr">
        <is>
          <t>GAD</t>
        </is>
      </c>
      <c r="E43" s="10" t="inlineStr">
        <is>
          <t>Administración de Vehículos</t>
        </is>
      </c>
      <c r="F43" s="10" t="inlineStr">
        <is>
          <t>-</t>
        </is>
      </c>
      <c r="G43" s="10" t="inlineStr">
        <is>
          <t>Control consumo de combustible</t>
        </is>
      </c>
      <c r="H43" s="10" t="inlineStr">
        <is>
          <t>Factura gasolinera</t>
        </is>
      </c>
      <c r="I43" s="10" t="inlineStr">
        <is>
          <t>Facturas receptadas en el correo facturas@atuntaqui.fin.ec, los físicos se receptan en oficina matriz</t>
        </is>
      </c>
      <c r="J43" s="10" t="inlineStr">
        <is>
          <t>Jefe Administrativo</t>
        </is>
      </c>
      <c r="K43" s="10" t="inlineStr">
        <is>
          <t>Asistente administrativo</t>
        </is>
      </c>
      <c r="L43" s="10" t="inlineStr">
        <is>
          <t>UBICACIÓN DIGITAL-EQUIPO DEL CUSTODIO</t>
        </is>
      </c>
      <c r="M43" s="10" t="inlineStr">
        <is>
          <t>DISCOS DUROS, SERVIDORES, DISCOS O MEDIOS PORTÁTILES, CINTAS O MEDIOS DE VIDEO Y AUDIO, ETC.</t>
        </is>
      </c>
      <c r="N43" s="10" t="inlineStr">
        <is>
          <t>PRIMARIOS</t>
        </is>
      </c>
      <c r="O43" s="10" t="inlineStr">
        <is>
          <t>DOCUMENTOS HABILITANTES</t>
        </is>
      </c>
      <c r="P43" s="10" t="inlineStr">
        <is>
          <t>USO INTERNO(2)</t>
        </is>
      </c>
      <c r="Q43" s="10" t="inlineStr">
        <is>
          <t>BAJA(1)</t>
        </is>
      </c>
      <c r="R43" s="10" t="inlineStr">
        <is>
          <t>BAJA(1)</t>
        </is>
      </c>
      <c r="S43" s="10">
        <f>+(IF(P43="PUBLICA(1)",1,IF(P43="USO INTERNO(2)",2,IF(P43="RESTRINGIDO(3)",3,3))))+(IF(Q43="BAJA(1)",1,IF(Q43="MEDIA(2)",2,IF(Q43="ALTA(3)",3,3))))+(IF(R43="BAJA(1)",1,IF(R43="MEDIA(2)",2,IF(R43="ALTA(3)",3,3))))</f>
        <v/>
      </c>
      <c r="T43" s="10">
        <f>+IF(S43&lt;6,"BAJA",IF(S43&lt;8,"MEDIA","ALTA"))</f>
        <v/>
      </c>
      <c r="U43" s="10" t="inlineStr">
        <is>
          <t>-</t>
        </is>
      </c>
      <c r="V43" s="24" t="n">
        <v>45680</v>
      </c>
      <c r="W43" s="19" t="inlineStr">
        <is>
          <t>N/A</t>
        </is>
      </c>
      <c r="X43" s="10">
        <f>+IFERROR(IF(VLOOKUP(Tabla2[[#This Row],[ID]],'EVALUACION DE RIESGO'!A:A,1,FALSE)=Tabla2[[#This Row],[ID]],"SI","NO"),"NO")</f>
        <v/>
      </c>
    </row>
    <row r="44">
      <c r="A44" s="91" t="inlineStr">
        <is>
          <t>42-GAD</t>
        </is>
      </c>
      <c r="B44" s="10" t="inlineStr">
        <is>
          <t>APOYO</t>
        </is>
      </c>
      <c r="C44" s="10" t="inlineStr">
        <is>
          <t xml:space="preserve">Gestión Administrativa </t>
        </is>
      </c>
      <c r="D44" s="10" t="inlineStr">
        <is>
          <t>GAD</t>
        </is>
      </c>
      <c r="E44" s="10" t="inlineStr">
        <is>
          <t>Administración de Vehículos</t>
        </is>
      </c>
      <c r="F44" s="10" t="inlineStr">
        <is>
          <t>-</t>
        </is>
      </c>
      <c r="G44" s="10" t="inlineStr">
        <is>
          <t>Control consumo de combustible</t>
        </is>
      </c>
      <c r="H44" s="10" t="inlineStr">
        <is>
          <t>Reporte de consumo de combustible</t>
        </is>
      </c>
      <c r="I44" s="10" t="inlineStr">
        <is>
          <t xml:space="preserve">Matriz de consumo de vehículos, tabla de consumo física del proveedor </t>
        </is>
      </c>
      <c r="J44" s="10" t="inlineStr">
        <is>
          <t>Jefe Administrativo</t>
        </is>
      </c>
      <c r="K44" s="10" t="inlineStr">
        <is>
          <t>Asistente administrativo</t>
        </is>
      </c>
      <c r="L44" s="10" t="inlineStr">
        <is>
          <t>DOCUMENTOS FISICOS-ARCHIVOS DE LA OFICINA</t>
        </is>
      </c>
      <c r="M44" s="10" t="inlineStr">
        <is>
          <t>DOCUMENTO DE ARCHIVO-FÍSICO</t>
        </is>
      </c>
      <c r="N44" s="10" t="inlineStr">
        <is>
          <t>PRIMARIOS</t>
        </is>
      </c>
      <c r="O44" s="10" t="inlineStr">
        <is>
          <t>COMUNICACIÓN INTERNA</t>
        </is>
      </c>
      <c r="P44" s="10" t="inlineStr">
        <is>
          <t>USO INTERNO(2)</t>
        </is>
      </c>
      <c r="Q44" s="10" t="inlineStr">
        <is>
          <t>BAJA(1)</t>
        </is>
      </c>
      <c r="R44" s="10" t="inlineStr">
        <is>
          <t>BAJA(1)</t>
        </is>
      </c>
      <c r="S44" s="10">
        <f>+(IF(P44="PUBLICA(1)",1,IF(P44="USO INTERNO(2)",2,IF(P44="RESTRINGIDO(3)",3,3))))+(IF(Q44="BAJA(1)",1,IF(Q44="MEDIA(2)",2,IF(Q44="ALTA(3)",3,3))))+(IF(R44="BAJA(1)",1,IF(R44="MEDIA(2)",2,IF(R44="ALTA(3)",3,3))))</f>
        <v/>
      </c>
      <c r="T44" s="10">
        <f>+IF(S44&lt;6,"BAJA",IF(S44&lt;8,"MEDIA","ALTA"))</f>
        <v/>
      </c>
      <c r="U44" s="10" t="inlineStr">
        <is>
          <t>-</t>
        </is>
      </c>
      <c r="V44" s="24" t="n">
        <v>45680</v>
      </c>
      <c r="W44" s="19" t="inlineStr">
        <is>
          <t>N/A</t>
        </is>
      </c>
      <c r="X44" s="10">
        <f>+IFERROR(IF(VLOOKUP(Tabla2[[#This Row],[ID]],'EVALUACION DE RIESGO'!A:A,1,FALSE)=Tabla2[[#This Row],[ID]],"SI","NO"),"NO")</f>
        <v/>
      </c>
    </row>
    <row r="45">
      <c r="A45" s="91" t="inlineStr">
        <is>
          <t>43-GAD</t>
        </is>
      </c>
      <c r="B45" s="10" t="inlineStr">
        <is>
          <t>APOYO</t>
        </is>
      </c>
      <c r="C45" s="10" t="inlineStr">
        <is>
          <t xml:space="preserve">Gestión Administrativa </t>
        </is>
      </c>
      <c r="D45" s="10" t="inlineStr">
        <is>
          <t>GAD</t>
        </is>
      </c>
      <c r="E45" s="10" t="inlineStr">
        <is>
          <t>Administración de Vehículos</t>
        </is>
      </c>
      <c r="F45" s="10" t="inlineStr">
        <is>
          <t>-</t>
        </is>
      </c>
      <c r="G45" s="10" t="inlineStr">
        <is>
          <t xml:space="preserve">Mantenimiento preventivo de vehículos </t>
        </is>
      </c>
      <c r="H45" s="10" t="inlineStr">
        <is>
          <t>Plan anual de mantenimiento preventivo vehicular</t>
        </is>
      </c>
      <c r="I45" s="10" t="inlineStr">
        <is>
          <t>Plan de mantenimiento anual cargado en el sistema de adquisiciones Sara donde se detalla el valor asignado para cada mes.</t>
        </is>
      </c>
      <c r="J45" s="10" t="inlineStr">
        <is>
          <t>Jefe Administrativo</t>
        </is>
      </c>
      <c r="K45" s="10" t="inlineStr">
        <is>
          <t>Asistente administrativo</t>
        </is>
      </c>
      <c r="L45" s="10" t="inlineStr">
        <is>
          <t>UBICACIÓN DIGITAL-EQUIPO DEL CUSTODIO</t>
        </is>
      </c>
      <c r="M45" s="10" t="inlineStr">
        <is>
          <t>DISCOS DUROS, SERVIDORES, DISCOS O MEDIOS PORTÁTILES, CINTAS O MEDIOS DE VIDEO Y AUDIO, ETC.</t>
        </is>
      </c>
      <c r="N45" s="10" t="inlineStr">
        <is>
          <t>PRIMARIOS</t>
        </is>
      </c>
      <c r="O45" s="10" t="inlineStr">
        <is>
          <t>DOCUMENTOS TÉCNICOS</t>
        </is>
      </c>
      <c r="P45" s="10" t="inlineStr">
        <is>
          <t>USO INTERNO(2)</t>
        </is>
      </c>
      <c r="Q45" s="10" t="inlineStr">
        <is>
          <t>BAJA(1)</t>
        </is>
      </c>
      <c r="R45" s="10" t="inlineStr">
        <is>
          <t>BAJA(1)</t>
        </is>
      </c>
      <c r="S45" s="10">
        <f>+(IF(P45="PUBLICA(1)",1,IF(P45="USO INTERNO(2)",2,IF(P45="RESTRINGIDO(3)",3,3))))+(IF(Q45="BAJA(1)",1,IF(Q45="MEDIA(2)",2,IF(Q45="ALTA(3)",3,3))))+(IF(R45="BAJA(1)",1,IF(R45="MEDIA(2)",2,IF(R45="ALTA(3)",3,3))))</f>
        <v/>
      </c>
      <c r="T45" s="10">
        <f>+IF(S45&lt;6,"BAJA",IF(S45&lt;8,"MEDIA","ALTA"))</f>
        <v/>
      </c>
      <c r="U45" s="10" t="inlineStr">
        <is>
          <t>-</t>
        </is>
      </c>
      <c r="V45" s="24" t="n">
        <v>45680</v>
      </c>
      <c r="W45" s="19" t="inlineStr">
        <is>
          <t>N/A</t>
        </is>
      </c>
      <c r="X45" s="10">
        <f>+IFERROR(IF(VLOOKUP(Tabla2[[#This Row],[ID]],'EVALUACION DE RIESGO'!A:A,1,FALSE)=Tabla2[[#This Row],[ID]],"SI","NO"),"NO")</f>
        <v/>
      </c>
    </row>
    <row r="46">
      <c r="A46" s="91" t="inlineStr">
        <is>
          <t>44-GAD</t>
        </is>
      </c>
      <c r="B46" s="10" t="inlineStr">
        <is>
          <t>APOYO</t>
        </is>
      </c>
      <c r="C46" s="10" t="inlineStr">
        <is>
          <t xml:space="preserve">Gestión Administrativa </t>
        </is>
      </c>
      <c r="D46" s="10" t="inlineStr">
        <is>
          <t>GAD</t>
        </is>
      </c>
      <c r="E46" s="10" t="inlineStr">
        <is>
          <t>Administración de Vehículos</t>
        </is>
      </c>
      <c r="F46" s="10" t="inlineStr">
        <is>
          <t>-</t>
        </is>
      </c>
      <c r="G46" s="10" t="inlineStr">
        <is>
          <t xml:space="preserve">Mantenimiento preventivo/correctivo de vehículos </t>
        </is>
      </c>
      <c r="H46" s="10" t="inlineStr">
        <is>
          <t>Solicitud de adquisiciones y contratación</t>
        </is>
      </c>
      <c r="I46" s="10" t="inlineStr">
        <is>
          <t>Solicitud enviada por correo electrónico donde se detalla el vehículo y la necesidad</t>
        </is>
      </c>
      <c r="J46" s="10" t="inlineStr">
        <is>
          <t>Jefe Administrativo</t>
        </is>
      </c>
      <c r="K46" s="10" t="inlineStr">
        <is>
          <t>Asistente administrativo</t>
        </is>
      </c>
      <c r="L46" s="10" t="inlineStr">
        <is>
          <t>UBICACIÓN DIGITAL-EQUIPO DEL CUSTODIO</t>
        </is>
      </c>
      <c r="M46" s="10" t="inlineStr">
        <is>
          <t>DISCOS DUROS, SERVIDORES, DISCOS O MEDIOS PORTÁTILES, CINTAS O MEDIOS DE VIDEO Y AUDIO, ETC.</t>
        </is>
      </c>
      <c r="N46" s="10" t="inlineStr">
        <is>
          <t>PRIMARIOS</t>
        </is>
      </c>
      <c r="O46" s="10" t="inlineStr">
        <is>
          <t>DOCUMENTOS HABILITANTES</t>
        </is>
      </c>
      <c r="P46" s="10" t="inlineStr">
        <is>
          <t>USO INTERNO(2)</t>
        </is>
      </c>
      <c r="Q46" s="10" t="inlineStr">
        <is>
          <t>MEDIA(2)</t>
        </is>
      </c>
      <c r="R46" s="10" t="inlineStr">
        <is>
          <t>BAJA(1)</t>
        </is>
      </c>
      <c r="S46" s="10">
        <f>+(IF(P46="PUBLICA(1)",1,IF(P46="USO INTERNO(2)",2,IF(P46="RESTRINGIDO(3)",3,3))))+(IF(Q46="BAJA(1)",1,IF(Q46="MEDIA(2)",2,IF(Q46="ALTA(3)",3,3))))+(IF(R46="BAJA(1)",1,IF(R46="MEDIA(2)",2,IF(R46="ALTA(3)",3,3))))</f>
        <v/>
      </c>
      <c r="T46" s="10">
        <f>+IF(S46&lt;6,"BAJA",IF(S46&lt;8,"MEDIA","ALTA"))</f>
        <v/>
      </c>
      <c r="U46" s="10" t="inlineStr">
        <is>
          <t>-</t>
        </is>
      </c>
      <c r="V46" s="24" t="n">
        <v>45680</v>
      </c>
      <c r="W46" s="19" t="inlineStr">
        <is>
          <t>N/A</t>
        </is>
      </c>
      <c r="X46" s="10">
        <f>+IFERROR(IF(VLOOKUP(Tabla2[[#This Row],[ID]],'EVALUACION DE RIESGO'!A:A,1,FALSE)=Tabla2[[#This Row],[ID]],"SI","NO"),"NO")</f>
        <v/>
      </c>
    </row>
    <row r="47">
      <c r="A47" s="91" t="inlineStr">
        <is>
          <t>45-GAD</t>
        </is>
      </c>
      <c r="B47" s="10" t="inlineStr">
        <is>
          <t>APOYO</t>
        </is>
      </c>
      <c r="C47" s="10" t="inlineStr">
        <is>
          <t xml:space="preserve">Gestión Administrativa </t>
        </is>
      </c>
      <c r="D47" s="10" t="inlineStr">
        <is>
          <t>GAD</t>
        </is>
      </c>
      <c r="E47" s="10" t="inlineStr">
        <is>
          <t>Administración de Vehículos</t>
        </is>
      </c>
      <c r="F47" s="10" t="inlineStr">
        <is>
          <t>-</t>
        </is>
      </c>
      <c r="G47" s="10" t="inlineStr">
        <is>
          <t xml:space="preserve">Mantenimiento preventivo/correctivo de vehículos </t>
        </is>
      </c>
      <c r="H47" s="10" t="inlineStr">
        <is>
          <t>Factura del servicio</t>
        </is>
      </c>
      <c r="I47" s="10" t="inlineStr">
        <is>
          <t>Facturas receptadas en el correo facturas@atuntaqui.fin.ec enviadas por el proveedor</t>
        </is>
      </c>
      <c r="J47" s="10" t="inlineStr">
        <is>
          <t>Jefe Administrativo</t>
        </is>
      </c>
      <c r="K47" s="10" t="inlineStr">
        <is>
          <t>Asistente administrativo</t>
        </is>
      </c>
      <c r="L47" s="10" t="inlineStr">
        <is>
          <t>UBICACIÓN DIGITAL-EQUIPO DEL CUSTODIO</t>
        </is>
      </c>
      <c r="M47" s="10" t="inlineStr">
        <is>
          <t>DISCOS DUROS, SERVIDORES, DISCOS O MEDIOS PORTÁTILES, CINTAS O MEDIOS DE VIDEO Y AUDIO, ETC.</t>
        </is>
      </c>
      <c r="N47" s="10" t="inlineStr">
        <is>
          <t>PRIMARIOS</t>
        </is>
      </c>
      <c r="O47" s="10" t="inlineStr">
        <is>
          <t>DOCUMENTOS HABILITANTES</t>
        </is>
      </c>
      <c r="P47" s="10" t="inlineStr">
        <is>
          <t>USO INTERNO(2)</t>
        </is>
      </c>
      <c r="Q47" s="10" t="inlineStr">
        <is>
          <t>BAJA(1)</t>
        </is>
      </c>
      <c r="R47" s="10" t="inlineStr">
        <is>
          <t>BAJA(1)</t>
        </is>
      </c>
      <c r="S47" s="10">
        <f>+(IF(P47="PUBLICA(1)",1,IF(P47="USO INTERNO(2)",2,IF(P47="RESTRINGIDO(3)",3,3))))+(IF(Q47="BAJA(1)",1,IF(Q47="MEDIA(2)",2,IF(Q47="ALTA(3)",3,3))))+(IF(R47="BAJA(1)",1,IF(R47="MEDIA(2)",2,IF(R47="ALTA(3)",3,3))))</f>
        <v/>
      </c>
      <c r="T47" s="10">
        <f>+IF(S47&lt;6,"BAJA",IF(S47&lt;8,"MEDIA","ALTA"))</f>
        <v/>
      </c>
      <c r="U47" s="10" t="inlineStr">
        <is>
          <t>-</t>
        </is>
      </c>
      <c r="V47" s="24" t="n">
        <v>45680</v>
      </c>
      <c r="W47" s="19" t="inlineStr">
        <is>
          <t>N/A</t>
        </is>
      </c>
      <c r="X47" s="10">
        <f>+IFERROR(IF(VLOOKUP(Tabla2[[#This Row],[ID]],'EVALUACION DE RIESGO'!A:A,1,FALSE)=Tabla2[[#This Row],[ID]],"SI","NO"),"NO")</f>
        <v/>
      </c>
    </row>
    <row r="48">
      <c r="A48" s="91" t="inlineStr">
        <is>
          <t>46-GAD</t>
        </is>
      </c>
      <c r="B48" s="10" t="inlineStr">
        <is>
          <t>APOYO</t>
        </is>
      </c>
      <c r="C48" s="10" t="inlineStr">
        <is>
          <t xml:space="preserve">Gestión Administrativa </t>
        </is>
      </c>
      <c r="D48" s="10" t="inlineStr">
        <is>
          <t>GAD</t>
        </is>
      </c>
      <c r="E48" s="10" t="inlineStr">
        <is>
          <t>Administración de Vehículos</t>
        </is>
      </c>
      <c r="F48" s="10" t="inlineStr">
        <is>
          <t>-</t>
        </is>
      </c>
      <c r="G48" s="10" t="inlineStr">
        <is>
          <t xml:space="preserve">Mantenimiento preventivo de vehículos </t>
        </is>
      </c>
      <c r="H48" s="10" t="inlineStr">
        <is>
          <t>Historial de recorrido vehicular/Historial de vida vehicular</t>
        </is>
      </c>
      <c r="I48" s="10" t="inlineStr">
        <is>
          <t>Formato digital donde se detalla el vehículo, consumo, estado del mantenimiento</t>
        </is>
      </c>
      <c r="J48" s="10" t="inlineStr">
        <is>
          <t>Jefe Administrativo</t>
        </is>
      </c>
      <c r="K48" s="10" t="inlineStr">
        <is>
          <t>Asistente administrativo</t>
        </is>
      </c>
      <c r="L48" s="10" t="inlineStr">
        <is>
          <t>UBICACIÓN DIGITAL-EQUIPO DEL CUSTODIO</t>
        </is>
      </c>
      <c r="M48" s="10" t="inlineStr">
        <is>
          <t>DISCOS DUROS, SERVIDORES, DISCOS O MEDIOS PORTÁTILES, CINTAS O MEDIOS DE VIDEO Y AUDIO, ETC.</t>
        </is>
      </c>
      <c r="N48" s="10" t="inlineStr">
        <is>
          <t>PRIMARIOS</t>
        </is>
      </c>
      <c r="O48" s="10" t="inlineStr">
        <is>
          <t>DOCUMENTOS TÉCNICOS</t>
        </is>
      </c>
      <c r="P48" s="10" t="inlineStr">
        <is>
          <t>USO INTERNO(2)</t>
        </is>
      </c>
      <c r="Q48" s="10" t="inlineStr">
        <is>
          <t>BAJA(1)</t>
        </is>
      </c>
      <c r="R48" s="10" t="inlineStr">
        <is>
          <t>BAJA(1)</t>
        </is>
      </c>
      <c r="S48" s="10">
        <f>+(IF(P48="PUBLICA(1)",1,IF(P48="USO INTERNO(2)",2,IF(P48="RESTRINGIDO(3)",3,3))))+(IF(Q48="BAJA(1)",1,IF(Q48="MEDIA(2)",2,IF(Q48="ALTA(3)",3,3))))+(IF(R48="BAJA(1)",1,IF(R48="MEDIA(2)",2,IF(R48="ALTA(3)",3,3))))</f>
        <v/>
      </c>
      <c r="T48" s="10">
        <f>+IF(S48&lt;6,"BAJA",IF(S48&lt;8,"MEDIA","ALTA"))</f>
        <v/>
      </c>
      <c r="U48" s="10" t="inlineStr">
        <is>
          <t>-</t>
        </is>
      </c>
      <c r="V48" s="24" t="n">
        <v>45680</v>
      </c>
      <c r="W48" s="19" t="inlineStr">
        <is>
          <t>N/A</t>
        </is>
      </c>
      <c r="X48" s="10">
        <f>+IFERROR(IF(VLOOKUP(Tabla2[[#This Row],[ID]],'EVALUACION DE RIESGO'!A:A,1,FALSE)=Tabla2[[#This Row],[ID]],"SI","NO"),"NO")</f>
        <v/>
      </c>
    </row>
    <row r="49">
      <c r="A49" s="91" t="inlineStr">
        <is>
          <t>47-GAD</t>
        </is>
      </c>
      <c r="B49" s="10" t="inlineStr">
        <is>
          <t>APOYO</t>
        </is>
      </c>
      <c r="C49" s="10" t="inlineStr">
        <is>
          <t xml:space="preserve">Gestión Administrativa </t>
        </is>
      </c>
      <c r="D49" s="10" t="inlineStr">
        <is>
          <t>GAD</t>
        </is>
      </c>
      <c r="E49" s="10" t="inlineStr">
        <is>
          <t>Administración de Vehículos</t>
        </is>
      </c>
      <c r="F49" s="10" t="inlineStr">
        <is>
          <t>-</t>
        </is>
      </c>
      <c r="G49" s="10" t="inlineStr">
        <is>
          <t xml:space="preserve">Trámites por accidentes de tránsito </t>
        </is>
      </c>
      <c r="H49" s="10" t="inlineStr">
        <is>
          <t>Informe estado del vehículo</t>
        </is>
      </c>
      <c r="I49" s="10" t="inlineStr">
        <is>
          <t>Detalle del incidente enviado por correo electrónico donde se indica el suceso y la gestión realizada</t>
        </is>
      </c>
      <c r="J49" s="10" t="inlineStr">
        <is>
          <t>Jefe Administrativo</t>
        </is>
      </c>
      <c r="K49" s="10" t="inlineStr">
        <is>
          <t>Asistente administrativo</t>
        </is>
      </c>
      <c r="L49" s="10" t="inlineStr">
        <is>
          <t>UBICACIÓN DIGITAL-EQUIPO DEL CUSTODIO</t>
        </is>
      </c>
      <c r="M49" s="10" t="inlineStr">
        <is>
          <t>DISCOS DUROS, SERVIDORES, DISCOS O MEDIOS PORTÁTILES, CINTAS O MEDIOS DE VIDEO Y AUDIO, ETC.</t>
        </is>
      </c>
      <c r="N49" s="10" t="inlineStr">
        <is>
          <t>PRIMARIOS</t>
        </is>
      </c>
      <c r="O49" s="10" t="inlineStr">
        <is>
          <t>DOCUMENTOS TÉCNICOS</t>
        </is>
      </c>
      <c r="P49" s="10" t="inlineStr">
        <is>
          <t>PUBLICA(1)</t>
        </is>
      </c>
      <c r="Q49" s="10" t="inlineStr">
        <is>
          <t>BAJA(1)</t>
        </is>
      </c>
      <c r="R49" s="10" t="inlineStr">
        <is>
          <t>BAJA(1)</t>
        </is>
      </c>
      <c r="S49" s="10">
        <f>+(IF(P49="PUBLICA(1)",1,IF(P49="USO INTERNO(2)",2,IF(P49="RESTRINGIDO(3)",3,3))))+(IF(Q49="BAJA(1)",1,IF(Q49="MEDIA(2)",2,IF(Q49="ALTA(3)",3,3))))+(IF(R49="BAJA(1)",1,IF(R49="MEDIA(2)",2,IF(R49="ALTA(3)",3,3))))</f>
        <v/>
      </c>
      <c r="T49" s="10">
        <f>+IF(S49&lt;6,"BAJA",IF(S49&lt;8,"MEDIA","ALTA"))</f>
        <v/>
      </c>
      <c r="U49" s="10" t="inlineStr">
        <is>
          <t>-</t>
        </is>
      </c>
      <c r="V49" s="24" t="n">
        <v>45680</v>
      </c>
      <c r="W49" s="19" t="inlineStr">
        <is>
          <t>N/A</t>
        </is>
      </c>
      <c r="X49" s="10">
        <f>+IFERROR(IF(VLOOKUP(Tabla2[[#This Row],[ID]],'EVALUACION DE RIESGO'!A:A,1,FALSE)=Tabla2[[#This Row],[ID]],"SI","NO"),"NO")</f>
        <v/>
      </c>
    </row>
    <row r="50">
      <c r="A50" s="91" t="inlineStr">
        <is>
          <t>48-GAD</t>
        </is>
      </c>
      <c r="B50" s="10" t="inlineStr">
        <is>
          <t>APOYO</t>
        </is>
      </c>
      <c r="C50" s="10" t="inlineStr">
        <is>
          <t xml:space="preserve">Gestión Administrativa </t>
        </is>
      </c>
      <c r="D50" s="10" t="inlineStr">
        <is>
          <t>GAD</t>
        </is>
      </c>
      <c r="E50" s="10" t="inlineStr">
        <is>
          <t>Administración de Vehículos</t>
        </is>
      </c>
      <c r="F50" s="10" t="inlineStr">
        <is>
          <t>-</t>
        </is>
      </c>
      <c r="G50" s="10" t="inlineStr">
        <is>
          <t xml:space="preserve">Asignación de Conductores o custodios de los vehículos </t>
        </is>
      </c>
      <c r="H50" s="10" t="inlineStr">
        <is>
          <t>Acta de entrega recepción</t>
        </is>
      </c>
      <c r="I50" s="10" t="inlineStr">
        <is>
          <t>Cada vehículo tiene un conductor asignado por cada vehículo, donde son asignados desde el sistema FIT y aceptados en el mismo sistema</t>
        </is>
      </c>
      <c r="J50" s="10" t="inlineStr">
        <is>
          <t>Jefe Administrativo</t>
        </is>
      </c>
      <c r="K50" s="10" t="inlineStr">
        <is>
          <t>Asistente administrativo</t>
        </is>
      </c>
      <c r="L50" s="10" t="inlineStr">
        <is>
          <t>UBICACIÓN DIGITAL-EQUIPO DEL CUSTODIO</t>
        </is>
      </c>
      <c r="M50" s="10" t="inlineStr">
        <is>
          <t>DISCOS DUROS, SERVIDORES, DISCOS O MEDIOS PORTÁTILES, CINTAS O MEDIOS DE VIDEO Y AUDIO, ETC.</t>
        </is>
      </c>
      <c r="N50" s="10" t="inlineStr">
        <is>
          <t>PRIMARIOS</t>
        </is>
      </c>
      <c r="O50" s="10" t="inlineStr">
        <is>
          <t>DOCUMENTOS HABILITANTES</t>
        </is>
      </c>
      <c r="P50" s="10" t="inlineStr">
        <is>
          <t>PUBLICA(1)</t>
        </is>
      </c>
      <c r="Q50" s="10" t="inlineStr">
        <is>
          <t>BAJA(1)</t>
        </is>
      </c>
      <c r="R50" s="10" t="inlineStr">
        <is>
          <t>BAJA(1)</t>
        </is>
      </c>
      <c r="S50" s="10">
        <f>+(IF(P50="PUBLICA(1)",1,IF(P50="USO INTERNO(2)",2,IF(P50="RESTRINGIDO(3)",3,3))))+(IF(Q50="BAJA(1)",1,IF(Q50="MEDIA(2)",2,IF(Q50="ALTA(3)",3,3))))+(IF(R50="BAJA(1)",1,IF(R50="MEDIA(2)",2,IF(R50="ALTA(3)",3,3))))</f>
        <v/>
      </c>
      <c r="T50" s="10">
        <f>+IF(S50&lt;6,"BAJA",IF(S50&lt;8,"MEDIA","ALTA"))</f>
        <v/>
      </c>
      <c r="U50" s="10" t="inlineStr">
        <is>
          <t>-</t>
        </is>
      </c>
      <c r="V50" s="24" t="n">
        <v>45680</v>
      </c>
      <c r="W50" s="19" t="inlineStr">
        <is>
          <t>N/A</t>
        </is>
      </c>
      <c r="X50" s="10">
        <f>+IFERROR(IF(VLOOKUP(Tabla2[[#This Row],[ID]],'EVALUACION DE RIESGO'!A:A,1,FALSE)=Tabla2[[#This Row],[ID]],"SI","NO"),"NO")</f>
        <v/>
      </c>
    </row>
    <row r="51">
      <c r="A51" s="91" t="inlineStr">
        <is>
          <t>49-GAD</t>
        </is>
      </c>
      <c r="B51" s="10" t="inlineStr">
        <is>
          <t>APOYO</t>
        </is>
      </c>
      <c r="C51" s="10" t="inlineStr">
        <is>
          <t xml:space="preserve">Gestión Administrativa </t>
        </is>
      </c>
      <c r="D51" s="10" t="inlineStr">
        <is>
          <t>GAD</t>
        </is>
      </c>
      <c r="E51" s="10" t="inlineStr">
        <is>
          <t>Gestión de Proveeduría</t>
        </is>
      </c>
      <c r="F51" s="10" t="inlineStr">
        <is>
          <t>-</t>
        </is>
      </c>
      <c r="G51" s="10" t="inlineStr">
        <is>
          <t xml:space="preserve">Solicitud de materiales y suministros	</t>
        </is>
      </c>
      <c r="H51" s="10" t="inlineStr">
        <is>
          <t>Solicitud de materiales y suministros / Solicitud de adquisiciones</t>
        </is>
      </c>
      <c r="I51" s="10" t="inlineStr">
        <is>
          <t>Requerimiento que se comparte por correo electrónico, donde se detalla el solicitante, área, oficina, fecha, detalle de cantidades, artículos</t>
        </is>
      </c>
      <c r="J51" s="10" t="inlineStr">
        <is>
          <t>Jefe Administrativo</t>
        </is>
      </c>
      <c r="K51" s="10" t="inlineStr">
        <is>
          <t>Asistente administrativo</t>
        </is>
      </c>
      <c r="L51" s="10" t="inlineStr">
        <is>
          <t>DOCUMENTOS FISICOS-ARCHIVOS DE LA OFICINA</t>
        </is>
      </c>
      <c r="M51" s="10" t="inlineStr">
        <is>
          <t>DOCUMENTO DE ARCHIVO-FÍSICO</t>
        </is>
      </c>
      <c r="N51" s="10" t="inlineStr">
        <is>
          <t>PRIMARIOS</t>
        </is>
      </c>
      <c r="O51" s="10" t="inlineStr">
        <is>
          <t>COMUNICACIÓN INTERNA</t>
        </is>
      </c>
      <c r="P51" s="10" t="inlineStr">
        <is>
          <t>PUBLICA(1)</t>
        </is>
      </c>
      <c r="Q51" s="10" t="inlineStr">
        <is>
          <t>BAJA(1)</t>
        </is>
      </c>
      <c r="R51" s="10" t="inlineStr">
        <is>
          <t>BAJA(1)</t>
        </is>
      </c>
      <c r="S51" s="10">
        <f>+(IF(P51="PUBLICA(1)",1,IF(P51="USO INTERNO(2)",2,IF(P51="RESTRINGIDO(3)",3,3))))+(IF(Q51="BAJA(1)",1,IF(Q51="MEDIA(2)",2,IF(Q51="ALTA(3)",3,3))))+(IF(R51="BAJA(1)",1,IF(R51="MEDIA(2)",2,IF(R51="ALTA(3)",3,3))))</f>
        <v/>
      </c>
      <c r="T51" s="10">
        <f>+IF(S51&lt;6,"BAJA",IF(S51&lt;8,"MEDIA","ALTA"))</f>
        <v/>
      </c>
      <c r="U51" s="10" t="inlineStr">
        <is>
          <t>-</t>
        </is>
      </c>
      <c r="V51" s="24" t="n">
        <v>45680</v>
      </c>
      <c r="W51" s="19" t="inlineStr">
        <is>
          <t>N/A</t>
        </is>
      </c>
      <c r="X51" s="10">
        <f>+IFERROR(IF(VLOOKUP(Tabla2[[#This Row],[ID]],'EVALUACION DE RIESGO'!A:A,1,FALSE)=Tabla2[[#This Row],[ID]],"SI","NO"),"NO")</f>
        <v/>
      </c>
    </row>
    <row r="52">
      <c r="A52" s="91" t="inlineStr">
        <is>
          <t>50-GAD</t>
        </is>
      </c>
      <c r="B52" s="10" t="inlineStr">
        <is>
          <t>APOYO</t>
        </is>
      </c>
      <c r="C52" s="10" t="inlineStr">
        <is>
          <t xml:space="preserve">Gestión Administrativa </t>
        </is>
      </c>
      <c r="D52" s="10" t="inlineStr">
        <is>
          <t>GAD</t>
        </is>
      </c>
      <c r="E52" s="10" t="inlineStr">
        <is>
          <t>Gestión de Proveeduría</t>
        </is>
      </c>
      <c r="F52" s="10" t="inlineStr">
        <is>
          <t>-</t>
        </is>
      </c>
      <c r="G52" s="10" t="inlineStr">
        <is>
          <t xml:space="preserve">Recepción de materiales y suministros	</t>
        </is>
      </c>
      <c r="H52" s="10" t="inlineStr">
        <is>
          <t>Factura/ Comprobante de compra</t>
        </is>
      </c>
      <c r="I52" s="10" t="inlineStr">
        <is>
          <t xml:space="preserve">Facturas de la adquisición </t>
        </is>
      </c>
      <c r="J52" s="10" t="inlineStr">
        <is>
          <t>Jefe Administrativo</t>
        </is>
      </c>
      <c r="K52" s="10" t="inlineStr">
        <is>
          <t>Asistente administrativo</t>
        </is>
      </c>
      <c r="L52" s="10" t="inlineStr">
        <is>
          <t>DOCUMENTOS FISICOS-ARCHIVOS DE LA OFICINA</t>
        </is>
      </c>
      <c r="M52" s="10" t="inlineStr">
        <is>
          <t>DOCUMENTO DE ARCHIVO-FÍSICO</t>
        </is>
      </c>
      <c r="N52" s="10" t="inlineStr">
        <is>
          <t>PRIMARIOS</t>
        </is>
      </c>
      <c r="O52" s="10" t="inlineStr">
        <is>
          <t>DOCUMENTOS HABILITANTES</t>
        </is>
      </c>
      <c r="P52" s="10" t="inlineStr">
        <is>
          <t>USO INTERNO(2)</t>
        </is>
      </c>
      <c r="Q52" s="10" t="inlineStr">
        <is>
          <t>MEDIA(2)</t>
        </is>
      </c>
      <c r="R52" s="10" t="inlineStr">
        <is>
          <t>MEDIA(2)</t>
        </is>
      </c>
      <c r="S52" s="10">
        <f>+(IF(P52="PUBLICA(1)",1,IF(P52="USO INTERNO(2)",2,IF(P52="RESTRINGIDO(3)",3,3))))+(IF(Q52="BAJA(1)",1,IF(Q52="MEDIA(2)",2,IF(Q52="ALTA(3)",3,3))))+(IF(R52="BAJA(1)",1,IF(R52="MEDIA(2)",2,IF(R52="ALTA(3)",3,3))))</f>
        <v/>
      </c>
      <c r="T52" s="10">
        <f>+IF(S52&lt;6,"BAJA",IF(S52&lt;8,"MEDIA","ALTA"))</f>
        <v/>
      </c>
      <c r="U52" s="10" t="inlineStr">
        <is>
          <t>-</t>
        </is>
      </c>
      <c r="V52" s="24" t="n">
        <v>45680</v>
      </c>
      <c r="W52" s="19" t="inlineStr">
        <is>
          <t>N/A</t>
        </is>
      </c>
      <c r="X52" s="10">
        <f>+IFERROR(IF(VLOOKUP(Tabla2[[#This Row],[ID]],'EVALUACION DE RIESGO'!A:A,1,FALSE)=Tabla2[[#This Row],[ID]],"SI","NO"),"NO")</f>
        <v/>
      </c>
    </row>
    <row r="53">
      <c r="A53" s="91" t="inlineStr">
        <is>
          <t>51-GAD</t>
        </is>
      </c>
      <c r="B53" s="10" t="inlineStr">
        <is>
          <t>APOYO</t>
        </is>
      </c>
      <c r="C53" s="10" t="inlineStr">
        <is>
          <t xml:space="preserve">Gestión Administrativa </t>
        </is>
      </c>
      <c r="D53" s="10" t="inlineStr">
        <is>
          <t>GAD</t>
        </is>
      </c>
      <c r="E53" s="10" t="inlineStr">
        <is>
          <t>Gestión de Proveeduría</t>
        </is>
      </c>
      <c r="F53" s="10" t="inlineStr">
        <is>
          <t>-</t>
        </is>
      </c>
      <c r="G53" s="10" t="inlineStr">
        <is>
          <t xml:space="preserve">Distribución de materiales y suministros	</t>
        </is>
      </c>
      <c r="H53" s="10" t="inlineStr">
        <is>
          <t>Reportes de requisición de materiales y suministros</t>
        </is>
      </c>
      <c r="I53" s="10" t="inlineStr">
        <is>
          <t>Registro en el sistema FIT</t>
        </is>
      </c>
      <c r="J53" s="10" t="inlineStr">
        <is>
          <t>Jefe Administrativo</t>
        </is>
      </c>
      <c r="K53" s="10" t="inlineStr">
        <is>
          <t>Asistente administrativo</t>
        </is>
      </c>
      <c r="L53" s="10" t="inlineStr">
        <is>
          <t>UBICACIÓN DIGITAL-CORE FINANCIERO</t>
        </is>
      </c>
      <c r="M53" s="10" t="inlineStr">
        <is>
          <t>SISTEMAS DE INFORMACIÓN CORPORATIVOS</t>
        </is>
      </c>
      <c r="N53" s="10" t="inlineStr">
        <is>
          <t>PRIMARIOS</t>
        </is>
      </c>
      <c r="O53" s="10" t="inlineStr">
        <is>
          <t>COMUNICACIÓN INTERNA</t>
        </is>
      </c>
      <c r="P53" s="10" t="inlineStr">
        <is>
          <t>USO INTERNO(2)</t>
        </is>
      </c>
      <c r="Q53" s="10" t="inlineStr">
        <is>
          <t>MEDIA(2)</t>
        </is>
      </c>
      <c r="R53" s="10" t="inlineStr">
        <is>
          <t>BAJA(1)</t>
        </is>
      </c>
      <c r="S53" s="10">
        <f>+(IF(P53="PUBLICA(1)",1,IF(P53="USO INTERNO(2)",2,IF(P53="RESTRINGIDO(3)",3,3))))+(IF(Q53="BAJA(1)",1,IF(Q53="MEDIA(2)",2,IF(Q53="ALTA(3)",3,3))))+(IF(R53="BAJA(1)",1,IF(R53="MEDIA(2)",2,IF(R53="ALTA(3)",3,3))))</f>
        <v/>
      </c>
      <c r="T53" s="10">
        <f>+IF(S53&lt;6,"BAJA",IF(S53&lt;8,"MEDIA","ALTA"))</f>
        <v/>
      </c>
      <c r="U53" s="10" t="inlineStr">
        <is>
          <t>-</t>
        </is>
      </c>
      <c r="V53" s="24" t="n">
        <v>45680</v>
      </c>
      <c r="W53" s="19" t="inlineStr">
        <is>
          <t>N/A</t>
        </is>
      </c>
      <c r="X53" s="10">
        <f>+IFERROR(IF(VLOOKUP(Tabla2[[#This Row],[ID]],'EVALUACION DE RIESGO'!A:A,1,FALSE)=Tabla2[[#This Row],[ID]],"SI","NO"),"NO")</f>
        <v/>
      </c>
    </row>
    <row r="54">
      <c r="A54" s="91" t="inlineStr">
        <is>
          <t>52-GAD</t>
        </is>
      </c>
      <c r="B54" s="10" t="inlineStr">
        <is>
          <t>APOYO</t>
        </is>
      </c>
      <c r="C54" s="10" t="inlineStr">
        <is>
          <t xml:space="preserve">Gestión Administrativa </t>
        </is>
      </c>
      <c r="D54" s="10" t="inlineStr">
        <is>
          <t>GAD</t>
        </is>
      </c>
      <c r="E54" s="10" t="inlineStr">
        <is>
          <t>Gestión de Proveeduría</t>
        </is>
      </c>
      <c r="F54" s="10" t="inlineStr">
        <is>
          <t>-</t>
        </is>
      </c>
      <c r="G54" s="10" t="inlineStr">
        <is>
          <t xml:space="preserve">Distribución de materiales y suministros	</t>
        </is>
      </c>
      <c r="H54" s="10" t="inlineStr">
        <is>
          <t>Salida de inventario por bodega</t>
        </is>
      </c>
      <c r="I54" s="10" t="inlineStr">
        <is>
          <t>Reporte de salida impreso desde el sistema FIT, contiene el detalle de los activos, cantidad, costo , totales y firmas de responsabilidad</t>
        </is>
      </c>
      <c r="J54" s="10" t="inlineStr">
        <is>
          <t>Jefe Administrativo</t>
        </is>
      </c>
      <c r="K54" s="10" t="inlineStr">
        <is>
          <t>Asistente administrativo</t>
        </is>
      </c>
      <c r="L54" s="10" t="inlineStr">
        <is>
          <t>DOCUMENTOS FISICOS-ARCHIVOS DE LA OFICINA</t>
        </is>
      </c>
      <c r="M54" s="10" t="inlineStr">
        <is>
          <t>DOCUMENTO DE ARCHIVO-FÍSICO</t>
        </is>
      </c>
      <c r="N54" s="10" t="inlineStr">
        <is>
          <t>PRIMARIOS</t>
        </is>
      </c>
      <c r="O54" s="10" t="inlineStr">
        <is>
          <t>COMUNICACIÓN INTERNA</t>
        </is>
      </c>
      <c r="P54" s="10" t="inlineStr">
        <is>
          <t>PUBLICA(1)</t>
        </is>
      </c>
      <c r="Q54" s="10" t="inlineStr">
        <is>
          <t>MEDIA(2)</t>
        </is>
      </c>
      <c r="R54" s="10" t="inlineStr">
        <is>
          <t>MEDIA(2)</t>
        </is>
      </c>
      <c r="S54" s="10">
        <f>+(IF(P54="PUBLICA(1)",1,IF(P54="USO INTERNO(2)",2,IF(P54="RESTRINGIDO(3)",3,3))))+(IF(Q54="BAJA(1)",1,IF(Q54="MEDIA(2)",2,IF(Q54="ALTA(3)",3,3))))+(IF(R54="BAJA(1)",1,IF(R54="MEDIA(2)",2,IF(R54="ALTA(3)",3,3))))</f>
        <v/>
      </c>
      <c r="T54" s="10">
        <f>+IF(S54&lt;6,"BAJA",IF(S54&lt;8,"MEDIA","ALTA"))</f>
        <v/>
      </c>
      <c r="U54" s="10" t="inlineStr">
        <is>
          <t>-</t>
        </is>
      </c>
      <c r="V54" s="24" t="n">
        <v>45680</v>
      </c>
      <c r="W54" s="19" t="inlineStr">
        <is>
          <t>N/A</t>
        </is>
      </c>
      <c r="X54" s="10">
        <f>+IFERROR(IF(VLOOKUP(Tabla2[[#This Row],[ID]],'EVALUACION DE RIESGO'!A:A,1,FALSE)=Tabla2[[#This Row],[ID]],"SI","NO"),"NO")</f>
        <v/>
      </c>
    </row>
    <row r="55">
      <c r="A55" s="91" t="inlineStr">
        <is>
          <t>53-GAD</t>
        </is>
      </c>
      <c r="B55" s="10" t="inlineStr">
        <is>
          <t>APOYO</t>
        </is>
      </c>
      <c r="C55" s="10" t="inlineStr">
        <is>
          <t xml:space="preserve">Gestión Administrativa </t>
        </is>
      </c>
      <c r="D55" s="10" t="inlineStr">
        <is>
          <t>GAD</t>
        </is>
      </c>
      <c r="E55" s="10" t="inlineStr">
        <is>
          <t>Gestión de Proveeduría</t>
        </is>
      </c>
      <c r="F55" s="10" t="inlineStr">
        <is>
          <t>-</t>
        </is>
      </c>
      <c r="G55" s="10" t="inlineStr">
        <is>
          <t>Control de inventario</t>
        </is>
      </c>
      <c r="H55" s="10" t="inlineStr">
        <is>
          <t>Inventario de constatación</t>
        </is>
      </c>
      <c r="I55" s="10" t="inlineStr">
        <is>
          <t>Registro que se imprime desde Fit que se valida en situ con información y detalle del activo, listado anterior, actual</t>
        </is>
      </c>
      <c r="J55" s="10" t="inlineStr">
        <is>
          <t>Jefe Administrativo</t>
        </is>
      </c>
      <c r="K55" s="10" t="inlineStr">
        <is>
          <t>Asistente administrativo</t>
        </is>
      </c>
      <c r="L55" s="10" t="inlineStr">
        <is>
          <t>DOCUMENTOS FISICOS-ARCHIVOS DE LA OFICINA</t>
        </is>
      </c>
      <c r="M55" s="10" t="inlineStr">
        <is>
          <t>DOCUMENTO DE ARCHIVO-FÍSICO</t>
        </is>
      </c>
      <c r="N55" s="10" t="inlineStr">
        <is>
          <t>PRIMARIOS</t>
        </is>
      </c>
      <c r="O55" s="10" t="inlineStr">
        <is>
          <t>DOCUMENTOS TÉCNICOS</t>
        </is>
      </c>
      <c r="P55" s="10" t="inlineStr">
        <is>
          <t>USO INTERNO(2)</t>
        </is>
      </c>
      <c r="Q55" s="10" t="inlineStr">
        <is>
          <t>MEDIA(2)</t>
        </is>
      </c>
      <c r="R55" s="10" t="inlineStr">
        <is>
          <t>MEDIA(2)</t>
        </is>
      </c>
      <c r="S55" s="10">
        <f>+(IF(P55="PUBLICA(1)",1,IF(P55="USO INTERNO(2)",2,IF(P55="RESTRINGIDO(3)",3,3))))+(IF(Q55="BAJA(1)",1,IF(Q55="MEDIA(2)",2,IF(Q55="ALTA(3)",3,3))))+(IF(R55="BAJA(1)",1,IF(R55="MEDIA(2)",2,IF(R55="ALTA(3)",3,3))))</f>
        <v/>
      </c>
      <c r="T55" s="10">
        <f>+IF(S55&lt;6,"BAJA",IF(S55&lt;8,"MEDIA","ALTA"))</f>
        <v/>
      </c>
      <c r="U55" s="10" t="inlineStr">
        <is>
          <t>-</t>
        </is>
      </c>
      <c r="V55" s="24" t="n">
        <v>45680</v>
      </c>
      <c r="W55" s="19" t="inlineStr">
        <is>
          <t>N/A</t>
        </is>
      </c>
      <c r="X55" s="10">
        <f>+IFERROR(IF(VLOOKUP(Tabla2[[#This Row],[ID]],'EVALUACION DE RIESGO'!A:A,1,FALSE)=Tabla2[[#This Row],[ID]],"SI","NO"),"NO")</f>
        <v/>
      </c>
    </row>
    <row r="56">
      <c r="A56" s="91" t="inlineStr">
        <is>
          <t>54-GAD</t>
        </is>
      </c>
      <c r="B56" s="10" t="inlineStr">
        <is>
          <t>APOYO</t>
        </is>
      </c>
      <c r="C56" s="10" t="inlineStr">
        <is>
          <t xml:space="preserve">Gestión Administrativa </t>
        </is>
      </c>
      <c r="D56" s="10" t="inlineStr">
        <is>
          <t>GAD</t>
        </is>
      </c>
      <c r="E56" s="10" t="inlineStr">
        <is>
          <t>Gestión de Proveeduría</t>
        </is>
      </c>
      <c r="F56" s="10" t="inlineStr">
        <is>
          <t>-</t>
        </is>
      </c>
      <c r="G56" s="10" t="inlineStr">
        <is>
          <t xml:space="preserve">Baja de materiales de proveeduría.	</t>
        </is>
      </c>
      <c r="H56" s="10" t="inlineStr">
        <is>
          <t>Salida de inventario por bodega</t>
        </is>
      </c>
      <c r="I56" s="10" t="inlineStr">
        <is>
          <t>Reporte de salida impreso desde el sistema FIT, contiene el detalle de los activos, cantidad, costo , totales y firmas de responsabilidad</t>
        </is>
      </c>
      <c r="J56" s="10" t="inlineStr">
        <is>
          <t>Jefe Administrativo</t>
        </is>
      </c>
      <c r="K56" s="10" t="inlineStr">
        <is>
          <t>Asistente administrativo</t>
        </is>
      </c>
      <c r="L56" s="10" t="inlineStr">
        <is>
          <t>UBICACIÓN DIGITAL-CORE FINANCIERO</t>
        </is>
      </c>
      <c r="M56" s="10" t="inlineStr">
        <is>
          <t>SISTEMAS DE INFORMACIÓN CORPORATIVOS</t>
        </is>
      </c>
      <c r="N56" s="10" t="inlineStr">
        <is>
          <t>PRIMARIOS</t>
        </is>
      </c>
      <c r="O56" s="10" t="inlineStr">
        <is>
          <t>COMUNICACIÓN INTERNA</t>
        </is>
      </c>
      <c r="P56" s="10" t="inlineStr">
        <is>
          <t>USO INTERNO(2)</t>
        </is>
      </c>
      <c r="Q56" s="10" t="inlineStr">
        <is>
          <t>MEDIA(2)</t>
        </is>
      </c>
      <c r="R56" s="10" t="inlineStr">
        <is>
          <t>MEDIA(2)</t>
        </is>
      </c>
      <c r="S56" s="10">
        <f>+(IF(P56="PUBLICA(1)",1,IF(P56="USO INTERNO(2)",2,IF(P56="RESTRINGIDO(3)",3,3))))+(IF(Q56="BAJA(1)",1,IF(Q56="MEDIA(2)",2,IF(Q56="ALTA(3)",3,3))))+(IF(R56="BAJA(1)",1,IF(R56="MEDIA(2)",2,IF(R56="ALTA(3)",3,3))))</f>
        <v/>
      </c>
      <c r="T56" s="10">
        <f>+IF(S56&lt;6,"BAJA",IF(S56&lt;8,"MEDIA","ALTA"))</f>
        <v/>
      </c>
      <c r="U56" s="10" t="inlineStr">
        <is>
          <t>-</t>
        </is>
      </c>
      <c r="V56" s="24" t="n">
        <v>45680</v>
      </c>
      <c r="W56" s="19" t="inlineStr">
        <is>
          <t>N/A</t>
        </is>
      </c>
      <c r="X56" s="10">
        <f>+IFERROR(IF(VLOOKUP(Tabla2[[#This Row],[ID]],'EVALUACION DE RIESGO'!A:A,1,FALSE)=Tabla2[[#This Row],[ID]],"SI","NO"),"NO")</f>
        <v/>
      </c>
    </row>
    <row r="57">
      <c r="A57" s="91" t="inlineStr">
        <is>
          <t>55-GAD</t>
        </is>
      </c>
      <c r="B57" s="10" t="inlineStr">
        <is>
          <t>APOYO</t>
        </is>
      </c>
      <c r="C57" s="10" t="inlineStr">
        <is>
          <t xml:space="preserve">Gestión Administrativa </t>
        </is>
      </c>
      <c r="D57" s="10" t="inlineStr">
        <is>
          <t>GAD</t>
        </is>
      </c>
      <c r="E57" s="10" t="inlineStr">
        <is>
          <t>Gestión de Archivo Pasivo</t>
        </is>
      </c>
      <c r="F57" s="10" t="inlineStr">
        <is>
          <t>-</t>
        </is>
      </c>
      <c r="G57" s="10" t="inlineStr">
        <is>
          <t xml:space="preserve">Envío de documentos al archivo pasivo	</t>
        </is>
      </c>
      <c r="H57" s="10" t="inlineStr">
        <is>
          <t>Envío de documentos del archivo pasivo</t>
        </is>
      </c>
      <c r="I57" s="10" t="inlineStr">
        <is>
          <t>Registro que se envía por correo electrónico indicando la serie de caja y el contenido.</t>
        </is>
      </c>
      <c r="J57" s="10" t="inlineStr">
        <is>
          <t>Jefe Administrativo</t>
        </is>
      </c>
      <c r="K57" s="10" t="inlineStr">
        <is>
          <t>Asistente administrativo</t>
        </is>
      </c>
      <c r="L57" s="10" t="inlineStr">
        <is>
          <t>UBICACIÓN DIGITAL - SISTEMA SARA</t>
        </is>
      </c>
      <c r="M57" s="10" t="inlineStr">
        <is>
          <t>SISTEMAS DE INFORMACIÓN CORPORATIVOS</t>
        </is>
      </c>
      <c r="N57" s="10" t="inlineStr">
        <is>
          <t>PRIMARIOS</t>
        </is>
      </c>
      <c r="O57" s="10" t="inlineStr">
        <is>
          <t>COMUNICACIÓN INTERNA</t>
        </is>
      </c>
      <c r="P57" s="10" t="inlineStr">
        <is>
          <t>RESTRINGIDO(3)</t>
        </is>
      </c>
      <c r="Q57" s="10" t="inlineStr">
        <is>
          <t>MEDIA(2)</t>
        </is>
      </c>
      <c r="R57" s="10" t="inlineStr">
        <is>
          <t>MEDIA(2)</t>
        </is>
      </c>
      <c r="S57" s="10">
        <f>+(IF(P57="PUBLICA(1)",1,IF(P57="USO INTERNO(2)",2,IF(P57="RESTRINGIDO(3)",3,3))))+(IF(Q57="BAJA(1)",1,IF(Q57="MEDIA(2)",2,IF(Q57="ALTA(3)",3,3))))+(IF(R57="BAJA(1)",1,IF(R57="MEDIA(2)",2,IF(R57="ALTA(3)",3,3))))</f>
        <v/>
      </c>
      <c r="T57" s="10">
        <f>+IF(S57&lt;6,"BAJA",IF(S57&lt;8,"MEDIA","ALTA"))</f>
        <v/>
      </c>
      <c r="U57" s="10" t="inlineStr">
        <is>
          <t>-</t>
        </is>
      </c>
      <c r="V57" s="24" t="n">
        <v>45680</v>
      </c>
      <c r="W57" s="19" t="inlineStr">
        <is>
          <t>N/A</t>
        </is>
      </c>
      <c r="X57" s="10">
        <f>+IFERROR(IF(VLOOKUP(Tabla2[[#This Row],[ID]],'EVALUACION DE RIESGO'!A:A,1,FALSE)=Tabla2[[#This Row],[ID]],"SI","NO"),"NO")</f>
        <v/>
      </c>
    </row>
    <row r="58">
      <c r="A58" s="91" t="inlineStr">
        <is>
          <t>56-GAD</t>
        </is>
      </c>
      <c r="B58" s="10" t="inlineStr">
        <is>
          <t>APOYO</t>
        </is>
      </c>
      <c r="C58" s="10" t="inlineStr">
        <is>
          <t xml:space="preserve">Gestión Administrativa </t>
        </is>
      </c>
      <c r="D58" s="10" t="inlineStr">
        <is>
          <t>GAD</t>
        </is>
      </c>
      <c r="E58" s="10" t="inlineStr">
        <is>
          <t>Gestión de Archivo Pasivo</t>
        </is>
      </c>
      <c r="F58" s="10" t="inlineStr">
        <is>
          <t>-</t>
        </is>
      </c>
      <c r="G58" s="10" t="inlineStr">
        <is>
          <t xml:space="preserve">Envío de documentos al archivo pasivo	</t>
        </is>
      </c>
      <c r="H58" s="10" t="inlineStr">
        <is>
          <t>Registro de control del archivo pasivo</t>
        </is>
      </c>
      <c r="I58" s="10" t="inlineStr">
        <is>
          <t>Registro de control obtenido desde el sistema del proveedor, donde se detallan las cajas y contenidos</t>
        </is>
      </c>
      <c r="J58" s="10" t="inlineStr">
        <is>
          <t>Jefe Administrativo</t>
        </is>
      </c>
      <c r="K58" s="10" t="inlineStr">
        <is>
          <t>Asistente administrativo</t>
        </is>
      </c>
      <c r="L58" s="10" t="inlineStr">
        <is>
          <t>UBICACIÓN DIGITAL-EQUIPO DEL CUSTODIO</t>
        </is>
      </c>
      <c r="M58" s="10" t="inlineStr">
        <is>
          <t>SISTEMAS DE INFORMACIÓN CORPORATIVOS</t>
        </is>
      </c>
      <c r="N58" s="10" t="inlineStr">
        <is>
          <t>PRIMARIOS</t>
        </is>
      </c>
      <c r="O58" s="10" t="inlineStr">
        <is>
          <t>DOCUMENTOS TÉCNICOS</t>
        </is>
      </c>
      <c r="P58" s="10" t="inlineStr">
        <is>
          <t>USO INTERNO(2)</t>
        </is>
      </c>
      <c r="Q58" s="10" t="inlineStr">
        <is>
          <t>MEDIA(2)</t>
        </is>
      </c>
      <c r="R58" s="10" t="inlineStr">
        <is>
          <t>BAJA(1)</t>
        </is>
      </c>
      <c r="S58" s="10">
        <f>+(IF(P58="PUBLICA(1)",1,IF(P58="USO INTERNO(2)",2,IF(P58="RESTRINGIDO(3)",3,3))))+(IF(Q58="BAJA(1)",1,IF(Q58="MEDIA(2)",2,IF(Q58="ALTA(3)",3,3))))+(IF(R58="BAJA(1)",1,IF(R58="MEDIA(2)",2,IF(R58="ALTA(3)",3,3))))</f>
        <v/>
      </c>
      <c r="T58" s="10">
        <f>+IF(S58&lt;6,"BAJA",IF(S58&lt;8,"MEDIA","ALTA"))</f>
        <v/>
      </c>
      <c r="U58" s="10" t="inlineStr">
        <is>
          <t>-</t>
        </is>
      </c>
      <c r="V58" s="24" t="n">
        <v>45680</v>
      </c>
      <c r="W58" s="19" t="inlineStr">
        <is>
          <t>N/A</t>
        </is>
      </c>
      <c r="X58" s="10">
        <f>+IFERROR(IF(VLOOKUP(Tabla2[[#This Row],[ID]],'EVALUACION DE RIESGO'!A:A,1,FALSE)=Tabla2[[#This Row],[ID]],"SI","NO"),"NO")</f>
        <v/>
      </c>
    </row>
    <row r="59">
      <c r="A59" s="91" t="inlineStr">
        <is>
          <t>57-GAD</t>
        </is>
      </c>
      <c r="B59" s="10" t="inlineStr">
        <is>
          <t>APOYO</t>
        </is>
      </c>
      <c r="C59" s="10" t="inlineStr">
        <is>
          <t xml:space="preserve">Gestión Administrativa </t>
        </is>
      </c>
      <c r="D59" s="10" t="inlineStr">
        <is>
          <t>GAD</t>
        </is>
      </c>
      <c r="E59" s="10" t="inlineStr">
        <is>
          <t>Gestión de Archivo Pasivo</t>
        </is>
      </c>
      <c r="F59" s="10" t="inlineStr">
        <is>
          <t>-</t>
        </is>
      </c>
      <c r="G59" s="10" t="inlineStr">
        <is>
          <t xml:space="preserve">Envío de documentos al archivo pasivo	</t>
        </is>
      </c>
      <c r="H59" s="10" t="inlineStr">
        <is>
          <t>Acta entrega</t>
        </is>
      </c>
      <c r="I59" s="10" t="inlineStr">
        <is>
          <t>Documento de respaldo de la entrega con firmas de responsabilidad y detalle del archivo o files de crédito</t>
        </is>
      </c>
      <c r="J59" s="10" t="inlineStr">
        <is>
          <t>Jefe Administrativo</t>
        </is>
      </c>
      <c r="K59" s="10" t="inlineStr">
        <is>
          <t>Asistente administrativo</t>
        </is>
      </c>
      <c r="L59" s="10" t="inlineStr">
        <is>
          <t>DOCUMENTOS FISICOS-ARCHIVOS DE LA OFICINA</t>
        </is>
      </c>
      <c r="M59" s="10" t="inlineStr">
        <is>
          <t>DOCUMENTO DE ARCHIVO-FÍSICO</t>
        </is>
      </c>
      <c r="N59" s="10" t="inlineStr">
        <is>
          <t>PRIMARIOS</t>
        </is>
      </c>
      <c r="O59" s="10" t="inlineStr">
        <is>
          <t>DOCUMENTOS HABILITANTES</t>
        </is>
      </c>
      <c r="P59" s="10" t="inlineStr">
        <is>
          <t>USO INTERNO(2)</t>
        </is>
      </c>
      <c r="Q59" s="10" t="inlineStr">
        <is>
          <t>MEDIA(2)</t>
        </is>
      </c>
      <c r="R59" s="10" t="inlineStr">
        <is>
          <t>MEDIA(2)</t>
        </is>
      </c>
      <c r="S59" s="10">
        <f>+(IF(P59="PUBLICA(1)",1,IF(P59="USO INTERNO(2)",2,IF(P59="RESTRINGIDO(3)",3,3))))+(IF(Q59="BAJA(1)",1,IF(Q59="MEDIA(2)",2,IF(Q59="ALTA(3)",3,3))))+(IF(R59="BAJA(1)",1,IF(R59="MEDIA(2)",2,IF(R59="ALTA(3)",3,3))))</f>
        <v/>
      </c>
      <c r="T59" s="10">
        <f>+IF(S59&lt;6,"BAJA",IF(S59&lt;8,"MEDIA","ALTA"))</f>
        <v/>
      </c>
      <c r="U59" s="10" t="inlineStr">
        <is>
          <t>-</t>
        </is>
      </c>
      <c r="V59" s="24" t="n">
        <v>45680</v>
      </c>
      <c r="W59" s="19" t="inlineStr">
        <is>
          <t>N/A</t>
        </is>
      </c>
      <c r="X59" s="10">
        <f>+IFERROR(IF(VLOOKUP(Tabla2[[#This Row],[ID]],'EVALUACION DE RIESGO'!A:A,1,FALSE)=Tabla2[[#This Row],[ID]],"SI","NO"),"NO")</f>
        <v/>
      </c>
    </row>
    <row r="60">
      <c r="A60" s="91" t="inlineStr">
        <is>
          <t>58-GAD</t>
        </is>
      </c>
      <c r="B60" s="10" t="inlineStr">
        <is>
          <t>APOYO</t>
        </is>
      </c>
      <c r="C60" s="10" t="inlineStr">
        <is>
          <t xml:space="preserve">Gestión Administrativa </t>
        </is>
      </c>
      <c r="D60" s="10" t="inlineStr">
        <is>
          <t>GAD</t>
        </is>
      </c>
      <c r="E60" s="10" t="inlineStr">
        <is>
          <t>Gestión de Archivo Pasivo</t>
        </is>
      </c>
      <c r="F60" s="10" t="inlineStr">
        <is>
          <t>-</t>
        </is>
      </c>
      <c r="G60" s="10" t="inlineStr">
        <is>
          <t>Consulta, retiro o reproducción de documentos del archivo externo</t>
        </is>
      </c>
      <c r="H60" s="10" t="inlineStr">
        <is>
          <t>Reporte mensual de consulta, entrega y recepción de documentos</t>
        </is>
      </c>
      <c r="I60" s="10" t="inlineStr">
        <is>
          <t>Información visualizada desde el sistema FILESTORAGE del proveedor</t>
        </is>
      </c>
      <c r="J60" s="10" t="inlineStr">
        <is>
          <t>Jefe Administrativo</t>
        </is>
      </c>
      <c r="K60" s="10" t="inlineStr">
        <is>
          <t>Asistente administrativo</t>
        </is>
      </c>
      <c r="L60" s="10" t="inlineStr">
        <is>
          <t>UBICACIÓN DIGITAL-EQUIPO DEL CUSTODIO</t>
        </is>
      </c>
      <c r="M60" s="10" t="inlineStr">
        <is>
          <t>SISTEMAS DE INFORMACIÓN CORPORATIVOS</t>
        </is>
      </c>
      <c r="N60" s="10" t="inlineStr">
        <is>
          <t>PRIMARIOS</t>
        </is>
      </c>
      <c r="O60" s="10" t="inlineStr">
        <is>
          <t>DOCUMENTOS TÉCNICOS</t>
        </is>
      </c>
      <c r="P60" s="10" t="inlineStr">
        <is>
          <t>USO INTERNO(2)</t>
        </is>
      </c>
      <c r="Q60" s="10" t="inlineStr">
        <is>
          <t>MEDIA(2)</t>
        </is>
      </c>
      <c r="R60" s="10" t="inlineStr">
        <is>
          <t>MEDIA(2)</t>
        </is>
      </c>
      <c r="S60" s="10">
        <f>+(IF(P60="PUBLICA(1)",1,IF(P60="USO INTERNO(2)",2,IF(P60="RESTRINGIDO(3)",3,3))))+(IF(Q60="BAJA(1)",1,IF(Q60="MEDIA(2)",2,IF(Q60="ALTA(3)",3,3))))+(IF(R60="BAJA(1)",1,IF(R60="MEDIA(2)",2,IF(R60="ALTA(3)",3,3))))</f>
        <v/>
      </c>
      <c r="T60" s="10">
        <f>+IF(S60&lt;6,"BAJA",IF(S60&lt;8,"MEDIA","ALTA"))</f>
        <v/>
      </c>
      <c r="U60" s="10" t="inlineStr">
        <is>
          <t>-</t>
        </is>
      </c>
      <c r="V60" s="24" t="n">
        <v>45680</v>
      </c>
      <c r="W60" s="19" t="inlineStr">
        <is>
          <t>N/A</t>
        </is>
      </c>
      <c r="X60" s="10">
        <f>+IFERROR(IF(VLOOKUP(Tabla2[[#This Row],[ID]],'EVALUACION DE RIESGO'!A:A,1,FALSE)=Tabla2[[#This Row],[ID]],"SI","NO"),"NO")</f>
        <v/>
      </c>
    </row>
    <row r="61">
      <c r="A61" s="91" t="inlineStr">
        <is>
          <t>59-GAD</t>
        </is>
      </c>
      <c r="B61" s="10" t="inlineStr">
        <is>
          <t>APOYO</t>
        </is>
      </c>
      <c r="C61" s="10" t="inlineStr">
        <is>
          <t xml:space="preserve">Gestión Administrativa </t>
        </is>
      </c>
      <c r="D61" s="10" t="inlineStr">
        <is>
          <t>GAD</t>
        </is>
      </c>
      <c r="E61" s="10" t="inlineStr">
        <is>
          <t>Gestión de Archivo Pasivo</t>
        </is>
      </c>
      <c r="F61" s="10" t="inlineStr">
        <is>
          <t>-</t>
        </is>
      </c>
      <c r="G61" s="10" t="inlineStr">
        <is>
          <t>Baja de documentos desde archivo externo</t>
        </is>
      </c>
      <c r="H61" s="10" t="inlineStr">
        <is>
          <t>Inventario de documentos</t>
        </is>
      </c>
      <c r="I61" s="10" t="inlineStr">
        <is>
          <t>Reporte de File Storage enviado por correo electrónico</t>
        </is>
      </c>
      <c r="J61" s="10" t="inlineStr">
        <is>
          <t>Jefe Administrativo</t>
        </is>
      </c>
      <c r="K61" s="10" t="inlineStr">
        <is>
          <t>Asistente administrativo</t>
        </is>
      </c>
      <c r="L61" s="10" t="inlineStr">
        <is>
          <t>UBICACIÓN DIGITAL-EQUIPO DEL CUSTODIO</t>
        </is>
      </c>
      <c r="M61" s="10" t="inlineStr">
        <is>
          <t>SISTEMAS DE INFORMACIÓN CORPORATIVOS</t>
        </is>
      </c>
      <c r="N61" s="10" t="inlineStr">
        <is>
          <t>PRIMARIOS</t>
        </is>
      </c>
      <c r="O61" s="10" t="inlineStr">
        <is>
          <t>DOCUMENTOS TÉCNICOS</t>
        </is>
      </c>
      <c r="P61" s="10" t="inlineStr">
        <is>
          <t>USO INTERNO(2)</t>
        </is>
      </c>
      <c r="Q61" s="10" t="inlineStr">
        <is>
          <t>MEDIA(2)</t>
        </is>
      </c>
      <c r="R61" s="10" t="inlineStr">
        <is>
          <t>MEDIA(2)</t>
        </is>
      </c>
      <c r="S61" s="10">
        <f>+(IF(P61="PUBLICA(1)",1,IF(P61="USO INTERNO(2)",2,IF(P61="RESTRINGIDO(3)",3,3))))+(IF(Q61="BAJA(1)",1,IF(Q61="MEDIA(2)",2,IF(Q61="ALTA(3)",3,3))))+(IF(R61="BAJA(1)",1,IF(R61="MEDIA(2)",2,IF(R61="ALTA(3)",3,3))))</f>
        <v/>
      </c>
      <c r="T61" s="10">
        <f>+IF(S61&lt;6,"BAJA",IF(S61&lt;8,"MEDIA","ALTA"))</f>
        <v/>
      </c>
      <c r="U61" s="10" t="inlineStr">
        <is>
          <t>-</t>
        </is>
      </c>
      <c r="V61" s="24" t="n">
        <v>45680</v>
      </c>
      <c r="W61" s="19" t="inlineStr">
        <is>
          <t>N/A</t>
        </is>
      </c>
      <c r="X61" s="10">
        <f>+IFERROR(IF(VLOOKUP(Tabla2[[#This Row],[ID]],'EVALUACION DE RIESGO'!A:A,1,FALSE)=Tabla2[[#This Row],[ID]],"SI","NO"),"NO")</f>
        <v/>
      </c>
    </row>
    <row r="62">
      <c r="A62" s="91" t="inlineStr">
        <is>
          <t>60-GAD</t>
        </is>
      </c>
      <c r="B62" s="10" t="inlineStr">
        <is>
          <t>APOYO</t>
        </is>
      </c>
      <c r="C62" s="10" t="inlineStr">
        <is>
          <t xml:space="preserve">Gestión Administrativa </t>
        </is>
      </c>
      <c r="D62" s="10" t="inlineStr">
        <is>
          <t>GAD</t>
        </is>
      </c>
      <c r="E62" s="10" t="inlineStr">
        <is>
          <t>Gestión de Archivo Pasivo</t>
        </is>
      </c>
      <c r="F62" s="10" t="inlineStr">
        <is>
          <t>-</t>
        </is>
      </c>
      <c r="G62" s="10" t="inlineStr">
        <is>
          <t>Baja de documentos desde archivo externo</t>
        </is>
      </c>
      <c r="H62" s="10" t="inlineStr">
        <is>
          <t>Informe de baja de documentos/Certificado de destrucción</t>
        </is>
      </c>
      <c r="I62" s="10" t="inlineStr">
        <is>
          <t>File de baja de documentos realizados con firmas de responsabilidad</t>
        </is>
      </c>
      <c r="J62" s="10" t="inlineStr">
        <is>
          <t>Jefe Administrativo</t>
        </is>
      </c>
      <c r="K62" s="10" t="inlineStr">
        <is>
          <t>Asistente administrativo</t>
        </is>
      </c>
      <c r="L62" s="10" t="inlineStr">
        <is>
          <t>UBICACIÓN DIGITAL-EQUIPO DEL CUSTODIO</t>
        </is>
      </c>
      <c r="M62" s="10" t="inlineStr">
        <is>
          <t>SISTEMAS DE INFORMACIÓN CORPORATIVOS</t>
        </is>
      </c>
      <c r="N62" s="10" t="inlineStr">
        <is>
          <t>PRIMARIOS</t>
        </is>
      </c>
      <c r="O62" s="10" t="inlineStr">
        <is>
          <t>DOCUMENTOS TÉCNICOS</t>
        </is>
      </c>
      <c r="P62" s="10" t="inlineStr">
        <is>
          <t>USO INTERNO(2)</t>
        </is>
      </c>
      <c r="Q62" s="10" t="inlineStr">
        <is>
          <t>MEDIA(2)</t>
        </is>
      </c>
      <c r="R62" s="10" t="inlineStr">
        <is>
          <t>MEDIA(2)</t>
        </is>
      </c>
      <c r="S62" s="10">
        <f>+(IF(P62="PUBLICA(1)",1,IF(P62="USO INTERNO(2)",2,IF(P62="RESTRINGIDO(3)",3,3))))+(IF(Q62="BAJA(1)",1,IF(Q62="MEDIA(2)",2,IF(Q62="ALTA(3)",3,3))))+(IF(R62="BAJA(1)",1,IF(R62="MEDIA(2)",2,IF(R62="ALTA(3)",3,3))))</f>
        <v/>
      </c>
      <c r="T62" s="10">
        <f>+IF(S62&lt;6,"BAJA",IF(S62&lt;8,"MEDIA","ALTA"))</f>
        <v/>
      </c>
      <c r="U62" s="10" t="inlineStr">
        <is>
          <t>-</t>
        </is>
      </c>
      <c r="V62" s="24" t="n">
        <v>45680</v>
      </c>
      <c r="W62" s="19" t="inlineStr">
        <is>
          <t>N/A</t>
        </is>
      </c>
      <c r="X62" s="10">
        <f>+IFERROR(IF(VLOOKUP(Tabla2[[#This Row],[ID]],'EVALUACION DE RIESGO'!A:A,1,FALSE)=Tabla2[[#This Row],[ID]],"SI","NO"),"NO")</f>
        <v/>
      </c>
    </row>
    <row r="63">
      <c r="A63" s="91" t="inlineStr">
        <is>
          <t>61-GAD</t>
        </is>
      </c>
      <c r="B63" s="10" t="inlineStr">
        <is>
          <t>APOYO</t>
        </is>
      </c>
      <c r="C63" s="10" t="inlineStr">
        <is>
          <t xml:space="preserve">Gestión Administrativa </t>
        </is>
      </c>
      <c r="D63" s="10" t="inlineStr">
        <is>
          <t>GAD</t>
        </is>
      </c>
      <c r="E63" s="10" t="inlineStr">
        <is>
          <t>Gestión de Archivo Pasivo</t>
        </is>
      </c>
      <c r="F63" s="10" t="inlineStr">
        <is>
          <t>-</t>
        </is>
      </c>
      <c r="G63" s="10" t="inlineStr">
        <is>
          <t>Baja de documentos en la Institución</t>
        </is>
      </c>
      <c r="H63" s="10" t="inlineStr">
        <is>
          <t>Acta de baja de documentos</t>
        </is>
      </c>
      <c r="I63" s="10" t="inlineStr">
        <is>
          <t>Acta realizada de baja de documentos realizada en conjunto con el Oficial de Seguridad de la Información</t>
        </is>
      </c>
      <c r="J63" s="10" t="inlineStr">
        <is>
          <t>Jefe Administrativo</t>
        </is>
      </c>
      <c r="K63" s="10" t="inlineStr">
        <is>
          <t>Asistente administrativo</t>
        </is>
      </c>
      <c r="L63" s="10" t="inlineStr">
        <is>
          <t>DOCUMENTOS FISICOS-ARCHIVOS DE LA OFICINA</t>
        </is>
      </c>
      <c r="M63" s="10" t="inlineStr">
        <is>
          <t>DOCUMENTO DE ARCHIVO-FÍSICO</t>
        </is>
      </c>
      <c r="N63" s="10" t="inlineStr">
        <is>
          <t>PRIMARIOS</t>
        </is>
      </c>
      <c r="O63" s="10" t="inlineStr">
        <is>
          <t>DOCUMENTOS HABILITANTES</t>
        </is>
      </c>
      <c r="P63" s="10" t="inlineStr">
        <is>
          <t>USO INTERNO(2)</t>
        </is>
      </c>
      <c r="Q63" s="10" t="inlineStr">
        <is>
          <t>MEDIA(2)</t>
        </is>
      </c>
      <c r="R63" s="10" t="inlineStr">
        <is>
          <t>MEDIA(2)</t>
        </is>
      </c>
      <c r="S63" s="10">
        <f>+(IF(P63="PUBLICA(1)",1,IF(P63="USO INTERNO(2)",2,IF(P63="RESTRINGIDO(3)",3,3))))+(IF(Q63="BAJA(1)",1,IF(Q63="MEDIA(2)",2,IF(Q63="ALTA(3)",3,3))))+(IF(R63="BAJA(1)",1,IF(R63="MEDIA(2)",2,IF(R63="ALTA(3)",3,3))))</f>
        <v/>
      </c>
      <c r="T63" s="10">
        <f>+IF(S63&lt;6,"BAJA",IF(S63&lt;8,"MEDIA","ALTA"))</f>
        <v/>
      </c>
      <c r="U63" s="10" t="inlineStr">
        <is>
          <t>-</t>
        </is>
      </c>
      <c r="V63" s="24" t="n">
        <v>45680</v>
      </c>
      <c r="W63" s="19" t="inlineStr">
        <is>
          <t>N/A</t>
        </is>
      </c>
      <c r="X63" s="10">
        <f>+IFERROR(IF(VLOOKUP(Tabla2[[#This Row],[ID]],'EVALUACION DE RIESGO'!A:A,1,FALSE)=Tabla2[[#This Row],[ID]],"SI","NO"),"NO")</f>
        <v/>
      </c>
    </row>
    <row r="64">
      <c r="A64" s="91" t="inlineStr">
        <is>
          <t>62-GAD</t>
        </is>
      </c>
      <c r="B64" s="10" t="inlineStr">
        <is>
          <t>APOYO</t>
        </is>
      </c>
      <c r="C64" s="10" t="inlineStr">
        <is>
          <t xml:space="preserve">Gestión Administrativa </t>
        </is>
      </c>
      <c r="D64" s="10" t="inlineStr">
        <is>
          <t>GAD</t>
        </is>
      </c>
      <c r="E64" s="10" t="inlineStr">
        <is>
          <t>Gestión de Archivo Pasivo</t>
        </is>
      </c>
      <c r="F64" s="10" t="inlineStr">
        <is>
          <t>-</t>
        </is>
      </c>
      <c r="G64" s="10" t="inlineStr">
        <is>
          <t>Baja de documentos en la Institución</t>
        </is>
      </c>
      <c r="H64" s="10" t="inlineStr">
        <is>
          <t>Inventario de documentos a darse de baja</t>
        </is>
      </c>
      <c r="I64" s="10" t="inlineStr">
        <is>
          <t>Inventario de activos que contiene detalle de activos a darse de baja, detalle del archivo pasivo, tipo de documento, año, observaciones</t>
        </is>
      </c>
      <c r="J64" s="10" t="inlineStr">
        <is>
          <t>Jefe Administrativo</t>
        </is>
      </c>
      <c r="K64" s="10" t="inlineStr">
        <is>
          <t>Asistente administrativo</t>
        </is>
      </c>
      <c r="L64" s="10" t="inlineStr">
        <is>
          <t>UBICACIÓN DIGITAL-EQUIPO DEL CUSTODIO</t>
        </is>
      </c>
      <c r="M64" s="10" t="inlineStr">
        <is>
          <t>SISTEMAS DE INFORMACIÓN CORPORATIVOS</t>
        </is>
      </c>
      <c r="N64" s="10" t="inlineStr">
        <is>
          <t>PRIMARIOS</t>
        </is>
      </c>
      <c r="O64" s="10" t="inlineStr">
        <is>
          <t>DOCUMENTOS TÉCNICOS</t>
        </is>
      </c>
      <c r="P64" s="10" t="inlineStr">
        <is>
          <t>USO INTERNO(2)</t>
        </is>
      </c>
      <c r="Q64" s="10" t="inlineStr">
        <is>
          <t>MEDIA(2)</t>
        </is>
      </c>
      <c r="R64" s="10" t="inlineStr">
        <is>
          <t>MEDIA(2)</t>
        </is>
      </c>
      <c r="S64" s="10">
        <f>+(IF(P64="PUBLICA(1)",1,IF(P64="USO INTERNO(2)",2,IF(P64="RESTRINGIDO(3)",3,3))))+(IF(Q64="BAJA(1)",1,IF(Q64="MEDIA(2)",2,IF(Q64="ALTA(3)",3,3))))+(IF(R64="BAJA(1)",1,IF(R64="MEDIA(2)",2,IF(R64="ALTA(3)",3,3))))</f>
        <v/>
      </c>
      <c r="T64" s="10">
        <f>+IF(S64&lt;6,"BAJA",IF(S64&lt;8,"MEDIA","ALTA"))</f>
        <v/>
      </c>
      <c r="U64" s="10" t="inlineStr">
        <is>
          <t>-</t>
        </is>
      </c>
      <c r="V64" s="24" t="n">
        <v>45680</v>
      </c>
      <c r="W64" s="19" t="inlineStr">
        <is>
          <t>N/A</t>
        </is>
      </c>
      <c r="X64" s="10">
        <f>+IFERROR(IF(VLOOKUP(Tabla2[[#This Row],[ID]],'EVALUACION DE RIESGO'!A:A,1,FALSE)=Tabla2[[#This Row],[ID]],"SI","NO"),"NO")</f>
        <v/>
      </c>
    </row>
    <row r="65">
      <c r="A65" s="91" t="inlineStr">
        <is>
          <t>63-GAD</t>
        </is>
      </c>
      <c r="B65" s="10" t="inlineStr">
        <is>
          <t>APOYO</t>
        </is>
      </c>
      <c r="C65" s="10" t="inlineStr">
        <is>
          <t xml:space="preserve">Gestión Administrativa </t>
        </is>
      </c>
      <c r="D65" s="10" t="inlineStr">
        <is>
          <t>GAD</t>
        </is>
      </c>
      <c r="E65" s="10" t="inlineStr">
        <is>
          <t>Gestión de Archivo Pasivo</t>
        </is>
      </c>
      <c r="F65" s="10" t="inlineStr">
        <is>
          <t>-</t>
        </is>
      </c>
      <c r="G65" s="10" t="inlineStr">
        <is>
          <t>Baja de documentos en la Institución</t>
        </is>
      </c>
      <c r="H65" s="10" t="inlineStr">
        <is>
          <t>Certificado de destrucción</t>
        </is>
      </c>
      <c r="I65" s="10" t="inlineStr">
        <is>
          <t>Documento de respaldo de la destrucción realizada por el proveedor</t>
        </is>
      </c>
      <c r="J65" s="10" t="inlineStr">
        <is>
          <t>Jefe Administrativo</t>
        </is>
      </c>
      <c r="K65" s="10" t="inlineStr">
        <is>
          <t>Asistente Administrativo</t>
        </is>
      </c>
      <c r="L65" s="10" t="inlineStr">
        <is>
          <t>UBICACIÓN DIGITAL-EQUIPO DEL CUSTODIO</t>
        </is>
      </c>
      <c r="M65" s="10" t="inlineStr">
        <is>
          <t>SISTEMAS DE INFORMACIÓN CORPORATIVOS</t>
        </is>
      </c>
      <c r="N65" s="10" t="inlineStr">
        <is>
          <t>PRIMARIOS</t>
        </is>
      </c>
      <c r="O65" s="10" t="inlineStr">
        <is>
          <t>DOCUMENTOS HABILITANTES</t>
        </is>
      </c>
      <c r="P65" s="10" t="inlineStr">
        <is>
          <t>USO INTERNO(2)</t>
        </is>
      </c>
      <c r="Q65" s="10" t="inlineStr">
        <is>
          <t>MEDIA(2)</t>
        </is>
      </c>
      <c r="R65" s="10" t="inlineStr">
        <is>
          <t>MEDIA(2)</t>
        </is>
      </c>
      <c r="S65" s="10">
        <f>+(IF(P65="PUBLICA(1)",1,IF(P65="USO INTERNO(2)",2,IF(P65="RESTRINGIDO(3)",3,3))))+(IF(Q65="BAJA(1)",1,IF(Q65="MEDIA(2)",2,IF(Q65="ALTA(3)",3,3))))+(IF(R65="BAJA(1)",1,IF(R65="MEDIA(2)",2,IF(R65="ALTA(3)",3,3))))</f>
        <v/>
      </c>
      <c r="T65" s="10">
        <f>+IF(S65&lt;6,"BAJA",IF(S65&lt;8,"MEDIA","ALTA"))</f>
        <v/>
      </c>
      <c r="U65" s="10" t="inlineStr">
        <is>
          <t>-</t>
        </is>
      </c>
      <c r="V65" s="24" t="n">
        <v>45680</v>
      </c>
      <c r="W65" s="19" t="inlineStr">
        <is>
          <t>N/A</t>
        </is>
      </c>
      <c r="X65" s="10">
        <f>+IFERROR(IF(VLOOKUP(Tabla2[[#This Row],[ID]],'EVALUACION DE RIESGO'!A:A,1,FALSE)=Tabla2[[#This Row],[ID]],"SI","NO"),"NO")</f>
        <v/>
      </c>
    </row>
    <row r="66">
      <c r="A66" s="91" t="inlineStr">
        <is>
          <t>64-GAD</t>
        </is>
      </c>
      <c r="B66" s="10" t="inlineStr">
        <is>
          <t>APOYO</t>
        </is>
      </c>
      <c r="C66" s="10" t="inlineStr">
        <is>
          <t xml:space="preserve">Gestión Administrativa </t>
        </is>
      </c>
      <c r="D66" s="10" t="inlineStr">
        <is>
          <t>GAD</t>
        </is>
      </c>
      <c r="E66" s="10" t="inlineStr">
        <is>
          <t>Gestión de Adquisiciones</t>
        </is>
      </c>
      <c r="F66" s="10" t="inlineStr">
        <is>
          <t>-</t>
        </is>
      </c>
      <c r="G66" s="10" t="inlineStr">
        <is>
          <t>Planificación de adquisiciones</t>
        </is>
      </c>
      <c r="H66" s="10" t="inlineStr">
        <is>
          <t>Plan anual de adquisiciones</t>
        </is>
      </c>
      <c r="I66" s="10" t="inlineStr">
        <is>
          <t>Planificación realizada en el sistema SARA, información detallada por años y por departamento</t>
        </is>
      </c>
      <c r="J66" s="10" t="inlineStr">
        <is>
          <t>Jefe Administrativo</t>
        </is>
      </c>
      <c r="K66" s="10" t="inlineStr">
        <is>
          <t>Asistente administrativo</t>
        </is>
      </c>
      <c r="L66" s="10" t="inlineStr">
        <is>
          <t>UBICACIÓN DIGITAL - SISTEMA SARA</t>
        </is>
      </c>
      <c r="M66" s="10" t="inlineStr">
        <is>
          <t>SISTEMAS DE INFORMACIÓN CORPORATIVOS</t>
        </is>
      </c>
      <c r="N66" s="10" t="inlineStr">
        <is>
          <t>PRIMARIOS</t>
        </is>
      </c>
      <c r="O66" s="10" t="inlineStr">
        <is>
          <t>DOCUMENTOS HABILITANTES</t>
        </is>
      </c>
      <c r="P66" s="10" t="inlineStr">
        <is>
          <t>USO INTERNO(2)</t>
        </is>
      </c>
      <c r="Q66" s="10" t="inlineStr">
        <is>
          <t>BAJA(1)</t>
        </is>
      </c>
      <c r="R66" s="10" t="inlineStr">
        <is>
          <t>MEDIA(2)</t>
        </is>
      </c>
      <c r="S66" s="10">
        <f>+(IF(P66="PUBLICA(1)",1,IF(P66="USO INTERNO(2)",2,IF(P66="RESTRINGIDO(3)",3,3))))+(IF(Q66="BAJA(1)",1,IF(Q66="MEDIA(2)",2,IF(Q66="ALTA(3)",3,3))))+(IF(R66="BAJA(1)",1,IF(R66="MEDIA(2)",2,IF(R66="ALTA(3)",3,3))))</f>
        <v/>
      </c>
      <c r="T66" s="10">
        <f>+IF(S66&lt;6,"BAJA",IF(S66&lt;8,"MEDIA","ALTA"))</f>
        <v/>
      </c>
      <c r="U66" s="10" t="inlineStr">
        <is>
          <t>-</t>
        </is>
      </c>
      <c r="V66" s="24" t="n">
        <v>45680</v>
      </c>
      <c r="W66" s="19" t="inlineStr">
        <is>
          <t>N/A</t>
        </is>
      </c>
      <c r="X66" s="10">
        <f>+IFERROR(IF(VLOOKUP(Tabla2[[#This Row],[ID]],'EVALUACION DE RIESGO'!A:A,1,FALSE)=Tabla2[[#This Row],[ID]],"SI","NO"),"NO")</f>
        <v/>
      </c>
    </row>
    <row r="67">
      <c r="A67" s="91" t="inlineStr">
        <is>
          <t>65-GAD</t>
        </is>
      </c>
      <c r="B67" s="10" t="inlineStr">
        <is>
          <t>APOYO</t>
        </is>
      </c>
      <c r="C67" s="10" t="inlineStr">
        <is>
          <t xml:space="preserve">Gestión Administrativa </t>
        </is>
      </c>
      <c r="D67" s="10" t="inlineStr">
        <is>
          <t>GAD</t>
        </is>
      </c>
      <c r="E67" s="10" t="inlineStr">
        <is>
          <t>Gestión de Adquisiciones</t>
        </is>
      </c>
      <c r="F67" s="10" t="inlineStr">
        <is>
          <t>-</t>
        </is>
      </c>
      <c r="G67" s="10" t="inlineStr">
        <is>
          <t>Planificación de adquisiciones</t>
        </is>
      </c>
      <c r="H67" s="10" t="inlineStr">
        <is>
          <t>Resolución del comité de Adquisiciones</t>
        </is>
      </c>
      <c r="I67" s="10" t="inlineStr">
        <is>
          <t>Documentos de actas de resoluciones, convcatorias y sumillas</t>
        </is>
      </c>
      <c r="J67" s="10" t="inlineStr">
        <is>
          <t>Jefe Administrativo</t>
        </is>
      </c>
      <c r="K67" s="10" t="inlineStr">
        <is>
          <t>Jefe Administrativo</t>
        </is>
      </c>
      <c r="L67" s="10" t="inlineStr">
        <is>
          <t>UBICACIÓN DIGITAL - SISTEMA SARA</t>
        </is>
      </c>
      <c r="M67" s="10" t="inlineStr">
        <is>
          <t>SISTEMAS DE INFORMACIÓN CORPORATIVOS</t>
        </is>
      </c>
      <c r="N67" s="10" t="inlineStr">
        <is>
          <t>PRIMARIOS</t>
        </is>
      </c>
      <c r="O67" s="10" t="inlineStr">
        <is>
          <t>COMUNICACIÓN INTERNA</t>
        </is>
      </c>
      <c r="P67" s="10" t="inlineStr">
        <is>
          <t>USO INTERNO(2)</t>
        </is>
      </c>
      <c r="Q67" s="10" t="inlineStr">
        <is>
          <t>MEDIA(2)</t>
        </is>
      </c>
      <c r="R67" s="10" t="inlineStr">
        <is>
          <t>MEDIA(2)</t>
        </is>
      </c>
      <c r="S67" s="10">
        <f>+(IF(P67="PUBLICA(1)",1,IF(P67="USO INTERNO(2)",2,IF(P67="RESTRINGIDO(3)",3,3))))+(IF(Q67="BAJA(1)",1,IF(Q67="MEDIA(2)",2,IF(Q67="ALTA(3)",3,3))))+(IF(R67="BAJA(1)",1,IF(R67="MEDIA(2)",2,IF(R67="ALTA(3)",3,3))))</f>
        <v/>
      </c>
      <c r="T67" s="10">
        <f>+IF(S67&lt;6,"BAJA",IF(S67&lt;8,"MEDIA","ALTA"))</f>
        <v/>
      </c>
      <c r="U67" s="10" t="inlineStr">
        <is>
          <t>-</t>
        </is>
      </c>
      <c r="V67" s="24" t="n">
        <v>45680</v>
      </c>
      <c r="W67" s="19" t="inlineStr">
        <is>
          <t>N/A</t>
        </is>
      </c>
      <c r="X67" s="10">
        <f>+IFERROR(IF(VLOOKUP(Tabla2[[#This Row],[ID]],'EVALUACION DE RIESGO'!A:A,1,FALSE)=Tabla2[[#This Row],[ID]],"SI","NO"),"NO")</f>
        <v/>
      </c>
    </row>
    <row r="68">
      <c r="A68" s="91" t="inlineStr">
        <is>
          <t>66-GAD</t>
        </is>
      </c>
      <c r="B68" s="10" t="inlineStr">
        <is>
          <t>APOYO</t>
        </is>
      </c>
      <c r="C68" s="10" t="inlineStr">
        <is>
          <t xml:space="preserve">Gestión Administrativa </t>
        </is>
      </c>
      <c r="D68" s="10" t="inlineStr">
        <is>
          <t>GAD</t>
        </is>
      </c>
      <c r="E68" s="10" t="inlineStr">
        <is>
          <t>Gestión de Adquisiciones</t>
        </is>
      </c>
      <c r="F68" s="10" t="inlineStr">
        <is>
          <t>-</t>
        </is>
      </c>
      <c r="G68" s="10" t="inlineStr">
        <is>
          <t>Calificación de proveedores</t>
        </is>
      </c>
      <c r="H68" s="10" t="inlineStr">
        <is>
          <t>Registro de proveedores</t>
        </is>
      </c>
      <c r="I68" s="10" t="inlineStr">
        <is>
          <t>Registro de reporteria de proveedores con calificación promedio y por fechas , información registrada en el sistema SARA</t>
        </is>
      </c>
      <c r="J68" s="10" t="inlineStr">
        <is>
          <t>Jefe Administrativo</t>
        </is>
      </c>
      <c r="K68" s="10" t="inlineStr">
        <is>
          <t>Asistente administrativo</t>
        </is>
      </c>
      <c r="L68" s="10" t="inlineStr">
        <is>
          <t>UBICACIÓN DIGITAL - SISTEMA SARA</t>
        </is>
      </c>
      <c r="M68" s="10" t="inlineStr">
        <is>
          <t>SISTEMAS DE INFORMACIÓN CORPORATIVOS</t>
        </is>
      </c>
      <c r="N68" s="10" t="inlineStr">
        <is>
          <t>PRIMARIOS</t>
        </is>
      </c>
      <c r="O68" s="10" t="inlineStr">
        <is>
          <t>DOCUMENTOS TÉCNICOS</t>
        </is>
      </c>
      <c r="P68" s="10" t="inlineStr">
        <is>
          <t>USO INTERNO(2)</t>
        </is>
      </c>
      <c r="Q68" s="10" t="inlineStr">
        <is>
          <t>MEDIA(2)</t>
        </is>
      </c>
      <c r="R68" s="10" t="inlineStr">
        <is>
          <t>MEDIA(2)</t>
        </is>
      </c>
      <c r="S68" s="10">
        <f>+(IF(P68="PUBLICA(1)",1,IF(P68="USO INTERNO(2)",2,IF(P68="RESTRINGIDO(3)",3,3))))+(IF(Q68="BAJA(1)",1,IF(Q68="MEDIA(2)",2,IF(Q68="ALTA(3)",3,3))))+(IF(R68="BAJA(1)",1,IF(R68="MEDIA(2)",2,IF(R68="ALTA(3)",3,3))))</f>
        <v/>
      </c>
      <c r="T68" s="10">
        <f>+IF(S68&lt;6,"BAJA",IF(S68&lt;8,"MEDIA","ALTA"))</f>
        <v/>
      </c>
      <c r="U68" s="10" t="inlineStr">
        <is>
          <t>-</t>
        </is>
      </c>
      <c r="V68" s="24" t="n">
        <v>45680</v>
      </c>
      <c r="W68" s="19" t="inlineStr">
        <is>
          <t>N/A</t>
        </is>
      </c>
      <c r="X68" s="10">
        <f>+IFERROR(IF(VLOOKUP(Tabla2[[#This Row],[ID]],'EVALUACION DE RIESGO'!A:A,1,FALSE)=Tabla2[[#This Row],[ID]],"SI","NO"),"NO")</f>
        <v/>
      </c>
    </row>
    <row r="69">
      <c r="A69" s="91" t="inlineStr">
        <is>
          <t>67-GAD</t>
        </is>
      </c>
      <c r="B69" s="10" t="inlineStr">
        <is>
          <t>APOYO</t>
        </is>
      </c>
      <c r="C69" s="10" t="inlineStr">
        <is>
          <t xml:space="preserve">Gestión Administrativa </t>
        </is>
      </c>
      <c r="D69" s="10" t="inlineStr">
        <is>
          <t>GAD</t>
        </is>
      </c>
      <c r="E69" s="10" t="inlineStr">
        <is>
          <t>Gestión de Adquisiciones</t>
        </is>
      </c>
      <c r="F69" s="10" t="inlineStr">
        <is>
          <t>-</t>
        </is>
      </c>
      <c r="G69" s="10" t="inlineStr">
        <is>
          <t>Calificación de proveedores</t>
        </is>
      </c>
      <c r="H69" s="10" t="inlineStr">
        <is>
          <t>Reporte de inhabilitados</t>
        </is>
      </c>
      <c r="I69" s="10" t="inlineStr">
        <is>
          <t>Reporte de provvedores inhabilitados y su motivo, información registrada en el sisitema SARA</t>
        </is>
      </c>
      <c r="J69" s="10" t="inlineStr">
        <is>
          <t>Jefe Administrativo</t>
        </is>
      </c>
      <c r="K69" s="10" t="inlineStr">
        <is>
          <t>Asistente administrativo</t>
        </is>
      </c>
      <c r="L69" s="10" t="inlineStr">
        <is>
          <t>UBICACIÓN DIGITAL - SISTEMA SARA</t>
        </is>
      </c>
      <c r="M69" s="10" t="inlineStr">
        <is>
          <t>SISTEMAS DE INFORMACIÓN CORPORATIVOS</t>
        </is>
      </c>
      <c r="N69" s="10" t="inlineStr">
        <is>
          <t>PRIMARIOS</t>
        </is>
      </c>
      <c r="O69" s="10" t="inlineStr">
        <is>
          <t>DOCUMENTOS TÉCNICOS</t>
        </is>
      </c>
      <c r="P69" s="10" t="inlineStr">
        <is>
          <t>USO INTERNO(2)</t>
        </is>
      </c>
      <c r="Q69" s="10" t="inlineStr">
        <is>
          <t>MEDIA(2)</t>
        </is>
      </c>
      <c r="R69" s="10" t="inlineStr">
        <is>
          <t>MEDIA(2)</t>
        </is>
      </c>
      <c r="S69" s="10">
        <f>+(IF(P69="PUBLICA(1)",1,IF(P69="USO INTERNO(2)",2,IF(P69="RESTRINGIDO(3)",3,3))))+(IF(Q69="BAJA(1)",1,IF(Q69="MEDIA(2)",2,IF(Q69="ALTA(3)",3,3))))+(IF(R69="BAJA(1)",1,IF(R69="MEDIA(2)",2,IF(R69="ALTA(3)",3,3))))</f>
        <v/>
      </c>
      <c r="T69" s="10">
        <f>+IF(S69&lt;6,"BAJA",IF(S69&lt;8,"MEDIA","ALTA"))</f>
        <v/>
      </c>
      <c r="U69" s="10" t="inlineStr">
        <is>
          <t>-</t>
        </is>
      </c>
      <c r="V69" s="24" t="n">
        <v>45680</v>
      </c>
      <c r="W69" s="19" t="inlineStr">
        <is>
          <t>N/A</t>
        </is>
      </c>
      <c r="X69" s="10">
        <f>+IFERROR(IF(VLOOKUP(Tabla2[[#This Row],[ID]],'EVALUACION DE RIESGO'!A:A,1,FALSE)=Tabla2[[#This Row],[ID]],"SI","NO"),"NO")</f>
        <v/>
      </c>
    </row>
    <row r="70">
      <c r="A70" s="91" t="inlineStr">
        <is>
          <t>68-GAD</t>
        </is>
      </c>
      <c r="B70" s="10" t="inlineStr">
        <is>
          <t>APOYO</t>
        </is>
      </c>
      <c r="C70" s="10" t="inlineStr">
        <is>
          <t xml:space="preserve">Gestión Administrativa </t>
        </is>
      </c>
      <c r="D70" s="10" t="inlineStr">
        <is>
          <t>GAD</t>
        </is>
      </c>
      <c r="E70" s="10" t="inlineStr">
        <is>
          <t>Gestión de Adquisiciones</t>
        </is>
      </c>
      <c r="F70" s="10" t="inlineStr">
        <is>
          <t>-</t>
        </is>
      </c>
      <c r="G70" s="10" t="inlineStr">
        <is>
          <t>Contratación de bienes y servicios menores</t>
        </is>
      </c>
      <c r="H70" s="10" t="inlineStr">
        <is>
          <t>Proceso de contratación</t>
        </is>
      </c>
      <c r="I70" s="10" t="inlineStr">
        <is>
          <t xml:space="preserve">Proceso que se realiza en SARA </t>
        </is>
      </c>
      <c r="J70" s="10" t="inlineStr">
        <is>
          <t>Jefe Administrativo</t>
        </is>
      </c>
      <c r="K70" s="10" t="inlineStr">
        <is>
          <t>Asistente administrativo</t>
        </is>
      </c>
      <c r="L70" s="10" t="inlineStr">
        <is>
          <t>UBICACIÓN DIGITAL - SISTEMA SARA</t>
        </is>
      </c>
      <c r="M70" s="10" t="inlineStr">
        <is>
          <t>SISTEMAS DE INFORMACIÓN CORPORATIVOS</t>
        </is>
      </c>
      <c r="N70" s="10" t="inlineStr">
        <is>
          <t>PRIMARIOS</t>
        </is>
      </c>
      <c r="O70" s="10" t="inlineStr">
        <is>
          <t>COMUNICACIÓN INTERNA</t>
        </is>
      </c>
      <c r="P70" s="10" t="inlineStr">
        <is>
          <t>USO INTERNO(2)</t>
        </is>
      </c>
      <c r="Q70" s="10" t="inlineStr">
        <is>
          <t>BAJA(1)</t>
        </is>
      </c>
      <c r="R70" s="10" t="inlineStr">
        <is>
          <t>MEDIA(2)</t>
        </is>
      </c>
      <c r="S70" s="10">
        <f>+(IF(P70="PUBLICA(1)",1,IF(P70="USO INTERNO(2)",2,IF(P70="RESTRINGIDO(3)",3,3))))+(IF(Q70="BAJA(1)",1,IF(Q70="MEDIA(2)",2,IF(Q70="ALTA(3)",3,3))))+(IF(R70="BAJA(1)",1,IF(R70="MEDIA(2)",2,IF(R70="ALTA(3)",3,3))))</f>
        <v/>
      </c>
      <c r="T70" s="10">
        <f>+IF(S70&lt;6,"BAJA",IF(S70&lt;8,"MEDIA","ALTA"))</f>
        <v/>
      </c>
      <c r="U70" s="10" t="inlineStr">
        <is>
          <t>-</t>
        </is>
      </c>
      <c r="V70" s="24" t="n">
        <v>45680</v>
      </c>
      <c r="W70" s="19" t="inlineStr">
        <is>
          <t>N/A</t>
        </is>
      </c>
      <c r="X70" s="10">
        <f>+IFERROR(IF(VLOOKUP(Tabla2[[#This Row],[ID]],'EVALUACION DE RIESGO'!A:A,1,FALSE)=Tabla2[[#This Row],[ID]],"SI","NO"),"NO")</f>
        <v/>
      </c>
    </row>
    <row r="71">
      <c r="A71" s="91" t="inlineStr">
        <is>
          <t>69-GAD</t>
        </is>
      </c>
      <c r="B71" s="10" t="inlineStr">
        <is>
          <t>APOYO</t>
        </is>
      </c>
      <c r="C71" s="10" t="inlineStr">
        <is>
          <t xml:space="preserve">Gestión Administrativa </t>
        </is>
      </c>
      <c r="D71" s="10" t="inlineStr">
        <is>
          <t>GAD</t>
        </is>
      </c>
      <c r="E71" s="10" t="inlineStr">
        <is>
          <t>Gestión de Adquisiciones</t>
        </is>
      </c>
      <c r="F71" s="10" t="inlineStr">
        <is>
          <t>-</t>
        </is>
      </c>
      <c r="G71" s="10" t="inlineStr">
        <is>
          <t>Contratación de bienes y servicios menores</t>
        </is>
      </c>
      <c r="H71" s="10" t="inlineStr">
        <is>
          <t>Solicitud de elaboración de contrato</t>
        </is>
      </c>
      <c r="I71" s="10" t="inlineStr">
        <is>
          <t>Documento donde se registra el detalle del proveedor, datos del contrato, representante legal, objeto de la contratación, condiciones del contrato, precio, pago, plazo, garantías, detalle de anexos y documentos habilitantes, contactos, firmas de responsabilidad</t>
        </is>
      </c>
      <c r="J71" s="10" t="inlineStr">
        <is>
          <t>Jefe Administrativo</t>
        </is>
      </c>
      <c r="K71" s="10" t="inlineStr">
        <is>
          <t>Asistente administrativo</t>
        </is>
      </c>
      <c r="L71" s="10" t="inlineStr">
        <is>
          <t>UBICACIÓN DIGITAL - SISTEMA SARA</t>
        </is>
      </c>
      <c r="M71" s="10" t="inlineStr">
        <is>
          <t>SISTEMAS DE INFORMACIÓN CORPORATIVOS</t>
        </is>
      </c>
      <c r="N71" s="10" t="inlineStr">
        <is>
          <t>PRIMARIOS</t>
        </is>
      </c>
      <c r="O71" s="10" t="inlineStr">
        <is>
          <t>COMUNICACIÓN INTERNA</t>
        </is>
      </c>
      <c r="P71" s="10" t="inlineStr">
        <is>
          <t>USO INTERNO(2)</t>
        </is>
      </c>
      <c r="Q71" s="10" t="inlineStr">
        <is>
          <t>BAJA(1)</t>
        </is>
      </c>
      <c r="R71" s="10" t="inlineStr">
        <is>
          <t>MEDIA(2)</t>
        </is>
      </c>
      <c r="S71" s="10">
        <f>+(IF(P71="PUBLICA(1)",1,IF(P71="USO INTERNO(2)",2,IF(P71="RESTRINGIDO(3)",3,3))))+(IF(Q71="BAJA(1)",1,IF(Q71="MEDIA(2)",2,IF(Q71="ALTA(3)",3,3))))+(IF(R71="BAJA(1)",1,IF(R71="MEDIA(2)",2,IF(R71="ALTA(3)",3,3))))</f>
        <v/>
      </c>
      <c r="T71" s="10">
        <f>+IF(S71&lt;6,"BAJA",IF(S71&lt;8,"MEDIA","ALTA"))</f>
        <v/>
      </c>
      <c r="U71" s="10" t="inlineStr">
        <is>
          <t>-</t>
        </is>
      </c>
      <c r="V71" s="24" t="n">
        <v>45680</v>
      </c>
      <c r="W71" s="19" t="inlineStr">
        <is>
          <t>N/A</t>
        </is>
      </c>
      <c r="X71" s="10">
        <f>+IFERROR(IF(VLOOKUP(Tabla2[[#This Row],[ID]],'EVALUACION DE RIESGO'!A:A,1,FALSE)=Tabla2[[#This Row],[ID]],"SI","NO"),"NO")</f>
        <v/>
      </c>
    </row>
    <row r="72">
      <c r="A72" s="91" t="inlineStr">
        <is>
          <t>70-GAD</t>
        </is>
      </c>
      <c r="B72" s="10" t="inlineStr">
        <is>
          <t>APOYO</t>
        </is>
      </c>
      <c r="C72" s="10" t="inlineStr">
        <is>
          <t xml:space="preserve">Gestión Administrativa </t>
        </is>
      </c>
      <c r="D72" s="10" t="inlineStr">
        <is>
          <t>GAD</t>
        </is>
      </c>
      <c r="E72" s="10" t="inlineStr">
        <is>
          <t>Gestión de Adquisiciones</t>
        </is>
      </c>
      <c r="F72" s="10" t="inlineStr">
        <is>
          <t>-</t>
        </is>
      </c>
      <c r="G72" s="10" t="inlineStr">
        <is>
          <t>Contratación de bienes y servicios mayores</t>
        </is>
      </c>
      <c r="H72" s="10" t="inlineStr">
        <is>
          <t>File del proceso de contratación</t>
        </is>
      </c>
      <c r="I72" s="10" t="inlineStr">
        <is>
          <t>Hoja del resumen del proceso que detalla todo el proceso que se realizó en el sistema hasta que se adjudica el contrato</t>
        </is>
      </c>
      <c r="J72" s="10" t="inlineStr">
        <is>
          <t>Jefe Administrativo</t>
        </is>
      </c>
      <c r="K72" s="10" t="inlineStr">
        <is>
          <t>Asistente administrativo</t>
        </is>
      </c>
      <c r="L72" s="10" t="inlineStr">
        <is>
          <t>UBICACIÓN DIGITAL - SISTEMA SARA</t>
        </is>
      </c>
      <c r="M72" s="10" t="inlineStr">
        <is>
          <t>SISTEMAS DE INFORMACIÓN CORPORATIVOS</t>
        </is>
      </c>
      <c r="N72" s="10" t="inlineStr">
        <is>
          <t>PRIMARIOS</t>
        </is>
      </c>
      <c r="O72" s="10" t="inlineStr">
        <is>
          <t>DOCUMENTOS TÉCNICOS</t>
        </is>
      </c>
      <c r="P72" s="10" t="inlineStr">
        <is>
          <t>USO INTERNO(2)</t>
        </is>
      </c>
      <c r="Q72" s="10" t="inlineStr">
        <is>
          <t>MEDIA(2)</t>
        </is>
      </c>
      <c r="R72" s="10" t="inlineStr">
        <is>
          <t>MEDIA(2)</t>
        </is>
      </c>
      <c r="S72" s="10">
        <f>+(IF(P72="PUBLICA(1)",1,IF(P72="USO INTERNO(2)",2,IF(P72="RESTRINGIDO(3)",3,3))))+(IF(Q72="BAJA(1)",1,IF(Q72="MEDIA(2)",2,IF(Q72="ALTA(3)",3,3))))+(IF(R72="BAJA(1)",1,IF(R72="MEDIA(2)",2,IF(R72="ALTA(3)",3,3))))</f>
        <v/>
      </c>
      <c r="T72" s="10">
        <f>+IF(S72&lt;6,"BAJA",IF(S72&lt;8,"MEDIA","ALTA"))</f>
        <v/>
      </c>
      <c r="U72" s="10" t="inlineStr">
        <is>
          <t>-</t>
        </is>
      </c>
      <c r="V72" s="24" t="n">
        <v>45680</v>
      </c>
      <c r="W72" s="19" t="inlineStr">
        <is>
          <t>N/A</t>
        </is>
      </c>
      <c r="X72" s="10">
        <f>+IFERROR(IF(VLOOKUP(Tabla2[[#This Row],[ID]],'EVALUACION DE RIESGO'!A:A,1,FALSE)=Tabla2[[#This Row],[ID]],"SI","NO"),"NO")</f>
        <v/>
      </c>
    </row>
    <row r="73" ht="41" customHeight="1" s="98">
      <c r="A73" s="91" t="inlineStr">
        <is>
          <t>71-GAD</t>
        </is>
      </c>
      <c r="B73" s="10" t="inlineStr">
        <is>
          <t>APOYO</t>
        </is>
      </c>
      <c r="C73" s="10" t="inlineStr">
        <is>
          <t xml:space="preserve">Gestión Administrativa </t>
        </is>
      </c>
      <c r="D73" s="10" t="inlineStr">
        <is>
          <t>GAD</t>
        </is>
      </c>
      <c r="E73" s="10" t="inlineStr">
        <is>
          <t>Gestión de Adquisiciones</t>
        </is>
      </c>
      <c r="F73" s="10" t="inlineStr">
        <is>
          <t>-</t>
        </is>
      </c>
      <c r="G73" s="10" t="inlineStr">
        <is>
          <t>Contratación de bienes y servicios mayores</t>
        </is>
      </c>
      <c r="H73" s="17" t="inlineStr">
        <is>
          <t>Contrato</t>
        </is>
      </c>
      <c r="I73" s="17" t="inlineStr">
        <is>
          <t>Contrato receptado por Jurídico Físico o digital con sumilla legalizado por los responsables, y se entrega jurídico el físico y el digital se sube a SARA.</t>
        </is>
      </c>
      <c r="J73" s="10" t="inlineStr">
        <is>
          <t>Jefe Administrativo</t>
        </is>
      </c>
      <c r="K73" s="10" t="inlineStr">
        <is>
          <t>Asistente administrativo</t>
        </is>
      </c>
      <c r="L73" s="10" t="inlineStr">
        <is>
          <t>UBICACIÓN DIGITAL - SISTEMA SARA</t>
        </is>
      </c>
      <c r="M73" s="10" t="inlineStr">
        <is>
          <t>SISTEMAS DE INFORMACIÓN CORPORATIVOS</t>
        </is>
      </c>
      <c r="N73" s="10" t="inlineStr">
        <is>
          <t>PRIMARIOS</t>
        </is>
      </c>
      <c r="O73" s="10" t="inlineStr">
        <is>
          <t>DOCUMENTOS HABILITANTES</t>
        </is>
      </c>
      <c r="P73" s="10" t="inlineStr">
        <is>
          <t>RESTRINGIDO(3)</t>
        </is>
      </c>
      <c r="Q73" s="10" t="inlineStr">
        <is>
          <t>MEDIA(2)</t>
        </is>
      </c>
      <c r="R73" s="10" t="inlineStr">
        <is>
          <t>ALTA(3)</t>
        </is>
      </c>
      <c r="S73" s="10">
        <f>+(IF(P73="PUBLICA(1)",1,IF(P73="USO INTERNO(2)",2,IF(P73="RESTRINGIDO(3)",3,3))))+(IF(Q73="BAJA(1)",1,IF(Q73="MEDIA(2)",2,IF(Q73="ALTA(3)",3,3))))+(IF(R73="BAJA(1)",1,IF(R73="MEDIA(2)",2,IF(R73="ALTA(3)",3,3))))</f>
        <v/>
      </c>
      <c r="T73" s="10">
        <f>+IF(S73&lt;6,"BAJA",IF(S73&lt;8,"MEDIA","ALTA"))</f>
        <v/>
      </c>
      <c r="U73" s="10" t="inlineStr">
        <is>
          <t>-</t>
        </is>
      </c>
      <c r="V73" s="24" t="n">
        <v>45680</v>
      </c>
      <c r="W73" s="19" t="inlineStr">
        <is>
          <t>N/A</t>
        </is>
      </c>
      <c r="X73" s="10">
        <f>+IFERROR(IF(VLOOKUP(Tabla2[[#This Row],[ID]],'EVALUACION DE RIESGO'!A:A,1,FALSE)=Tabla2[[#This Row],[ID]],"SI","NO"),"NO")</f>
        <v/>
      </c>
    </row>
    <row r="74">
      <c r="A74" s="91" t="inlineStr">
        <is>
          <t>72-GAD</t>
        </is>
      </c>
      <c r="B74" s="10" t="inlineStr">
        <is>
          <t>APOYO</t>
        </is>
      </c>
      <c r="C74" s="10" t="inlineStr">
        <is>
          <t xml:space="preserve">Gestión Administrativa </t>
        </is>
      </c>
      <c r="D74" s="10" t="inlineStr">
        <is>
          <t>GAD</t>
        </is>
      </c>
      <c r="E74" s="10" t="inlineStr">
        <is>
          <t>Gestión de Adquisiciones</t>
        </is>
      </c>
      <c r="F74" s="10" t="inlineStr">
        <is>
          <t>-</t>
        </is>
      </c>
      <c r="G74" s="10" t="inlineStr">
        <is>
          <t>Renovación de contratos</t>
        </is>
      </c>
      <c r="H74" s="10" t="inlineStr">
        <is>
          <t>Formulario de evaluación</t>
        </is>
      </c>
      <c r="I74" s="10" t="inlineStr">
        <is>
          <t>Respaldo de autorización o certificación enviada por el área requiriente para la renovación</t>
        </is>
      </c>
      <c r="J74" s="10" t="inlineStr">
        <is>
          <t>Jefe Administrativo</t>
        </is>
      </c>
      <c r="K74" s="10" t="inlineStr">
        <is>
          <t>Asistente administrativo</t>
        </is>
      </c>
      <c r="L74" s="10" t="inlineStr">
        <is>
          <t>UBICACIÓN DIGITAL - SISTEMA SARA</t>
        </is>
      </c>
      <c r="M74" s="10" t="inlineStr">
        <is>
          <t>SISTEMAS DE INFORMACIÓN CORPORATIVOS</t>
        </is>
      </c>
      <c r="N74" s="10" t="inlineStr">
        <is>
          <t>PRIMARIOS</t>
        </is>
      </c>
      <c r="O74" s="10" t="inlineStr">
        <is>
          <t>DOCUMENTOS TÉCNICOS</t>
        </is>
      </c>
      <c r="P74" s="10" t="inlineStr">
        <is>
          <t>USO INTERNO(2)</t>
        </is>
      </c>
      <c r="Q74" s="10" t="inlineStr">
        <is>
          <t>BAJA(1)</t>
        </is>
      </c>
      <c r="R74" s="10" t="inlineStr">
        <is>
          <t>BAJA(1)</t>
        </is>
      </c>
      <c r="S74" s="10">
        <f>+(IF(P74="PUBLICA(1)",1,IF(P74="USO INTERNO(2)",2,IF(P74="RESTRINGIDO(3)",3,3))))+(IF(Q74="BAJA(1)",1,IF(Q74="MEDIA(2)",2,IF(Q74="ALTA(3)",3,3))))+(IF(R74="BAJA(1)",1,IF(R74="MEDIA(2)",2,IF(R74="ALTA(3)",3,3))))</f>
        <v/>
      </c>
      <c r="T74" s="10">
        <f>+IF(S74&lt;6,"BAJA",IF(S74&lt;8,"MEDIA","ALTA"))</f>
        <v/>
      </c>
      <c r="U74" s="10" t="inlineStr">
        <is>
          <t>-</t>
        </is>
      </c>
      <c r="V74" s="24" t="n">
        <v>45680</v>
      </c>
      <c r="W74" s="19" t="inlineStr">
        <is>
          <t>N/A</t>
        </is>
      </c>
      <c r="X74" s="10">
        <f>+IFERROR(IF(VLOOKUP(Tabla2[[#This Row],[ID]],'EVALUACION DE RIESGO'!A:A,1,FALSE)=Tabla2[[#This Row],[ID]],"SI","NO"),"NO")</f>
        <v/>
      </c>
    </row>
    <row r="75">
      <c r="A75" s="91" t="inlineStr">
        <is>
          <t>73-GAD</t>
        </is>
      </c>
      <c r="B75" s="10" t="inlineStr">
        <is>
          <t>APOYO</t>
        </is>
      </c>
      <c r="C75" s="10" t="inlineStr">
        <is>
          <t xml:space="preserve">Gestión Administrativa </t>
        </is>
      </c>
      <c r="D75" s="10" t="inlineStr">
        <is>
          <t>GAD</t>
        </is>
      </c>
      <c r="E75" s="10" t="inlineStr">
        <is>
          <t>Gestión de Adquisiciones</t>
        </is>
      </c>
      <c r="F75" s="10" t="inlineStr">
        <is>
          <t>-</t>
        </is>
      </c>
      <c r="G75" s="10" t="inlineStr">
        <is>
          <t>Renovación de contratos</t>
        </is>
      </c>
      <c r="H75" s="10" t="inlineStr">
        <is>
          <t>Solicitud de renovación de contrato</t>
        </is>
      </c>
      <c r="I75" s="10" t="inlineStr">
        <is>
          <t>Informe donde se solicita la renovación por parte del área adquiriente</t>
        </is>
      </c>
      <c r="J75" s="10" t="inlineStr">
        <is>
          <t>Jefe Administrativo</t>
        </is>
      </c>
      <c r="K75" s="10" t="inlineStr">
        <is>
          <t>Asistente administrativo</t>
        </is>
      </c>
      <c r="L75" s="10" t="inlineStr">
        <is>
          <t>UBICACIÓN DIGITAL - SISTEMA SARA</t>
        </is>
      </c>
      <c r="M75" s="10" t="inlineStr">
        <is>
          <t>SISTEMAS DE INFORMACIÓN CORPORATIVOS</t>
        </is>
      </c>
      <c r="N75" s="10" t="inlineStr">
        <is>
          <t>PRIMARIOS</t>
        </is>
      </c>
      <c r="O75" s="10" t="inlineStr">
        <is>
          <t>COMUNICACIÓN INTERNA</t>
        </is>
      </c>
      <c r="P75" s="10" t="inlineStr">
        <is>
          <t>USO INTERNO(2)</t>
        </is>
      </c>
      <c r="Q75" s="10" t="inlineStr">
        <is>
          <t>MEDIA(2)</t>
        </is>
      </c>
      <c r="R75" s="10" t="inlineStr">
        <is>
          <t>BAJA(1)</t>
        </is>
      </c>
      <c r="S75" s="10">
        <f>+(IF(P75="PUBLICA(1)",1,IF(P75="USO INTERNO(2)",2,IF(P75="RESTRINGIDO(3)",3,3))))+(IF(Q75="BAJA(1)",1,IF(Q75="MEDIA(2)",2,IF(Q75="ALTA(3)",3,3))))+(IF(R75="BAJA(1)",1,IF(R75="MEDIA(2)",2,IF(R75="ALTA(3)",3,3))))</f>
        <v/>
      </c>
      <c r="T75" s="10">
        <f>+IF(S75&lt;6,"BAJA",IF(S75&lt;8,"MEDIA","ALTA"))</f>
        <v/>
      </c>
      <c r="U75" s="10" t="inlineStr">
        <is>
          <t>-</t>
        </is>
      </c>
      <c r="V75" s="24" t="n">
        <v>45680</v>
      </c>
      <c r="W75" s="19" t="inlineStr">
        <is>
          <t>N/A</t>
        </is>
      </c>
      <c r="X75" s="10">
        <f>+IFERROR(IF(VLOOKUP(Tabla2[[#This Row],[ID]],'EVALUACION DE RIESGO'!A:A,1,FALSE)=Tabla2[[#This Row],[ID]],"SI","NO"),"NO")</f>
        <v/>
      </c>
    </row>
    <row r="76">
      <c r="A76" s="91" t="inlineStr">
        <is>
          <t>74-GAD</t>
        </is>
      </c>
      <c r="B76" s="10" t="inlineStr">
        <is>
          <t>APOYO</t>
        </is>
      </c>
      <c r="C76" s="10" t="inlineStr">
        <is>
          <t xml:space="preserve">Gestión Administrativa </t>
        </is>
      </c>
      <c r="D76" s="10" t="inlineStr">
        <is>
          <t>GAD</t>
        </is>
      </c>
      <c r="E76" s="10" t="inlineStr">
        <is>
          <t>Gestión de Adquisiciones</t>
        </is>
      </c>
      <c r="F76" s="10" t="inlineStr">
        <is>
          <t>-</t>
        </is>
      </c>
      <c r="G76" s="10" t="inlineStr">
        <is>
          <t>Renovación de contratos</t>
        </is>
      </c>
      <c r="H76" s="10" t="inlineStr">
        <is>
          <t>Registro de proveedores</t>
        </is>
      </c>
      <c r="I76" s="10" t="inlineStr">
        <is>
          <t>Informe o registro de los contratos realizados</t>
        </is>
      </c>
      <c r="J76" s="10" t="inlineStr">
        <is>
          <t>Jefe Administrativo</t>
        </is>
      </c>
      <c r="K76" s="10" t="inlineStr">
        <is>
          <t>Asistente administrativo</t>
        </is>
      </c>
      <c r="L76" s="10" t="inlineStr">
        <is>
          <t>UBICACIÓN DIGITAL - SISTEMA SARA</t>
        </is>
      </c>
      <c r="M76" s="10" t="inlineStr">
        <is>
          <t>SISTEMAS DE INFORMACIÓN CORPORATIVOS</t>
        </is>
      </c>
      <c r="N76" s="10" t="inlineStr">
        <is>
          <t>PRIMARIOS</t>
        </is>
      </c>
      <c r="O76" s="10" t="inlineStr">
        <is>
          <t>DOCUMENTOS TÉCNICOS</t>
        </is>
      </c>
      <c r="P76" s="10" t="inlineStr">
        <is>
          <t>USO INTERNO(2)</t>
        </is>
      </c>
      <c r="Q76" s="10" t="inlineStr">
        <is>
          <t>MEDIA(2)</t>
        </is>
      </c>
      <c r="R76" s="10" t="inlineStr">
        <is>
          <t>BAJA(1)</t>
        </is>
      </c>
      <c r="S76" s="10">
        <f>+(IF(P76="PUBLICA(1)",1,IF(P76="USO INTERNO(2)",2,IF(P76="RESTRINGIDO(3)",3,3))))+(IF(Q76="BAJA(1)",1,IF(Q76="MEDIA(2)",2,IF(Q76="ALTA(3)",3,3))))+(IF(R76="BAJA(1)",1,IF(R76="MEDIA(2)",2,IF(R76="ALTA(3)",3,3))))</f>
        <v/>
      </c>
      <c r="T76" s="10">
        <f>+IF(S76&lt;6,"BAJA",IF(S76&lt;8,"MEDIA","ALTA"))</f>
        <v/>
      </c>
      <c r="U76" s="10" t="inlineStr">
        <is>
          <t>-</t>
        </is>
      </c>
      <c r="V76" s="24" t="n">
        <v>45680</v>
      </c>
      <c r="W76" s="19" t="inlineStr">
        <is>
          <t>N/A</t>
        </is>
      </c>
      <c r="X76" s="10">
        <f>+IFERROR(IF(VLOOKUP(Tabla2[[#This Row],[ID]],'EVALUACION DE RIESGO'!A:A,1,FALSE)=Tabla2[[#This Row],[ID]],"SI","NO"),"NO")</f>
        <v/>
      </c>
    </row>
    <row r="77">
      <c r="A77" s="91" t="inlineStr">
        <is>
          <t>75-GAD</t>
        </is>
      </c>
      <c r="B77" s="10" t="inlineStr">
        <is>
          <t>APOYO</t>
        </is>
      </c>
      <c r="C77" s="10" t="inlineStr">
        <is>
          <t xml:space="preserve">Gestión Administrativa </t>
        </is>
      </c>
      <c r="D77" s="10" t="inlineStr">
        <is>
          <t>GAD</t>
        </is>
      </c>
      <c r="E77" s="10" t="inlineStr">
        <is>
          <t>Gestión de Adquisiciones</t>
        </is>
      </c>
      <c r="F77" s="10" t="inlineStr">
        <is>
          <t>-</t>
        </is>
      </c>
      <c r="G77" s="10" t="inlineStr">
        <is>
          <t xml:space="preserve">Pago a proveedores  </t>
        </is>
      </c>
      <c r="H77" s="10" t="inlineStr">
        <is>
          <t>Aval Técnico de Recepción</t>
        </is>
      </c>
      <c r="I77" s="10" t="inlineStr">
        <is>
          <t>Documento donde se detalla el producto o servicio que se adquiere, entrega satisfacción</t>
        </is>
      </c>
      <c r="J77" s="10" t="inlineStr">
        <is>
          <t>Jefe Administrativo</t>
        </is>
      </c>
      <c r="K77" s="10" t="inlineStr">
        <is>
          <t>Asistente administrativo</t>
        </is>
      </c>
      <c r="L77" s="10" t="inlineStr">
        <is>
          <t>UBICACIÓN DIGITAL-PÁGINA WEB</t>
        </is>
      </c>
      <c r="M77" s="10" t="inlineStr">
        <is>
          <t>SISTEMAS DE INFORMACIÓN CORPORATIVOS</t>
        </is>
      </c>
      <c r="N77" s="10" t="inlineStr">
        <is>
          <t>PRIMARIOS</t>
        </is>
      </c>
      <c r="O77" s="10" t="inlineStr">
        <is>
          <t>DOCUMENTOS HABILITANTES</t>
        </is>
      </c>
      <c r="P77" s="10" t="inlineStr">
        <is>
          <t>USO INTERNO(2)</t>
        </is>
      </c>
      <c r="Q77" s="10" t="inlineStr">
        <is>
          <t>MEDIA(2)</t>
        </is>
      </c>
      <c r="R77" s="10" t="inlineStr">
        <is>
          <t>MEDIA(2)</t>
        </is>
      </c>
      <c r="S77" s="10">
        <f>+(IF(P77="PUBLICA(1)",1,IF(P77="USO INTERNO(2)",2,IF(P77="RESTRINGIDO(3)",3,3))))+(IF(Q77="BAJA(1)",1,IF(Q77="MEDIA(2)",2,IF(Q77="ALTA(3)",3,3))))+(IF(R77="BAJA(1)",1,IF(R77="MEDIA(2)",2,IF(R77="ALTA(3)",3,3))))</f>
        <v/>
      </c>
      <c r="T77" s="10">
        <f>+IF(S77&lt;6,"BAJA",IF(S77&lt;8,"MEDIA","ALTA"))</f>
        <v/>
      </c>
      <c r="U77" s="10" t="inlineStr">
        <is>
          <t>-</t>
        </is>
      </c>
      <c r="V77" s="24" t="n">
        <v>45680</v>
      </c>
      <c r="W77" s="19" t="inlineStr">
        <is>
          <t>N/A</t>
        </is>
      </c>
      <c r="X77" s="10">
        <f>+IFERROR(IF(VLOOKUP(Tabla2[[#This Row],[ID]],'EVALUACION DE RIESGO'!A:A,1,FALSE)=Tabla2[[#This Row],[ID]],"SI","NO"),"NO")</f>
        <v/>
      </c>
    </row>
    <row r="78">
      <c r="A78" s="91" t="inlineStr">
        <is>
          <t>76-GAD</t>
        </is>
      </c>
      <c r="B78" s="10" t="inlineStr">
        <is>
          <t>APOYO</t>
        </is>
      </c>
      <c r="C78" s="10" t="inlineStr">
        <is>
          <t xml:space="preserve">Gestión Administrativa </t>
        </is>
      </c>
      <c r="D78" s="10" t="inlineStr">
        <is>
          <t>GAD</t>
        </is>
      </c>
      <c r="E78" s="10" t="inlineStr">
        <is>
          <t>Gestión de Adquisiciones</t>
        </is>
      </c>
      <c r="F78" s="10" t="inlineStr">
        <is>
          <t>-</t>
        </is>
      </c>
      <c r="G78" s="10" t="inlineStr">
        <is>
          <t xml:space="preserve">Pago a proveedores  </t>
        </is>
      </c>
      <c r="H78" s="10" t="inlineStr">
        <is>
          <t>Acta Entrega Recepción</t>
        </is>
      </c>
      <c r="I78" s="10" t="inlineStr">
        <is>
          <t>Acta entrega recepción que se almacena en el sistema Sara donde se detallan todos los valores del producto adquirido / se adjunta toda la información posible que se recibe del proveedor</t>
        </is>
      </c>
      <c r="J78" s="10" t="inlineStr">
        <is>
          <t>Jefe Administrativo</t>
        </is>
      </c>
      <c r="K78" s="10" t="inlineStr">
        <is>
          <t>Asistente administrativo</t>
        </is>
      </c>
      <c r="L78" s="10" t="inlineStr">
        <is>
          <t>UBICACIÓN DIGITAL-PÁGINA WEB</t>
        </is>
      </c>
      <c r="M78" s="10" t="inlineStr">
        <is>
          <t>SISTEMAS DE INFORMACIÓN CORPORATIVOS</t>
        </is>
      </c>
      <c r="N78" s="10" t="inlineStr">
        <is>
          <t>PRIMARIOS</t>
        </is>
      </c>
      <c r="O78" s="10" t="inlineStr">
        <is>
          <t>DOCUMENTOS HABILITANTES</t>
        </is>
      </c>
      <c r="P78" s="10" t="inlineStr">
        <is>
          <t>USO INTERNO(2)</t>
        </is>
      </c>
      <c r="Q78" s="10" t="inlineStr">
        <is>
          <t>MEDIA(2)</t>
        </is>
      </c>
      <c r="R78" s="10" t="inlineStr">
        <is>
          <t>MEDIA(2)</t>
        </is>
      </c>
      <c r="S78" s="10">
        <f>+(IF(P78="PUBLICA(1)",1,IF(P78="USO INTERNO(2)",2,IF(P78="RESTRINGIDO(3)",3,3))))+(IF(Q78="BAJA(1)",1,IF(Q78="MEDIA(2)",2,IF(Q78="ALTA(3)",3,3))))+(IF(R78="BAJA(1)",1,IF(R78="MEDIA(2)",2,IF(R78="ALTA(3)",3,3))))</f>
        <v/>
      </c>
      <c r="T78" s="10">
        <f>+IF(S78&lt;6,"BAJA",IF(S78&lt;8,"MEDIA","ALTA"))</f>
        <v/>
      </c>
      <c r="U78" s="10" t="inlineStr">
        <is>
          <t>-</t>
        </is>
      </c>
      <c r="V78" s="24" t="n">
        <v>45680</v>
      </c>
      <c r="W78" s="19" t="inlineStr">
        <is>
          <t>N/A</t>
        </is>
      </c>
      <c r="X78" s="10">
        <f>+IFERROR(IF(VLOOKUP(Tabla2[[#This Row],[ID]],'EVALUACION DE RIESGO'!A:A,1,FALSE)=Tabla2[[#This Row],[ID]],"SI","NO"),"NO")</f>
        <v/>
      </c>
    </row>
    <row r="79">
      <c r="A79" s="91" t="inlineStr">
        <is>
          <t>77-GAD</t>
        </is>
      </c>
      <c r="B79" s="10" t="inlineStr">
        <is>
          <t>APOYO</t>
        </is>
      </c>
      <c r="C79" s="10" t="inlineStr">
        <is>
          <t xml:space="preserve">Gestión Administrativa </t>
        </is>
      </c>
      <c r="D79" s="10" t="inlineStr">
        <is>
          <t>GAD</t>
        </is>
      </c>
      <c r="E79" s="10" t="inlineStr">
        <is>
          <t>Gestión de Adquisiciones</t>
        </is>
      </c>
      <c r="F79" s="10" t="inlineStr">
        <is>
          <t>-</t>
        </is>
      </c>
      <c r="G79" s="10" t="inlineStr">
        <is>
          <t xml:space="preserve">Pago a proveedores  </t>
        </is>
      </c>
      <c r="H79" s="10" t="inlineStr">
        <is>
          <t>Orden de pago</t>
        </is>
      </c>
      <c r="I79" s="10" t="inlineStr">
        <is>
          <t>Orden de pago donde se detalla el numero de contrato empresa institución valores impuestos fecha dirigido , información que se dirige a contabilidad</t>
        </is>
      </c>
      <c r="J79" s="10" t="inlineStr">
        <is>
          <t>Jefe Administrativo</t>
        </is>
      </c>
      <c r="K79" s="10" t="inlineStr">
        <is>
          <t>Asistente administrativo</t>
        </is>
      </c>
      <c r="L79" s="10" t="inlineStr">
        <is>
          <t>DOCUMENTOS FISICOS-ARCHIVOS DE LA OFICINA</t>
        </is>
      </c>
      <c r="M79" s="10" t="inlineStr">
        <is>
          <t>DOCUMENTO DE ARCHIVO-FÍSICO</t>
        </is>
      </c>
      <c r="N79" s="10" t="inlineStr">
        <is>
          <t>PRIMARIOS</t>
        </is>
      </c>
      <c r="O79" s="10" t="inlineStr">
        <is>
          <t>DOCUMENTOS HABILITANTES</t>
        </is>
      </c>
      <c r="P79" s="10" t="inlineStr">
        <is>
          <t>USO INTERNO(2)</t>
        </is>
      </c>
      <c r="Q79" s="10" t="inlineStr">
        <is>
          <t>MEDIA(2)</t>
        </is>
      </c>
      <c r="R79" s="10" t="inlineStr">
        <is>
          <t>MEDIA(2)</t>
        </is>
      </c>
      <c r="S79" s="10">
        <f>+(IF(P79="PUBLICA(1)",1,IF(P79="USO INTERNO(2)",2,IF(P79="RESTRINGIDO(3)",3,3))))+(IF(Q79="BAJA(1)",1,IF(Q79="MEDIA(2)",2,IF(Q79="ALTA(3)",3,3))))+(IF(R79="BAJA(1)",1,IF(R79="MEDIA(2)",2,IF(R79="ALTA(3)",3,3))))</f>
        <v/>
      </c>
      <c r="T79" s="10">
        <f>+IF(S79&lt;6,"BAJA",IF(S79&lt;8,"MEDIA","ALTA"))</f>
        <v/>
      </c>
      <c r="U79" s="10" t="inlineStr">
        <is>
          <t>-</t>
        </is>
      </c>
      <c r="V79" s="24" t="n">
        <v>45680</v>
      </c>
      <c r="W79" s="19" t="inlineStr">
        <is>
          <t>N/A</t>
        </is>
      </c>
      <c r="X79" s="10">
        <f>+IFERROR(IF(VLOOKUP(Tabla2[[#This Row],[ID]],'EVALUACION DE RIESGO'!A:A,1,FALSE)=Tabla2[[#This Row],[ID]],"SI","NO"),"NO")</f>
        <v/>
      </c>
    </row>
    <row r="80">
      <c r="A80" s="91" t="inlineStr">
        <is>
          <t>78-GAD</t>
        </is>
      </c>
      <c r="B80" s="10" t="inlineStr">
        <is>
          <t>APOYO</t>
        </is>
      </c>
      <c r="C80" s="10" t="inlineStr">
        <is>
          <t xml:space="preserve">Gestión Administrativa </t>
        </is>
      </c>
      <c r="D80" s="10" t="inlineStr">
        <is>
          <t>GAD</t>
        </is>
      </c>
      <c r="E80" s="10" t="inlineStr">
        <is>
          <t>Gestión de Adquisiciones</t>
        </is>
      </c>
      <c r="F80" s="10" t="inlineStr">
        <is>
          <t>-</t>
        </is>
      </c>
      <c r="G80" s="10" t="inlineStr">
        <is>
          <t xml:space="preserve">Pago a proveedores  </t>
        </is>
      </c>
      <c r="H80" s="10" t="inlineStr">
        <is>
          <t>Comprobante de venta</t>
        </is>
      </c>
      <c r="I80" s="10" t="inlineStr">
        <is>
          <t>Facturas o notas de venta que llegan a administrativo en físico o digital</t>
        </is>
      </c>
      <c r="J80" s="10" t="inlineStr">
        <is>
          <t>Jefe Administrativo</t>
        </is>
      </c>
      <c r="K80" s="10" t="inlineStr">
        <is>
          <t>Asistente administrativo</t>
        </is>
      </c>
      <c r="L80" s="10" t="inlineStr">
        <is>
          <t>UBICACIÓN DIGITAL-PÁGINA WEB</t>
        </is>
      </c>
      <c r="M80" s="10" t="inlineStr">
        <is>
          <t>SISTEMAS DE INFORMACIÓN CORPORATIVOS</t>
        </is>
      </c>
      <c r="N80" s="10" t="inlineStr">
        <is>
          <t>PRIMARIOS</t>
        </is>
      </c>
      <c r="O80" s="10" t="inlineStr">
        <is>
          <t>DOCUMENTOS HABILITANTES</t>
        </is>
      </c>
      <c r="P80" s="10" t="inlineStr">
        <is>
          <t>USO INTERNO(2)</t>
        </is>
      </c>
      <c r="Q80" s="10" t="inlineStr">
        <is>
          <t>MEDIA(2)</t>
        </is>
      </c>
      <c r="R80" s="10" t="inlineStr">
        <is>
          <t>MEDIA(2)</t>
        </is>
      </c>
      <c r="S80" s="10">
        <f>+(IF(P80="PUBLICA(1)",1,IF(P80="USO INTERNO(2)",2,IF(P80="RESTRINGIDO(3)",3,3))))+(IF(Q80="BAJA(1)",1,IF(Q80="MEDIA(2)",2,IF(Q80="ALTA(3)",3,3))))+(IF(R80="BAJA(1)",1,IF(R80="MEDIA(2)",2,IF(R80="ALTA(3)",3,3))))</f>
        <v/>
      </c>
      <c r="T80" s="10">
        <f>+IF(S80&lt;6,"BAJA",IF(S80&lt;8,"MEDIA","ALTA"))</f>
        <v/>
      </c>
      <c r="U80" s="10" t="inlineStr">
        <is>
          <t>-</t>
        </is>
      </c>
      <c r="V80" s="24" t="n">
        <v>45680</v>
      </c>
      <c r="W80" s="19" t="inlineStr">
        <is>
          <t>N/A</t>
        </is>
      </c>
      <c r="X80" s="10">
        <f>+IFERROR(IF(VLOOKUP(Tabla2[[#This Row],[ID]],'EVALUACION DE RIESGO'!A:A,1,FALSE)=Tabla2[[#This Row],[ID]],"SI","NO"),"NO")</f>
        <v/>
      </c>
    </row>
    <row r="81">
      <c r="A81" s="91" t="inlineStr">
        <is>
          <t>79-GAD</t>
        </is>
      </c>
      <c r="B81" s="10" t="inlineStr">
        <is>
          <t>APOYO</t>
        </is>
      </c>
      <c r="C81" s="10" t="inlineStr">
        <is>
          <t xml:space="preserve">Gestión Administrativa </t>
        </is>
      </c>
      <c r="D81" s="10" t="inlineStr">
        <is>
          <t>GAD</t>
        </is>
      </c>
      <c r="E81" s="10" t="inlineStr">
        <is>
          <t>Gestión de Adquisiciones</t>
        </is>
      </c>
      <c r="F81" s="10" t="inlineStr">
        <is>
          <t>-</t>
        </is>
      </c>
      <c r="G81" s="10" t="inlineStr">
        <is>
          <t xml:space="preserve">Pago a proveedores  </t>
        </is>
      </c>
      <c r="H81" s="10" t="inlineStr">
        <is>
          <t>Registro de adquisiciones</t>
        </is>
      </c>
      <c r="I81" s="10" t="inlineStr">
        <is>
          <t>Registro de actividades que se realizan en el sistema Sara para la adquisición</t>
        </is>
      </c>
      <c r="J81" s="10" t="inlineStr">
        <is>
          <t>Jefe Administrativo</t>
        </is>
      </c>
      <c r="K81" s="10" t="inlineStr">
        <is>
          <t>Asistente administrativo</t>
        </is>
      </c>
      <c r="L81" s="10" t="inlineStr">
        <is>
          <t>UBICACIÓN DIGITAL-PÁGINA WEB</t>
        </is>
      </c>
      <c r="M81" s="10" t="inlineStr">
        <is>
          <t>SISTEMAS DE INFORMACIÓN CORPORATIVOS</t>
        </is>
      </c>
      <c r="N81" s="10" t="inlineStr">
        <is>
          <t>PRIMARIOS</t>
        </is>
      </c>
      <c r="O81" s="10" t="inlineStr">
        <is>
          <t>DOCUMENTOS HABILITANTES</t>
        </is>
      </c>
      <c r="P81" s="10" t="inlineStr">
        <is>
          <t>USO INTERNO(2)</t>
        </is>
      </c>
      <c r="Q81" s="10" t="inlineStr">
        <is>
          <t>BAJA(1)</t>
        </is>
      </c>
      <c r="R81" s="10" t="inlineStr">
        <is>
          <t>BAJA(1)</t>
        </is>
      </c>
      <c r="S81" s="10">
        <f>+(IF(P81="PUBLICA(1)",1,IF(P81="USO INTERNO(2)",2,IF(P81="RESTRINGIDO(3)",3,3))))+(IF(Q81="BAJA(1)",1,IF(Q81="MEDIA(2)",2,IF(Q81="ALTA(3)",3,3))))+(IF(R81="BAJA(1)",1,IF(R81="MEDIA(2)",2,IF(R81="ALTA(3)",3,3))))</f>
        <v/>
      </c>
      <c r="T81" s="10">
        <f>+IF(S81&lt;6,"BAJA",IF(S81&lt;8,"MEDIA","ALTA"))</f>
        <v/>
      </c>
      <c r="U81" s="10" t="inlineStr">
        <is>
          <t>-</t>
        </is>
      </c>
      <c r="V81" s="24" t="n">
        <v>45680</v>
      </c>
      <c r="W81" s="19" t="inlineStr">
        <is>
          <t>N/A</t>
        </is>
      </c>
      <c r="X81" s="10">
        <f>+IFERROR(IF(VLOOKUP(Tabla2[[#This Row],[ID]],'EVALUACION DE RIESGO'!A:A,1,FALSE)=Tabla2[[#This Row],[ID]],"SI","NO"),"NO")</f>
        <v/>
      </c>
    </row>
    <row r="82">
      <c r="A82" s="91" t="inlineStr">
        <is>
          <t>80-GAD</t>
        </is>
      </c>
      <c r="B82" s="10" t="inlineStr">
        <is>
          <t>APOYO</t>
        </is>
      </c>
      <c r="C82" s="10" t="inlineStr">
        <is>
          <t xml:space="preserve">Gestión Administrativa </t>
        </is>
      </c>
      <c r="D82" s="10" t="inlineStr">
        <is>
          <t>GAD</t>
        </is>
      </c>
      <c r="E82" s="10" t="inlineStr">
        <is>
          <t>Gestión de Adquisiciones</t>
        </is>
      </c>
      <c r="F82" s="10" t="inlineStr">
        <is>
          <t>-</t>
        </is>
      </c>
      <c r="G82" s="10" t="inlineStr">
        <is>
          <t>Pago periódico a proveedores de servicio</t>
        </is>
      </c>
      <c r="H82" s="10" t="inlineStr">
        <is>
          <t>Orden de pago</t>
        </is>
      </c>
      <c r="I82" s="10" t="inlineStr">
        <is>
          <t>Orden de pago donde se detalla el numero de contrato empresa institución valores impuestos fecha dirigido , información que se dirige a contabilidad</t>
        </is>
      </c>
      <c r="J82" s="10" t="inlineStr">
        <is>
          <t>Jefe Administrativo</t>
        </is>
      </c>
      <c r="K82" s="10" t="inlineStr">
        <is>
          <t>Asistente administrativo</t>
        </is>
      </c>
      <c r="L82" s="10" t="inlineStr">
        <is>
          <t>UBICACIÓN DIGITAL - SISTEMA SARA</t>
        </is>
      </c>
      <c r="M82" s="10" t="inlineStr">
        <is>
          <t>SISTEMAS DE INFORMACIÓN CORPORATIVOS</t>
        </is>
      </c>
      <c r="N82" s="10" t="inlineStr">
        <is>
          <t>PRIMARIOS</t>
        </is>
      </c>
      <c r="O82" s="10" t="inlineStr">
        <is>
          <t>DOCUMENTOS HABILITANTES</t>
        </is>
      </c>
      <c r="P82" s="10" t="inlineStr">
        <is>
          <t>USO INTERNO(2)</t>
        </is>
      </c>
      <c r="Q82" s="10" t="inlineStr">
        <is>
          <t>MEDIA(2)</t>
        </is>
      </c>
      <c r="R82" s="10" t="inlineStr">
        <is>
          <t>MEDIA(2)</t>
        </is>
      </c>
      <c r="S82" s="10">
        <f>+(IF(P82="PUBLICA(1)",1,IF(P82="USO INTERNO(2)",2,IF(P82="RESTRINGIDO(3)",3,3))))+(IF(Q82="BAJA(1)",1,IF(Q82="MEDIA(2)",2,IF(Q82="ALTA(3)",3,3))))+(IF(R82="BAJA(1)",1,IF(R82="MEDIA(2)",2,IF(R82="ALTA(3)",3,3))))</f>
        <v/>
      </c>
      <c r="T82" s="10">
        <f>+IF(S82&lt;6,"BAJA",IF(S82&lt;8,"MEDIA","ALTA"))</f>
        <v/>
      </c>
      <c r="U82" s="10" t="inlineStr">
        <is>
          <t>-</t>
        </is>
      </c>
      <c r="V82" s="24" t="n">
        <v>45680</v>
      </c>
      <c r="W82" s="19" t="inlineStr">
        <is>
          <t>N/A</t>
        </is>
      </c>
      <c r="X82" s="10">
        <f>+IFERROR(IF(VLOOKUP(Tabla2[[#This Row],[ID]],'EVALUACION DE RIESGO'!A:A,1,FALSE)=Tabla2[[#This Row],[ID]],"SI","NO"),"NO")</f>
        <v/>
      </c>
    </row>
    <row r="83">
      <c r="A83" s="91" t="inlineStr">
        <is>
          <t>81-GAD</t>
        </is>
      </c>
      <c r="B83" s="10" t="inlineStr">
        <is>
          <t>APOYO</t>
        </is>
      </c>
      <c r="C83" s="10" t="inlineStr">
        <is>
          <t xml:space="preserve">Gestión Administrativa </t>
        </is>
      </c>
      <c r="D83" s="10" t="inlineStr">
        <is>
          <t>GAD</t>
        </is>
      </c>
      <c r="E83" s="10" t="inlineStr">
        <is>
          <t>Gestión de Adquisiciones</t>
        </is>
      </c>
      <c r="F83" s="10" t="inlineStr">
        <is>
          <t>-</t>
        </is>
      </c>
      <c r="G83" s="10" t="inlineStr">
        <is>
          <t>Pago periódico a proveedores de servicio</t>
        </is>
      </c>
      <c r="H83" s="10" t="inlineStr">
        <is>
          <t>Comprobante de venta</t>
        </is>
      </c>
      <c r="I83" s="10" t="inlineStr">
        <is>
          <t>Facturas o notas de venta que llegan a administrativo en físico o digital</t>
        </is>
      </c>
      <c r="J83" s="10" t="inlineStr">
        <is>
          <t>Jefe Administrativo</t>
        </is>
      </c>
      <c r="K83" s="10" t="inlineStr">
        <is>
          <t>Asistente administrativo</t>
        </is>
      </c>
      <c r="L83" s="10" t="inlineStr">
        <is>
          <t>UBICACIÓN DIGITAL - SISTEMA SARA</t>
        </is>
      </c>
      <c r="M83" s="10" t="inlineStr">
        <is>
          <t>SISTEMAS DE INFORMACIÓN CORPORATIVOS</t>
        </is>
      </c>
      <c r="N83" s="10" t="inlineStr">
        <is>
          <t>PRIMARIOS</t>
        </is>
      </c>
      <c r="O83" s="10" t="inlineStr">
        <is>
          <t>DOCUMENTOS HABILITANTES</t>
        </is>
      </c>
      <c r="P83" s="10" t="inlineStr">
        <is>
          <t>USO INTERNO(2)</t>
        </is>
      </c>
      <c r="Q83" s="10" t="inlineStr">
        <is>
          <t>MEDIA(2)</t>
        </is>
      </c>
      <c r="R83" s="10" t="inlineStr">
        <is>
          <t>MEDIA(2)</t>
        </is>
      </c>
      <c r="S83" s="10">
        <f>+(IF(P83="PUBLICA(1)",1,IF(P83="USO INTERNO(2)",2,IF(P83="RESTRINGIDO(3)",3,3))))+(IF(Q83="BAJA(1)",1,IF(Q83="MEDIA(2)",2,IF(Q83="ALTA(3)",3,3))))+(IF(R83="BAJA(1)",1,IF(R83="MEDIA(2)",2,IF(R83="ALTA(3)",3,3))))</f>
        <v/>
      </c>
      <c r="T83" s="10">
        <f>+IF(S83&lt;6,"BAJA",IF(S83&lt;8,"MEDIA","ALTA"))</f>
        <v/>
      </c>
      <c r="U83" s="10" t="inlineStr">
        <is>
          <t>-</t>
        </is>
      </c>
      <c r="V83" s="24" t="n">
        <v>45680</v>
      </c>
      <c r="W83" s="19" t="inlineStr">
        <is>
          <t>N/A</t>
        </is>
      </c>
      <c r="X83" s="10">
        <f>+IFERROR(IF(VLOOKUP(Tabla2[[#This Row],[ID]],'EVALUACION DE RIESGO'!A:A,1,FALSE)=Tabla2[[#This Row],[ID]],"SI","NO"),"NO")</f>
        <v/>
      </c>
    </row>
    <row r="84">
      <c r="A84" s="91" t="inlineStr">
        <is>
          <t>82-GAD</t>
        </is>
      </c>
      <c r="B84" s="10" t="inlineStr">
        <is>
          <t>APOYO</t>
        </is>
      </c>
      <c r="C84" s="10" t="inlineStr">
        <is>
          <t xml:space="preserve">Gestión Administrativa </t>
        </is>
      </c>
      <c r="D84" s="10" t="inlineStr">
        <is>
          <t>GAD</t>
        </is>
      </c>
      <c r="E84" s="10" t="inlineStr">
        <is>
          <t>Gestión de Adquisiciones</t>
        </is>
      </c>
      <c r="F84" s="10" t="inlineStr">
        <is>
          <t>-</t>
        </is>
      </c>
      <c r="G84" s="10" t="inlineStr">
        <is>
          <t xml:space="preserve">Evaluación del plan de adquisiciones </t>
        </is>
      </c>
      <c r="H84" s="10" t="inlineStr">
        <is>
          <t>Informe de evaluación del plan de adquisiciones</t>
        </is>
      </c>
      <c r="I84" s="10" t="inlineStr">
        <is>
          <t xml:space="preserve">Informe trimestral de la gestión realizada y presentada en el Cómité de Adquisciones </t>
        </is>
      </c>
      <c r="J84" s="10" t="inlineStr">
        <is>
          <t>Jefe Administrativo</t>
        </is>
      </c>
      <c r="K84" s="10" t="inlineStr">
        <is>
          <t>Jefe Administrativo</t>
        </is>
      </c>
      <c r="L84" s="10" t="inlineStr">
        <is>
          <t>UBICACIÓN DIGITAL-EQUIPO DEL RESPONSABLE</t>
        </is>
      </c>
      <c r="M84" s="10" t="inlineStr">
        <is>
          <t>DOCUMENTO DE ARCHIVO-ELECTRÓNICO</t>
        </is>
      </c>
      <c r="N84" s="10" t="inlineStr">
        <is>
          <t>PRIMARIOS</t>
        </is>
      </c>
      <c r="O84" s="10" t="inlineStr">
        <is>
          <t>DOCUMENTOS TÉCNICOS</t>
        </is>
      </c>
      <c r="P84" s="10" t="inlineStr">
        <is>
          <t>USO INTERNO(2)</t>
        </is>
      </c>
      <c r="Q84" s="10" t="inlineStr">
        <is>
          <t>MEDIA(2)</t>
        </is>
      </c>
      <c r="R84" s="10" t="inlineStr">
        <is>
          <t>MEDIA(2)</t>
        </is>
      </c>
      <c r="S84" s="10">
        <f>+(IF(P84="PUBLICA(1)",1,IF(P84="USO INTERNO(2)",2,IF(P84="RESTRINGIDO(3)",3,3))))+(IF(Q84="BAJA(1)",1,IF(Q84="MEDIA(2)",2,IF(Q84="ALTA(3)",3,3))))+(IF(R84="BAJA(1)",1,IF(R84="MEDIA(2)",2,IF(R84="ALTA(3)",3,3))))</f>
        <v/>
      </c>
      <c r="T84" s="10">
        <f>+IF(S84&lt;6,"BAJA",IF(S84&lt;8,"MEDIA","ALTA"))</f>
        <v/>
      </c>
      <c r="U84" s="10" t="inlineStr">
        <is>
          <t>-</t>
        </is>
      </c>
      <c r="V84" s="24" t="n">
        <v>45680</v>
      </c>
      <c r="W84" s="19" t="inlineStr">
        <is>
          <t>N/A</t>
        </is>
      </c>
      <c r="X84" s="10">
        <f>+IFERROR(IF(VLOOKUP(Tabla2[[#This Row],[ID]],'EVALUACION DE RIESGO'!A:A,1,FALSE)=Tabla2[[#This Row],[ID]],"SI","NO"),"NO")</f>
        <v/>
      </c>
    </row>
    <row r="85">
      <c r="A85" s="91" t="inlineStr">
        <is>
          <t>83-GAD</t>
        </is>
      </c>
      <c r="B85" s="10" t="inlineStr">
        <is>
          <t>APOYO</t>
        </is>
      </c>
      <c r="C85" s="10" t="inlineStr">
        <is>
          <t xml:space="preserve">Gestión Administrativa </t>
        </is>
      </c>
      <c r="D85" s="10" t="inlineStr">
        <is>
          <t>GAD</t>
        </is>
      </c>
      <c r="E85" s="10" t="inlineStr">
        <is>
          <t>N/A</t>
        </is>
      </c>
      <c r="F85" s="10" t="inlineStr">
        <is>
          <t>-</t>
        </is>
      </c>
      <c r="G85" s="10" t="inlineStr">
        <is>
          <t>N/A</t>
        </is>
      </c>
      <c r="H85" s="10" t="inlineStr">
        <is>
          <t xml:space="preserve">Equipos de computación </t>
        </is>
      </c>
      <c r="I85" s="10" t="inlineStr">
        <is>
          <t>Equipos de computación donde se realiza la gestión del área</t>
        </is>
      </c>
      <c r="J85" s="10" t="inlineStr">
        <is>
          <t>Jefe Administrativo</t>
        </is>
      </c>
      <c r="K85" s="10" t="inlineStr">
        <is>
          <t>Jefe Administrativo</t>
        </is>
      </c>
      <c r="L85" s="10" t="inlineStr">
        <is>
          <t>UBICACIÓN FISICA-MATRIZ ATUNTAQUI</t>
        </is>
      </c>
      <c r="M85" s="10" t="inlineStr">
        <is>
          <t>DISCOS DUROS, SERVIDORES, DISCOS O MEDIOS PORTÁTILES, CINTAS O MEDIOS DE VIDEO Y AUDIO, ETC.</t>
        </is>
      </c>
      <c r="N85" s="10" t="inlineStr">
        <is>
          <t>APOYO</t>
        </is>
      </c>
      <c r="O85" s="10" t="inlineStr">
        <is>
          <t>HARDWARE</t>
        </is>
      </c>
      <c r="P85" s="10" t="inlineStr">
        <is>
          <t>RESTRINGIDO(3)</t>
        </is>
      </c>
      <c r="Q85" s="10" t="inlineStr">
        <is>
          <t>MEDIA(2)</t>
        </is>
      </c>
      <c r="R85" s="10" t="inlineStr">
        <is>
          <t>MEDIA(2)</t>
        </is>
      </c>
      <c r="S85" s="10">
        <f>+(IF(P85="PUBLICA(1)",1,IF(P85="USO INTERNO(2)",2,IF(P85="RESTRINGIDO(3)",3,3))))+(IF(Q85="BAJA(1)",1,IF(Q85="MEDIA(2)",2,IF(Q85="ALTA(3)",3,3))))+(IF(R85="BAJA(1)",1,IF(R85="MEDIA(2)",2,IF(R85="ALTA(3)",3,3))))</f>
        <v/>
      </c>
      <c r="T85" s="10">
        <f>+IF(S85&lt;6,"BAJA",IF(S85&lt;8,"MEDIA","ALTA"))</f>
        <v/>
      </c>
      <c r="U85" s="10" t="inlineStr">
        <is>
          <t>-</t>
        </is>
      </c>
      <c r="V85" s="24" t="n">
        <v>45680</v>
      </c>
      <c r="W85" s="19" t="inlineStr">
        <is>
          <t>N/A</t>
        </is>
      </c>
      <c r="X85" s="10">
        <f>+IFERROR(IF(VLOOKUP(Tabla2[[#This Row],[ID]],'EVALUACION DE RIESGO'!A:A,1,FALSE)=Tabla2[[#This Row],[ID]],"SI","NO"),"NO")</f>
        <v/>
      </c>
    </row>
    <row r="86">
      <c r="A86" s="91" t="inlineStr">
        <is>
          <t>84-GAD</t>
        </is>
      </c>
      <c r="B86" s="10" t="inlineStr">
        <is>
          <t>APOYO</t>
        </is>
      </c>
      <c r="C86" s="10" t="inlineStr">
        <is>
          <t xml:space="preserve">Gestión Administrativa </t>
        </is>
      </c>
      <c r="D86" s="10" t="inlineStr">
        <is>
          <t>GAD</t>
        </is>
      </c>
      <c r="E86" s="10" t="inlineStr">
        <is>
          <t>N/A</t>
        </is>
      </c>
      <c r="F86" s="10" t="inlineStr">
        <is>
          <t>-</t>
        </is>
      </c>
      <c r="G86" s="10" t="inlineStr">
        <is>
          <t>N/A</t>
        </is>
      </c>
      <c r="H86" s="10" t="inlineStr">
        <is>
          <t>Jefe Administrativo</t>
        </is>
      </c>
      <c r="I86" s="10" t="inlineStr">
        <is>
          <t>N/A</t>
        </is>
      </c>
      <c r="J86" s="10" t="inlineStr">
        <is>
          <t>Jefe Administrativo</t>
        </is>
      </c>
      <c r="K86" s="10" t="inlineStr">
        <is>
          <t>N/A</t>
        </is>
      </c>
      <c r="L86" s="10" t="inlineStr">
        <is>
          <t>N/A</t>
        </is>
      </c>
      <c r="M86" s="10" t="inlineStr">
        <is>
          <t>N/A</t>
        </is>
      </c>
      <c r="N86" s="10" t="inlineStr">
        <is>
          <t>APOYO</t>
        </is>
      </c>
      <c r="O86" s="10" t="inlineStr">
        <is>
          <t>RECURSO HUMANO</t>
        </is>
      </c>
      <c r="P86" s="10" t="inlineStr">
        <is>
          <t>USO INTERNO(2)</t>
        </is>
      </c>
      <c r="Q86" s="10" t="inlineStr">
        <is>
          <t>MEDIA(2)</t>
        </is>
      </c>
      <c r="R86" s="10" t="inlineStr">
        <is>
          <t>MEDIA(2)</t>
        </is>
      </c>
      <c r="S86" s="10">
        <f>+(IF(P86="PUBLICA(1)",1,IF(P86="USO INTERNO(2)",2,IF(P86="RESTRINGIDO(3)",3,3))))+(IF(Q86="BAJA(1)",1,IF(Q86="MEDIA(2)",2,IF(Q86="ALTA(3)",3,3))))+(IF(R86="BAJA(1)",1,IF(R86="MEDIA(2)",2,IF(R86="ALTA(3)",3,3))))</f>
        <v/>
      </c>
      <c r="T86" s="10">
        <f>+IF(S86&lt;6,"BAJA",IF(S86&lt;8,"MEDIA","ALTA"))</f>
        <v/>
      </c>
      <c r="U86" s="10" t="inlineStr">
        <is>
          <t>-</t>
        </is>
      </c>
      <c r="V86" s="24" t="n">
        <v>45680</v>
      </c>
      <c r="W86" s="19" t="inlineStr">
        <is>
          <t>N/A</t>
        </is>
      </c>
      <c r="X86" s="10">
        <f>+IFERROR(IF(VLOOKUP(Tabla2[[#This Row],[ID]],'EVALUACION DE RIESGO'!A:A,1,FALSE)=Tabla2[[#This Row],[ID]],"SI","NO"),"NO")</f>
        <v/>
      </c>
    </row>
    <row r="87">
      <c r="A87" s="91" t="inlineStr">
        <is>
          <t>1-GCP</t>
        </is>
      </c>
      <c r="B87" s="10" t="inlineStr">
        <is>
          <t>ESTRATÉGICO</t>
        </is>
      </c>
      <c r="C87" s="10" t="inlineStr">
        <is>
          <t xml:space="preserve">Gestión de Calidad </t>
        </is>
      </c>
      <c r="D87" s="10" t="inlineStr">
        <is>
          <t>GCP</t>
        </is>
      </c>
      <c r="E87" s="10" t="inlineStr">
        <is>
          <t>Gestión de Procesos</t>
        </is>
      </c>
      <c r="F87" s="10" t="inlineStr">
        <is>
          <t>-</t>
        </is>
      </c>
      <c r="G87" s="10" t="inlineStr">
        <is>
          <t>Planificación de procesos</t>
        </is>
      </c>
      <c r="H87" s="10" t="inlineStr">
        <is>
          <t>Plan Operativo Institucional - E</t>
        </is>
      </c>
      <c r="I87" s="10" t="inlineStr">
        <is>
          <t>Contiene los proyectos estratégicos anuales de la institución</t>
        </is>
      </c>
      <c r="J87" s="10" t="inlineStr">
        <is>
          <t>Jefe de Planificación y  Procesos</t>
        </is>
      </c>
      <c r="K87" s="10" t="inlineStr">
        <is>
          <t>Jefe de Planificación y  Procesos</t>
        </is>
      </c>
      <c r="L87" s="10" t="inlineStr">
        <is>
          <t>UBICACIÓN DIGITAL-WEBCOOP</t>
        </is>
      </c>
      <c r="M87" s="10" t="inlineStr">
        <is>
          <t>SISTEMA DE ADMINISTRACIÓN DE DOCUMENTOS</t>
        </is>
      </c>
      <c r="N87" s="10" t="inlineStr">
        <is>
          <t>PRIMARIOS</t>
        </is>
      </c>
      <c r="O87" s="10" t="inlineStr">
        <is>
          <t>COMUNICACIÓN INTERNA</t>
        </is>
      </c>
      <c r="P87" s="10" t="inlineStr">
        <is>
          <t>USO INTERNO(2)</t>
        </is>
      </c>
      <c r="Q87" s="10" t="inlineStr">
        <is>
          <t>BAJA(1)</t>
        </is>
      </c>
      <c r="R87" s="10" t="inlineStr">
        <is>
          <t>BAJA(1)</t>
        </is>
      </c>
      <c r="S87" s="10">
        <f>+(IF(P87="PUBLICA(1)",1,IF(P87="USO INTERNO(2)",2,IF(P87="RESTRINGIDO(3)",3,3))))+(IF(Q87="BAJA(1)",1,IF(Q87="MEDIA(2)",2,IF(Q87="ALTA(3)",3,3))))+(IF(R87="BAJA(1)",1,IF(R87="MEDIA(2)",2,IF(R87="ALTA(3)",3,3))))</f>
        <v/>
      </c>
      <c r="T87" s="10">
        <f>+IF(S87&lt;6,"BAJA",IF(S87&lt;8,"MEDIA","ALTA"))</f>
        <v/>
      </c>
      <c r="U87" s="10" t="inlineStr">
        <is>
          <t>-</t>
        </is>
      </c>
      <c r="V87" s="24" t="n">
        <v>45580</v>
      </c>
      <c r="W87" s="19" t="inlineStr">
        <is>
          <t>N/A</t>
        </is>
      </c>
      <c r="X87" s="10">
        <f>+IFERROR(IF(VLOOKUP(Tabla2[[#This Row],[ID]],'EVALUACION DE RIESGO'!A:A,1,FALSE)=Tabla2[[#This Row],[ID]],"SI","NO"),"NO")</f>
        <v/>
      </c>
    </row>
    <row r="88">
      <c r="A88" s="91" t="inlineStr">
        <is>
          <t>2-GCP</t>
        </is>
      </c>
      <c r="B88" s="10" t="inlineStr">
        <is>
          <t>ESTRATÉGICO</t>
        </is>
      </c>
      <c r="C88" s="10" t="inlineStr">
        <is>
          <t xml:space="preserve">Gestión de Calidad </t>
        </is>
      </c>
      <c r="D88" s="10" t="inlineStr">
        <is>
          <t>GCP</t>
        </is>
      </c>
      <c r="E88" s="10" t="inlineStr">
        <is>
          <t>Gestión de Procesos</t>
        </is>
      </c>
      <c r="F88" s="10" t="inlineStr">
        <is>
          <t>-</t>
        </is>
      </c>
      <c r="G88" s="10" t="inlineStr">
        <is>
          <t>Planificación de procesos</t>
        </is>
      </c>
      <c r="H88" s="10" t="inlineStr">
        <is>
          <t>Plan Anual de Planificación y Procesos</t>
        </is>
      </c>
      <c r="I88" s="10" t="inlineStr">
        <is>
          <t>Es un cronograma de actividades del Planificación y Procesos anual</t>
        </is>
      </c>
      <c r="J88" s="10" t="inlineStr">
        <is>
          <t>Jefe de Planificación y  Procesos</t>
        </is>
      </c>
      <c r="K88" s="10" t="inlineStr">
        <is>
          <t xml:space="preserve">Jefe de Planificación y  Procesos / Analista de Procesos </t>
        </is>
      </c>
      <c r="L88" s="10" t="inlineStr">
        <is>
          <t>UBICACIÓN DIGITAL-EQUIPO DEL RESPONSABLE</t>
        </is>
      </c>
      <c r="M88" s="10" t="inlineStr">
        <is>
          <t>DISCOS DUROS, SERVIDORES, DISCOS O MEDIOS PORTÁTILES, CINTAS O MEDIOS DE VIDEO Y AUDIO, ETC.</t>
        </is>
      </c>
      <c r="N88" s="10" t="inlineStr">
        <is>
          <t>PRIMARIOS</t>
        </is>
      </c>
      <c r="O88" s="10" t="inlineStr">
        <is>
          <t>COMUNICACIÓN INTERNA</t>
        </is>
      </c>
      <c r="P88" s="10" t="inlineStr">
        <is>
          <t>USO INTERNO(2)</t>
        </is>
      </c>
      <c r="Q88" s="10" t="inlineStr">
        <is>
          <t>BAJA(1)</t>
        </is>
      </c>
      <c r="R88" s="10" t="inlineStr">
        <is>
          <t>MEDIA(2)</t>
        </is>
      </c>
      <c r="S88" s="10">
        <f>+(IF(P88="PUBLICA(1)",1,IF(P88="USO INTERNO(2)",2,IF(P88="RESTRINGIDO(3)",3,3))))+(IF(Q88="BAJA(1)",1,IF(Q88="MEDIA(2)",2,IF(Q88="ALTA(3)",3,3))))+(IF(R88="BAJA(1)",1,IF(R88="MEDIA(2)",2,IF(R88="ALTA(3)",3,3))))</f>
        <v/>
      </c>
      <c r="T88" s="10">
        <f>+IF(S88&lt;6,"BAJA",IF(S88&lt;8,"MEDIA","ALTA"))</f>
        <v/>
      </c>
      <c r="U88" s="10" t="inlineStr">
        <is>
          <t>-</t>
        </is>
      </c>
      <c r="V88" s="24" t="n">
        <v>45580</v>
      </c>
      <c r="W88" s="19" t="inlineStr">
        <is>
          <t>N/A</t>
        </is>
      </c>
      <c r="X88" s="10">
        <f>+IFERROR(IF(VLOOKUP(Tabla2[[#This Row],[ID]],'EVALUACION DE RIESGO'!A:A,1,FALSE)=Tabla2[[#This Row],[ID]],"SI","NO"),"NO")</f>
        <v/>
      </c>
    </row>
    <row r="89">
      <c r="A89" s="91" t="inlineStr">
        <is>
          <t>3-GCP</t>
        </is>
      </c>
      <c r="B89" s="10" t="inlineStr">
        <is>
          <t>ESTRATÉGICO</t>
        </is>
      </c>
      <c r="C89" s="10" t="inlineStr">
        <is>
          <t xml:space="preserve">Gestión de Calidad </t>
        </is>
      </c>
      <c r="D89" s="10" t="inlineStr">
        <is>
          <t>GCP</t>
        </is>
      </c>
      <c r="E89" s="10" t="inlineStr">
        <is>
          <t>Gestión de Procesos</t>
        </is>
      </c>
      <c r="F89" s="10" t="inlineStr">
        <is>
          <t>-</t>
        </is>
      </c>
      <c r="G89" s="10" t="inlineStr">
        <is>
          <t>Documentación de Procesos (Elaboración y actualización de documentos)</t>
        </is>
      </c>
      <c r="H89" s="10" t="inlineStr">
        <is>
          <t>Documento actualizado</t>
        </is>
      </c>
      <c r="I89" s="10" t="inlineStr">
        <is>
          <t>Toda la documentación normativa interna de cada Proceso institucional</t>
        </is>
      </c>
      <c r="J89" s="10" t="inlineStr">
        <is>
          <t>Jefe de Planificación y  Procesos</t>
        </is>
      </c>
      <c r="K89" s="10" t="inlineStr">
        <is>
          <t>Jefe de Planificación y  Procesos</t>
        </is>
      </c>
      <c r="L89" s="10" t="inlineStr">
        <is>
          <t>UBICACIÓN DIGITAL-WEBCOOP</t>
        </is>
      </c>
      <c r="M89" s="10" t="inlineStr">
        <is>
          <t>SISTEMA DE ADMINISTRACIÓN DE DOCUMENTOS</t>
        </is>
      </c>
      <c r="N89" s="10" t="inlineStr">
        <is>
          <t>PRIMARIOS</t>
        </is>
      </c>
      <c r="O89" s="10" t="inlineStr">
        <is>
          <t>NORMATIVA INTERNA</t>
        </is>
      </c>
      <c r="P89" s="10" t="inlineStr">
        <is>
          <t>USO INTERNO(2)</t>
        </is>
      </c>
      <c r="Q89" s="10" t="inlineStr">
        <is>
          <t>MEDIA(2)</t>
        </is>
      </c>
      <c r="R89" s="10" t="inlineStr">
        <is>
          <t>MEDIA(2)</t>
        </is>
      </c>
      <c r="S89" s="10">
        <f>+(IF(P89="PUBLICA(1)",1,IF(P89="USO INTERNO(2)",2,IF(P89="RESTRINGIDO(3)",3,3))))+(IF(Q89="BAJA(1)",1,IF(Q89="MEDIA(2)",2,IF(Q89="ALTA(3)",3,3))))+(IF(R89="BAJA(1)",1,IF(R89="MEDIA(2)",2,IF(R89="ALTA(3)",3,3))))</f>
        <v/>
      </c>
      <c r="T89" s="10">
        <f>+IF(S89&lt;6,"BAJA",IF(S89&lt;8,"MEDIA","ALTA"))</f>
        <v/>
      </c>
      <c r="U89" s="10" t="inlineStr">
        <is>
          <t>-</t>
        </is>
      </c>
      <c r="V89" s="24" t="n">
        <v>45580</v>
      </c>
      <c r="W89" s="19" t="inlineStr">
        <is>
          <t>N/A</t>
        </is>
      </c>
      <c r="X89" s="10">
        <f>+IFERROR(IF(VLOOKUP(Tabla2[[#This Row],[ID]],'EVALUACION DE RIESGO'!A:A,1,FALSE)=Tabla2[[#This Row],[ID]],"SI","NO"),"NO")</f>
        <v/>
      </c>
    </row>
    <row r="90">
      <c r="A90" s="91" t="inlineStr">
        <is>
          <t>4-GCP</t>
        </is>
      </c>
      <c r="B90" s="10" t="inlineStr">
        <is>
          <t>ESTRATÉGICO</t>
        </is>
      </c>
      <c r="C90" s="10" t="inlineStr">
        <is>
          <t xml:space="preserve">Gestión de Calidad </t>
        </is>
      </c>
      <c r="D90" s="10" t="inlineStr">
        <is>
          <t>GCP</t>
        </is>
      </c>
      <c r="E90" s="10" t="inlineStr">
        <is>
          <t>Gestión de Procesos</t>
        </is>
      </c>
      <c r="F90" s="10" t="inlineStr">
        <is>
          <t>-</t>
        </is>
      </c>
      <c r="G90" s="10" t="inlineStr">
        <is>
          <t>Documentación de Procesos (Elaboración y actualización de documentos)</t>
        </is>
      </c>
      <c r="H90" s="10" t="inlineStr">
        <is>
          <t>Control de Cambios</t>
        </is>
      </c>
      <c r="I90" s="10" t="inlineStr">
        <is>
          <t>Documento que contiene el historial de cambios de los diferentes manuales</t>
        </is>
      </c>
      <c r="J90" s="10" t="inlineStr">
        <is>
          <t>Jefe de Planificación y  Procesos</t>
        </is>
      </c>
      <c r="K90" s="10" t="inlineStr">
        <is>
          <t>Jefe de Planificación y  Procesos</t>
        </is>
      </c>
      <c r="L90" s="10" t="inlineStr">
        <is>
          <t>UBICACIÓN DIGITAL-EQUIPO DEL RESPONSABLE</t>
        </is>
      </c>
      <c r="M90" s="10" t="inlineStr">
        <is>
          <t>DISCOS DUROS, SERVIDORES, DISCOS O MEDIOS PORTÁTILES, CINTAS O MEDIOS DE VIDEO Y AUDIO, ETC.</t>
        </is>
      </c>
      <c r="N90" s="10" t="inlineStr">
        <is>
          <t>PRIMARIOS</t>
        </is>
      </c>
      <c r="O90" s="10" t="inlineStr">
        <is>
          <t>DOCUMENTOS TÉCNICOS</t>
        </is>
      </c>
      <c r="P90" s="10" t="inlineStr">
        <is>
          <t>USO INTERNO(2)</t>
        </is>
      </c>
      <c r="Q90" s="10" t="inlineStr">
        <is>
          <t>BAJA(1)</t>
        </is>
      </c>
      <c r="R90" s="10" t="inlineStr">
        <is>
          <t>BAJA(1)</t>
        </is>
      </c>
      <c r="S90" s="10">
        <f>+(IF(P90="PUBLICA(1)",1,IF(P90="USO INTERNO(2)",2,IF(P90="RESTRINGIDO(3)",3,3))))+(IF(Q90="BAJA(1)",1,IF(Q90="MEDIA(2)",2,IF(Q90="ALTA(3)",3,3))))+(IF(R90="BAJA(1)",1,IF(R90="MEDIA(2)",2,IF(R90="ALTA(3)",3,3))))</f>
        <v/>
      </c>
      <c r="T90" s="10">
        <f>+IF(S90&lt;6,"BAJA",IF(S90&lt;8,"MEDIA","ALTA"))</f>
        <v/>
      </c>
      <c r="U90" s="10" t="inlineStr">
        <is>
          <t>-</t>
        </is>
      </c>
      <c r="V90" s="24" t="n">
        <v>45580</v>
      </c>
      <c r="W90" s="19" t="inlineStr">
        <is>
          <t>N/A</t>
        </is>
      </c>
      <c r="X90" s="10">
        <f>+IFERROR(IF(VLOOKUP(Tabla2[[#This Row],[ID]],'EVALUACION DE RIESGO'!A:A,1,FALSE)=Tabla2[[#This Row],[ID]],"SI","NO"),"NO")</f>
        <v/>
      </c>
    </row>
    <row r="91">
      <c r="A91" s="91" t="inlineStr">
        <is>
          <t>5-GCP</t>
        </is>
      </c>
      <c r="B91" s="10" t="inlineStr">
        <is>
          <t>ESTRATÉGICO</t>
        </is>
      </c>
      <c r="C91" s="10" t="inlineStr">
        <is>
          <t xml:space="preserve">Gestión de Calidad </t>
        </is>
      </c>
      <c r="D91" s="10" t="inlineStr">
        <is>
          <t>GCP</t>
        </is>
      </c>
      <c r="E91" s="10" t="inlineStr">
        <is>
          <t>Gestión de Procesos</t>
        </is>
      </c>
      <c r="F91" s="10" t="inlineStr">
        <is>
          <t>-</t>
        </is>
      </c>
      <c r="G91" s="10" t="inlineStr">
        <is>
          <t>Documentación de Procesos (Elaboración y actualización de documentos)</t>
        </is>
      </c>
      <c r="H91" s="10" t="inlineStr">
        <is>
          <t>Certificación de Revisión de la Normativa Interna</t>
        </is>
      </c>
      <c r="I91" s="10" t="inlineStr">
        <is>
          <t xml:space="preserve">Anexo de certificación de las actualizaciones realizadas a los documentos / Certificación de aprobación </t>
        </is>
      </c>
      <c r="J91" s="10" t="inlineStr">
        <is>
          <t>Jefe de Planificación y  Procesos</t>
        </is>
      </c>
      <c r="K91" s="10" t="inlineStr">
        <is>
          <t>Jefe de Planificación y  Procesos</t>
        </is>
      </c>
      <c r="L91" s="10" t="inlineStr">
        <is>
          <t>UBICACIÓN DIGITAL-WEBCOOP</t>
        </is>
      </c>
      <c r="M91" s="10" t="inlineStr">
        <is>
          <t>SISTEMA DE ADMINISTRACIÓN DE DOCUMENTOS</t>
        </is>
      </c>
      <c r="N91" s="10" t="inlineStr">
        <is>
          <t>PRIMARIOS</t>
        </is>
      </c>
      <c r="O91" s="10" t="inlineStr">
        <is>
          <t>DOCUMENTOS HABILITANTES</t>
        </is>
      </c>
      <c r="P91" s="10" t="inlineStr">
        <is>
          <t>USO INTERNO(2)</t>
        </is>
      </c>
      <c r="Q91" s="10" t="inlineStr">
        <is>
          <t>BAJA(1)</t>
        </is>
      </c>
      <c r="R91" s="10" t="inlineStr">
        <is>
          <t>BAJA(1)</t>
        </is>
      </c>
      <c r="S91" s="10">
        <f>+(IF(P91="PUBLICA(1)",1,IF(P91="USO INTERNO(2)",2,IF(P91="RESTRINGIDO(3)",3,3))))+(IF(Q91="BAJA(1)",1,IF(Q91="MEDIA(2)",2,IF(Q91="ALTA(3)",3,3))))+(IF(R91="BAJA(1)",1,IF(R91="MEDIA(2)",2,IF(R91="ALTA(3)",3,3))))</f>
        <v/>
      </c>
      <c r="T91" s="10">
        <f>+IF(S91&lt;6,"BAJA",IF(S91&lt;8,"MEDIA","ALTA"))</f>
        <v/>
      </c>
      <c r="U91" s="10" t="inlineStr">
        <is>
          <t>-</t>
        </is>
      </c>
      <c r="V91" s="24" t="n">
        <v>45580</v>
      </c>
      <c r="W91" s="19" t="inlineStr">
        <is>
          <t>N/A</t>
        </is>
      </c>
      <c r="X91" s="10">
        <f>+IFERROR(IF(VLOOKUP(Tabla2[[#This Row],[ID]],'EVALUACION DE RIESGO'!A:A,1,FALSE)=Tabla2[[#This Row],[ID]],"SI","NO"),"NO")</f>
        <v/>
      </c>
    </row>
    <row r="92">
      <c r="A92" s="91" t="inlineStr">
        <is>
          <t>6-GCP</t>
        </is>
      </c>
      <c r="B92" s="10" t="inlineStr">
        <is>
          <t>ESTRATÉGICO</t>
        </is>
      </c>
      <c r="C92" s="10" t="inlineStr">
        <is>
          <t xml:space="preserve">Gestión de Calidad </t>
        </is>
      </c>
      <c r="D92" s="10" t="inlineStr">
        <is>
          <t>GCP</t>
        </is>
      </c>
      <c r="E92" s="10" t="inlineStr">
        <is>
          <t>Gestión de Procesos</t>
        </is>
      </c>
      <c r="F92" s="10" t="inlineStr">
        <is>
          <t>-</t>
        </is>
      </c>
      <c r="G92" s="10" t="inlineStr">
        <is>
          <t>Documentación de Procesos (Elaboración y actualización de documentos)</t>
        </is>
      </c>
      <c r="H92" s="10" t="inlineStr">
        <is>
          <t>Portafolio de Procesos</t>
        </is>
      </c>
      <c r="I92" s="10" t="inlineStr">
        <is>
          <t>Matriz de procesos institucionales</t>
        </is>
      </c>
      <c r="J92" s="10" t="inlineStr">
        <is>
          <t>Jefe de Planificación y  Procesos</t>
        </is>
      </c>
      <c r="K92" s="10" t="inlineStr">
        <is>
          <t>Jefe de Planificación y  Procesos</t>
        </is>
      </c>
      <c r="L92" s="10" t="inlineStr">
        <is>
          <t>UBICACIÓN DIGITAL-WEBCOOP</t>
        </is>
      </c>
      <c r="M92" s="10" t="inlineStr">
        <is>
          <t>SISTEMA DE ADMINISTRACIÓN DE DOCUMENTOS</t>
        </is>
      </c>
      <c r="N92" s="10" t="inlineStr">
        <is>
          <t>PRIMARIOS</t>
        </is>
      </c>
      <c r="O92" s="10" t="inlineStr">
        <is>
          <t>DOCUMENTOS TÉCNICOS</t>
        </is>
      </c>
      <c r="P92" s="10" t="inlineStr">
        <is>
          <t>USO INTERNO(2)</t>
        </is>
      </c>
      <c r="Q92" s="10" t="inlineStr">
        <is>
          <t>BAJA(1)</t>
        </is>
      </c>
      <c r="R92" s="10" t="inlineStr">
        <is>
          <t>BAJA(1)</t>
        </is>
      </c>
      <c r="S92" s="10">
        <f>+(IF(P92="PUBLICA(1)",1,IF(P92="USO INTERNO(2)",2,IF(P92="RESTRINGIDO(3)",3,3))))+(IF(Q92="BAJA(1)",1,IF(Q92="MEDIA(2)",2,IF(Q92="ALTA(3)",3,3))))+(IF(R92="BAJA(1)",1,IF(R92="MEDIA(2)",2,IF(R92="ALTA(3)",3,3))))</f>
        <v/>
      </c>
      <c r="T92" s="10">
        <f>+IF(S92&lt;6,"BAJA",IF(S92&lt;8,"MEDIA","ALTA"))</f>
        <v/>
      </c>
      <c r="U92" s="10" t="inlineStr">
        <is>
          <t>-</t>
        </is>
      </c>
      <c r="V92" s="24" t="n">
        <v>45580</v>
      </c>
      <c r="W92" s="19" t="inlineStr">
        <is>
          <t>N/A</t>
        </is>
      </c>
      <c r="X92" s="10">
        <f>+IFERROR(IF(VLOOKUP(Tabla2[[#This Row],[ID]],'EVALUACION DE RIESGO'!A:A,1,FALSE)=Tabla2[[#This Row],[ID]],"SI","NO"),"NO")</f>
        <v/>
      </c>
    </row>
    <row r="93">
      <c r="A93" s="91" t="inlineStr">
        <is>
          <t>7-GCP</t>
        </is>
      </c>
      <c r="B93" s="10" t="inlineStr">
        <is>
          <t>ESTRATÉGICO</t>
        </is>
      </c>
      <c r="C93" s="10" t="inlineStr">
        <is>
          <t xml:space="preserve">Gestión de Calidad </t>
        </is>
      </c>
      <c r="D93" s="10" t="inlineStr">
        <is>
          <t>GCP</t>
        </is>
      </c>
      <c r="E93" s="10" t="inlineStr">
        <is>
          <t>Gestión de Procesos</t>
        </is>
      </c>
      <c r="F93" s="10" t="inlineStr">
        <is>
          <t>-</t>
        </is>
      </c>
      <c r="G93" s="10" t="inlineStr">
        <is>
          <t>Documentación de Procesos (Elaboración y actualización de documentos)</t>
        </is>
      </c>
      <c r="H93" s="10" t="inlineStr">
        <is>
          <t>Inventario de Documentación</t>
        </is>
      </c>
      <c r="I93" s="10" t="inlineStr">
        <is>
          <t>Matriz donde se registran los procesos normativos vigentes y sus versiones</t>
        </is>
      </c>
      <c r="J93" s="10" t="inlineStr">
        <is>
          <t>Jefe de Planificación y  Procesos</t>
        </is>
      </c>
      <c r="K93" s="10" t="inlineStr">
        <is>
          <t>Jefe de Planificación y  Procesos</t>
        </is>
      </c>
      <c r="L93" s="10" t="inlineStr">
        <is>
          <t>UBICACIÓN DIGITAL-EQUIPO DEL RESPONSABLE</t>
        </is>
      </c>
      <c r="M93" s="10" t="inlineStr">
        <is>
          <t>DISCOS DUROS, SERVIDORES, DISCOS O MEDIOS PORTÁTILES, CINTAS O MEDIOS DE VIDEO Y AUDIO, ETC.</t>
        </is>
      </c>
      <c r="N93" s="10" t="inlineStr">
        <is>
          <t>PRIMARIOS</t>
        </is>
      </c>
      <c r="O93" s="10" t="inlineStr">
        <is>
          <t>DOCUMENTOS TÉCNICOS</t>
        </is>
      </c>
      <c r="P93" s="10" t="inlineStr">
        <is>
          <t>USO INTERNO(2)</t>
        </is>
      </c>
      <c r="Q93" s="10" t="inlineStr">
        <is>
          <t>BAJA(1)</t>
        </is>
      </c>
      <c r="R93" s="10" t="inlineStr">
        <is>
          <t>BAJA(1)</t>
        </is>
      </c>
      <c r="S93" s="10">
        <f>+(IF(P93="PUBLICA(1)",1,IF(P93="USO INTERNO(2)",2,IF(P93="RESTRINGIDO(3)",3,3))))+(IF(Q93="BAJA(1)",1,IF(Q93="MEDIA(2)",2,IF(Q93="ALTA(3)",3,3))))+(IF(R93="BAJA(1)",1,IF(R93="MEDIA(2)",2,IF(R93="ALTA(3)",3,3))))</f>
        <v/>
      </c>
      <c r="T93" s="10">
        <f>+IF(S93&lt;6,"BAJA",IF(S93&lt;8,"MEDIA","ALTA"))</f>
        <v/>
      </c>
      <c r="U93" s="10" t="inlineStr">
        <is>
          <t>-</t>
        </is>
      </c>
      <c r="V93" s="24" t="n">
        <v>45580</v>
      </c>
      <c r="W93" s="19" t="inlineStr">
        <is>
          <t>N/A</t>
        </is>
      </c>
      <c r="X93" s="10">
        <f>+IFERROR(IF(VLOOKUP(Tabla2[[#This Row],[ID]],'EVALUACION DE RIESGO'!A:A,1,FALSE)=Tabla2[[#This Row],[ID]],"SI","NO"),"NO")</f>
        <v/>
      </c>
    </row>
    <row r="94">
      <c r="A94" s="91" t="inlineStr">
        <is>
          <t>8-GCP</t>
        </is>
      </c>
      <c r="B94" s="10" t="inlineStr">
        <is>
          <t>ESTRATÉGICO</t>
        </is>
      </c>
      <c r="C94" s="10" t="inlineStr">
        <is>
          <t xml:space="preserve">Gestión de Calidad </t>
        </is>
      </c>
      <c r="D94" s="10" t="inlineStr">
        <is>
          <t>GCP</t>
        </is>
      </c>
      <c r="E94" s="10" t="inlineStr">
        <is>
          <t>Gestión de Procesos</t>
        </is>
      </c>
      <c r="F94" s="10" t="inlineStr">
        <is>
          <t>-</t>
        </is>
      </c>
      <c r="G94" s="10" t="inlineStr">
        <is>
          <t>Publicación y difusión de documentos</t>
        </is>
      </c>
      <c r="H94" s="10" t="inlineStr">
        <is>
          <t>Autorización de Acceso a la Documentación</t>
        </is>
      </c>
      <c r="I94" s="10" t="inlineStr">
        <is>
          <t>El dueño del proceso indica a que roles se debe dar acceso al documento</t>
        </is>
      </c>
      <c r="J94" s="10" t="inlineStr">
        <is>
          <t>Jefe de Planificación y  Procesos</t>
        </is>
      </c>
      <c r="K94" s="10" t="inlineStr">
        <is>
          <t>Jefe de Planificación y  Procesos</t>
        </is>
      </c>
      <c r="L94" s="10" t="inlineStr">
        <is>
          <t>UBICACIÓN DIGITAL-EQUIPO DEL RESPONSABLE</t>
        </is>
      </c>
      <c r="M94" s="10" t="inlineStr">
        <is>
          <t>CINTAS Y MEDIOS DE SOPORTE BACKUP CONTINGENCIA</t>
        </is>
      </c>
      <c r="N94" s="10" t="inlineStr">
        <is>
          <t>PRIMARIOS</t>
        </is>
      </c>
      <c r="O94" s="10" t="inlineStr">
        <is>
          <t>DOCUMENTOS TÉCNICOS</t>
        </is>
      </c>
      <c r="P94" s="10" t="inlineStr">
        <is>
          <t>USO INTERNO(2)</t>
        </is>
      </c>
      <c r="Q94" s="10" t="inlineStr">
        <is>
          <t>BAJA(1)</t>
        </is>
      </c>
      <c r="R94" s="10" t="inlineStr">
        <is>
          <t>BAJA(1)</t>
        </is>
      </c>
      <c r="S94" s="10">
        <f>+(IF(P94="PUBLICA(1)",1,IF(P94="USO INTERNO(2)",2,IF(P94="RESTRINGIDO(3)",3,3))))+(IF(Q94="BAJA(1)",1,IF(Q94="MEDIA(2)",2,IF(Q94="ALTA(3)",3,3))))+(IF(R94="BAJA(1)",1,IF(R94="MEDIA(2)",2,IF(R94="ALTA(3)",3,3))))</f>
        <v/>
      </c>
      <c r="T94" s="10">
        <f>+IF(S94&lt;6,"BAJA",IF(S94&lt;8,"MEDIA","ALTA"))</f>
        <v/>
      </c>
      <c r="U94" s="10" t="inlineStr">
        <is>
          <t>-</t>
        </is>
      </c>
      <c r="V94" s="24" t="n">
        <v>45580</v>
      </c>
      <c r="W94" s="19" t="inlineStr">
        <is>
          <t>N/A</t>
        </is>
      </c>
      <c r="X94" s="10">
        <f>+IFERROR(IF(VLOOKUP(Tabla2[[#This Row],[ID]],'EVALUACION DE RIESGO'!A:A,1,FALSE)=Tabla2[[#This Row],[ID]],"SI","NO"),"NO")</f>
        <v/>
      </c>
    </row>
    <row r="95">
      <c r="A95" s="91" t="inlineStr">
        <is>
          <t>9-GCP</t>
        </is>
      </c>
      <c r="B95" s="10" t="inlineStr">
        <is>
          <t>ESTRATÉGICO</t>
        </is>
      </c>
      <c r="C95" s="10" t="inlineStr">
        <is>
          <t xml:space="preserve">Gestión de Calidad </t>
        </is>
      </c>
      <c r="D95" s="10" t="inlineStr">
        <is>
          <t>GCP</t>
        </is>
      </c>
      <c r="E95" s="10" t="inlineStr">
        <is>
          <t>Gestión de Procesos</t>
        </is>
      </c>
      <c r="F95" s="10" t="inlineStr">
        <is>
          <t>-</t>
        </is>
      </c>
      <c r="G95" s="10" t="inlineStr">
        <is>
          <t>Publicación y difusión de documentos</t>
        </is>
      </c>
      <c r="H95" s="10" t="inlineStr">
        <is>
          <t>Documento publicado</t>
        </is>
      </c>
      <c r="I95" s="10" t="inlineStr">
        <is>
          <t>Documento final que se publica en el repositorio institucional</t>
        </is>
      </c>
      <c r="J95" s="10" t="inlineStr">
        <is>
          <t>Jefe de Planificación y  Procesos</t>
        </is>
      </c>
      <c r="K95" s="10" t="inlineStr">
        <is>
          <t>Jefe de Planificación y  Procesos</t>
        </is>
      </c>
      <c r="L95" s="10" t="inlineStr">
        <is>
          <t>UBICACIÓN DIGITAL-WEBCOOP</t>
        </is>
      </c>
      <c r="M95" s="10" t="inlineStr">
        <is>
          <t>SISTEMA DE ADMINISTRACIÓN DE DOCUMENTOS</t>
        </is>
      </c>
      <c r="N95" s="10" t="inlineStr">
        <is>
          <t>PRIMARIOS</t>
        </is>
      </c>
      <c r="O95" s="10" t="inlineStr">
        <is>
          <t>DOCUMENTOS TÉCNICOS</t>
        </is>
      </c>
      <c r="P95" s="10" t="inlineStr">
        <is>
          <t>USO INTERNO(2)</t>
        </is>
      </c>
      <c r="Q95" s="10" t="inlineStr">
        <is>
          <t>BAJA(1)</t>
        </is>
      </c>
      <c r="R95" s="10" t="inlineStr">
        <is>
          <t>MEDIA(2)</t>
        </is>
      </c>
      <c r="S95" s="10">
        <f>+(IF(P95="PUBLICA(1)",1,IF(P95="USO INTERNO(2)",2,IF(P95="RESTRINGIDO(3)",3,3))))+(IF(Q95="BAJA(1)",1,IF(Q95="MEDIA(2)",2,IF(Q95="ALTA(3)",3,3))))+(IF(R95="BAJA(1)",1,IF(R95="MEDIA(2)",2,IF(R95="ALTA(3)",3,3))))</f>
        <v/>
      </c>
      <c r="T95" s="10">
        <f>+IF(S95&lt;6,"BAJA",IF(S95&lt;8,"MEDIA","ALTA"))</f>
        <v/>
      </c>
      <c r="U95" s="10" t="inlineStr">
        <is>
          <t>-</t>
        </is>
      </c>
      <c r="V95" s="24" t="n">
        <v>45580</v>
      </c>
      <c r="W95" s="19" t="inlineStr">
        <is>
          <t>N/A</t>
        </is>
      </c>
      <c r="X95" s="10">
        <f>+IFERROR(IF(VLOOKUP(Tabla2[[#This Row],[ID]],'EVALUACION DE RIESGO'!A:A,1,FALSE)=Tabla2[[#This Row],[ID]],"SI","NO"),"NO")</f>
        <v/>
      </c>
    </row>
    <row r="96">
      <c r="A96" s="91" t="inlineStr">
        <is>
          <t>10-GCP</t>
        </is>
      </c>
      <c r="B96" s="10" t="inlineStr">
        <is>
          <t>ESTRATÉGICO</t>
        </is>
      </c>
      <c r="C96" s="10" t="inlineStr">
        <is>
          <t xml:space="preserve">Gestión de Calidad </t>
        </is>
      </c>
      <c r="D96" s="10" t="inlineStr">
        <is>
          <t>GCP</t>
        </is>
      </c>
      <c r="E96" s="10" t="inlineStr">
        <is>
          <t>Gestión de Procesos</t>
        </is>
      </c>
      <c r="F96" s="10" t="inlineStr">
        <is>
          <t>-</t>
        </is>
      </c>
      <c r="G96" s="10" t="inlineStr">
        <is>
          <t>Publicación y difusión de documentos</t>
        </is>
      </c>
      <c r="H96" s="10" t="inlineStr">
        <is>
          <t>Circular de Procesos</t>
        </is>
      </c>
      <c r="I96" s="10" t="inlineStr">
        <is>
          <t>Es un correo donde se comunica a los interesados la actualización de un documento</t>
        </is>
      </c>
      <c r="J96" s="10" t="inlineStr">
        <is>
          <t>Jefe de Planificación y  Procesos</t>
        </is>
      </c>
      <c r="K96" s="10" t="inlineStr">
        <is>
          <t>Jefe de Planificación y  Procesos</t>
        </is>
      </c>
      <c r="L96" s="10" t="inlineStr">
        <is>
          <t>UBICACIÓN DIGITAL-EQUIPO DEL RESPONSABLE</t>
        </is>
      </c>
      <c r="M96" s="10" t="inlineStr">
        <is>
          <t>SISTEMA DE MENSAJERÍA ELECTRÓNICA</t>
        </is>
      </c>
      <c r="N96" s="10" t="inlineStr">
        <is>
          <t>PRIMARIOS</t>
        </is>
      </c>
      <c r="O96" s="10" t="inlineStr">
        <is>
          <t>COMUNICACIÓN INTERNA</t>
        </is>
      </c>
      <c r="P96" s="10" t="inlineStr">
        <is>
          <t>USO INTERNO(2)</t>
        </is>
      </c>
      <c r="Q96" s="10" t="inlineStr">
        <is>
          <t>BAJA(1)</t>
        </is>
      </c>
      <c r="R96" s="10" t="inlineStr">
        <is>
          <t>BAJA(1)</t>
        </is>
      </c>
      <c r="S96" s="10">
        <f>+(IF(P96="PUBLICA(1)",1,IF(P96="USO INTERNO(2)",2,IF(P96="RESTRINGIDO(3)",3,3))))+(IF(Q96="BAJA(1)",1,IF(Q96="MEDIA(2)",2,IF(Q96="ALTA(3)",3,3))))+(IF(R96="BAJA(1)",1,IF(R96="MEDIA(2)",2,IF(R96="ALTA(3)",3,3))))</f>
        <v/>
      </c>
      <c r="T96" s="10">
        <f>+IF(S96&lt;6,"BAJA",IF(S96&lt;8,"MEDIA","ALTA"))</f>
        <v/>
      </c>
      <c r="U96" s="10" t="inlineStr">
        <is>
          <t>-</t>
        </is>
      </c>
      <c r="V96" s="24" t="n">
        <v>45580</v>
      </c>
      <c r="W96" s="19" t="inlineStr">
        <is>
          <t>N/A</t>
        </is>
      </c>
      <c r="X96" s="10">
        <f>+IFERROR(IF(VLOOKUP(Tabla2[[#This Row],[ID]],'EVALUACION DE RIESGO'!A:A,1,FALSE)=Tabla2[[#This Row],[ID]],"SI","NO"),"NO")</f>
        <v/>
      </c>
    </row>
    <row r="97">
      <c r="A97" s="91" t="inlineStr">
        <is>
          <t>11-GCP</t>
        </is>
      </c>
      <c r="B97" s="10" t="inlineStr">
        <is>
          <t>ESTRATÉGICO</t>
        </is>
      </c>
      <c r="C97" s="10" t="inlineStr">
        <is>
          <t xml:space="preserve">Gestión de Calidad </t>
        </is>
      </c>
      <c r="D97" s="10" t="inlineStr">
        <is>
          <t>GCP</t>
        </is>
      </c>
      <c r="E97" s="10" t="inlineStr">
        <is>
          <t>Gestión de Procesos</t>
        </is>
      </c>
      <c r="F97" s="10" t="inlineStr">
        <is>
          <t>-</t>
        </is>
      </c>
      <c r="G97" s="10" t="inlineStr">
        <is>
          <t>Publicación y difusión de documentos</t>
        </is>
      </c>
      <c r="H97" s="10" t="inlineStr">
        <is>
          <t>Matriz de control de documentos</t>
        </is>
      </c>
      <c r="I97" s="10" t="inlineStr">
        <is>
          <t>Documento de seguimiento interno que se usa también en el proceso de Implementación de Procesos para que el usuario final cumpla los lineamientos actuales de sus manuales</t>
        </is>
      </c>
      <c r="J97" s="10" t="inlineStr">
        <is>
          <t>Jefe de Planificación y  Procesos</t>
        </is>
      </c>
      <c r="K97" s="10" t="inlineStr">
        <is>
          <t>Jefe de Planificación y  Procesos</t>
        </is>
      </c>
      <c r="L97" s="10" t="inlineStr">
        <is>
          <t>UBICACIÓN DIGITAL-EQUIPO DEL RESPONSABLE</t>
        </is>
      </c>
      <c r="M97" s="10" t="inlineStr">
        <is>
          <t>DISCOS DUROS, SERVIDORES, DISCOS O MEDIOS PORTÁTILES, CINTAS O MEDIOS DE VIDEO Y AUDIO, ETC.</t>
        </is>
      </c>
      <c r="N97" s="10" t="inlineStr">
        <is>
          <t>PRIMARIOS</t>
        </is>
      </c>
      <c r="O97" s="10" t="inlineStr">
        <is>
          <t>DOCUMENTOS TÉCNICOS</t>
        </is>
      </c>
      <c r="P97" s="10" t="inlineStr">
        <is>
          <t>USO INTERNO(2)</t>
        </is>
      </c>
      <c r="Q97" s="10" t="inlineStr">
        <is>
          <t>BAJA(1)</t>
        </is>
      </c>
      <c r="R97" s="10" t="inlineStr">
        <is>
          <t>BAJA(1)</t>
        </is>
      </c>
      <c r="S97" s="10">
        <f>+(IF(P97="PUBLICA(1)",1,IF(P97="USO INTERNO(2)",2,IF(P97="RESTRINGIDO(3)",3,3))))+(IF(Q97="BAJA(1)",1,IF(Q97="MEDIA(2)",2,IF(Q97="ALTA(3)",3,3))))+(IF(R97="BAJA(1)",1,IF(R97="MEDIA(2)",2,IF(R97="ALTA(3)",3,3))))</f>
        <v/>
      </c>
      <c r="T97" s="10">
        <f>+IF(S97&lt;6,"BAJA",IF(S97&lt;8,"MEDIA","ALTA"))</f>
        <v/>
      </c>
      <c r="U97" s="10" t="inlineStr">
        <is>
          <t>-</t>
        </is>
      </c>
      <c r="V97" s="24" t="n">
        <v>45580</v>
      </c>
      <c r="W97" s="19" t="inlineStr">
        <is>
          <t>N/A</t>
        </is>
      </c>
      <c r="X97" s="10">
        <f>+IFERROR(IF(VLOOKUP(Tabla2[[#This Row],[ID]],'EVALUACION DE RIESGO'!A:A,1,FALSE)=Tabla2[[#This Row],[ID]],"SI","NO"),"NO")</f>
        <v/>
      </c>
    </row>
    <row r="98">
      <c r="A98" s="91" t="inlineStr">
        <is>
          <t>12-GCP</t>
        </is>
      </c>
      <c r="B98" s="10" t="inlineStr">
        <is>
          <t>ESTRATÉGICO</t>
        </is>
      </c>
      <c r="C98" s="10" t="inlineStr">
        <is>
          <t xml:space="preserve">Gestión de Calidad </t>
        </is>
      </c>
      <c r="D98" s="10" t="inlineStr">
        <is>
          <t>GCP</t>
        </is>
      </c>
      <c r="E98" s="10" t="inlineStr">
        <is>
          <t>Gestión de Procesos</t>
        </is>
      </c>
      <c r="F98" s="10" t="inlineStr">
        <is>
          <t>-</t>
        </is>
      </c>
      <c r="G98" s="10" t="inlineStr">
        <is>
          <t>Publicación y difusión de documentos</t>
        </is>
      </c>
      <c r="H98" s="10" t="inlineStr">
        <is>
          <t xml:space="preserve">Matriz de Accesos a la Documentación </t>
        </is>
      </c>
      <c r="I98" s="10" t="inlineStr">
        <is>
          <t>Matriz consolida de los accesos a la documentación</t>
        </is>
      </c>
      <c r="J98" s="10" t="inlineStr">
        <is>
          <t>Jefe de Planificación y  Procesos</t>
        </is>
      </c>
      <c r="K98" s="10" t="inlineStr">
        <is>
          <t>Jefe de Planificación y  Procesos</t>
        </is>
      </c>
      <c r="L98" s="10" t="inlineStr">
        <is>
          <t>UBICACIÓN DIGITAL-EQUIPO DEL RESPONSABLE</t>
        </is>
      </c>
      <c r="M98" s="10" t="inlineStr">
        <is>
          <t>DISCOS DUROS, SERVIDORES, DISCOS O MEDIOS PORTÁTILES, CINTAS O MEDIOS DE VIDEO Y AUDIO, ETC.</t>
        </is>
      </c>
      <c r="N98" s="10" t="inlineStr">
        <is>
          <t>PRIMARIOS</t>
        </is>
      </c>
      <c r="O98" s="10" t="inlineStr">
        <is>
          <t>DOCUMENTOS TÉCNICOS</t>
        </is>
      </c>
      <c r="P98" s="10" t="inlineStr">
        <is>
          <t>USO INTERNO(2)</t>
        </is>
      </c>
      <c r="Q98" s="10" t="inlineStr">
        <is>
          <t>BAJA(1)</t>
        </is>
      </c>
      <c r="R98" s="10" t="inlineStr">
        <is>
          <t>BAJA(1)</t>
        </is>
      </c>
      <c r="S98" s="10">
        <f>+(IF(P98="PUBLICA(1)",1,IF(P98="USO INTERNO(2)",2,IF(P98="RESTRINGIDO(3)",3,3))))+(IF(Q98="BAJA(1)",1,IF(Q98="MEDIA(2)",2,IF(Q98="ALTA(3)",3,3))))+(IF(R98="BAJA(1)",1,IF(R98="MEDIA(2)",2,IF(R98="ALTA(3)",3,3))))</f>
        <v/>
      </c>
      <c r="T98" s="10">
        <f>+IF(S98&lt;6,"BAJA",IF(S98&lt;8,"MEDIA","ALTA"))</f>
        <v/>
      </c>
      <c r="U98" s="10" t="inlineStr">
        <is>
          <t>-</t>
        </is>
      </c>
      <c r="V98" s="24" t="n">
        <v>45580</v>
      </c>
      <c r="W98" s="19" t="inlineStr">
        <is>
          <t>N/A</t>
        </is>
      </c>
      <c r="X98" s="10">
        <f>+IFERROR(IF(VLOOKUP(Tabla2[[#This Row],[ID]],'EVALUACION DE RIESGO'!A:A,1,FALSE)=Tabla2[[#This Row],[ID]],"SI","NO"),"NO")</f>
        <v/>
      </c>
    </row>
    <row r="99">
      <c r="A99" s="91" t="inlineStr">
        <is>
          <t>13-GCP</t>
        </is>
      </c>
      <c r="B99" s="10" t="inlineStr">
        <is>
          <t>ESTRATÉGICO</t>
        </is>
      </c>
      <c r="C99" s="10" t="inlineStr">
        <is>
          <t xml:space="preserve">Gestión de Calidad </t>
        </is>
      </c>
      <c r="D99" s="10" t="inlineStr">
        <is>
          <t>GCP</t>
        </is>
      </c>
      <c r="E99" s="10" t="inlineStr">
        <is>
          <t>Gestión de Procesos</t>
        </is>
      </c>
      <c r="F99" s="10" t="inlineStr">
        <is>
          <t>-</t>
        </is>
      </c>
      <c r="G99" s="10" t="inlineStr">
        <is>
          <t xml:space="preserve">Implementación de Procesos </t>
        </is>
      </c>
      <c r="H99" s="10" t="inlineStr">
        <is>
          <t>Correo de comunicación de la implementación del proceso</t>
        </is>
      </c>
      <c r="I99" s="10" t="inlineStr">
        <is>
          <t>Correo de respuesta al Circular de Procesos donde el responsable da a conocer la socialización y capacitación de sus subordinados.</t>
        </is>
      </c>
      <c r="J99" s="10" t="inlineStr">
        <is>
          <t>Jefe de Planificación y  Procesos</t>
        </is>
      </c>
      <c r="K99" s="10" t="inlineStr">
        <is>
          <t>Jefe de Planificación y  Procesos</t>
        </is>
      </c>
      <c r="L99" s="10" t="inlineStr">
        <is>
          <t>UBICACIÓN DIGITAL-EQUIPO DEL RESPONSABLE</t>
        </is>
      </c>
      <c r="M99" s="10" t="inlineStr">
        <is>
          <t>SISTEMA DE MENSAJERÍA ELECTRÓNICA</t>
        </is>
      </c>
      <c r="N99" s="10" t="inlineStr">
        <is>
          <t>PRIMARIOS</t>
        </is>
      </c>
      <c r="O99" s="10" t="inlineStr">
        <is>
          <t>COMUNICACIÓN INTERNA</t>
        </is>
      </c>
      <c r="P99" s="10" t="inlineStr">
        <is>
          <t>USO INTERNO(2)</t>
        </is>
      </c>
      <c r="Q99" s="10" t="inlineStr">
        <is>
          <t>BAJA(1)</t>
        </is>
      </c>
      <c r="R99" s="10" t="inlineStr">
        <is>
          <t>BAJA(1)</t>
        </is>
      </c>
      <c r="S99" s="10">
        <f>+(IF(P99="PUBLICA(1)",1,IF(P99="USO INTERNO(2)",2,IF(P99="RESTRINGIDO(3)",3,3))))+(IF(Q99="BAJA(1)",1,IF(Q99="MEDIA(2)",2,IF(Q99="ALTA(3)",3,3))))+(IF(R99="BAJA(1)",1,IF(R99="MEDIA(2)",2,IF(R99="ALTA(3)",3,3))))</f>
        <v/>
      </c>
      <c r="T99" s="10">
        <f>+IF(S99&lt;6,"BAJA",IF(S99&lt;8,"MEDIA","ALTA"))</f>
        <v/>
      </c>
      <c r="U99" s="10" t="inlineStr">
        <is>
          <t>-</t>
        </is>
      </c>
      <c r="V99" s="24" t="n">
        <v>45580</v>
      </c>
      <c r="W99" s="19" t="inlineStr">
        <is>
          <t>N/A</t>
        </is>
      </c>
      <c r="X99" s="10">
        <f>+IFERROR(IF(VLOOKUP(Tabla2[[#This Row],[ID]],'EVALUACION DE RIESGO'!A:A,1,FALSE)=Tabla2[[#This Row],[ID]],"SI","NO"),"NO")</f>
        <v/>
      </c>
    </row>
    <row r="100">
      <c r="A100" s="91" t="inlineStr">
        <is>
          <t>14-GCP</t>
        </is>
      </c>
      <c r="B100" s="10" t="inlineStr">
        <is>
          <t>ESTRATÉGICO</t>
        </is>
      </c>
      <c r="C100" s="10" t="inlineStr">
        <is>
          <t xml:space="preserve">Gestión de Calidad </t>
        </is>
      </c>
      <c r="D100" s="10" t="inlineStr">
        <is>
          <t>GCP</t>
        </is>
      </c>
      <c r="E100" s="10" t="inlineStr">
        <is>
          <t>Gestión de Procesos</t>
        </is>
      </c>
      <c r="F100" s="10" t="inlineStr">
        <is>
          <t>-</t>
        </is>
      </c>
      <c r="G100" s="10" t="inlineStr">
        <is>
          <t xml:space="preserve">Implementación de Procesos </t>
        </is>
      </c>
      <c r="H100" s="10" t="inlineStr">
        <is>
          <t>Justificativos de Implementación</t>
        </is>
      </c>
      <c r="I100" s="10" t="inlineStr">
        <is>
          <t xml:space="preserve">Anexo de asistentes a la capacitación de los nuevos procesos </t>
        </is>
      </c>
      <c r="J100" s="10" t="inlineStr">
        <is>
          <t>Jefe de Planificación y  Procesos</t>
        </is>
      </c>
      <c r="K100" s="10" t="inlineStr">
        <is>
          <t>Jefe de Planificación y  Procesos</t>
        </is>
      </c>
      <c r="L100" s="10" t="inlineStr">
        <is>
          <t>UBICACIÓN DIGITAL-EQUIPO DEL RESPONSABLE</t>
        </is>
      </c>
      <c r="M100" s="10" t="inlineStr">
        <is>
          <t>SISTEMA DE MENSAJERÍA ELECTRÓNICA</t>
        </is>
      </c>
      <c r="N100" s="10" t="inlineStr">
        <is>
          <t>PRIMARIOS</t>
        </is>
      </c>
      <c r="O100" s="10" t="inlineStr">
        <is>
          <t>COMUNICACIÓN INTERNA</t>
        </is>
      </c>
      <c r="P100" s="10" t="inlineStr">
        <is>
          <t>USO INTERNO(2)</t>
        </is>
      </c>
      <c r="Q100" s="10" t="inlineStr">
        <is>
          <t>BAJA(1)</t>
        </is>
      </c>
      <c r="R100" s="10" t="inlineStr">
        <is>
          <t>BAJA(1)</t>
        </is>
      </c>
      <c r="S100" s="10">
        <f>+(IF(P100="PUBLICA(1)",1,IF(P100="USO INTERNO(2)",2,IF(P100="RESTRINGIDO(3)",3,3))))+(IF(Q100="BAJA(1)",1,IF(Q100="MEDIA(2)",2,IF(Q100="ALTA(3)",3,3))))+(IF(R100="BAJA(1)",1,IF(R100="MEDIA(2)",2,IF(R100="ALTA(3)",3,3))))</f>
        <v/>
      </c>
      <c r="T100" s="10">
        <f>+IF(S100&lt;6,"BAJA",IF(S100&lt;8,"MEDIA","ALTA"))</f>
        <v/>
      </c>
      <c r="U100" s="10" t="inlineStr">
        <is>
          <t>-</t>
        </is>
      </c>
      <c r="V100" s="24" t="n">
        <v>45580</v>
      </c>
      <c r="W100" s="19" t="inlineStr">
        <is>
          <t>N/A</t>
        </is>
      </c>
      <c r="X100" s="10">
        <f>+IFERROR(IF(VLOOKUP(Tabla2[[#This Row],[ID]],'EVALUACION DE RIESGO'!A:A,1,FALSE)=Tabla2[[#This Row],[ID]],"SI","NO"),"NO")</f>
        <v/>
      </c>
    </row>
    <row r="101">
      <c r="A101" s="91" t="inlineStr">
        <is>
          <t>15-GCP</t>
        </is>
      </c>
      <c r="B101" s="10" t="inlineStr">
        <is>
          <t>ESTRATÉGICO</t>
        </is>
      </c>
      <c r="C101" s="10" t="inlineStr">
        <is>
          <t xml:space="preserve">Gestión de Calidad </t>
        </is>
      </c>
      <c r="D101" s="10" t="inlineStr">
        <is>
          <t>GCP</t>
        </is>
      </c>
      <c r="E101" s="10" t="inlineStr">
        <is>
          <t>Gestión de Procesos</t>
        </is>
      </c>
      <c r="F101" s="10" t="inlineStr">
        <is>
          <t>-</t>
        </is>
      </c>
      <c r="G101" s="10" t="inlineStr">
        <is>
          <t xml:space="preserve">Entrega de documentos institucionales a terceros </t>
        </is>
      </c>
      <c r="H101" s="10" t="inlineStr">
        <is>
          <t>Entrega de documentos a terceros</t>
        </is>
      </c>
      <c r="I101" s="10" t="inlineStr">
        <is>
          <t>Formulario firmado que la persona externa entrega para solicitar información interna</t>
        </is>
      </c>
      <c r="J101" s="10" t="inlineStr">
        <is>
          <t>Jefe de Planificación y  Procesos</t>
        </is>
      </c>
      <c r="K101" s="10" t="inlineStr">
        <is>
          <t>Jefe de Planificación y  Procesos</t>
        </is>
      </c>
      <c r="L101" s="10" t="inlineStr">
        <is>
          <t>UBICACIÓN DIGITAL-EQUIPO DEL RESPONSABLE</t>
        </is>
      </c>
      <c r="M101" s="10" t="inlineStr">
        <is>
          <t>DISCOS DUROS, SERVIDORES, DISCOS O MEDIOS PORTÁTILES, CINTAS O MEDIOS DE VIDEO Y AUDIO, ETC.</t>
        </is>
      </c>
      <c r="N101" s="10" t="inlineStr">
        <is>
          <t>PRIMARIOS</t>
        </is>
      </c>
      <c r="O101" s="10" t="inlineStr">
        <is>
          <t>DOCUMENTOS HABILITANTES</t>
        </is>
      </c>
      <c r="P101" s="10" t="inlineStr">
        <is>
          <t>USO INTERNO(2)</t>
        </is>
      </c>
      <c r="Q101" s="10" t="inlineStr">
        <is>
          <t>BAJA(1)</t>
        </is>
      </c>
      <c r="R101" s="10" t="inlineStr">
        <is>
          <t>ALTA(3)</t>
        </is>
      </c>
      <c r="S101" s="10">
        <f>+(IF(P101="PUBLICA(1)",1,IF(P101="USO INTERNO(2)",2,IF(P101="RESTRINGIDO(3)",3,3))))+(IF(Q101="BAJA(1)",1,IF(Q101="MEDIA(2)",2,IF(Q101="ALTA(3)",3,3))))+(IF(R101="BAJA(1)",1,IF(R101="MEDIA(2)",2,IF(R101="ALTA(3)",3,3))))</f>
        <v/>
      </c>
      <c r="T101" s="10">
        <f>+IF(S101&lt;6,"BAJA",IF(S101&lt;8,"MEDIA","ALTA"))</f>
        <v/>
      </c>
      <c r="U101" s="10" t="inlineStr">
        <is>
          <t>-</t>
        </is>
      </c>
      <c r="V101" s="24" t="n">
        <v>45580</v>
      </c>
      <c r="W101" s="19" t="inlineStr">
        <is>
          <t>N/A</t>
        </is>
      </c>
      <c r="X101" s="10">
        <f>+IFERROR(IF(VLOOKUP(Tabla2[[#This Row],[ID]],'EVALUACION DE RIESGO'!A:A,1,FALSE)=Tabla2[[#This Row],[ID]],"SI","NO"),"NO")</f>
        <v/>
      </c>
    </row>
    <row r="102">
      <c r="A102" s="91" t="inlineStr">
        <is>
          <t>16-GCP</t>
        </is>
      </c>
      <c r="B102" s="10" t="inlineStr">
        <is>
          <t>ESTRATÉGICO</t>
        </is>
      </c>
      <c r="C102" s="10" t="inlineStr">
        <is>
          <t xml:space="preserve">Gestión de Calidad </t>
        </is>
      </c>
      <c r="D102" s="10" t="inlineStr">
        <is>
          <t>GCP</t>
        </is>
      </c>
      <c r="E102" s="10" t="inlineStr">
        <is>
          <t xml:space="preserve">Gestión de Calidad </t>
        </is>
      </c>
      <c r="F102" s="10" t="inlineStr">
        <is>
          <t>-</t>
        </is>
      </c>
      <c r="G102" s="10" t="inlineStr">
        <is>
          <t>Revisión Gerencial del Sistema de Gestión de Calidad</t>
        </is>
      </c>
      <c r="H102" s="10" t="inlineStr">
        <is>
          <t>Matriz de Estrategias y/o Proyectos de Mejora Continua</t>
        </is>
      </c>
      <c r="I102" s="10" t="inlineStr">
        <is>
          <t>Matriz que contiene proyectos de mejora para cada proceso y se alimenta de las resoluciones de las actas de comité</t>
        </is>
      </c>
      <c r="J102" s="10" t="inlineStr">
        <is>
          <t>Jefe de Planificación y  Procesos</t>
        </is>
      </c>
      <c r="K102" s="10" t="inlineStr">
        <is>
          <t>Analista de Mejora Continua</t>
        </is>
      </c>
      <c r="L102" s="10" t="inlineStr">
        <is>
          <t>UBICACIÓN DIGITAL-EQUIPO DEL CUSTODIO</t>
        </is>
      </c>
      <c r="M102" s="10" t="inlineStr">
        <is>
          <t>DISCOS DUROS, SERVIDORES, DISCOS O MEDIOS PORTÁTILES, CINTAS O MEDIOS DE VIDEO Y AUDIO, ETC.</t>
        </is>
      </c>
      <c r="N102" s="10" t="inlineStr">
        <is>
          <t>PRIMARIOS</t>
        </is>
      </c>
      <c r="O102" s="10" t="inlineStr">
        <is>
          <t>DOCUMENTOS TÉCNICOS</t>
        </is>
      </c>
      <c r="P102" s="10" t="inlineStr">
        <is>
          <t>USO INTERNO(2)</t>
        </is>
      </c>
      <c r="Q102" s="10" t="inlineStr">
        <is>
          <t>BAJA(1)</t>
        </is>
      </c>
      <c r="R102" s="10" t="inlineStr">
        <is>
          <t>BAJA(1)</t>
        </is>
      </c>
      <c r="S102" s="10">
        <f>+(IF(P102="PUBLICA(1)",1,IF(P102="USO INTERNO(2)",2,IF(P102="RESTRINGIDO(3)",3,3))))+(IF(Q102="BAJA(1)",1,IF(Q102="MEDIA(2)",2,IF(Q102="ALTA(3)",3,3))))+(IF(R102="BAJA(1)",1,IF(R102="MEDIA(2)",2,IF(R102="ALTA(3)",3,3))))</f>
        <v/>
      </c>
      <c r="T102" s="10">
        <f>+IF(S102&lt;6,"BAJA",IF(S102&lt;8,"MEDIA","ALTA"))</f>
        <v/>
      </c>
      <c r="U102" s="10" t="inlineStr">
        <is>
          <t>-</t>
        </is>
      </c>
      <c r="V102" s="24" t="n">
        <v>45580</v>
      </c>
      <c r="W102" s="19" t="inlineStr">
        <is>
          <t>N/A</t>
        </is>
      </c>
      <c r="X102" s="10">
        <f>+IFERROR(IF(VLOOKUP(Tabla2[[#This Row],[ID]],'EVALUACION DE RIESGO'!A:A,1,FALSE)=Tabla2[[#This Row],[ID]],"SI","NO"),"NO")</f>
        <v/>
      </c>
    </row>
    <row r="103">
      <c r="A103" s="91" t="inlineStr">
        <is>
          <t>17-GCP</t>
        </is>
      </c>
      <c r="B103" s="10" t="inlineStr">
        <is>
          <t>ESTRATÉGICO</t>
        </is>
      </c>
      <c r="C103" s="10" t="inlineStr">
        <is>
          <t xml:space="preserve">Gestión de Calidad </t>
        </is>
      </c>
      <c r="D103" s="10" t="inlineStr">
        <is>
          <t>GCP</t>
        </is>
      </c>
      <c r="E103" s="10" t="inlineStr">
        <is>
          <t xml:space="preserve">Gestión de Calidad </t>
        </is>
      </c>
      <c r="F103" s="10" t="inlineStr">
        <is>
          <t>-</t>
        </is>
      </c>
      <c r="G103" s="10" t="inlineStr">
        <is>
          <t>Revisión Gerencial del Sistema de Gestión de Calidad</t>
        </is>
      </c>
      <c r="H103" s="10" t="inlineStr">
        <is>
          <t>Acta del Comité de Planificación, Procesos e Innovación.</t>
        </is>
      </c>
      <c r="I103" s="10" t="inlineStr">
        <is>
          <t>Acta de resolución del Comité de Planificación Procesos e Innovación</t>
        </is>
      </c>
      <c r="J103" s="10" t="inlineStr">
        <is>
          <t>Jefe de Planificación y  Procesos</t>
        </is>
      </c>
      <c r="K103" s="10" t="inlineStr">
        <is>
          <t>Jefe de Planificación y  Procesos</t>
        </is>
      </c>
      <c r="L103" s="10" t="inlineStr">
        <is>
          <t>UBICACIÓN DIGITAL-EQUIPO DEL RESPONSABLE</t>
        </is>
      </c>
      <c r="M103" s="10" t="inlineStr">
        <is>
          <t>DISCOS DUROS, SERVIDORES, DISCOS O MEDIOS PORTÁTILES, CINTAS O MEDIOS DE VIDEO Y AUDIO, ETC.</t>
        </is>
      </c>
      <c r="N103" s="10" t="inlineStr">
        <is>
          <t>PRIMARIOS</t>
        </is>
      </c>
      <c r="O103" s="10" t="inlineStr">
        <is>
          <t>DOCUMENTOS HABILITANTES</t>
        </is>
      </c>
      <c r="P103" s="10" t="inlineStr">
        <is>
          <t>RESTRINGIDO(3)</t>
        </is>
      </c>
      <c r="Q103" s="10" t="inlineStr">
        <is>
          <t>BAJA(1)</t>
        </is>
      </c>
      <c r="R103" s="10" t="inlineStr">
        <is>
          <t>BAJA(1)</t>
        </is>
      </c>
      <c r="S103" s="10">
        <f>+(IF(P103="PUBLICA(1)",1,IF(P103="USO INTERNO(2)",2,IF(P103="RESTRINGIDO(3)",3,3))))+(IF(Q103="BAJA(1)",1,IF(Q103="MEDIA(2)",2,IF(Q103="ALTA(3)",3,3))))+(IF(R103="BAJA(1)",1,IF(R103="MEDIA(2)",2,IF(R103="ALTA(3)",3,3))))</f>
        <v/>
      </c>
      <c r="T103" s="10">
        <f>+IF(S103&lt;6,"BAJA",IF(S103&lt;8,"MEDIA","ALTA"))</f>
        <v/>
      </c>
      <c r="U103" s="10" t="inlineStr">
        <is>
          <t>-</t>
        </is>
      </c>
      <c r="V103" s="24" t="n">
        <v>45580</v>
      </c>
      <c r="W103" s="19" t="inlineStr">
        <is>
          <t>N/A</t>
        </is>
      </c>
      <c r="X103" s="10">
        <f>+IFERROR(IF(VLOOKUP(Tabla2[[#This Row],[ID]],'EVALUACION DE RIESGO'!A:A,1,FALSE)=Tabla2[[#This Row],[ID]],"SI","NO"),"NO")</f>
        <v/>
      </c>
    </row>
    <row r="104">
      <c r="A104" s="91" t="inlineStr">
        <is>
          <t>18-GCP</t>
        </is>
      </c>
      <c r="B104" s="10" t="inlineStr">
        <is>
          <t>ESTRATÉGICO</t>
        </is>
      </c>
      <c r="C104" s="10" t="inlineStr">
        <is>
          <t xml:space="preserve">Gestión de Calidad </t>
        </is>
      </c>
      <c r="D104" s="10" t="inlineStr">
        <is>
          <t>GCP</t>
        </is>
      </c>
      <c r="E104" s="10" t="inlineStr">
        <is>
          <t xml:space="preserve">Gestión de Calidad </t>
        </is>
      </c>
      <c r="F104" s="10" t="inlineStr">
        <is>
          <t>-</t>
        </is>
      </c>
      <c r="G104" s="10" t="inlineStr">
        <is>
          <t>Revisión Gerencial del Sistema de Gestión de Calidad</t>
        </is>
      </c>
      <c r="H104" s="10" t="inlineStr">
        <is>
          <t>Informe del estado de la Gestión de Calidad con corte a octubre de cada año.</t>
        </is>
      </c>
      <c r="I104" s="10" t="inlineStr">
        <is>
          <t>Informe anual del Sistema de Gestión de Calidad</t>
        </is>
      </c>
      <c r="J104" s="10" t="inlineStr">
        <is>
          <t>Jefe de Planificación y  Procesos</t>
        </is>
      </c>
      <c r="K104" s="10" t="inlineStr">
        <is>
          <t>Jefe de Planificación y  Procesos</t>
        </is>
      </c>
      <c r="L104" s="10" t="inlineStr">
        <is>
          <t>UBICACIÓN DIGITAL-EQUIPO DEL RESPONSABLE</t>
        </is>
      </c>
      <c r="M104" s="10" t="inlineStr">
        <is>
          <t>DISCOS DUROS, SERVIDORES, DISCOS O MEDIOS PORTÁTILES, CINTAS O MEDIOS DE VIDEO Y AUDIO, ETC.</t>
        </is>
      </c>
      <c r="N104" s="10" t="inlineStr">
        <is>
          <t>PRIMARIOS</t>
        </is>
      </c>
      <c r="O104" s="10" t="inlineStr">
        <is>
          <t>DOCUMENTOS TÉCNICOS</t>
        </is>
      </c>
      <c r="P104" s="10" t="inlineStr">
        <is>
          <t>USO INTERNO(2)</t>
        </is>
      </c>
      <c r="Q104" s="10" t="inlineStr">
        <is>
          <t>BAJA(1)</t>
        </is>
      </c>
      <c r="R104" s="10" t="inlineStr">
        <is>
          <t>BAJA(1)</t>
        </is>
      </c>
      <c r="S104" s="10">
        <f>+(IF(P104="PUBLICA(1)",1,IF(P104="USO INTERNO(2)",2,IF(P104="RESTRINGIDO(3)",3,3))))+(IF(Q104="BAJA(1)",1,IF(Q104="MEDIA(2)",2,IF(Q104="ALTA(3)",3,3))))+(IF(R104="BAJA(1)",1,IF(R104="MEDIA(2)",2,IF(R104="ALTA(3)",3,3))))</f>
        <v/>
      </c>
      <c r="T104" s="10">
        <f>+IF(S104&lt;6,"BAJA",IF(S104&lt;8,"MEDIA","ALTA"))</f>
        <v/>
      </c>
      <c r="U104" s="10" t="inlineStr">
        <is>
          <t>-</t>
        </is>
      </c>
      <c r="V104" s="24" t="n">
        <v>45580</v>
      </c>
      <c r="W104" s="19" t="inlineStr">
        <is>
          <t>N/A</t>
        </is>
      </c>
      <c r="X104" s="10">
        <f>+IFERROR(IF(VLOOKUP(Tabla2[[#This Row],[ID]],'EVALUACION DE RIESGO'!A:A,1,FALSE)=Tabla2[[#This Row],[ID]],"SI","NO"),"NO")</f>
        <v/>
      </c>
    </row>
    <row r="105">
      <c r="A105" s="91" t="inlineStr">
        <is>
          <t>19-GCP</t>
        </is>
      </c>
      <c r="B105" s="10" t="inlineStr">
        <is>
          <t>ESTRATÉGICO</t>
        </is>
      </c>
      <c r="C105" s="10" t="inlineStr">
        <is>
          <t xml:space="preserve">Gestión de Calidad </t>
        </is>
      </c>
      <c r="D105" s="10" t="inlineStr">
        <is>
          <t>GCP</t>
        </is>
      </c>
      <c r="E105" s="10" t="inlineStr">
        <is>
          <t xml:space="preserve">Gestión de Calidad </t>
        </is>
      </c>
      <c r="F105" s="10" t="inlineStr">
        <is>
          <t>-</t>
        </is>
      </c>
      <c r="G105" s="10" t="inlineStr">
        <is>
          <t xml:space="preserve">Auditorías del Sistema de Gestión de Calidad </t>
        </is>
      </c>
      <c r="H105" s="10" t="inlineStr">
        <is>
          <t>Lista de numerales auditables por proceso del SGC</t>
        </is>
      </c>
      <c r="I105" s="10" t="inlineStr">
        <is>
          <t>Formato donde se identifican los procesos auditables y no auditables</t>
        </is>
      </c>
      <c r="J105" s="10" t="inlineStr">
        <is>
          <t>Jefe de Planificación y  Procesos</t>
        </is>
      </c>
      <c r="K105" s="10" t="inlineStr">
        <is>
          <t>Jefe de Planificación y  Procesos</t>
        </is>
      </c>
      <c r="L105" s="10" t="inlineStr">
        <is>
          <t>UBICACIÓN DIGITAL-EQUIPO DEL RESPONSABLE</t>
        </is>
      </c>
      <c r="M105" s="10" t="inlineStr">
        <is>
          <t>DISCOS DUROS, SERVIDORES, DISCOS O MEDIOS PORTÁTILES, CINTAS O MEDIOS DE VIDEO Y AUDIO, ETC.</t>
        </is>
      </c>
      <c r="N105" s="10" t="inlineStr">
        <is>
          <t>PRIMARIOS</t>
        </is>
      </c>
      <c r="O105" s="10" t="inlineStr">
        <is>
          <t>DOCUMENTOS TÉCNICOS</t>
        </is>
      </c>
      <c r="P105" s="10" t="inlineStr">
        <is>
          <t>USO INTERNO(2)</t>
        </is>
      </c>
      <c r="Q105" s="10" t="inlineStr">
        <is>
          <t>BAJA(1)</t>
        </is>
      </c>
      <c r="R105" s="10" t="inlineStr">
        <is>
          <t>BAJA(1)</t>
        </is>
      </c>
      <c r="S105" s="10">
        <f>+(IF(P105="PUBLICA(1)",1,IF(P105="USO INTERNO(2)",2,IF(P105="RESTRINGIDO(3)",3,3))))+(IF(Q105="BAJA(1)",1,IF(Q105="MEDIA(2)",2,IF(Q105="ALTA(3)",3,3))))+(IF(R105="BAJA(1)",1,IF(R105="MEDIA(2)",2,IF(R105="ALTA(3)",3,3))))</f>
        <v/>
      </c>
      <c r="T105" s="10">
        <f>+IF(S105&lt;6,"BAJA",IF(S105&lt;8,"MEDIA","ALTA"))</f>
        <v/>
      </c>
      <c r="U105" s="10" t="inlineStr">
        <is>
          <t>-</t>
        </is>
      </c>
      <c r="V105" s="24" t="n">
        <v>45580</v>
      </c>
      <c r="W105" s="19" t="inlineStr">
        <is>
          <t>N/A</t>
        </is>
      </c>
      <c r="X105" s="10">
        <f>+IFERROR(IF(VLOOKUP(Tabla2[[#This Row],[ID]],'EVALUACION DE RIESGO'!A:A,1,FALSE)=Tabla2[[#This Row],[ID]],"SI","NO"),"NO")</f>
        <v/>
      </c>
    </row>
    <row r="106">
      <c r="A106" s="91" t="inlineStr">
        <is>
          <t>20-GCP</t>
        </is>
      </c>
      <c r="B106" s="10" t="inlineStr">
        <is>
          <t>ESTRATÉGICO</t>
        </is>
      </c>
      <c r="C106" s="10" t="inlineStr">
        <is>
          <t xml:space="preserve">Gestión de Calidad </t>
        </is>
      </c>
      <c r="D106" s="10" t="inlineStr">
        <is>
          <t>GCP</t>
        </is>
      </c>
      <c r="E106" s="10" t="inlineStr">
        <is>
          <t xml:space="preserve">Gestión de Calidad </t>
        </is>
      </c>
      <c r="F106" s="10" t="inlineStr">
        <is>
          <t>-</t>
        </is>
      </c>
      <c r="G106" s="10" t="inlineStr">
        <is>
          <t xml:space="preserve">Auditorías del Sistema de Gestión de Calidad </t>
        </is>
      </c>
      <c r="H106" s="10" t="inlineStr">
        <is>
          <t>Programa de Auditoría Interna del SGC</t>
        </is>
      </c>
      <c r="I106" s="10" t="inlineStr">
        <is>
          <t>Formato de legalización de programa</t>
        </is>
      </c>
      <c r="J106" s="10" t="inlineStr">
        <is>
          <t>Jefe de Planificación y  Procesos</t>
        </is>
      </c>
      <c r="K106" s="10" t="inlineStr">
        <is>
          <t>Jefe de Planificación y  Procesos</t>
        </is>
      </c>
      <c r="L106" s="10" t="inlineStr">
        <is>
          <t>UBICACIÓN DIGITAL-EQUIPO DEL RESPONSABLE</t>
        </is>
      </c>
      <c r="M106" s="10" t="inlineStr">
        <is>
          <t>DISCOS DUROS, SERVIDORES, DISCOS O MEDIOS PORTÁTILES, CINTAS O MEDIOS DE VIDEO Y AUDIO, ETC.</t>
        </is>
      </c>
      <c r="N106" s="10" t="inlineStr">
        <is>
          <t>PRIMARIOS</t>
        </is>
      </c>
      <c r="O106" s="10" t="inlineStr">
        <is>
          <t>DOCUMENTOS TÉCNICOS</t>
        </is>
      </c>
      <c r="P106" s="10" t="inlineStr">
        <is>
          <t>USO INTERNO(2)</t>
        </is>
      </c>
      <c r="Q106" s="10" t="inlineStr">
        <is>
          <t>BAJA(1)</t>
        </is>
      </c>
      <c r="R106" s="10" t="inlineStr">
        <is>
          <t>BAJA(1)</t>
        </is>
      </c>
      <c r="S106" s="10">
        <f>+(IF(P106="PUBLICA(1)",1,IF(P106="USO INTERNO(2)",2,IF(P106="RESTRINGIDO(3)",3,3))))+(IF(Q106="BAJA(1)",1,IF(Q106="MEDIA(2)",2,IF(Q106="ALTA(3)",3,3))))+(IF(R106="BAJA(1)",1,IF(R106="MEDIA(2)",2,IF(R106="ALTA(3)",3,3))))</f>
        <v/>
      </c>
      <c r="T106" s="10">
        <f>+IF(S106&lt;6,"BAJA",IF(S106&lt;8,"MEDIA","ALTA"))</f>
        <v/>
      </c>
      <c r="U106" s="10" t="inlineStr">
        <is>
          <t>-</t>
        </is>
      </c>
      <c r="V106" s="24" t="n">
        <v>45580</v>
      </c>
      <c r="W106" s="19" t="inlineStr">
        <is>
          <t>N/A</t>
        </is>
      </c>
      <c r="X106" s="10">
        <f>+IFERROR(IF(VLOOKUP(Tabla2[[#This Row],[ID]],'EVALUACION DE RIESGO'!A:A,1,FALSE)=Tabla2[[#This Row],[ID]],"SI","NO"),"NO")</f>
        <v/>
      </c>
    </row>
    <row r="107">
      <c r="A107" s="91" t="inlineStr">
        <is>
          <t>21-GCP</t>
        </is>
      </c>
      <c r="B107" s="10" t="inlineStr">
        <is>
          <t>ESTRATÉGICO</t>
        </is>
      </c>
      <c r="C107" s="10" t="inlineStr">
        <is>
          <t xml:space="preserve">Gestión de Calidad </t>
        </is>
      </c>
      <c r="D107" s="10" t="inlineStr">
        <is>
          <t>GCP</t>
        </is>
      </c>
      <c r="E107" s="10" t="inlineStr">
        <is>
          <t xml:space="preserve">Gestión de Calidad </t>
        </is>
      </c>
      <c r="F107" s="10" t="inlineStr">
        <is>
          <t>-</t>
        </is>
      </c>
      <c r="G107" s="10" t="inlineStr">
        <is>
          <t xml:space="preserve">Auditorías del Sistema de Gestión de Calidad </t>
        </is>
      </c>
      <c r="H107" s="10" t="inlineStr">
        <is>
          <t>Plan de Auditoría Interna del SGC</t>
        </is>
      </c>
      <c r="I107" s="10" t="inlineStr">
        <is>
          <t>Documento de planificación anual del SGC</t>
        </is>
      </c>
      <c r="J107" s="10" t="inlineStr">
        <is>
          <t>Jefe de Planificación y  Procesos</t>
        </is>
      </c>
      <c r="K107" s="10" t="inlineStr">
        <is>
          <t>Jefe de Planificación y  Procesos</t>
        </is>
      </c>
      <c r="L107" s="10" t="inlineStr">
        <is>
          <t>UBICACIÓN DIGITAL-EQUIPO DEL RESPONSABLE</t>
        </is>
      </c>
      <c r="M107" s="10" t="inlineStr">
        <is>
          <t>DISCOS DUROS, SERVIDORES, DISCOS O MEDIOS PORTÁTILES, CINTAS O MEDIOS DE VIDEO Y AUDIO, ETC.</t>
        </is>
      </c>
      <c r="N107" s="10" t="inlineStr">
        <is>
          <t>PRIMARIOS</t>
        </is>
      </c>
      <c r="O107" s="10" t="inlineStr">
        <is>
          <t>DOCUMENTOS TÉCNICOS</t>
        </is>
      </c>
      <c r="P107" s="10" t="inlineStr">
        <is>
          <t>USO INTERNO(2)</t>
        </is>
      </c>
      <c r="Q107" s="10" t="inlineStr">
        <is>
          <t>BAJA(1)</t>
        </is>
      </c>
      <c r="R107" s="10" t="inlineStr">
        <is>
          <t>BAJA(1)</t>
        </is>
      </c>
      <c r="S107" s="10">
        <f>+(IF(P107="PUBLICA(1)",1,IF(P107="USO INTERNO(2)",2,IF(P107="RESTRINGIDO(3)",3,3))))+(IF(Q107="BAJA(1)",1,IF(Q107="MEDIA(2)",2,IF(Q107="ALTA(3)",3,3))))+(IF(R107="BAJA(1)",1,IF(R107="MEDIA(2)",2,IF(R107="ALTA(3)",3,3))))</f>
        <v/>
      </c>
      <c r="T107" s="10">
        <f>+IF(S107&lt;6,"BAJA",IF(S107&lt;8,"MEDIA","ALTA"))</f>
        <v/>
      </c>
      <c r="U107" s="10" t="inlineStr">
        <is>
          <t>-</t>
        </is>
      </c>
      <c r="V107" s="24" t="n">
        <v>45580</v>
      </c>
      <c r="W107" s="19" t="inlineStr">
        <is>
          <t>N/A</t>
        </is>
      </c>
      <c r="X107" s="10">
        <f>+IFERROR(IF(VLOOKUP(Tabla2[[#This Row],[ID]],'EVALUACION DE RIESGO'!A:A,1,FALSE)=Tabla2[[#This Row],[ID]],"SI","NO"),"NO")</f>
        <v/>
      </c>
    </row>
    <row r="108">
      <c r="A108" s="91" t="inlineStr">
        <is>
          <t>22-GCP</t>
        </is>
      </c>
      <c r="B108" s="10" t="inlineStr">
        <is>
          <t>ESTRATÉGICO</t>
        </is>
      </c>
      <c r="C108" s="10" t="inlineStr">
        <is>
          <t xml:space="preserve">Gestión de Calidad </t>
        </is>
      </c>
      <c r="D108" s="10" t="inlineStr">
        <is>
          <t>GCP</t>
        </is>
      </c>
      <c r="E108" s="10" t="inlineStr">
        <is>
          <t xml:space="preserve">Gestión de Calidad </t>
        </is>
      </c>
      <c r="F108" s="10" t="inlineStr">
        <is>
          <t>-</t>
        </is>
      </c>
      <c r="G108" s="10" t="inlineStr">
        <is>
          <t xml:space="preserve">Auditorías del Sistema de Gestión de Calidad </t>
        </is>
      </c>
      <c r="H108" s="10" t="inlineStr">
        <is>
          <t>Lista de Verificación de Auditorías del SGC</t>
        </is>
      </c>
      <c r="I108" s="10" t="inlineStr">
        <is>
          <t>Son insumos de los auditores del SGC que se usan para las revisiones</t>
        </is>
      </c>
      <c r="J108" s="10" t="inlineStr">
        <is>
          <t>Jefe de Planificación y  Procesos</t>
        </is>
      </c>
      <c r="K108" s="10" t="inlineStr">
        <is>
          <t>Jefe de Planificación y  Procesos</t>
        </is>
      </c>
      <c r="L108" s="10" t="inlineStr">
        <is>
          <t>UBICACIÓN DIGITAL-EQUIPO DEL RESPONSABLE</t>
        </is>
      </c>
      <c r="M108" s="10" t="inlineStr">
        <is>
          <t>DISCOS DUROS, SERVIDORES, DISCOS O MEDIOS PORTÁTILES, CINTAS O MEDIOS DE VIDEO Y AUDIO, ETC.</t>
        </is>
      </c>
      <c r="N108" s="10" t="inlineStr">
        <is>
          <t>PRIMARIOS</t>
        </is>
      </c>
      <c r="O108" s="10" t="inlineStr">
        <is>
          <t>DOCUMENTOS TÉCNICOS</t>
        </is>
      </c>
      <c r="P108" s="10" t="inlineStr">
        <is>
          <t>USO INTERNO(2)</t>
        </is>
      </c>
      <c r="Q108" s="10" t="inlineStr">
        <is>
          <t>BAJA(1)</t>
        </is>
      </c>
      <c r="R108" s="10" t="inlineStr">
        <is>
          <t>BAJA(1)</t>
        </is>
      </c>
      <c r="S108" s="10">
        <f>+(IF(P108="PUBLICA(1)",1,IF(P108="USO INTERNO(2)",2,IF(P108="RESTRINGIDO(3)",3,3))))+(IF(Q108="BAJA(1)",1,IF(Q108="MEDIA(2)",2,IF(Q108="ALTA(3)",3,3))))+(IF(R108="BAJA(1)",1,IF(R108="MEDIA(2)",2,IF(R108="ALTA(3)",3,3))))</f>
        <v/>
      </c>
      <c r="T108" s="10">
        <f>+IF(S108&lt;6,"BAJA",IF(S108&lt;8,"MEDIA","ALTA"))</f>
        <v/>
      </c>
      <c r="U108" s="10" t="inlineStr">
        <is>
          <t>-</t>
        </is>
      </c>
      <c r="V108" s="24" t="n">
        <v>45580</v>
      </c>
      <c r="W108" s="19" t="inlineStr">
        <is>
          <t>N/A</t>
        </is>
      </c>
      <c r="X108" s="10">
        <f>+IFERROR(IF(VLOOKUP(Tabla2[[#This Row],[ID]],'EVALUACION DE RIESGO'!A:A,1,FALSE)=Tabla2[[#This Row],[ID]],"SI","NO"),"NO")</f>
        <v/>
      </c>
    </row>
    <row r="109">
      <c r="A109" s="91" t="inlineStr">
        <is>
          <t>23-GCP</t>
        </is>
      </c>
      <c r="B109" s="10" t="inlineStr">
        <is>
          <t>ESTRATÉGICO</t>
        </is>
      </c>
      <c r="C109" s="10" t="inlineStr">
        <is>
          <t xml:space="preserve">Gestión de Calidad </t>
        </is>
      </c>
      <c r="D109" s="10" t="inlineStr">
        <is>
          <t>GCP</t>
        </is>
      </c>
      <c r="E109" s="10" t="inlineStr">
        <is>
          <t xml:space="preserve">Gestión de Calidad </t>
        </is>
      </c>
      <c r="F109" s="10" t="inlineStr">
        <is>
          <t>-</t>
        </is>
      </c>
      <c r="G109" s="10" t="inlineStr">
        <is>
          <t xml:space="preserve">Auditorías del Sistema de Gestión de Calidad </t>
        </is>
      </c>
      <c r="H109" s="10" t="inlineStr">
        <is>
          <t>Matriz de Implementación del sistema de gestión de calidad</t>
        </is>
      </c>
      <c r="I109" s="10" t="inlineStr">
        <is>
          <t xml:space="preserve">Resumen donde se detallan los resultados en relación a las auditorias realizadas </t>
        </is>
      </c>
      <c r="J109" s="10" t="inlineStr">
        <is>
          <t>Jefe de Planificación y  Procesos</t>
        </is>
      </c>
      <c r="K109" s="10" t="inlineStr">
        <is>
          <t>Jefe de Planificación y  Procesos</t>
        </is>
      </c>
      <c r="L109" s="10" t="inlineStr">
        <is>
          <t>UBICACIÓN DIGITAL-EQUIPO DEL RESPONSABLE</t>
        </is>
      </c>
      <c r="M109" s="10" t="inlineStr">
        <is>
          <t>DISCOS DUROS, SERVIDORES, DISCOS O MEDIOS PORTÁTILES, CINTAS O MEDIOS DE VIDEO Y AUDIO, ETC.</t>
        </is>
      </c>
      <c r="N109" s="10" t="inlineStr">
        <is>
          <t>PRIMARIOS</t>
        </is>
      </c>
      <c r="O109" s="10" t="inlineStr">
        <is>
          <t>DOCUMENTOS TÉCNICOS</t>
        </is>
      </c>
      <c r="P109" s="10" t="inlineStr">
        <is>
          <t>USO INTERNO(2)</t>
        </is>
      </c>
      <c r="Q109" s="10" t="inlineStr">
        <is>
          <t>BAJA(1)</t>
        </is>
      </c>
      <c r="R109" s="10" t="inlineStr">
        <is>
          <t>BAJA(1)</t>
        </is>
      </c>
      <c r="S109" s="10">
        <f>+(IF(P109="PUBLICA(1)",1,IF(P109="USO INTERNO(2)",2,IF(P109="RESTRINGIDO(3)",3,3))))+(IF(Q109="BAJA(1)",1,IF(Q109="MEDIA(2)",2,IF(Q109="ALTA(3)",3,3))))+(IF(R109="BAJA(1)",1,IF(R109="MEDIA(2)",2,IF(R109="ALTA(3)",3,3))))</f>
        <v/>
      </c>
      <c r="T109" s="10">
        <f>+IF(S109&lt;6,"BAJA",IF(S109&lt;8,"MEDIA","ALTA"))</f>
        <v/>
      </c>
      <c r="U109" s="10" t="inlineStr">
        <is>
          <t>-</t>
        </is>
      </c>
      <c r="V109" s="24" t="n">
        <v>45580</v>
      </c>
      <c r="W109" s="19" t="inlineStr">
        <is>
          <t>N/A</t>
        </is>
      </c>
      <c r="X109" s="10">
        <f>+IFERROR(IF(VLOOKUP(Tabla2[[#This Row],[ID]],'EVALUACION DE RIESGO'!A:A,1,FALSE)=Tabla2[[#This Row],[ID]],"SI","NO"),"NO")</f>
        <v/>
      </c>
    </row>
    <row r="110">
      <c r="A110" s="91" t="inlineStr">
        <is>
          <t>24-GCP</t>
        </is>
      </c>
      <c r="B110" s="10" t="inlineStr">
        <is>
          <t>ESTRATÉGICO</t>
        </is>
      </c>
      <c r="C110" s="10" t="inlineStr">
        <is>
          <t xml:space="preserve">Gestión de Calidad </t>
        </is>
      </c>
      <c r="D110" s="10" t="inlineStr">
        <is>
          <t>GCP</t>
        </is>
      </c>
      <c r="E110" s="10" t="inlineStr">
        <is>
          <t xml:space="preserve">Gestión de Calidad </t>
        </is>
      </c>
      <c r="F110" s="10" t="inlineStr">
        <is>
          <t>-</t>
        </is>
      </c>
      <c r="G110" s="10" t="inlineStr">
        <is>
          <t xml:space="preserve">Auditorías del Sistema de Gestión de Calidad </t>
        </is>
      </c>
      <c r="H110" s="10" t="inlineStr">
        <is>
          <t>Informe general de la Auditoría Interna al Sistema
de Gestión de Calidad</t>
        </is>
      </c>
      <c r="I110" s="10" t="inlineStr">
        <is>
          <t>Informe resumen de la auditoria del SGC</t>
        </is>
      </c>
      <c r="J110" s="10" t="inlineStr">
        <is>
          <t>Jefe de Planificación y  Procesos</t>
        </is>
      </c>
      <c r="K110" s="10" t="inlineStr">
        <is>
          <t>Jefe de Planificación y  Procesos</t>
        </is>
      </c>
      <c r="L110" s="10" t="inlineStr">
        <is>
          <t>UBICACIÓN DIGITAL-EQUIPO DEL RESPONSABLE</t>
        </is>
      </c>
      <c r="M110" s="10" t="inlineStr">
        <is>
          <t>DISCOS DUROS, SERVIDORES, DISCOS O MEDIOS PORTÁTILES, CINTAS O MEDIOS DE VIDEO Y AUDIO, ETC.</t>
        </is>
      </c>
      <c r="N110" s="10" t="inlineStr">
        <is>
          <t>PRIMARIOS</t>
        </is>
      </c>
      <c r="O110" s="10" t="inlineStr">
        <is>
          <t>DOCUMENTOS TÉCNICOS</t>
        </is>
      </c>
      <c r="P110" s="10" t="inlineStr">
        <is>
          <t>RESTRINGIDO(3)</t>
        </is>
      </c>
      <c r="Q110" s="10" t="inlineStr">
        <is>
          <t>BAJA(1)</t>
        </is>
      </c>
      <c r="R110" s="10" t="inlineStr">
        <is>
          <t>BAJA(1)</t>
        </is>
      </c>
      <c r="S110" s="10">
        <f>+(IF(P110="PUBLICA(1)",1,IF(P110="USO INTERNO(2)",2,IF(P110="RESTRINGIDO(3)",3,3))))+(IF(Q110="BAJA(1)",1,IF(Q110="MEDIA(2)",2,IF(Q110="ALTA(3)",3,3))))+(IF(R110="BAJA(1)",1,IF(R110="MEDIA(2)",2,IF(R110="ALTA(3)",3,3))))</f>
        <v/>
      </c>
      <c r="T110" s="10">
        <f>+IF(S110&lt;6,"BAJA",IF(S110&lt;8,"MEDIA","ALTA"))</f>
        <v/>
      </c>
      <c r="U110" s="10" t="inlineStr">
        <is>
          <t>-</t>
        </is>
      </c>
      <c r="V110" s="24" t="n">
        <v>45580</v>
      </c>
      <c r="W110" s="19" t="inlineStr">
        <is>
          <t>N/A</t>
        </is>
      </c>
      <c r="X110" s="10">
        <f>+IFERROR(IF(VLOOKUP(Tabla2[[#This Row],[ID]],'EVALUACION DE RIESGO'!A:A,1,FALSE)=Tabla2[[#This Row],[ID]],"SI","NO"),"NO")</f>
        <v/>
      </c>
    </row>
    <row r="111">
      <c r="A111" s="91" t="inlineStr">
        <is>
          <t>25-GCP</t>
        </is>
      </c>
      <c r="B111" s="10" t="inlineStr">
        <is>
          <t>ESTRATÉGICO</t>
        </is>
      </c>
      <c r="C111" s="10" t="inlineStr">
        <is>
          <t xml:space="preserve">Gestión de Calidad </t>
        </is>
      </c>
      <c r="D111" s="10" t="inlineStr">
        <is>
          <t>GCP</t>
        </is>
      </c>
      <c r="E111" s="10" t="inlineStr">
        <is>
          <t xml:space="preserve">Gestión de Calidad </t>
        </is>
      </c>
      <c r="F111" s="10" t="inlineStr">
        <is>
          <t>-</t>
        </is>
      </c>
      <c r="G111" s="10" t="inlineStr">
        <is>
          <t xml:space="preserve">Auditorías del Sistema de Gestión de Calidad </t>
        </is>
      </c>
      <c r="H111" s="10" t="inlineStr">
        <is>
          <t>Matriz de no conformidades del Sistema de Gestión de Calidad</t>
        </is>
      </c>
      <c r="I111" s="10" t="inlineStr">
        <is>
          <t>Matriz donde se detallan las no conformidades</t>
        </is>
      </c>
      <c r="J111" s="10" t="inlineStr">
        <is>
          <t>Jefe de Planificación y  Procesos</t>
        </is>
      </c>
      <c r="K111" s="10" t="inlineStr">
        <is>
          <t>Jefe de Planificación y  Procesos</t>
        </is>
      </c>
      <c r="L111" s="10" t="inlineStr">
        <is>
          <t>UBICACIÓN DIGITAL-EQUIPO DEL RESPONSABLE</t>
        </is>
      </c>
      <c r="M111" s="10" t="inlineStr">
        <is>
          <t>DISCOS DUROS, SERVIDORES, DISCOS O MEDIOS PORTÁTILES, CINTAS O MEDIOS DE VIDEO Y AUDIO, ETC.</t>
        </is>
      </c>
      <c r="N111" s="10" t="inlineStr">
        <is>
          <t>PRIMARIOS</t>
        </is>
      </c>
      <c r="O111" s="10" t="inlineStr">
        <is>
          <t>DOCUMENTOS TÉCNICOS</t>
        </is>
      </c>
      <c r="P111" s="10" t="inlineStr">
        <is>
          <t>USO INTERNO(2)</t>
        </is>
      </c>
      <c r="Q111" s="10" t="inlineStr">
        <is>
          <t>BAJA(1)</t>
        </is>
      </c>
      <c r="R111" s="10" t="inlineStr">
        <is>
          <t>BAJA(1)</t>
        </is>
      </c>
      <c r="S111" s="10">
        <f>+(IF(P111="PUBLICA(1)",1,IF(P111="USO INTERNO(2)",2,IF(P111="RESTRINGIDO(3)",3,3))))+(IF(Q111="BAJA(1)",1,IF(Q111="MEDIA(2)",2,IF(Q111="ALTA(3)",3,3))))+(IF(R111="BAJA(1)",1,IF(R111="MEDIA(2)",2,IF(R111="ALTA(3)",3,3))))</f>
        <v/>
      </c>
      <c r="T111" s="10">
        <f>+IF(S111&lt;6,"BAJA",IF(S111&lt;8,"MEDIA","ALTA"))</f>
        <v/>
      </c>
      <c r="U111" s="10" t="inlineStr">
        <is>
          <t>-</t>
        </is>
      </c>
      <c r="V111" s="24" t="n">
        <v>45580</v>
      </c>
      <c r="W111" s="19" t="inlineStr">
        <is>
          <t>N/A</t>
        </is>
      </c>
      <c r="X111" s="10">
        <f>+IFERROR(IF(VLOOKUP(Tabla2[[#This Row],[ID]],'EVALUACION DE RIESGO'!A:A,1,FALSE)=Tabla2[[#This Row],[ID]],"SI","NO"),"NO")</f>
        <v/>
      </c>
    </row>
    <row r="112">
      <c r="A112" s="91" t="inlineStr">
        <is>
          <t>26-GCP</t>
        </is>
      </c>
      <c r="B112" s="10" t="inlineStr">
        <is>
          <t>ESTRATÉGICO</t>
        </is>
      </c>
      <c r="C112" s="10" t="inlineStr">
        <is>
          <t xml:space="preserve">Gestión de Calidad </t>
        </is>
      </c>
      <c r="D112" s="10" t="inlineStr">
        <is>
          <t>GCP</t>
        </is>
      </c>
      <c r="E112" s="10" t="inlineStr">
        <is>
          <t xml:space="preserve">Gestión de Calidad </t>
        </is>
      </c>
      <c r="F112" s="10" t="inlineStr">
        <is>
          <t>-</t>
        </is>
      </c>
      <c r="G112" s="10" t="inlineStr">
        <is>
          <t>Control de procesos a través de Indicadores de Gestión</t>
        </is>
      </c>
      <c r="H112" s="10" t="inlineStr">
        <is>
          <t>Portafolio de Indicadores de Gestión.</t>
        </is>
      </c>
      <c r="I112" s="10" t="inlineStr">
        <is>
          <t>En el portafolio de procesos se agrega una pestaña de inventario de indicadores de gestión del proceso</t>
        </is>
      </c>
      <c r="J112" s="10" t="inlineStr">
        <is>
          <t>Jefe de Planificación y  Procesos</t>
        </is>
      </c>
      <c r="K112" s="10" t="inlineStr">
        <is>
          <t>Jefe de Planificación y  Procesos</t>
        </is>
      </c>
      <c r="L112" s="10" t="inlineStr">
        <is>
          <t>UBICACIÓN DIGITAL-EQUIPO DEL RESPONSABLE</t>
        </is>
      </c>
      <c r="M112" s="10" t="inlineStr">
        <is>
          <t>DISCOS DUROS, SERVIDORES, DISCOS O MEDIOS PORTÁTILES, CINTAS O MEDIOS DE VIDEO Y AUDIO, ETC.</t>
        </is>
      </c>
      <c r="N112" s="10" t="inlineStr">
        <is>
          <t>PRIMARIOS</t>
        </is>
      </c>
      <c r="O112" s="10" t="inlineStr">
        <is>
          <t>DOCUMENTOS TÉCNICOS</t>
        </is>
      </c>
      <c r="P112" s="10" t="inlineStr">
        <is>
          <t>USO INTERNO(2)</t>
        </is>
      </c>
      <c r="Q112" s="10" t="inlineStr">
        <is>
          <t>BAJA(1)</t>
        </is>
      </c>
      <c r="R112" s="10" t="inlineStr">
        <is>
          <t>BAJA(1)</t>
        </is>
      </c>
      <c r="S112" s="10">
        <f>+(IF(P112="PUBLICA(1)",1,IF(P112="USO INTERNO(2)",2,IF(P112="RESTRINGIDO(3)",3,3))))+(IF(Q112="BAJA(1)",1,IF(Q112="MEDIA(2)",2,IF(Q112="ALTA(3)",3,3))))+(IF(R112="BAJA(1)",1,IF(R112="MEDIA(2)",2,IF(R112="ALTA(3)",3,3))))</f>
        <v/>
      </c>
      <c r="T112" s="10">
        <f>+IF(S112&lt;6,"BAJA",IF(S112&lt;8,"MEDIA","ALTA"))</f>
        <v/>
      </c>
      <c r="U112" s="10" t="inlineStr">
        <is>
          <t>-</t>
        </is>
      </c>
      <c r="V112" s="24" t="n">
        <v>45580</v>
      </c>
      <c r="W112" s="19" t="inlineStr">
        <is>
          <t>N/A</t>
        </is>
      </c>
      <c r="X112" s="10">
        <f>+IFERROR(IF(VLOOKUP(Tabla2[[#This Row],[ID]],'EVALUACION DE RIESGO'!A:A,1,FALSE)=Tabla2[[#This Row],[ID]],"SI","NO"),"NO")</f>
        <v/>
      </c>
    </row>
    <row r="113">
      <c r="A113" s="91" t="inlineStr">
        <is>
          <t>27-GCP</t>
        </is>
      </c>
      <c r="B113" s="10" t="inlineStr">
        <is>
          <t>ESTRATÉGICO</t>
        </is>
      </c>
      <c r="C113" s="10" t="inlineStr">
        <is>
          <t xml:space="preserve">Gestión de Calidad </t>
        </is>
      </c>
      <c r="D113" s="10" t="inlineStr">
        <is>
          <t>GCP</t>
        </is>
      </c>
      <c r="E113" s="10" t="inlineStr">
        <is>
          <t xml:space="preserve">Gestión de Calidad </t>
        </is>
      </c>
      <c r="F113" s="10" t="inlineStr">
        <is>
          <t>-</t>
        </is>
      </c>
      <c r="G113" s="10" t="inlineStr">
        <is>
          <t>Control de procesos a través de Indicadores de Gestión</t>
        </is>
      </c>
      <c r="H113" s="10" t="inlineStr">
        <is>
          <t>Plan de acción</t>
        </is>
      </c>
      <c r="I113" s="10" t="inlineStr">
        <is>
          <t xml:space="preserve">Formato donde se detallan las actividades a realizar para mejorar los indicadores </t>
        </is>
      </c>
      <c r="J113" s="10" t="inlineStr">
        <is>
          <t>Jefe de Planificación y  Procesos</t>
        </is>
      </c>
      <c r="K113" s="10" t="inlineStr">
        <is>
          <t>Jefe de Planificación y  Procesos</t>
        </is>
      </c>
      <c r="L113" s="10" t="inlineStr">
        <is>
          <t>UBICACIÓN DIGITAL-EQUIPO DEL RESPONSABLE</t>
        </is>
      </c>
      <c r="M113" s="10" t="inlineStr">
        <is>
          <t>DISCOS DUROS, SERVIDORES, DISCOS O MEDIOS PORTÁTILES, CINTAS O MEDIOS DE VIDEO Y AUDIO, ETC.</t>
        </is>
      </c>
      <c r="N113" s="10" t="inlineStr">
        <is>
          <t>PRIMARIOS</t>
        </is>
      </c>
      <c r="O113" s="10" t="inlineStr">
        <is>
          <t>DOCUMENTOS TÉCNICOS</t>
        </is>
      </c>
      <c r="P113" s="10" t="inlineStr">
        <is>
          <t>USO INTERNO(2)</t>
        </is>
      </c>
      <c r="Q113" s="10" t="inlineStr">
        <is>
          <t>BAJA(1)</t>
        </is>
      </c>
      <c r="R113" s="10" t="inlineStr">
        <is>
          <t>BAJA(1)</t>
        </is>
      </c>
      <c r="S113" s="10">
        <f>+(IF(P113="PUBLICA(1)",1,IF(P113="USO INTERNO(2)",2,IF(P113="RESTRINGIDO(3)",3,3))))+(IF(Q113="BAJA(1)",1,IF(Q113="MEDIA(2)",2,IF(Q113="ALTA(3)",3,3))))+(IF(R113="BAJA(1)",1,IF(R113="MEDIA(2)",2,IF(R113="ALTA(3)",3,3))))</f>
        <v/>
      </c>
      <c r="T113" s="10">
        <f>+IF(S113&lt;6,"BAJA",IF(S113&lt;8,"MEDIA","ALTA"))</f>
        <v/>
      </c>
      <c r="U113" s="10" t="inlineStr">
        <is>
          <t>-</t>
        </is>
      </c>
      <c r="V113" s="24" t="n">
        <v>45580</v>
      </c>
      <c r="W113" s="19" t="inlineStr">
        <is>
          <t>N/A</t>
        </is>
      </c>
      <c r="X113" s="10">
        <f>+IFERROR(IF(VLOOKUP(Tabla2[[#This Row],[ID]],'EVALUACION DE RIESGO'!A:A,1,FALSE)=Tabla2[[#This Row],[ID]],"SI","NO"),"NO")</f>
        <v/>
      </c>
    </row>
    <row r="114">
      <c r="A114" s="91" t="inlineStr">
        <is>
          <t>28-GCP</t>
        </is>
      </c>
      <c r="B114" s="10" t="inlineStr">
        <is>
          <t>ESTRATÉGICO</t>
        </is>
      </c>
      <c r="C114" s="10" t="inlineStr">
        <is>
          <t xml:space="preserve">Gestión de Calidad </t>
        </is>
      </c>
      <c r="D114" s="10" t="inlineStr">
        <is>
          <t>GCP</t>
        </is>
      </c>
      <c r="E114" s="10" t="inlineStr">
        <is>
          <t xml:space="preserve">Gestión de Calidad </t>
        </is>
      </c>
      <c r="F114" s="10" t="inlineStr">
        <is>
          <t>-</t>
        </is>
      </c>
      <c r="G114" s="10" t="inlineStr">
        <is>
          <t>Mejora de procesos</t>
        </is>
      </c>
      <c r="H114" s="10" t="inlineStr">
        <is>
          <t>Diagnóstico inicial del proceso o procedimiento en análisis.</t>
        </is>
      </c>
      <c r="I114" s="10" t="inlineStr">
        <is>
          <t>Formato focusgroup o encuestas transformadas a información consolidada que dan origen a procesos de mejora</t>
        </is>
      </c>
      <c r="J114" s="10" t="inlineStr">
        <is>
          <t>Jefe de Planificación y  Procesos</t>
        </is>
      </c>
      <c r="K114" s="10" t="inlineStr">
        <is>
          <t>Jefe de Planificación y  Procesos</t>
        </is>
      </c>
      <c r="L114" s="10" t="inlineStr">
        <is>
          <t>UBICACIÓN DIGITAL-EQUIPO DEL RESPONSABLE</t>
        </is>
      </c>
      <c r="M114" s="10" t="inlineStr">
        <is>
          <t>DISCOS DUROS, SERVIDORES, DISCOS O MEDIOS PORTÁTILES, CINTAS O MEDIOS DE VIDEO Y AUDIO, ETC.</t>
        </is>
      </c>
      <c r="N114" s="10" t="inlineStr">
        <is>
          <t>PRIMARIOS</t>
        </is>
      </c>
      <c r="O114" s="10" t="inlineStr">
        <is>
          <t>DOCUMENTOS TÉCNICOS</t>
        </is>
      </c>
      <c r="P114" s="10" t="inlineStr">
        <is>
          <t>USO INTERNO(2)</t>
        </is>
      </c>
      <c r="Q114" s="10" t="inlineStr">
        <is>
          <t>BAJA(1)</t>
        </is>
      </c>
      <c r="R114" s="10" t="inlineStr">
        <is>
          <t>BAJA(1)</t>
        </is>
      </c>
      <c r="S114" s="10">
        <f>+(IF(P114="PUBLICA(1)",1,IF(P114="USO INTERNO(2)",2,IF(P114="RESTRINGIDO(3)",3,3))))+(IF(Q114="BAJA(1)",1,IF(Q114="MEDIA(2)",2,IF(Q114="ALTA(3)",3,3))))+(IF(R114="BAJA(1)",1,IF(R114="MEDIA(2)",2,IF(R114="ALTA(3)",3,3))))</f>
        <v/>
      </c>
      <c r="T114" s="10">
        <f>+IF(S114&lt;6,"BAJA",IF(S114&lt;8,"MEDIA","ALTA"))</f>
        <v/>
      </c>
      <c r="U114" s="10" t="inlineStr">
        <is>
          <t>-</t>
        </is>
      </c>
      <c r="V114" s="24" t="n">
        <v>45580</v>
      </c>
      <c r="W114" s="19" t="inlineStr">
        <is>
          <t>N/A</t>
        </is>
      </c>
      <c r="X114" s="10">
        <f>+IFERROR(IF(VLOOKUP(Tabla2[[#This Row],[ID]],'EVALUACION DE RIESGO'!A:A,1,FALSE)=Tabla2[[#This Row],[ID]],"SI","NO"),"NO")</f>
        <v/>
      </c>
    </row>
    <row r="115">
      <c r="A115" s="91" t="inlineStr">
        <is>
          <t>29-GCP</t>
        </is>
      </c>
      <c r="B115" s="10" t="inlineStr">
        <is>
          <t>ESTRATÉGICO</t>
        </is>
      </c>
      <c r="C115" s="10" t="inlineStr">
        <is>
          <t xml:space="preserve">Gestión de Calidad </t>
        </is>
      </c>
      <c r="D115" s="10" t="inlineStr">
        <is>
          <t>GCP</t>
        </is>
      </c>
      <c r="E115" s="10" t="inlineStr">
        <is>
          <t xml:space="preserve">Gestión de Calidad </t>
        </is>
      </c>
      <c r="F115" s="10" t="inlineStr">
        <is>
          <t>-</t>
        </is>
      </c>
      <c r="G115" s="10" t="inlineStr">
        <is>
          <t>Mejora de procesos</t>
        </is>
      </c>
      <c r="H115" s="10" t="inlineStr">
        <is>
          <t>Matriz de identificación de estrategias de mejora</t>
        </is>
      </c>
      <c r="I115" s="10" t="inlineStr">
        <is>
          <t>Matriz que contiene proyectos de mejora para cada proceso y se alimenta de las resoluciones de las actas de comité</t>
        </is>
      </c>
      <c r="J115" s="10" t="inlineStr">
        <is>
          <t>Jefe de Planificación y  Procesos</t>
        </is>
      </c>
      <c r="K115" s="10" t="inlineStr">
        <is>
          <t>Analista de Mejora Continua</t>
        </is>
      </c>
      <c r="L115" s="10" t="inlineStr">
        <is>
          <t>UBICACIÓN DIGITAL-EQUIPO DEL CUSTODIO</t>
        </is>
      </c>
      <c r="M115" s="10" t="inlineStr">
        <is>
          <t>DISCOS DUROS, SERVIDORES, DISCOS O MEDIOS PORTÁTILES, CINTAS O MEDIOS DE VIDEO Y AUDIO, ETC.</t>
        </is>
      </c>
      <c r="N115" s="10" t="inlineStr">
        <is>
          <t>PRIMARIOS</t>
        </is>
      </c>
      <c r="O115" s="10" t="inlineStr">
        <is>
          <t>DOCUMENTOS TÉCNICOS</t>
        </is>
      </c>
      <c r="P115" s="10" t="inlineStr">
        <is>
          <t>USO INTERNO(2)</t>
        </is>
      </c>
      <c r="Q115" s="10" t="inlineStr">
        <is>
          <t>BAJA(1)</t>
        </is>
      </c>
      <c r="R115" s="10" t="inlineStr">
        <is>
          <t>BAJA(1)</t>
        </is>
      </c>
      <c r="S115" s="10">
        <f>+(IF(P115="PUBLICA(1)",1,IF(P115="USO INTERNO(2)",2,IF(P115="RESTRINGIDO(3)",3,3))))+(IF(Q115="BAJA(1)",1,IF(Q115="MEDIA(2)",2,IF(Q115="ALTA(3)",3,3))))+(IF(R115="BAJA(1)",1,IF(R115="MEDIA(2)",2,IF(R115="ALTA(3)",3,3))))</f>
        <v/>
      </c>
      <c r="T115" s="10">
        <f>+IF(S115&lt;6,"BAJA",IF(S115&lt;8,"MEDIA","ALTA"))</f>
        <v/>
      </c>
      <c r="U115" s="10" t="inlineStr">
        <is>
          <t>-</t>
        </is>
      </c>
      <c r="V115" s="24" t="n">
        <v>45580</v>
      </c>
      <c r="W115" s="19" t="inlineStr">
        <is>
          <t>N/A</t>
        </is>
      </c>
      <c r="X115" s="10">
        <f>+IFERROR(IF(VLOOKUP(Tabla2[[#This Row],[ID]],'EVALUACION DE RIESGO'!A:A,1,FALSE)=Tabla2[[#This Row],[ID]],"SI","NO"),"NO")</f>
        <v/>
      </c>
    </row>
    <row r="116">
      <c r="A116" s="91" t="inlineStr">
        <is>
          <t>30-GCP</t>
        </is>
      </c>
      <c r="B116" s="10" t="inlineStr">
        <is>
          <t>ESTRATÉGICO</t>
        </is>
      </c>
      <c r="C116" s="10" t="inlineStr">
        <is>
          <t xml:space="preserve">Gestión de Calidad </t>
        </is>
      </c>
      <c r="D116" s="10" t="inlineStr">
        <is>
          <t>GCP</t>
        </is>
      </c>
      <c r="E116" s="10" t="inlineStr">
        <is>
          <t xml:space="preserve">Gestión de Calidad </t>
        </is>
      </c>
      <c r="F116" s="10" t="inlineStr">
        <is>
          <t>-</t>
        </is>
      </c>
      <c r="G116" s="10" t="inlineStr">
        <is>
          <t>Mejora de procesos</t>
        </is>
      </c>
      <c r="H116" s="10" t="inlineStr">
        <is>
          <t>Sustentos del cumplimiento</t>
        </is>
      </c>
      <c r="I116" s="10" t="inlineStr">
        <is>
          <t>Son observaciones de riesgos o auditoria a las cuales se debe cumplir mediante una estrategia</t>
        </is>
      </c>
      <c r="J116" s="10" t="inlineStr">
        <is>
          <t>Jefe de Planificación y  Procesos</t>
        </is>
      </c>
      <c r="K116" s="10" t="inlineStr">
        <is>
          <t>Jefe de Planificación y  Procesos</t>
        </is>
      </c>
      <c r="L116" s="10" t="inlineStr">
        <is>
          <t>UBICACIÓN DIGITAL-EQUIPO DEL RESPONSABLE</t>
        </is>
      </c>
      <c r="M116" s="10" t="inlineStr">
        <is>
          <t>DISCOS DUROS, SERVIDORES, DISCOS O MEDIOS PORTÁTILES, CINTAS O MEDIOS DE VIDEO Y AUDIO, ETC.</t>
        </is>
      </c>
      <c r="N116" s="10" t="inlineStr">
        <is>
          <t>PRIMARIOS</t>
        </is>
      </c>
      <c r="O116" s="10" t="inlineStr">
        <is>
          <t>DOCUMENTOS HABILITANTES</t>
        </is>
      </c>
      <c r="P116" s="10" t="inlineStr">
        <is>
          <t>USO INTERNO(2)</t>
        </is>
      </c>
      <c r="Q116" s="10" t="inlineStr">
        <is>
          <t>BAJA(1)</t>
        </is>
      </c>
      <c r="R116" s="10" t="inlineStr">
        <is>
          <t>BAJA(1)</t>
        </is>
      </c>
      <c r="S116" s="10">
        <f>+(IF(P116="PUBLICA(1)",1,IF(P116="USO INTERNO(2)",2,IF(P116="RESTRINGIDO(3)",3,3))))+(IF(Q116="BAJA(1)",1,IF(Q116="MEDIA(2)",2,IF(Q116="ALTA(3)",3,3))))+(IF(R116="BAJA(1)",1,IF(R116="MEDIA(2)",2,IF(R116="ALTA(3)",3,3))))</f>
        <v/>
      </c>
      <c r="T116" s="10">
        <f>+IF(S116&lt;6,"BAJA",IF(S116&lt;8,"MEDIA","ALTA"))</f>
        <v/>
      </c>
      <c r="U116" s="10" t="inlineStr">
        <is>
          <t>-</t>
        </is>
      </c>
      <c r="V116" s="24" t="n">
        <v>45580</v>
      </c>
      <c r="W116" s="19" t="inlineStr">
        <is>
          <t>N/A</t>
        </is>
      </c>
      <c r="X116" s="10">
        <f>+IFERROR(IF(VLOOKUP(Tabla2[[#This Row],[ID]],'EVALUACION DE RIESGO'!A:A,1,FALSE)=Tabla2[[#This Row],[ID]],"SI","NO"),"NO")</f>
        <v/>
      </c>
    </row>
    <row r="117">
      <c r="A117" s="91" t="inlineStr">
        <is>
          <t>31-GCP</t>
        </is>
      </c>
      <c r="B117" s="10" t="inlineStr">
        <is>
          <t>ESTRATÉGICO</t>
        </is>
      </c>
      <c r="C117" s="10" t="inlineStr">
        <is>
          <t xml:space="preserve">Gestión de Calidad </t>
        </is>
      </c>
      <c r="D117" s="10" t="inlineStr">
        <is>
          <t>GCP</t>
        </is>
      </c>
      <c r="E117" s="10" t="inlineStr">
        <is>
          <t xml:space="preserve">Gestión de Calidad </t>
        </is>
      </c>
      <c r="F117" s="10" t="inlineStr">
        <is>
          <t>-</t>
        </is>
      </c>
      <c r="G117" s="10" t="inlineStr">
        <is>
          <t xml:space="preserve">Medición de Tiempos Estándar y Capacidad Operativa </t>
        </is>
      </c>
      <c r="H117" s="10" t="inlineStr">
        <is>
          <t>Matriz de medición de tiempos estándar.</t>
        </is>
      </c>
      <c r="I117" s="10" t="inlineStr">
        <is>
          <t>Archivo que tiene la metodología para la medición del tiempo</t>
        </is>
      </c>
      <c r="J117" s="10" t="inlineStr">
        <is>
          <t>Jefe de Planificación y  Procesos</t>
        </is>
      </c>
      <c r="K117" s="10" t="inlineStr">
        <is>
          <t>Jefe de Planificación y  Procesos</t>
        </is>
      </c>
      <c r="L117" s="10" t="inlineStr">
        <is>
          <t>UBICACIÓN DIGITAL-EQUIPO DEL RESPONSABLE</t>
        </is>
      </c>
      <c r="M117" s="10" t="inlineStr">
        <is>
          <t>DISCOS DUROS, SERVIDORES, DISCOS O MEDIOS PORTÁTILES, CINTAS O MEDIOS DE VIDEO Y AUDIO, ETC.</t>
        </is>
      </c>
      <c r="N117" s="10" t="inlineStr">
        <is>
          <t>PRIMARIOS</t>
        </is>
      </c>
      <c r="O117" s="10" t="inlineStr">
        <is>
          <t>DOCUMENTOS TÉCNICOS</t>
        </is>
      </c>
      <c r="P117" s="10" t="inlineStr">
        <is>
          <t>USO INTERNO(2)</t>
        </is>
      </c>
      <c r="Q117" s="10" t="inlineStr">
        <is>
          <t>BAJA(1)</t>
        </is>
      </c>
      <c r="R117" s="10" t="inlineStr">
        <is>
          <t>BAJA(1)</t>
        </is>
      </c>
      <c r="S117" s="10">
        <f>+(IF(P117="PUBLICA(1)",1,IF(P117="USO INTERNO(2)",2,IF(P117="RESTRINGIDO(3)",3,3))))+(IF(Q117="BAJA(1)",1,IF(Q117="MEDIA(2)",2,IF(Q117="ALTA(3)",3,3))))+(IF(R117="BAJA(1)",1,IF(R117="MEDIA(2)",2,IF(R117="ALTA(3)",3,3))))</f>
        <v/>
      </c>
      <c r="T117" s="10">
        <f>+IF(S117&lt;6,"BAJA",IF(S117&lt;8,"MEDIA","ALTA"))</f>
        <v/>
      </c>
      <c r="U117" s="10" t="inlineStr">
        <is>
          <t>-</t>
        </is>
      </c>
      <c r="V117" s="24" t="n">
        <v>45580</v>
      </c>
      <c r="W117" s="19" t="inlineStr">
        <is>
          <t>N/A</t>
        </is>
      </c>
      <c r="X117" s="10">
        <f>+IFERROR(IF(VLOOKUP(Tabla2[[#This Row],[ID]],'EVALUACION DE RIESGO'!A:A,1,FALSE)=Tabla2[[#This Row],[ID]],"SI","NO"),"NO")</f>
        <v/>
      </c>
    </row>
    <row r="118">
      <c r="A118" s="91" t="inlineStr">
        <is>
          <t>32-GCP</t>
        </is>
      </c>
      <c r="B118" s="10" t="inlineStr">
        <is>
          <t>ESTRATÉGICO</t>
        </is>
      </c>
      <c r="C118" s="10" t="inlineStr">
        <is>
          <t xml:space="preserve">Gestión de Calidad </t>
        </is>
      </c>
      <c r="D118" s="10" t="inlineStr">
        <is>
          <t>GCP</t>
        </is>
      </c>
      <c r="E118" s="10" t="inlineStr">
        <is>
          <t xml:space="preserve">Gestión de Calidad </t>
        </is>
      </c>
      <c r="F118" s="10" t="inlineStr">
        <is>
          <t>-</t>
        </is>
      </c>
      <c r="G118" s="10" t="inlineStr">
        <is>
          <t xml:space="preserve">Medición de Tiempos Estándar y Capacidad Operativa </t>
        </is>
      </c>
      <c r="H118" s="10" t="inlineStr">
        <is>
          <t>Matriz de medición de la capacidad operativa.</t>
        </is>
      </c>
      <c r="I118" s="10" t="inlineStr">
        <is>
          <t>Resumen del entre tiempos y transaccionalidad que resulta la capacidad de carga operativa</t>
        </is>
      </c>
      <c r="J118" s="10" t="inlineStr">
        <is>
          <t>Jefe de Planificación y  Procesos</t>
        </is>
      </c>
      <c r="K118" s="10" t="inlineStr">
        <is>
          <t>Jefe de Planificación y  Procesos</t>
        </is>
      </c>
      <c r="L118" s="10" t="inlineStr">
        <is>
          <t>UBICACIÓN DIGITAL-EQUIPO DEL RESPONSABLE</t>
        </is>
      </c>
      <c r="M118" s="10" t="inlineStr">
        <is>
          <t>DISCOS DUROS, SERVIDORES, DISCOS O MEDIOS PORTÁTILES, CINTAS O MEDIOS DE VIDEO Y AUDIO, ETC.</t>
        </is>
      </c>
      <c r="N118" s="10" t="inlineStr">
        <is>
          <t>PRIMARIOS</t>
        </is>
      </c>
      <c r="O118" s="10" t="inlineStr">
        <is>
          <t>DOCUMENTOS TÉCNICOS</t>
        </is>
      </c>
      <c r="P118" s="10" t="inlineStr">
        <is>
          <t>USO INTERNO(2)</t>
        </is>
      </c>
      <c r="Q118" s="10" t="inlineStr">
        <is>
          <t>BAJA(1)</t>
        </is>
      </c>
      <c r="R118" s="10" t="inlineStr">
        <is>
          <t>BAJA(1)</t>
        </is>
      </c>
      <c r="S118" s="10">
        <f>+(IF(P118="PUBLICA(1)",1,IF(P118="USO INTERNO(2)",2,IF(P118="RESTRINGIDO(3)",3,3))))+(IF(Q118="BAJA(1)",1,IF(Q118="MEDIA(2)",2,IF(Q118="ALTA(3)",3,3))))+(IF(R118="BAJA(1)",1,IF(R118="MEDIA(2)",2,IF(R118="ALTA(3)",3,3))))</f>
        <v/>
      </c>
      <c r="T118" s="10">
        <f>+IF(S118&lt;6,"BAJA",IF(S118&lt;8,"MEDIA","ALTA"))</f>
        <v/>
      </c>
      <c r="U118" s="10" t="inlineStr">
        <is>
          <t>-</t>
        </is>
      </c>
      <c r="V118" s="24" t="n">
        <v>45580</v>
      </c>
      <c r="W118" s="19" t="inlineStr">
        <is>
          <t>N/A</t>
        </is>
      </c>
      <c r="X118" s="10">
        <f>+IFERROR(IF(VLOOKUP(Tabla2[[#This Row],[ID]],'EVALUACION DE RIESGO'!A:A,1,FALSE)=Tabla2[[#This Row],[ID]],"SI","NO"),"NO")</f>
        <v/>
      </c>
    </row>
    <row r="119">
      <c r="A119" s="91" t="inlineStr">
        <is>
          <t>33-GCP</t>
        </is>
      </c>
      <c r="B119" s="10" t="inlineStr">
        <is>
          <t>ESTRATÉGICO</t>
        </is>
      </c>
      <c r="C119" s="10" t="inlineStr">
        <is>
          <t xml:space="preserve">Gestión de Calidad </t>
        </is>
      </c>
      <c r="D119" s="10" t="inlineStr">
        <is>
          <t>GCP</t>
        </is>
      </c>
      <c r="E119" s="10" t="inlineStr">
        <is>
          <t xml:space="preserve">Gestión de Calidad </t>
        </is>
      </c>
      <c r="F119" s="10" t="inlineStr">
        <is>
          <t>-</t>
        </is>
      </c>
      <c r="G119" s="10" t="inlineStr">
        <is>
          <t xml:space="preserve">Medición de Tiempos Estándar y Capacidad Operativa </t>
        </is>
      </c>
      <c r="H119" s="10" t="inlineStr">
        <is>
          <t>Informe de Capacidad Operativa</t>
        </is>
      </c>
      <c r="I119" s="10" t="inlineStr">
        <is>
          <t>Resumen ejecutivo de la matriz de medición de la capacidad operativa</t>
        </is>
      </c>
      <c r="J119" s="10" t="inlineStr">
        <is>
          <t>Jefe de Planificación y  Procesos</t>
        </is>
      </c>
      <c r="K119" s="10" t="inlineStr">
        <is>
          <t>Jefe de Planificación y  Procesos</t>
        </is>
      </c>
      <c r="L119" s="10" t="inlineStr">
        <is>
          <t>UBICACIÓN DIGITAL-EQUIPO DEL RESPONSABLE</t>
        </is>
      </c>
      <c r="M119" s="10" t="inlineStr">
        <is>
          <t>DISCOS DUROS, SERVIDORES, DISCOS O MEDIOS PORTÁTILES, CINTAS O MEDIOS DE VIDEO Y AUDIO, ETC.</t>
        </is>
      </c>
      <c r="N119" s="10" t="inlineStr">
        <is>
          <t>PRIMARIOS</t>
        </is>
      </c>
      <c r="O119" s="10" t="inlineStr">
        <is>
          <t>DOCUMENTOS TÉCNICOS</t>
        </is>
      </c>
      <c r="P119" s="10" t="inlineStr">
        <is>
          <t>RESTRINGIDO(3)</t>
        </is>
      </c>
      <c r="Q119" s="10" t="inlineStr">
        <is>
          <t>BAJA(1)</t>
        </is>
      </c>
      <c r="R119" s="10" t="inlineStr">
        <is>
          <t>BAJA(1)</t>
        </is>
      </c>
      <c r="S119" s="10">
        <f>+(IF(P119="PUBLICA(1)",1,IF(P119="USO INTERNO(2)",2,IF(P119="RESTRINGIDO(3)",3,3))))+(IF(Q119="BAJA(1)",1,IF(Q119="MEDIA(2)",2,IF(Q119="ALTA(3)",3,3))))+(IF(R119="BAJA(1)",1,IF(R119="MEDIA(2)",2,IF(R119="ALTA(3)",3,3))))</f>
        <v/>
      </c>
      <c r="T119" s="10">
        <f>+IF(S119&lt;6,"BAJA",IF(S119&lt;8,"MEDIA","ALTA"))</f>
        <v/>
      </c>
      <c r="U119" s="10" t="inlineStr">
        <is>
          <t>-</t>
        </is>
      </c>
      <c r="V119" s="24" t="n">
        <v>45580</v>
      </c>
      <c r="W119" s="19" t="inlineStr">
        <is>
          <t>N/A</t>
        </is>
      </c>
      <c r="X119" s="10">
        <f>+IFERROR(IF(VLOOKUP(Tabla2[[#This Row],[ID]],'EVALUACION DE RIESGO'!A:A,1,FALSE)=Tabla2[[#This Row],[ID]],"SI","NO"),"NO")</f>
        <v/>
      </c>
    </row>
    <row r="120">
      <c r="A120" s="91" t="inlineStr">
        <is>
          <t>34-GCP</t>
        </is>
      </c>
      <c r="B120" s="10" t="inlineStr">
        <is>
          <t>ESTRATÉGICO</t>
        </is>
      </c>
      <c r="C120" s="10" t="inlineStr">
        <is>
          <t xml:space="preserve">Gestión de Calidad </t>
        </is>
      </c>
      <c r="D120" s="10" t="inlineStr">
        <is>
          <t>GCP</t>
        </is>
      </c>
      <c r="E120" s="10" t="inlineStr">
        <is>
          <t xml:space="preserve">Gestión de Calidad </t>
        </is>
      </c>
      <c r="F120" s="10" t="inlineStr">
        <is>
          <t>-</t>
        </is>
      </c>
      <c r="G120" s="10" t="inlineStr">
        <is>
          <t>N/A</t>
        </is>
      </c>
      <c r="H120" s="10" t="inlineStr">
        <is>
          <t>Equipos de computación del Jefe de  Planificación y Procesos</t>
        </is>
      </c>
      <c r="I120" s="10" t="inlineStr">
        <is>
          <t>Equipos de computación donde se almacena toda la documentación del área</t>
        </is>
      </c>
      <c r="J120" s="10" t="inlineStr">
        <is>
          <t>Jefe de Planificación y  Procesos</t>
        </is>
      </c>
      <c r="K120" s="10" t="inlineStr">
        <is>
          <t>Jefe de Planificación y  Procesos</t>
        </is>
      </c>
      <c r="L120" s="10" t="inlineStr">
        <is>
          <t>UBICACIÓN FISICA-MATRIZ ATUNTAQUI</t>
        </is>
      </c>
      <c r="M120" s="10" t="inlineStr">
        <is>
          <t>DISCOS DUROS, SERVIDORES, DISCOS O MEDIOS PORTÁTILES, CINTAS O MEDIOS DE VIDEO Y AUDIO, ETC.</t>
        </is>
      </c>
      <c r="N120" s="10" t="inlineStr">
        <is>
          <t>APOYO</t>
        </is>
      </c>
      <c r="O120" s="10" t="inlineStr">
        <is>
          <t>HARDWARE</t>
        </is>
      </c>
      <c r="P120" s="10" t="inlineStr">
        <is>
          <t>USO INTERNO(2)</t>
        </is>
      </c>
      <c r="Q120" s="10" t="inlineStr">
        <is>
          <t>BAJA(1)</t>
        </is>
      </c>
      <c r="R120" s="10" t="inlineStr">
        <is>
          <t>MEDIA(2)</t>
        </is>
      </c>
      <c r="S120" s="10">
        <f>+(IF(P120="PUBLICA(1)",1,IF(P120="USO INTERNO(2)",2,IF(P120="RESTRINGIDO(3)",3,3))))+(IF(Q120="BAJA(1)",1,IF(Q120="MEDIA(2)",2,IF(Q120="ALTA(3)",3,3))))+(IF(R120="BAJA(1)",1,IF(R120="MEDIA(2)",2,IF(R120="ALTA(3)",3,3))))</f>
        <v/>
      </c>
      <c r="T120" s="10">
        <f>+IF(S120&lt;6,"BAJA",IF(S120&lt;8,"MEDIA","ALTA"))</f>
        <v/>
      </c>
      <c r="U120" s="10" t="inlineStr">
        <is>
          <t>-</t>
        </is>
      </c>
      <c r="V120" s="24" t="n">
        <v>45580</v>
      </c>
      <c r="W120" s="19" t="inlineStr">
        <is>
          <t>N/A</t>
        </is>
      </c>
      <c r="X120" s="10">
        <f>+IFERROR(IF(VLOOKUP(Tabla2[[#This Row],[ID]],'EVALUACION DE RIESGO'!A:A,1,FALSE)=Tabla2[[#This Row],[ID]],"SI","NO"),"NO")</f>
        <v/>
      </c>
    </row>
    <row r="121">
      <c r="A121" s="91" t="inlineStr">
        <is>
          <t>35-GCP</t>
        </is>
      </c>
      <c r="B121" s="10" t="inlineStr">
        <is>
          <t>ESTRATÉGICO</t>
        </is>
      </c>
      <c r="C121" s="10" t="inlineStr">
        <is>
          <t xml:space="preserve">Gestión de Calidad </t>
        </is>
      </c>
      <c r="D121" s="10" t="inlineStr">
        <is>
          <t>GCP</t>
        </is>
      </c>
      <c r="E121" s="10" t="inlineStr">
        <is>
          <t xml:space="preserve">Gestión de Calidad </t>
        </is>
      </c>
      <c r="F121" s="10" t="inlineStr">
        <is>
          <t>-</t>
        </is>
      </c>
      <c r="G121" s="10" t="inlineStr">
        <is>
          <t>N/A</t>
        </is>
      </c>
      <c r="H121" s="10" t="inlineStr">
        <is>
          <t>Equipos de computación de Asistentes de Planificación Procesos</t>
        </is>
      </c>
      <c r="I121" s="10" t="inlineStr">
        <is>
          <t>Equipos de computación donde se realiza la gestión del área</t>
        </is>
      </c>
      <c r="J121" s="10" t="inlineStr">
        <is>
          <t>Jefe de Planificación y  Procesos</t>
        </is>
      </c>
      <c r="K121" s="10" t="inlineStr">
        <is>
          <t>Jefe de Planificación y  Procesos</t>
        </is>
      </c>
      <c r="L121" s="10" t="inlineStr">
        <is>
          <t>UBICACIÓN FISICA-MATRIZ ATUNTAQUI</t>
        </is>
      </c>
      <c r="M121" s="10" t="inlineStr">
        <is>
          <t>DISCOS DUROS, SERVIDORES, DISCOS O MEDIOS PORTÁTILES, CINTAS O MEDIOS DE VIDEO Y AUDIO, ETC.</t>
        </is>
      </c>
      <c r="N121" s="10" t="inlineStr">
        <is>
          <t>APOYO</t>
        </is>
      </c>
      <c r="O121" s="10" t="inlineStr">
        <is>
          <t>HARDWARE</t>
        </is>
      </c>
      <c r="P121" s="10" t="inlineStr">
        <is>
          <t>USO INTERNO(2)</t>
        </is>
      </c>
      <c r="Q121" s="10" t="inlineStr">
        <is>
          <t>BAJA(1)</t>
        </is>
      </c>
      <c r="R121" s="10" t="inlineStr">
        <is>
          <t>BAJA(1)</t>
        </is>
      </c>
      <c r="S121" s="10">
        <f>+(IF(P121="PUBLICA(1)",1,IF(P121="USO INTERNO(2)",2,IF(P121="RESTRINGIDO(3)",3,3))))+(IF(Q121="BAJA(1)",1,IF(Q121="MEDIA(2)",2,IF(Q121="ALTA(3)",3,3))))+(IF(R121="BAJA(1)",1,IF(R121="MEDIA(2)",2,IF(R121="ALTA(3)",3,3))))</f>
        <v/>
      </c>
      <c r="T121" s="10">
        <f>+IF(S121&lt;6,"BAJA",IF(S121&lt;8,"MEDIA","ALTA"))</f>
        <v/>
      </c>
      <c r="U121" s="10" t="inlineStr">
        <is>
          <t>-</t>
        </is>
      </c>
      <c r="V121" s="24" t="n">
        <v>45580</v>
      </c>
      <c r="W121" s="19" t="inlineStr">
        <is>
          <t>N/A</t>
        </is>
      </c>
      <c r="X121" s="10">
        <f>+IFERROR(IF(VLOOKUP(Tabla2[[#This Row],[ID]],'EVALUACION DE RIESGO'!A:A,1,FALSE)=Tabla2[[#This Row],[ID]],"SI","NO"),"NO")</f>
        <v/>
      </c>
    </row>
    <row r="122">
      <c r="A122" s="91" t="inlineStr">
        <is>
          <t>36-GCP</t>
        </is>
      </c>
      <c r="B122" s="10" t="inlineStr">
        <is>
          <t>ESTRATÉGICO</t>
        </is>
      </c>
      <c r="C122" s="10" t="inlineStr">
        <is>
          <t xml:space="preserve">Gestión de Calidad </t>
        </is>
      </c>
      <c r="D122" s="10" t="inlineStr">
        <is>
          <t>GCP</t>
        </is>
      </c>
      <c r="E122" s="10" t="inlineStr">
        <is>
          <t xml:space="preserve">Gestión de Calidad </t>
        </is>
      </c>
      <c r="F122" s="10" t="inlineStr">
        <is>
          <t>-</t>
        </is>
      </c>
      <c r="G122" s="10" t="inlineStr">
        <is>
          <t>N/A</t>
        </is>
      </c>
      <c r="H122" s="10" t="inlineStr">
        <is>
          <t>Jefe de Planificación y Procesos</t>
        </is>
      </c>
      <c r="I122" s="10" t="inlineStr">
        <is>
          <t>N/A</t>
        </is>
      </c>
      <c r="J122" s="10" t="inlineStr">
        <is>
          <t>Jefe de Planificación y  Procesos</t>
        </is>
      </c>
      <c r="K122" s="10" t="inlineStr">
        <is>
          <t>N/A</t>
        </is>
      </c>
      <c r="L122" s="10" t="inlineStr">
        <is>
          <t>N/A</t>
        </is>
      </c>
      <c r="M122" s="10" t="inlineStr">
        <is>
          <t>N/A</t>
        </is>
      </c>
      <c r="N122" s="10" t="inlineStr">
        <is>
          <t>APOYO</t>
        </is>
      </c>
      <c r="O122" s="10" t="inlineStr">
        <is>
          <t>RECURSO HUMANO</t>
        </is>
      </c>
      <c r="P122" s="10" t="inlineStr">
        <is>
          <t>USO INTERNO(2)</t>
        </is>
      </c>
      <c r="Q122" s="10" t="inlineStr">
        <is>
          <t>BAJA(1)</t>
        </is>
      </c>
      <c r="R122" s="10" t="inlineStr">
        <is>
          <t>BAJA(1)</t>
        </is>
      </c>
      <c r="S122" s="10">
        <f>+(IF(P122="PUBLICA(1)",1,IF(P122="USO INTERNO(2)",2,IF(P122="RESTRINGIDO(3)",3,3))))+(IF(Q122="BAJA(1)",1,IF(Q122="MEDIA(2)",2,IF(Q122="ALTA(3)",3,3))))+(IF(R122="BAJA(1)",1,IF(R122="MEDIA(2)",2,IF(R122="ALTA(3)",3,3))))</f>
        <v/>
      </c>
      <c r="T122" s="10">
        <f>+IF(S122&lt;6,"BAJA",IF(S122&lt;8,"MEDIA","ALTA"))</f>
        <v/>
      </c>
      <c r="U122" s="10" t="inlineStr">
        <is>
          <t>-</t>
        </is>
      </c>
      <c r="V122" s="24" t="n">
        <v>45580</v>
      </c>
      <c r="W122" s="19" t="inlineStr">
        <is>
          <t>N/A</t>
        </is>
      </c>
      <c r="X122" s="10">
        <f>+IFERROR(IF(VLOOKUP(Tabla2[[#This Row],[ID]],'EVALUACION DE RIESGO'!A:A,1,FALSE)=Tabla2[[#This Row],[ID]],"SI","NO"),"NO")</f>
        <v/>
      </c>
    </row>
    <row r="123">
      <c r="A123" s="91" t="inlineStr">
        <is>
          <t>37-GCS</t>
        </is>
      </c>
      <c r="B123" s="10" t="inlineStr">
        <is>
          <t>ESTRATÉGICO</t>
        </is>
      </c>
      <c r="C123" s="10" t="inlineStr">
        <is>
          <t>Gestión de Calidad del Servicio</t>
        </is>
      </c>
      <c r="D123" s="10" t="inlineStr">
        <is>
          <t>GCS</t>
        </is>
      </c>
      <c r="E123" s="10" t="inlineStr">
        <is>
          <t>Gestión de Conducta de Mercado</t>
        </is>
      </c>
      <c r="F123" s="10" t="inlineStr">
        <is>
          <t>-</t>
        </is>
      </c>
      <c r="G123" s="10" t="inlineStr">
        <is>
          <t>Oferta de productos y servicios financieros</t>
        </is>
      </c>
      <c r="H123" s="10" t="inlineStr">
        <is>
          <t>Informe de evaluación de aspectos de conducta de mercado.</t>
        </is>
      </c>
      <c r="I123" s="10" t="inlineStr">
        <is>
          <t>Lineamientos de cumplimiento a la conducta de mercado</t>
        </is>
      </c>
      <c r="J123" s="10" t="inlineStr">
        <is>
          <t>Jefe de Atención al Cliente</t>
        </is>
      </c>
      <c r="K123" s="10" t="inlineStr">
        <is>
          <t>Jefe de Atención al Cliente</t>
        </is>
      </c>
      <c r="L123" s="10" t="inlineStr">
        <is>
          <t>UBICACIÓN DIGITAL-PÁGINA WEB</t>
        </is>
      </c>
      <c r="M123" s="10" t="inlineStr">
        <is>
          <t>PORTALES, INTRANET Y EXTRANET</t>
        </is>
      </c>
      <c r="N123" s="10" t="inlineStr">
        <is>
          <t>PRIMARIOS</t>
        </is>
      </c>
      <c r="O123" s="10" t="inlineStr">
        <is>
          <t>DOCUMENTOS TÉCNICOS</t>
        </is>
      </c>
      <c r="P123" s="10" t="inlineStr">
        <is>
          <t>PUBLICA(1)</t>
        </is>
      </c>
      <c r="Q123" s="10" t="inlineStr">
        <is>
          <t>MEDIA(2)</t>
        </is>
      </c>
      <c r="R123" s="10" t="inlineStr">
        <is>
          <t>ALTA(3)</t>
        </is>
      </c>
      <c r="S123" s="10">
        <f>+(IF(P123="PUBLICA(1)",1,IF(P123="USO INTERNO(2)",2,IF(P123="RESTRINGIDO(3)",3,3))))+(IF(Q123="BAJA(1)",1,IF(Q123="MEDIA(2)",2,IF(Q123="ALTA(3)",3,3))))+(IF(R123="BAJA(1)",1,IF(R123="MEDIA(2)",2,IF(R123="ALTA(3)",3,3))))</f>
        <v/>
      </c>
      <c r="T123" s="10">
        <f>+IF(S123&lt;6,"BAJA",IF(S123&lt;8,"MEDIA","ALTA"))</f>
        <v/>
      </c>
      <c r="U123" s="10" t="inlineStr">
        <is>
          <t>-</t>
        </is>
      </c>
      <c r="V123" s="24" t="n">
        <v>45580</v>
      </c>
      <c r="W123" s="19" t="inlineStr">
        <is>
          <t>N/A</t>
        </is>
      </c>
      <c r="X123" s="10">
        <f>+IFERROR(IF(VLOOKUP(Tabla2[[#This Row],[ID]],'EVALUACION DE RIESGO'!A:A,1,FALSE)=Tabla2[[#This Row],[ID]],"SI","NO"),"NO")</f>
        <v/>
      </c>
    </row>
    <row r="124">
      <c r="A124" s="91" t="inlineStr">
        <is>
          <t>38-GCS</t>
        </is>
      </c>
      <c r="B124" s="10" t="inlineStr">
        <is>
          <t>ESTRATÉGICO</t>
        </is>
      </c>
      <c r="C124" s="10" t="inlineStr">
        <is>
          <t>Gestión de Calidad del Servicio</t>
        </is>
      </c>
      <c r="D124" s="10" t="inlineStr">
        <is>
          <t>GCS</t>
        </is>
      </c>
      <c r="E124" s="10" t="inlineStr">
        <is>
          <t>Gestión de Conducta de Mercado</t>
        </is>
      </c>
      <c r="F124" s="10" t="inlineStr">
        <is>
          <t>-</t>
        </is>
      </c>
      <c r="G124" s="10" t="inlineStr">
        <is>
          <t>Oferta de productos y servicios financieros</t>
        </is>
      </c>
      <c r="H124" s="10" t="inlineStr">
        <is>
          <t>Campaña publicitaria y artes promocionales revisados</t>
        </is>
      </c>
      <c r="I124" s="10" t="inlineStr">
        <is>
          <t>Campañas que se generan de nuevos productos y servicios</t>
        </is>
      </c>
      <c r="J124" s="10" t="inlineStr">
        <is>
          <t>Jefe de Atención al Cliente</t>
        </is>
      </c>
      <c r="K124" s="10" t="inlineStr">
        <is>
          <t>Marketing</t>
        </is>
      </c>
      <c r="L124" s="10" t="inlineStr">
        <is>
          <t>UBICACIÓN DIGITAL-EQUIPO DEL CUSTODIO</t>
        </is>
      </c>
      <c r="M124" s="10" t="inlineStr">
        <is>
          <t>DOCUMENTO DE ARCHIVO-ELECTRÓNICO</t>
        </is>
      </c>
      <c r="N124" s="10" t="inlineStr">
        <is>
          <t>PRIMARIOS</t>
        </is>
      </c>
      <c r="O124" s="10" t="inlineStr">
        <is>
          <t>OTROS</t>
        </is>
      </c>
      <c r="P124" s="10" t="inlineStr">
        <is>
          <t>PUBLICA(1)</t>
        </is>
      </c>
      <c r="Q124" s="10" t="inlineStr">
        <is>
          <t>BAJA(1)</t>
        </is>
      </c>
      <c r="R124" s="10" t="inlineStr">
        <is>
          <t>BAJA(1)</t>
        </is>
      </c>
      <c r="S124" s="10">
        <f>+(IF(P124="PUBLICA(1)",1,IF(P124="USO INTERNO(2)",2,IF(P124="RESTRINGIDO(3)",3,3))))+(IF(Q124="BAJA(1)",1,IF(Q124="MEDIA(2)",2,IF(Q124="ALTA(3)",3,3))))+(IF(R124="BAJA(1)",1,IF(R124="MEDIA(2)",2,IF(R124="ALTA(3)",3,3))))</f>
        <v/>
      </c>
      <c r="T124" s="10">
        <f>+IF(S124&lt;6,"BAJA",IF(S124&lt;8,"MEDIA","ALTA"))</f>
        <v/>
      </c>
      <c r="U124" s="10" t="inlineStr">
        <is>
          <t>-</t>
        </is>
      </c>
      <c r="V124" s="24" t="n">
        <v>45580</v>
      </c>
      <c r="W124" s="19" t="inlineStr">
        <is>
          <t>N/A</t>
        </is>
      </c>
      <c r="X124" s="10">
        <f>+IFERROR(IF(VLOOKUP(Tabla2[[#This Row],[ID]],'EVALUACION DE RIESGO'!A:A,1,FALSE)=Tabla2[[#This Row],[ID]],"SI","NO"),"NO")</f>
        <v/>
      </c>
    </row>
    <row r="125">
      <c r="A125" s="91" t="inlineStr">
        <is>
          <t>39-GCS</t>
        </is>
      </c>
      <c r="B125" s="10" t="inlineStr">
        <is>
          <t>ESTRATÉGICO</t>
        </is>
      </c>
      <c r="C125" s="10" t="inlineStr">
        <is>
          <t>Gestión de Calidad del Servicio</t>
        </is>
      </c>
      <c r="D125" s="10" t="inlineStr">
        <is>
          <t>GCS</t>
        </is>
      </c>
      <c r="E125" s="10" t="inlineStr">
        <is>
          <t>Gestión de Conducta de Mercado</t>
        </is>
      </c>
      <c r="F125" s="10" t="inlineStr">
        <is>
          <t>-</t>
        </is>
      </c>
      <c r="G125" s="10" t="inlineStr">
        <is>
          <t>Transparencia de la información</t>
        </is>
      </c>
      <c r="H125" s="10" t="inlineStr">
        <is>
          <t>Tablas de tasas activas, pasivas, tarifas financieras y costos de otros servicios</t>
        </is>
      </c>
      <c r="I125" s="10" t="inlineStr">
        <is>
          <t>Tablas de tasas activas, pasivas, tarifas financieras y costos de otros servicios</t>
        </is>
      </c>
      <c r="J125" s="10" t="inlineStr">
        <is>
          <t>Jefe de Atención al Cliente</t>
        </is>
      </c>
      <c r="K125" s="10" t="inlineStr">
        <is>
          <t>Jefe de Atención al Cliente</t>
        </is>
      </c>
      <c r="L125" s="10" t="inlineStr">
        <is>
          <t>UBICACIÓN DIGITAL-PÁGINA WEB</t>
        </is>
      </c>
      <c r="M125" s="10" t="inlineStr">
        <is>
          <t>PORTALES, INTRANET Y EXTRANET</t>
        </is>
      </c>
      <c r="N125" s="10" t="inlineStr">
        <is>
          <t>PRIMARIOS</t>
        </is>
      </c>
      <c r="O125" s="10" t="inlineStr">
        <is>
          <t>DOCUMENTOS TÉCNICOS</t>
        </is>
      </c>
      <c r="P125" s="10" t="inlineStr">
        <is>
          <t>PUBLICA(1)</t>
        </is>
      </c>
      <c r="Q125" s="10" t="inlineStr">
        <is>
          <t>BAJA(1)</t>
        </is>
      </c>
      <c r="R125" s="10" t="inlineStr">
        <is>
          <t>BAJA(1)</t>
        </is>
      </c>
      <c r="S125" s="10">
        <f>+(IF(P125="PUBLICA(1)",1,IF(P125="USO INTERNO(2)",2,IF(P125="RESTRINGIDO(3)",3,3))))+(IF(Q125="BAJA(1)",1,IF(Q125="MEDIA(2)",2,IF(Q125="ALTA(3)",3,3))))+(IF(R125="BAJA(1)",1,IF(R125="MEDIA(2)",2,IF(R125="ALTA(3)",3,3))))</f>
        <v/>
      </c>
      <c r="T125" s="10">
        <f>+IF(S125&lt;6,"BAJA",IF(S125&lt;8,"MEDIA","ALTA"))</f>
        <v/>
      </c>
      <c r="U125" s="10" t="inlineStr">
        <is>
          <t>-</t>
        </is>
      </c>
      <c r="V125" s="24" t="n">
        <v>45580</v>
      </c>
      <c r="W125" s="19" t="inlineStr">
        <is>
          <t>N/A</t>
        </is>
      </c>
      <c r="X125" s="10">
        <f>+IFERROR(IF(VLOOKUP(Tabla2[[#This Row],[ID]],'EVALUACION DE RIESGO'!A:A,1,FALSE)=Tabla2[[#This Row],[ID]],"SI","NO"),"NO")</f>
        <v/>
      </c>
    </row>
    <row r="126">
      <c r="A126" s="91" t="inlineStr">
        <is>
          <t>40-GCS</t>
        </is>
      </c>
      <c r="B126" s="10" t="inlineStr">
        <is>
          <t>ESTRATÉGICO</t>
        </is>
      </c>
      <c r="C126" s="10" t="inlineStr">
        <is>
          <t>Gestión de Calidad del Servicio</t>
        </is>
      </c>
      <c r="D126" s="10" t="inlineStr">
        <is>
          <t>GCS</t>
        </is>
      </c>
      <c r="E126" s="10" t="inlineStr">
        <is>
          <t>Gestión de Conducta de Mercado</t>
        </is>
      </c>
      <c r="F126" s="10" t="inlineStr">
        <is>
          <t>-</t>
        </is>
      </c>
      <c r="G126" s="10" t="inlineStr">
        <is>
          <t>Transparencia de la información</t>
        </is>
      </c>
      <c r="H126" s="10" t="inlineStr">
        <is>
          <t>Indicadores Financieros y de Gobierno</t>
        </is>
      </c>
      <c r="I126" s="10" t="inlineStr">
        <is>
          <t>Archivo del departamento</t>
        </is>
      </c>
      <c r="J126" s="10" t="inlineStr">
        <is>
          <t>Jefe de Atención al Cliente</t>
        </is>
      </c>
      <c r="K126" s="10" t="inlineStr">
        <is>
          <t>Jefe de Atención al Cliente</t>
        </is>
      </c>
      <c r="L126" s="10" t="inlineStr">
        <is>
          <t>UBICACIÓN DIGITAL-PÁGINA WEB</t>
        </is>
      </c>
      <c r="M126" s="10" t="inlineStr">
        <is>
          <t>PORTALES, INTRANET Y EXTRANET</t>
        </is>
      </c>
      <c r="N126" s="10" t="inlineStr">
        <is>
          <t>PRIMARIOS</t>
        </is>
      </c>
      <c r="O126" s="10" t="inlineStr">
        <is>
          <t>DOCUMENTOS TÉCNICOS</t>
        </is>
      </c>
      <c r="P126" s="10" t="inlineStr">
        <is>
          <t>PUBLICA(1)</t>
        </is>
      </c>
      <c r="Q126" s="10" t="inlineStr">
        <is>
          <t>ALTA(3)</t>
        </is>
      </c>
      <c r="R126" s="10" t="inlineStr">
        <is>
          <t>MEDIA(2)</t>
        </is>
      </c>
      <c r="S126" s="10">
        <f>+(IF(P126="PUBLICA(1)",1,IF(P126="USO INTERNO(2)",2,IF(P126="RESTRINGIDO(3)",3,3))))+(IF(Q126="BAJA(1)",1,IF(Q126="MEDIA(2)",2,IF(Q126="ALTA(3)",3,3))))+(IF(R126="BAJA(1)",1,IF(R126="MEDIA(2)",2,IF(R126="ALTA(3)",3,3))))</f>
        <v/>
      </c>
      <c r="T126" s="10">
        <f>+IF(S126&lt;6,"BAJA",IF(S126&lt;8,"MEDIA","ALTA"))</f>
        <v/>
      </c>
      <c r="U126" s="10" t="inlineStr">
        <is>
          <t>-</t>
        </is>
      </c>
      <c r="V126" s="24" t="n">
        <v>45580</v>
      </c>
      <c r="W126" s="19" t="inlineStr">
        <is>
          <t>N/A</t>
        </is>
      </c>
      <c r="X126" s="10">
        <f>+IFERROR(IF(VLOOKUP(Tabla2[[#This Row],[ID]],'EVALUACION DE RIESGO'!A:A,1,FALSE)=Tabla2[[#This Row],[ID]],"SI","NO"),"NO")</f>
        <v/>
      </c>
    </row>
    <row r="127">
      <c r="A127" s="91" t="inlineStr">
        <is>
          <t>41-GCS</t>
        </is>
      </c>
      <c r="B127" s="10" t="inlineStr">
        <is>
          <t>ESTRATÉGICO</t>
        </is>
      </c>
      <c r="C127" s="10" t="inlineStr">
        <is>
          <t>Gestión de Calidad del Servicio</t>
        </is>
      </c>
      <c r="D127" s="10" t="inlineStr">
        <is>
          <t>GCS</t>
        </is>
      </c>
      <c r="E127" s="10" t="inlineStr">
        <is>
          <t>Gestión de Conducta de Mercado</t>
        </is>
      </c>
      <c r="F127" s="10" t="inlineStr">
        <is>
          <t>-</t>
        </is>
      </c>
      <c r="G127" s="10" t="inlineStr">
        <is>
          <t>Gestión de Peticiones, Quejas, Reclamos, Requerimientos y Sugerencias - PQRS.</t>
        </is>
      </c>
      <c r="H127" s="10" t="inlineStr">
        <is>
          <t>Anexo de categorización E / Anexo “Tiempos para la
resolución de reclamos”</t>
        </is>
      </c>
      <c r="I127" s="10" t="inlineStr">
        <is>
          <t>Gestión de Calidad de Servicio</t>
        </is>
      </c>
      <c r="J127" s="10" t="inlineStr">
        <is>
          <t>Jefe de Atención al Cliente</t>
        </is>
      </c>
      <c r="K127" s="10" t="inlineStr">
        <is>
          <t>Jefe de Atención al Cliente</t>
        </is>
      </c>
      <c r="L127" s="10" t="inlineStr">
        <is>
          <t>UBICACIÓN DIGITAL-EQUIPO DEL RESPONSABLE</t>
        </is>
      </c>
      <c r="M127" s="10" t="inlineStr">
        <is>
          <t>DOCUMENTO DE ARCHIVO-ELECTRÓNICO</t>
        </is>
      </c>
      <c r="N127" s="10" t="inlineStr">
        <is>
          <t>PRIMARIOS</t>
        </is>
      </c>
      <c r="O127" s="10" t="inlineStr">
        <is>
          <t>DOCUMENTOS TÉCNICOS</t>
        </is>
      </c>
      <c r="P127" s="10" t="inlineStr">
        <is>
          <t>USO INTERNO(2)</t>
        </is>
      </c>
      <c r="Q127" s="10" t="inlineStr">
        <is>
          <t>BAJA(1)</t>
        </is>
      </c>
      <c r="R127" s="10" t="inlineStr">
        <is>
          <t>BAJA(1)</t>
        </is>
      </c>
      <c r="S127" s="10">
        <f>+(IF(P127="PUBLICA(1)",1,IF(P127="USO INTERNO(2)",2,IF(P127="RESTRINGIDO(3)",3,3))))+(IF(Q127="BAJA(1)",1,IF(Q127="MEDIA(2)",2,IF(Q127="ALTA(3)",3,3))))+(IF(R127="BAJA(1)",1,IF(R127="MEDIA(2)",2,IF(R127="ALTA(3)",3,3))))</f>
        <v/>
      </c>
      <c r="T127" s="10">
        <f>+IF(S127&lt;6,"BAJA",IF(S127&lt;8,"MEDIA","ALTA"))</f>
        <v/>
      </c>
      <c r="U127" s="10" t="inlineStr">
        <is>
          <t>-</t>
        </is>
      </c>
      <c r="V127" s="24" t="n">
        <v>45580</v>
      </c>
      <c r="W127" s="19" t="inlineStr">
        <is>
          <t>N/A</t>
        </is>
      </c>
      <c r="X127" s="10">
        <f>+IFERROR(IF(VLOOKUP(Tabla2[[#This Row],[ID]],'EVALUACION DE RIESGO'!A:A,1,FALSE)=Tabla2[[#This Row],[ID]],"SI","NO"),"NO")</f>
        <v/>
      </c>
    </row>
    <row r="128">
      <c r="A128" s="91" t="inlineStr">
        <is>
          <t>42-GCS</t>
        </is>
      </c>
      <c r="B128" s="10" t="inlineStr">
        <is>
          <t>ESTRATÉGICO</t>
        </is>
      </c>
      <c r="C128" s="10" t="inlineStr">
        <is>
          <t>Gestión de Calidad del Servicio</t>
        </is>
      </c>
      <c r="D128" s="10" t="inlineStr">
        <is>
          <t>GCS</t>
        </is>
      </c>
      <c r="E128" s="10" t="inlineStr">
        <is>
          <t>Gestión de Conducta de Mercado</t>
        </is>
      </c>
      <c r="F128" s="10" t="inlineStr">
        <is>
          <t>-</t>
        </is>
      </c>
      <c r="G128" s="10" t="inlineStr">
        <is>
          <t>Gestión de Peticiones, Quejas, Reclamos, Requerimientos y Sugerencias - PQRS.</t>
        </is>
      </c>
      <c r="H128" s="10" t="inlineStr">
        <is>
          <t>Resolución de la SEPS</t>
        </is>
      </c>
      <c r="I128" s="10" t="inlineStr">
        <is>
          <t>Archivo de matriz de hallazgos que recepta auditoría</t>
        </is>
      </c>
      <c r="J128" s="10" t="inlineStr">
        <is>
          <t>Jefe de Atención al Cliente</t>
        </is>
      </c>
      <c r="K128" s="10" t="inlineStr">
        <is>
          <t>Auditor Interno</t>
        </is>
      </c>
      <c r="L128" s="10" t="inlineStr">
        <is>
          <t>UBICACIÓN DIGITAL-HERRAMIENTA SEC GERENCIA</t>
        </is>
      </c>
      <c r="M128" s="10" t="inlineStr">
        <is>
          <t>DOCUMENTO DE ARCHIVO-ELECTRÓNICO</t>
        </is>
      </c>
      <c r="N128" s="10" t="inlineStr">
        <is>
          <t>PRIMARIOS</t>
        </is>
      </c>
      <c r="O128" s="10" t="inlineStr">
        <is>
          <t>INFORMACIÓN DE TERCEROS</t>
        </is>
      </c>
      <c r="P128" s="10" t="inlineStr">
        <is>
          <t>USO INTERNO(2)</t>
        </is>
      </c>
      <c r="Q128" s="10" t="inlineStr">
        <is>
          <t>BAJA(1)</t>
        </is>
      </c>
      <c r="R128" s="10" t="inlineStr">
        <is>
          <t>BAJA(1)</t>
        </is>
      </c>
      <c r="S128" s="10">
        <f>+(IF(P128="PUBLICA(1)",1,IF(P128="USO INTERNO(2)",2,IF(P128="RESTRINGIDO(3)",3,3))))+(IF(Q128="BAJA(1)",1,IF(Q128="MEDIA(2)",2,IF(Q128="ALTA(3)",3,3))))+(IF(R128="BAJA(1)",1,IF(R128="MEDIA(2)",2,IF(R128="ALTA(3)",3,3))))</f>
        <v/>
      </c>
      <c r="T128" s="10">
        <f>+IF(S128&lt;6,"BAJA",IF(S128&lt;8,"MEDIA","ALTA"))</f>
        <v/>
      </c>
      <c r="U128" s="10" t="inlineStr">
        <is>
          <t>-</t>
        </is>
      </c>
      <c r="V128" s="24" t="n">
        <v>45580</v>
      </c>
      <c r="W128" s="19" t="inlineStr">
        <is>
          <t>N/A</t>
        </is>
      </c>
      <c r="X128" s="10">
        <f>+IFERROR(IF(VLOOKUP(Tabla2[[#This Row],[ID]],'EVALUACION DE RIESGO'!A:A,1,FALSE)=Tabla2[[#This Row],[ID]],"SI","NO"),"NO")</f>
        <v/>
      </c>
    </row>
    <row r="129">
      <c r="A129" s="91" t="inlineStr">
        <is>
          <t>43-GCS</t>
        </is>
      </c>
      <c r="B129" s="10" t="inlineStr">
        <is>
          <t>ESTRATÉGICO</t>
        </is>
      </c>
      <c r="C129" s="10" t="inlineStr">
        <is>
          <t>Gestión de Calidad del Servicio</t>
        </is>
      </c>
      <c r="D129" s="10" t="inlineStr">
        <is>
          <t>GCS</t>
        </is>
      </c>
      <c r="E129" s="10" t="inlineStr">
        <is>
          <t>Gestión de Conducta de Mercado</t>
        </is>
      </c>
      <c r="F129" s="10" t="inlineStr">
        <is>
          <t>-</t>
        </is>
      </c>
      <c r="G129" s="10" t="inlineStr">
        <is>
          <t>Gestión de Peticiones, Quejas, Reclamos, Requerimientos y Sugerencias - PQRS.</t>
        </is>
      </c>
      <c r="H129" s="10" t="inlineStr">
        <is>
          <t>Oficio de contestación para la SEPS</t>
        </is>
      </c>
      <c r="I129" s="10" t="inlineStr">
        <is>
          <t>Informe de atención al cliente que se genera para la revisión del área Jurídica para su formalización en Gerencia y posterior contestación</t>
        </is>
      </c>
      <c r="J129" s="10" t="inlineStr">
        <is>
          <t>Jefe de Atención al Cliente</t>
        </is>
      </c>
      <c r="K129" s="10" t="inlineStr">
        <is>
          <t>Jefe de Atención al Cliente</t>
        </is>
      </c>
      <c r="L129" s="10" t="inlineStr">
        <is>
          <t>UBICACIÓN DIGITAL-HERRAMIENTA SEC GERENCIA</t>
        </is>
      </c>
      <c r="M129" s="10" t="inlineStr">
        <is>
          <t>DOCUMENTO DE ARCHIVO-ELECTRÓNICO</t>
        </is>
      </c>
      <c r="N129" s="10" t="inlineStr">
        <is>
          <t>PRIMARIOS</t>
        </is>
      </c>
      <c r="O129" s="10" t="inlineStr">
        <is>
          <t>DOCUMENTOS TÉCNICOS</t>
        </is>
      </c>
      <c r="P129" s="10" t="inlineStr">
        <is>
          <t>RESTRINGIDO(3)</t>
        </is>
      </c>
      <c r="Q129" s="10" t="inlineStr">
        <is>
          <t>BAJA(1)</t>
        </is>
      </c>
      <c r="R129" s="10" t="inlineStr">
        <is>
          <t>MEDIA(2)</t>
        </is>
      </c>
      <c r="S129" s="10">
        <f>+(IF(P129="PUBLICA(1)",1,IF(P129="USO INTERNO(2)",2,IF(P129="RESTRINGIDO(3)",3,3))))+(IF(Q129="BAJA(1)",1,IF(Q129="MEDIA(2)",2,IF(Q129="ALTA(3)",3,3))))+(IF(R129="BAJA(1)",1,IF(R129="MEDIA(2)",2,IF(R129="ALTA(3)",3,3))))</f>
        <v/>
      </c>
      <c r="T129" s="10">
        <f>+IF(S129&lt;6,"BAJA",IF(S129&lt;8,"MEDIA","ALTA"))</f>
        <v/>
      </c>
      <c r="U129" s="10" t="inlineStr">
        <is>
          <t>-</t>
        </is>
      </c>
      <c r="V129" s="24" t="n">
        <v>45580</v>
      </c>
      <c r="W129" s="19" t="inlineStr">
        <is>
          <t>N/A</t>
        </is>
      </c>
      <c r="X129" s="10">
        <f>+IFERROR(IF(VLOOKUP(Tabla2[[#This Row],[ID]],'EVALUACION DE RIESGO'!A:A,1,FALSE)=Tabla2[[#This Row],[ID]],"SI","NO"),"NO")</f>
        <v/>
      </c>
    </row>
    <row r="130">
      <c r="A130" s="91" t="inlineStr">
        <is>
          <t>44-GCS</t>
        </is>
      </c>
      <c r="B130" s="10" t="inlineStr">
        <is>
          <t>ESTRATÉGICO</t>
        </is>
      </c>
      <c r="C130" s="10" t="inlineStr">
        <is>
          <t>Gestión de Calidad del Servicio</t>
        </is>
      </c>
      <c r="D130" s="10" t="inlineStr">
        <is>
          <t>GCS</t>
        </is>
      </c>
      <c r="E130" s="10" t="inlineStr">
        <is>
          <t>Gestión de Conducta de Mercado</t>
        </is>
      </c>
      <c r="F130" s="10" t="inlineStr">
        <is>
          <t>-</t>
        </is>
      </c>
      <c r="G130" s="10" t="inlineStr">
        <is>
          <t>Gestión de Peticiones, Quejas, Reclamos, Requerimientos y Sugerencias - PQRS.</t>
        </is>
      </c>
      <c r="H130" s="10" t="inlineStr">
        <is>
          <t>Reporte de quejas y reclamos</t>
        </is>
      </c>
      <c r="I130" s="10" t="inlineStr">
        <is>
          <t>Reporte histórico de quejas y reclamos en formato de Excel con información de clientes</t>
        </is>
      </c>
      <c r="J130" s="10" t="inlineStr">
        <is>
          <t>Jefe de Atención al Cliente</t>
        </is>
      </c>
      <c r="K130" s="10" t="inlineStr">
        <is>
          <t>Área de Negocios</t>
        </is>
      </c>
      <c r="L130" s="10" t="inlineStr">
        <is>
          <t>UBICACIÓN DIGITAL-RED MINE</t>
        </is>
      </c>
      <c r="M130" s="10" t="inlineStr">
        <is>
          <t>DOCUMENTO DE ARCHIVO-ELECTRÓNICO</t>
        </is>
      </c>
      <c r="N130" s="10" t="inlineStr">
        <is>
          <t>PRIMARIOS</t>
        </is>
      </c>
      <c r="O130" s="10" t="inlineStr">
        <is>
          <t>DOCUMENTOS TÉCNICOS</t>
        </is>
      </c>
      <c r="P130" s="10" t="inlineStr">
        <is>
          <t>USO INTERNO(2)</t>
        </is>
      </c>
      <c r="Q130" s="10" t="inlineStr">
        <is>
          <t>BAJA(1)</t>
        </is>
      </c>
      <c r="R130" s="10" t="inlineStr">
        <is>
          <t>MEDIA(2)</t>
        </is>
      </c>
      <c r="S130" s="10">
        <f>+(IF(P130="PUBLICA(1)",1,IF(P130="USO INTERNO(2)",2,IF(P130="RESTRINGIDO(3)",3,3))))+(IF(Q130="BAJA(1)",1,IF(Q130="MEDIA(2)",2,IF(Q130="ALTA(3)",3,3))))+(IF(R130="BAJA(1)",1,IF(R130="MEDIA(2)",2,IF(R130="ALTA(3)",3,3))))</f>
        <v/>
      </c>
      <c r="T130" s="10">
        <f>+IF(S130&lt;6,"BAJA",IF(S130&lt;8,"MEDIA","ALTA"))</f>
        <v/>
      </c>
      <c r="U130" s="10" t="inlineStr">
        <is>
          <t>-</t>
        </is>
      </c>
      <c r="V130" s="24" t="n">
        <v>45580</v>
      </c>
      <c r="W130" s="19" t="inlineStr">
        <is>
          <t>N/A</t>
        </is>
      </c>
      <c r="X130" s="10">
        <f>+IFERROR(IF(VLOOKUP(Tabla2[[#This Row],[ID]],'EVALUACION DE RIESGO'!A:A,1,FALSE)=Tabla2[[#This Row],[ID]],"SI","NO"),"NO")</f>
        <v/>
      </c>
    </row>
    <row r="131">
      <c r="A131" s="91" t="inlineStr">
        <is>
          <t>45-GCS</t>
        </is>
      </c>
      <c r="B131" s="10" t="inlineStr">
        <is>
          <t>ESTRATÉGICO</t>
        </is>
      </c>
      <c r="C131" s="10" t="inlineStr">
        <is>
          <t>Gestión de Calidad del Servicio</t>
        </is>
      </c>
      <c r="D131" s="10" t="inlineStr">
        <is>
          <t>GCS</t>
        </is>
      </c>
      <c r="E131" s="10" t="inlineStr">
        <is>
          <t>Gestión de Conducta de Mercado</t>
        </is>
      </c>
      <c r="F131" s="10" t="inlineStr">
        <is>
          <t>-</t>
        </is>
      </c>
      <c r="G131" s="10" t="inlineStr">
        <is>
          <t>Gestión de Peticiones, Quejas, Reclamos, Requerimientos y Sugerencias - PQRS.</t>
        </is>
      </c>
      <c r="H131" s="10" t="inlineStr">
        <is>
          <t xml:space="preserve">Informe de gestión mensual </t>
        </is>
      </c>
      <c r="I131" s="10" t="inlineStr">
        <is>
          <t>Informe que contiene la gestión del área de Atención al cliente, protección de derechos de cliente: quejas y reclamos, calidad, entrega de productos y transparencia, proyectos del área, cumplimiento al plan operativo, cumplimiento al plan anual de capacitación</t>
        </is>
      </c>
      <c r="J131" s="10" t="inlineStr">
        <is>
          <t>Jefe de Atención al Cliente</t>
        </is>
      </c>
      <c r="K131" s="10" t="inlineStr">
        <is>
          <t>Jefe de Atención al Cliente</t>
        </is>
      </c>
      <c r="L131" s="10" t="inlineStr">
        <is>
          <t>UBICACIÓN DIGITAL-EQUIPO DEL RESPONSABLE</t>
        </is>
      </c>
      <c r="M131" s="10" t="inlineStr">
        <is>
          <t>DOCUMENTO DE ARCHIVO-ELECTRÓNICO</t>
        </is>
      </c>
      <c r="N131" s="10" t="inlineStr">
        <is>
          <t>PRIMARIOS</t>
        </is>
      </c>
      <c r="O131" s="10" t="inlineStr">
        <is>
          <t>DOCUMENTOS TÉCNICOS</t>
        </is>
      </c>
      <c r="P131" s="10" t="inlineStr">
        <is>
          <t>USO INTERNO(2)</t>
        </is>
      </c>
      <c r="Q131" s="10" t="inlineStr">
        <is>
          <t>BAJA(1)</t>
        </is>
      </c>
      <c r="R131" s="10" t="inlineStr">
        <is>
          <t>BAJA(1)</t>
        </is>
      </c>
      <c r="S131" s="10">
        <f>+(IF(P131="PUBLICA(1)",1,IF(P131="USO INTERNO(2)",2,IF(P131="RESTRINGIDO(3)",3,3))))+(IF(Q131="BAJA(1)",1,IF(Q131="MEDIA(2)",2,IF(Q131="ALTA(3)",3,3))))+(IF(R131="BAJA(1)",1,IF(R131="MEDIA(2)",2,IF(R131="ALTA(3)",3,3))))</f>
        <v/>
      </c>
      <c r="T131" s="10">
        <f>+IF(S131&lt;6,"BAJA",IF(S131&lt;8,"MEDIA","ALTA"))</f>
        <v/>
      </c>
      <c r="U131" s="10" t="inlineStr">
        <is>
          <t>-</t>
        </is>
      </c>
      <c r="V131" s="24" t="n">
        <v>45580</v>
      </c>
      <c r="W131" s="19" t="inlineStr">
        <is>
          <t>N/A</t>
        </is>
      </c>
      <c r="X131" s="10">
        <f>+IFERROR(IF(VLOOKUP(Tabla2[[#This Row],[ID]],'EVALUACION DE RIESGO'!A:A,1,FALSE)=Tabla2[[#This Row],[ID]],"SI","NO"),"NO")</f>
        <v/>
      </c>
    </row>
    <row r="132">
      <c r="A132" s="91" t="inlineStr">
        <is>
          <t>46-GCS</t>
        </is>
      </c>
      <c r="B132" s="10" t="inlineStr">
        <is>
          <t>ESTRATÉGICO</t>
        </is>
      </c>
      <c r="C132" s="10" t="inlineStr">
        <is>
          <t>Gestión de Calidad del Servicio</t>
        </is>
      </c>
      <c r="D132" s="10" t="inlineStr">
        <is>
          <t>GCS</t>
        </is>
      </c>
      <c r="E132" s="10" t="inlineStr">
        <is>
          <t>Gestión de Conducta de Mercado</t>
        </is>
      </c>
      <c r="F132" s="10" t="inlineStr">
        <is>
          <t>-</t>
        </is>
      </c>
      <c r="G132" s="10" t="inlineStr">
        <is>
          <t>Capacitación al personal</t>
        </is>
      </c>
      <c r="H132" s="10" t="inlineStr">
        <is>
          <t>Plan anual de capacitación aprobado</t>
        </is>
      </c>
      <c r="I132" s="10" t="inlineStr">
        <is>
          <t>Diagrama de fechas con áreas, contenido, desafíos, responsables, área de apoyo, verificación</t>
        </is>
      </c>
      <c r="J132" s="10" t="inlineStr">
        <is>
          <t>Jefe de Atención al Cliente</t>
        </is>
      </c>
      <c r="K132" s="10" t="inlineStr">
        <is>
          <t>Jefe de Atención al Cliente</t>
        </is>
      </c>
      <c r="L132" s="10" t="inlineStr">
        <is>
          <t>UBICACIÓN DIGITAL-EQUIPO DEL RESPONSABLE</t>
        </is>
      </c>
      <c r="M132" s="10" t="inlineStr">
        <is>
          <t>DOCUMENTO DE ARCHIVO-ELECTRÓNICO</t>
        </is>
      </c>
      <c r="N132" s="10" t="inlineStr">
        <is>
          <t>PRIMARIOS</t>
        </is>
      </c>
      <c r="O132" s="10" t="inlineStr">
        <is>
          <t>DOCUMENTOS TÉCNICOS</t>
        </is>
      </c>
      <c r="P132" s="10" t="inlineStr">
        <is>
          <t>USO INTERNO(2)</t>
        </is>
      </c>
      <c r="Q132" s="10" t="inlineStr">
        <is>
          <t>BAJA(1)</t>
        </is>
      </c>
      <c r="R132" s="10" t="inlineStr">
        <is>
          <t>BAJA(1)</t>
        </is>
      </c>
      <c r="S132" s="10">
        <f>+(IF(P132="PUBLICA(1)",1,IF(P132="USO INTERNO(2)",2,IF(P132="RESTRINGIDO(3)",3,3))))+(IF(Q132="BAJA(1)",1,IF(Q132="MEDIA(2)",2,IF(Q132="ALTA(3)",3,3))))+(IF(R132="BAJA(1)",1,IF(R132="MEDIA(2)",2,IF(R132="ALTA(3)",3,3))))</f>
        <v/>
      </c>
      <c r="T132" s="10">
        <f>+IF(S132&lt;6,"BAJA",IF(S132&lt;8,"MEDIA","ALTA"))</f>
        <v/>
      </c>
      <c r="U132" s="10" t="inlineStr">
        <is>
          <t>-</t>
        </is>
      </c>
      <c r="V132" s="24" t="n">
        <v>45580</v>
      </c>
      <c r="W132" s="19" t="inlineStr">
        <is>
          <t>N/A</t>
        </is>
      </c>
      <c r="X132" s="10">
        <f>+IFERROR(IF(VLOOKUP(Tabla2[[#This Row],[ID]],'EVALUACION DE RIESGO'!A:A,1,FALSE)=Tabla2[[#This Row],[ID]],"SI","NO"),"NO")</f>
        <v/>
      </c>
    </row>
    <row r="133">
      <c r="A133" s="91" t="inlineStr">
        <is>
          <t>47-GCS</t>
        </is>
      </c>
      <c r="B133" s="10" t="inlineStr">
        <is>
          <t>ESTRATÉGICO</t>
        </is>
      </c>
      <c r="C133" s="10" t="inlineStr">
        <is>
          <t>Gestión de Calidad del Servicio</t>
        </is>
      </c>
      <c r="D133" s="10" t="inlineStr">
        <is>
          <t>GCS</t>
        </is>
      </c>
      <c r="E133" s="10" t="inlineStr">
        <is>
          <t>Gestión de Calidad del Servicio</t>
        </is>
      </c>
      <c r="F133" s="10" t="inlineStr">
        <is>
          <t>-</t>
        </is>
      </c>
      <c r="G133" s="10" t="inlineStr">
        <is>
          <t>Evaluación de la Calidad del Servicio</t>
        </is>
      </c>
      <c r="H133" s="10" t="inlineStr">
        <is>
          <t>Registro de calificaciones E</t>
        </is>
      </c>
      <c r="I133" s="10" t="inlineStr">
        <is>
          <t>Documento digital que contiene los indicadores de calificación</t>
        </is>
      </c>
      <c r="J133" s="10" t="inlineStr">
        <is>
          <t>Jefe de Atención al Cliente</t>
        </is>
      </c>
      <c r="K133" s="10" t="inlineStr">
        <is>
          <t>Jefe de Atención al Cliente</t>
        </is>
      </c>
      <c r="L133" s="10" t="inlineStr">
        <is>
          <t>UBICACIÓN DIGITAL-EQUIPO DEL RESPONSABLE</t>
        </is>
      </c>
      <c r="M133" s="10" t="inlineStr">
        <is>
          <t>DOCUMENTO DE ARCHIVO-ELECTRÓNICO</t>
        </is>
      </c>
      <c r="N133" s="10" t="inlineStr">
        <is>
          <t>PRIMARIOS</t>
        </is>
      </c>
      <c r="O133" s="10" t="inlineStr">
        <is>
          <t>DOCUMENTOS TÉCNICOS</t>
        </is>
      </c>
      <c r="P133" s="10" t="inlineStr">
        <is>
          <t>USO INTERNO(2)</t>
        </is>
      </c>
      <c r="Q133" s="10" t="inlineStr">
        <is>
          <t>BAJA(1)</t>
        </is>
      </c>
      <c r="R133" s="10" t="inlineStr">
        <is>
          <t>BAJA(1)</t>
        </is>
      </c>
      <c r="S133" s="10">
        <f>+(IF(P133="PUBLICA(1)",1,IF(P133="USO INTERNO(2)",2,IF(P133="RESTRINGIDO(3)",3,3))))+(IF(Q133="BAJA(1)",1,IF(Q133="MEDIA(2)",2,IF(Q133="ALTA(3)",3,3))))+(IF(R133="BAJA(1)",1,IF(R133="MEDIA(2)",2,IF(R133="ALTA(3)",3,3))))</f>
        <v/>
      </c>
      <c r="T133" s="10">
        <f>+IF(S133&lt;6,"BAJA",IF(S133&lt;8,"MEDIA","ALTA"))</f>
        <v/>
      </c>
      <c r="U133" s="10" t="inlineStr">
        <is>
          <t>-</t>
        </is>
      </c>
      <c r="V133" s="24" t="n">
        <v>45580</v>
      </c>
      <c r="W133" s="19" t="inlineStr">
        <is>
          <t>N/A</t>
        </is>
      </c>
      <c r="X133" s="10">
        <f>+IFERROR(IF(VLOOKUP(Tabla2[[#This Row],[ID]],'EVALUACION DE RIESGO'!A:A,1,FALSE)=Tabla2[[#This Row],[ID]],"SI","NO"),"NO")</f>
        <v/>
      </c>
    </row>
    <row r="134">
      <c r="A134" s="91" t="inlineStr">
        <is>
          <t>48-GCS</t>
        </is>
      </c>
      <c r="B134" s="10" t="inlineStr">
        <is>
          <t>ESTRATÉGICO</t>
        </is>
      </c>
      <c r="C134" s="10" t="inlineStr">
        <is>
          <t>Gestión de Calidad del Servicio</t>
        </is>
      </c>
      <c r="D134" s="10" t="inlineStr">
        <is>
          <t>GCS</t>
        </is>
      </c>
      <c r="E134" s="10" t="inlineStr">
        <is>
          <t>Gestión de Calidad del Servicio</t>
        </is>
      </c>
      <c r="F134" s="10" t="inlineStr">
        <is>
          <t>-</t>
        </is>
      </c>
      <c r="G134" s="10" t="inlineStr">
        <is>
          <t>Evaluación de la Calidad del Servicio</t>
        </is>
      </c>
      <c r="H134" s="10" t="inlineStr">
        <is>
          <t>Modelo de Evaluación de la Calidad del Servicio E</t>
        </is>
      </c>
      <c r="I134" s="10" t="inlineStr">
        <is>
          <t xml:space="preserve">Metodología que permite evaluar todos los indicadores con respecto a Atención al cliente </t>
        </is>
      </c>
      <c r="J134" s="10" t="inlineStr">
        <is>
          <t>Jefe de Atención al Cliente</t>
        </is>
      </c>
      <c r="K134" s="10" t="inlineStr">
        <is>
          <t>Jefe de Atención al Cliente</t>
        </is>
      </c>
      <c r="L134" s="10" t="inlineStr">
        <is>
          <t>UBICACIÓN DIGITAL-EQUIPO DEL RESPONSABLE</t>
        </is>
      </c>
      <c r="M134" s="10" t="inlineStr">
        <is>
          <t>DOCUMENTO DE ARCHIVO-ELECTRÓNICO</t>
        </is>
      </c>
      <c r="N134" s="10" t="inlineStr">
        <is>
          <t>PRIMARIOS</t>
        </is>
      </c>
      <c r="O134" s="10" t="inlineStr">
        <is>
          <t>DOCUMENTOS TÉCNICOS</t>
        </is>
      </c>
      <c r="P134" s="10" t="inlineStr">
        <is>
          <t>USO INTERNO(2)</t>
        </is>
      </c>
      <c r="Q134" s="10" t="inlineStr">
        <is>
          <t>BAJA(1)</t>
        </is>
      </c>
      <c r="R134" s="10" t="inlineStr">
        <is>
          <t>BAJA(1)</t>
        </is>
      </c>
      <c r="S134" s="10">
        <f>+(IF(P134="PUBLICA(1)",1,IF(P134="USO INTERNO(2)",2,IF(P134="RESTRINGIDO(3)",3,3))))+(IF(Q134="BAJA(1)",1,IF(Q134="MEDIA(2)",2,IF(Q134="ALTA(3)",3,3))))+(IF(R134="BAJA(1)",1,IF(R134="MEDIA(2)",2,IF(R134="ALTA(3)",3,3))))</f>
        <v/>
      </c>
      <c r="T134" s="10">
        <f>+IF(S134&lt;6,"BAJA",IF(S134&lt;8,"MEDIA","ALTA"))</f>
        <v/>
      </c>
      <c r="U134" s="10" t="inlineStr">
        <is>
          <t>-</t>
        </is>
      </c>
      <c r="V134" s="24" t="n">
        <v>45580</v>
      </c>
      <c r="W134" s="19" t="inlineStr">
        <is>
          <t>N/A</t>
        </is>
      </c>
      <c r="X134" s="10">
        <f>+IFERROR(IF(VLOOKUP(Tabla2[[#This Row],[ID]],'EVALUACION DE RIESGO'!A:A,1,FALSE)=Tabla2[[#This Row],[ID]],"SI","NO"),"NO")</f>
        <v/>
      </c>
    </row>
    <row r="135">
      <c r="A135" s="91" t="inlineStr">
        <is>
          <t>49-GCS</t>
        </is>
      </c>
      <c r="B135" s="10" t="inlineStr">
        <is>
          <t>ESTRATÉGICO</t>
        </is>
      </c>
      <c r="C135" s="10" t="inlineStr">
        <is>
          <t>Gestión de Calidad del Servicio</t>
        </is>
      </c>
      <c r="D135" s="10" t="inlineStr">
        <is>
          <t>GCS</t>
        </is>
      </c>
      <c r="E135" s="10" t="inlineStr">
        <is>
          <t>Gestión de Calidad del Servicio</t>
        </is>
      </c>
      <c r="F135" s="10" t="inlineStr">
        <is>
          <t>-</t>
        </is>
      </c>
      <c r="G135" s="10" t="inlineStr">
        <is>
          <t>Evaluación de la Calidad del Servicio</t>
        </is>
      </c>
      <c r="H135" s="10" t="inlineStr">
        <is>
          <t>Informe estadístico de calificador de atención</t>
        </is>
      </c>
      <c r="I135" s="10" t="inlineStr">
        <is>
          <t>Informe que se comparte anualmente a la alta Gerencia (Información que se comparte en el Anuario)</t>
        </is>
      </c>
      <c r="J135" s="10" t="inlineStr">
        <is>
          <t>Jefe de Atención al Cliente</t>
        </is>
      </c>
      <c r="K135" s="10" t="inlineStr">
        <is>
          <t>Jefe de Atención al Cliente</t>
        </is>
      </c>
      <c r="L135" s="10" t="inlineStr">
        <is>
          <t>UBICACIÓN DIGITAL-EQUIPO DEL RESPONSABLE</t>
        </is>
      </c>
      <c r="M135" s="10" t="inlineStr">
        <is>
          <t>DOCUMENTO DE ARCHIVO-ELECTRÓNICO</t>
        </is>
      </c>
      <c r="N135" s="10" t="inlineStr">
        <is>
          <t>PRIMARIOS</t>
        </is>
      </c>
      <c r="O135" s="10" t="inlineStr">
        <is>
          <t>NORMATIVA INTERNA</t>
        </is>
      </c>
      <c r="P135" s="10" t="inlineStr">
        <is>
          <t>USO INTERNO(2)</t>
        </is>
      </c>
      <c r="Q135" s="10" t="inlineStr">
        <is>
          <t>BAJA(1)</t>
        </is>
      </c>
      <c r="R135" s="10" t="inlineStr">
        <is>
          <t>BAJA(1)</t>
        </is>
      </c>
      <c r="S135" s="10">
        <f>+(IF(P135="PUBLICA(1)",1,IF(P135="USO INTERNO(2)",2,IF(P135="RESTRINGIDO(3)",3,3))))+(IF(Q135="BAJA(1)",1,IF(Q135="MEDIA(2)",2,IF(Q135="ALTA(3)",3,3))))+(IF(R135="BAJA(1)",1,IF(R135="MEDIA(2)",2,IF(R135="ALTA(3)",3,3))))</f>
        <v/>
      </c>
      <c r="T135" s="10">
        <f>+IF(S135&lt;6,"BAJA",IF(S135&lt;8,"MEDIA","ALTA"))</f>
        <v/>
      </c>
      <c r="U135" s="10" t="inlineStr">
        <is>
          <t>-</t>
        </is>
      </c>
      <c r="V135" s="24" t="n">
        <v>45580</v>
      </c>
      <c r="W135" s="19" t="inlineStr">
        <is>
          <t>N/A</t>
        </is>
      </c>
      <c r="X135" s="10">
        <f>+IFERROR(IF(VLOOKUP(Tabla2[[#This Row],[ID]],'EVALUACION DE RIESGO'!A:A,1,FALSE)=Tabla2[[#This Row],[ID]],"SI","NO"),"NO")</f>
        <v/>
      </c>
    </row>
    <row r="136">
      <c r="A136" s="91" t="inlineStr">
        <is>
          <t>50-GCS</t>
        </is>
      </c>
      <c r="B136" s="10" t="inlineStr">
        <is>
          <t>ESTRATÉGICO</t>
        </is>
      </c>
      <c r="C136" s="10" t="inlineStr">
        <is>
          <t>Gestión de Calidad del Servicio</t>
        </is>
      </c>
      <c r="D136" s="10" t="inlineStr">
        <is>
          <t>GCS</t>
        </is>
      </c>
      <c r="E136" s="10" t="inlineStr">
        <is>
          <t>Gestión de Calidad del Servicio</t>
        </is>
      </c>
      <c r="F136" s="10" t="inlineStr">
        <is>
          <t>-</t>
        </is>
      </c>
      <c r="G136" s="10" t="inlineStr">
        <is>
          <t>Evaluación de la Calidad del Servicio</t>
        </is>
      </c>
      <c r="H136" s="10" t="inlineStr">
        <is>
          <t xml:space="preserve">Informe de cliente fantasma </t>
        </is>
      </c>
      <c r="I136" s="10" t="inlineStr">
        <is>
          <t>Informe realizado cada dos años con un proveedor externo</t>
        </is>
      </c>
      <c r="J136" s="10" t="inlineStr">
        <is>
          <t>Jefe de Atención al Cliente</t>
        </is>
      </c>
      <c r="K136" s="10" t="inlineStr">
        <is>
          <t>Jefe de Atención al Cliente</t>
        </is>
      </c>
      <c r="L136" s="10" t="inlineStr">
        <is>
          <t>UBICACIÓN DIGITAL-EQUIPO DEL RESPONSABLE</t>
        </is>
      </c>
      <c r="M136" s="10" t="inlineStr">
        <is>
          <t>DOCUMENTO DE ARCHIVO-ELECTRÓNICO</t>
        </is>
      </c>
      <c r="N136" s="10" t="inlineStr">
        <is>
          <t>PRIMARIOS</t>
        </is>
      </c>
      <c r="O136" s="10" t="inlineStr">
        <is>
          <t>INFORMACIÓN DE TERCEROS</t>
        </is>
      </c>
      <c r="P136" s="10" t="inlineStr">
        <is>
          <t>USO INTERNO(2)</t>
        </is>
      </c>
      <c r="Q136" s="10" t="inlineStr">
        <is>
          <t>BAJA(1)</t>
        </is>
      </c>
      <c r="R136" s="10" t="inlineStr">
        <is>
          <t>BAJA(1)</t>
        </is>
      </c>
      <c r="S136" s="10">
        <f>+(IF(P136="PUBLICA(1)",1,IF(P136="USO INTERNO(2)",2,IF(P136="RESTRINGIDO(3)",3,3))))+(IF(Q136="BAJA(1)",1,IF(Q136="MEDIA(2)",2,IF(Q136="ALTA(3)",3,3))))+(IF(R136="BAJA(1)",1,IF(R136="MEDIA(2)",2,IF(R136="ALTA(3)",3,3))))</f>
        <v/>
      </c>
      <c r="T136" s="10">
        <f>+IF(S136&lt;6,"BAJA",IF(S136&lt;8,"MEDIA","ALTA"))</f>
        <v/>
      </c>
      <c r="U136" s="10" t="inlineStr">
        <is>
          <t>-</t>
        </is>
      </c>
      <c r="V136" s="24" t="n">
        <v>45580</v>
      </c>
      <c r="W136" s="19" t="inlineStr">
        <is>
          <t>N/A</t>
        </is>
      </c>
      <c r="X136" s="10">
        <f>+IFERROR(IF(VLOOKUP(Tabla2[[#This Row],[ID]],'EVALUACION DE RIESGO'!A:A,1,FALSE)=Tabla2[[#This Row],[ID]],"SI","NO"),"NO")</f>
        <v/>
      </c>
    </row>
    <row r="137">
      <c r="A137" s="91" t="inlineStr">
        <is>
          <t>51-GCS</t>
        </is>
      </c>
      <c r="B137" s="10" t="inlineStr">
        <is>
          <t>ESTRATÉGICO</t>
        </is>
      </c>
      <c r="C137" s="10" t="inlineStr">
        <is>
          <t>Gestión de Calidad del Servicio</t>
        </is>
      </c>
      <c r="D137" s="10" t="inlineStr">
        <is>
          <t>GCS</t>
        </is>
      </c>
      <c r="E137" s="10" t="inlineStr">
        <is>
          <t>Gestión de Calidad del Servicio</t>
        </is>
      </c>
      <c r="F137" s="10" t="inlineStr">
        <is>
          <t>-</t>
        </is>
      </c>
      <c r="G137" s="10" t="inlineStr">
        <is>
          <t>Evaluación de la Calidad del Servicio</t>
        </is>
      </c>
      <c r="H137" s="10" t="inlineStr">
        <is>
          <t>Novedades y plan de acción de las visitas a las oficinas</t>
        </is>
      </c>
      <c r="I137" s="10" t="inlineStr">
        <is>
          <t>Recopilación de necesidades de las oficinas en relación a la calidad del servicio</t>
        </is>
      </c>
      <c r="J137" s="10" t="inlineStr">
        <is>
          <t>Jefe de Atención al Cliente</t>
        </is>
      </c>
      <c r="K137" s="10" t="inlineStr">
        <is>
          <t>Jefe de Atención al Cliente</t>
        </is>
      </c>
      <c r="L137" s="10" t="inlineStr">
        <is>
          <t>UBICACIÓN DIGITAL-EQUIPO DEL RESPONSABLE</t>
        </is>
      </c>
      <c r="M137" s="10" t="inlineStr">
        <is>
          <t>DOCUMENTO DE ARCHIVO-ELECTRÓNICO</t>
        </is>
      </c>
      <c r="N137" s="10" t="inlineStr">
        <is>
          <t>PRIMARIOS</t>
        </is>
      </c>
      <c r="O137" s="10" t="inlineStr">
        <is>
          <t>DOCUMENTOS TÉCNICOS</t>
        </is>
      </c>
      <c r="P137" s="10" t="inlineStr">
        <is>
          <t>USO INTERNO(2)</t>
        </is>
      </c>
      <c r="Q137" s="10" t="inlineStr">
        <is>
          <t>BAJA(1)</t>
        </is>
      </c>
      <c r="R137" s="10" t="inlineStr">
        <is>
          <t>BAJA(1)</t>
        </is>
      </c>
      <c r="S137" s="10">
        <f>+(IF(P137="PUBLICA(1)",1,IF(P137="USO INTERNO(2)",2,IF(P137="RESTRINGIDO(3)",3,3))))+(IF(Q137="BAJA(1)",1,IF(Q137="MEDIA(2)",2,IF(Q137="ALTA(3)",3,3))))+(IF(R137="BAJA(1)",1,IF(R137="MEDIA(2)",2,IF(R137="ALTA(3)",3,3))))</f>
        <v/>
      </c>
      <c r="T137" s="10">
        <f>+IF(S137&lt;6,"BAJA",IF(S137&lt;8,"MEDIA","ALTA"))</f>
        <v/>
      </c>
      <c r="U137" s="10" t="inlineStr">
        <is>
          <t>-</t>
        </is>
      </c>
      <c r="V137" s="24" t="n">
        <v>45580</v>
      </c>
      <c r="W137" s="19" t="inlineStr">
        <is>
          <t>N/A</t>
        </is>
      </c>
      <c r="X137" s="10">
        <f>+IFERROR(IF(VLOOKUP(Tabla2[[#This Row],[ID]],'EVALUACION DE RIESGO'!A:A,1,FALSE)=Tabla2[[#This Row],[ID]],"SI","NO"),"NO")</f>
        <v/>
      </c>
    </row>
    <row r="138">
      <c r="A138" s="91" t="inlineStr">
        <is>
          <t>52-GCS</t>
        </is>
      </c>
      <c r="B138" s="10" t="inlineStr">
        <is>
          <t>ESTRATÉGICO</t>
        </is>
      </c>
      <c r="C138" s="10" t="inlineStr">
        <is>
          <t>Gestión de Calidad del Servicio</t>
        </is>
      </c>
      <c r="D138" s="10" t="inlineStr">
        <is>
          <t>GCS</t>
        </is>
      </c>
      <c r="E138" s="10" t="inlineStr">
        <is>
          <t>Gestión de Calidad del Servicio</t>
        </is>
      </c>
      <c r="F138" s="10" t="inlineStr">
        <is>
          <t>-</t>
        </is>
      </c>
      <c r="G138" s="10" t="inlineStr">
        <is>
          <t>Evaluación de la Calidad del Servicio</t>
        </is>
      </c>
      <c r="H138" s="10" t="inlineStr">
        <is>
          <t>Reporte de nivel de satisfacción</t>
        </is>
      </c>
      <c r="I138" s="10" t="inlineStr">
        <is>
          <t>Reporte de satisfacción exportado desde el Core Financiero Trx 02-5081</t>
        </is>
      </c>
      <c r="J138" s="10" t="inlineStr">
        <is>
          <t>Jefe de Atención al Cliente</t>
        </is>
      </c>
      <c r="K138" s="10" t="inlineStr">
        <is>
          <t>Jefe de Atención al Cliente / TI Core Financiero</t>
        </is>
      </c>
      <c r="L138" s="10" t="inlineStr">
        <is>
          <t>UBICACIÓN DIGITAL-CORE FINANCIERO</t>
        </is>
      </c>
      <c r="M138" s="10" t="inlineStr">
        <is>
          <t>DISCOS DUROS, SERVIDORES, DISCOS O MEDIOS PORTÁTILES, CINTAS O MEDIOS DE VIDEO Y AUDIO, ETC.</t>
        </is>
      </c>
      <c r="N138" s="10" t="inlineStr">
        <is>
          <t>APOYO</t>
        </is>
      </c>
      <c r="O138" s="10" t="inlineStr">
        <is>
          <t>OTROS</t>
        </is>
      </c>
      <c r="P138" s="10" t="inlineStr">
        <is>
          <t>USO INTERNO(2)</t>
        </is>
      </c>
      <c r="Q138" s="10" t="inlineStr">
        <is>
          <t>BAJA(1)</t>
        </is>
      </c>
      <c r="R138" s="10" t="inlineStr">
        <is>
          <t>BAJA(1)</t>
        </is>
      </c>
      <c r="S138" s="10">
        <f>+(IF(P138="PUBLICA(1)",1,IF(P138="USO INTERNO(2)",2,IF(P138="RESTRINGIDO(3)",3,3))))+(IF(Q138="BAJA(1)",1,IF(Q138="MEDIA(2)",2,IF(Q138="ALTA(3)",3,3))))+(IF(R138="BAJA(1)",1,IF(R138="MEDIA(2)",2,IF(R138="ALTA(3)",3,3))))</f>
        <v/>
      </c>
      <c r="T138" s="10">
        <f>+IF(S138&lt;6,"BAJA",IF(S138&lt;8,"MEDIA","ALTA"))</f>
        <v/>
      </c>
      <c r="U138" s="10" t="inlineStr">
        <is>
          <t>-</t>
        </is>
      </c>
      <c r="V138" s="24" t="n">
        <v>45580</v>
      </c>
      <c r="W138" s="19" t="inlineStr">
        <is>
          <t>N/A</t>
        </is>
      </c>
      <c r="X138" s="10">
        <f>+IFERROR(IF(VLOOKUP(Tabla2[[#This Row],[ID]],'EVALUACION DE RIESGO'!A:A,1,FALSE)=Tabla2[[#This Row],[ID]],"SI","NO"),"NO")</f>
        <v/>
      </c>
    </row>
    <row r="139">
      <c r="A139" s="91" t="inlineStr">
        <is>
          <t>53-GCS</t>
        </is>
      </c>
      <c r="B139" s="10" t="inlineStr">
        <is>
          <t>ESTRATÉGICO</t>
        </is>
      </c>
      <c r="C139" s="10" t="inlineStr">
        <is>
          <t>Gestión de Calidad del Servicio</t>
        </is>
      </c>
      <c r="D139" s="10" t="inlineStr">
        <is>
          <t>GCS</t>
        </is>
      </c>
      <c r="E139" s="10" t="inlineStr">
        <is>
          <t>Gestión de Calidad del Servicio</t>
        </is>
      </c>
      <c r="F139" s="10" t="inlineStr">
        <is>
          <t>-</t>
        </is>
      </c>
      <c r="G139" s="10" t="inlineStr">
        <is>
          <t>Evaluación de la Calidad del Servicio</t>
        </is>
      </c>
      <c r="H139" s="10" t="inlineStr">
        <is>
          <t>Matriz de evaluación anual de la atención al cliente</t>
        </is>
      </c>
      <c r="I139" s="10" t="inlineStr">
        <is>
          <t xml:space="preserve">Informe de novedades y hallazgos de las visitas anuales a las oficinas/Reporte de score de atención </t>
        </is>
      </c>
      <c r="J139" s="10" t="inlineStr">
        <is>
          <t>Jefe de Atención al Cliente</t>
        </is>
      </c>
      <c r="K139" s="10" t="inlineStr">
        <is>
          <t>Jefe de Atención al Cliente</t>
        </is>
      </c>
      <c r="L139" s="10" t="inlineStr">
        <is>
          <t>UBICACIÓN FISICA - ARCHIVO DEL ÁREA</t>
        </is>
      </c>
      <c r="M139" s="10" t="inlineStr">
        <is>
          <t>DOCUMENTO DE ARCHIVO-FÍSICO</t>
        </is>
      </c>
      <c r="N139" s="10" t="inlineStr">
        <is>
          <t>PRIMARIOS</t>
        </is>
      </c>
      <c r="O139" s="10" t="inlineStr">
        <is>
          <t>DOCUMENTOS TÉCNICOS</t>
        </is>
      </c>
      <c r="P139" s="10" t="inlineStr">
        <is>
          <t>USO INTERNO(2)</t>
        </is>
      </c>
      <c r="Q139" s="10" t="inlineStr">
        <is>
          <t>BAJA(1)</t>
        </is>
      </c>
      <c r="R139" s="10" t="inlineStr">
        <is>
          <t>BAJA(1)</t>
        </is>
      </c>
      <c r="S139" s="10">
        <f>+(IF(P139="PUBLICA(1)",1,IF(P139="USO INTERNO(2)",2,IF(P139="RESTRINGIDO(3)",3,3))))+(IF(Q139="BAJA(1)",1,IF(Q139="MEDIA(2)",2,IF(Q139="ALTA(3)",3,3))))+(IF(R139="BAJA(1)",1,IF(R139="MEDIA(2)",2,IF(R139="ALTA(3)",3,3))))</f>
        <v/>
      </c>
      <c r="T139" s="10">
        <f>+IF(S139&lt;6,"BAJA",IF(S139&lt;8,"MEDIA","ALTA"))</f>
        <v/>
      </c>
      <c r="U139" s="10" t="inlineStr">
        <is>
          <t>-</t>
        </is>
      </c>
      <c r="V139" s="24" t="n">
        <v>45580</v>
      </c>
      <c r="W139" s="19" t="inlineStr">
        <is>
          <t>N/A</t>
        </is>
      </c>
      <c r="X139" s="10">
        <f>+IFERROR(IF(VLOOKUP(Tabla2[[#This Row],[ID]],'EVALUACION DE RIESGO'!A:A,1,FALSE)=Tabla2[[#This Row],[ID]],"SI","NO"),"NO")</f>
        <v/>
      </c>
    </row>
    <row r="140">
      <c r="A140" s="91" t="inlineStr">
        <is>
          <t>54-GCS</t>
        </is>
      </c>
      <c r="B140" s="10" t="inlineStr">
        <is>
          <t>ESTRATÉGICO</t>
        </is>
      </c>
      <c r="C140" s="10" t="inlineStr">
        <is>
          <t>Gestión de Calidad del Servicio</t>
        </is>
      </c>
      <c r="D140" s="10" t="inlineStr">
        <is>
          <t>GCS</t>
        </is>
      </c>
      <c r="E140" s="10" t="inlineStr">
        <is>
          <t>Gestión de Calidad del Servicio</t>
        </is>
      </c>
      <c r="F140" s="10" t="inlineStr">
        <is>
          <t>-</t>
        </is>
      </c>
      <c r="G140" s="10" t="inlineStr">
        <is>
          <t>Control del protocolo de servicio e imagen corporativa</t>
        </is>
      </c>
      <c r="H140" s="10" t="inlineStr">
        <is>
          <t>Protocolo de Servicio e Imagen Corporativa E</t>
        </is>
      </c>
      <c r="I140" s="10" t="inlineStr">
        <is>
          <t>Código de buenas prácticas y conducta, estandariza el comportamiento que deben mantener los colaboradores y las buenas practicas a aplicarse en la oferta y entrega de productos y servicios</t>
        </is>
      </c>
      <c r="J140" s="10" t="inlineStr">
        <is>
          <t>Jefe de Atención al Cliente</t>
        </is>
      </c>
      <c r="K140" s="10" t="inlineStr">
        <is>
          <t>Jefe de Atención al Cliente</t>
        </is>
      </c>
      <c r="L140" s="10" t="inlineStr">
        <is>
          <t>UBICACIÓN DIGITAL-WEBCOOP</t>
        </is>
      </c>
      <c r="M140" s="10" t="inlineStr">
        <is>
          <t>SISTEMAS DE INFORMACIÓN CORPORATIVOS</t>
        </is>
      </c>
      <c r="N140" s="10" t="inlineStr">
        <is>
          <t>PRIMARIOS</t>
        </is>
      </c>
      <c r="O140" s="10" t="inlineStr">
        <is>
          <t>NORMATIVA INTERNA</t>
        </is>
      </c>
      <c r="P140" s="10" t="inlineStr">
        <is>
          <t>USO INTERNO(2)</t>
        </is>
      </c>
      <c r="Q140" s="10" t="inlineStr">
        <is>
          <t>BAJA(1)</t>
        </is>
      </c>
      <c r="R140" s="10" t="inlineStr">
        <is>
          <t>BAJA(1)</t>
        </is>
      </c>
      <c r="S140" s="10">
        <f>+(IF(P140="PUBLICA(1)",1,IF(P140="USO INTERNO(2)",2,IF(P140="RESTRINGIDO(3)",3,3))))+(IF(Q140="BAJA(1)",1,IF(Q140="MEDIA(2)",2,IF(Q140="ALTA(3)",3,3))))+(IF(R140="BAJA(1)",1,IF(R140="MEDIA(2)",2,IF(R140="ALTA(3)",3,3))))</f>
        <v/>
      </c>
      <c r="T140" s="10">
        <f>+IF(S140&lt;6,"BAJA",IF(S140&lt;8,"MEDIA","ALTA"))</f>
        <v/>
      </c>
      <c r="U140" s="10" t="inlineStr">
        <is>
          <t>-</t>
        </is>
      </c>
      <c r="V140" s="24" t="n">
        <v>45580</v>
      </c>
      <c r="W140" s="19" t="inlineStr">
        <is>
          <t>N/A</t>
        </is>
      </c>
      <c r="X140" s="10">
        <f>+IFERROR(IF(VLOOKUP(Tabla2[[#This Row],[ID]],'EVALUACION DE RIESGO'!A:A,1,FALSE)=Tabla2[[#This Row],[ID]],"SI","NO"),"NO")</f>
        <v/>
      </c>
    </row>
    <row r="141">
      <c r="A141" s="91" t="inlineStr">
        <is>
          <t>55-GCS</t>
        </is>
      </c>
      <c r="B141" s="10" t="inlineStr">
        <is>
          <t>ESTRATÉGICO</t>
        </is>
      </c>
      <c r="C141" s="10" t="inlineStr">
        <is>
          <t>Gestión de Calidad del Servicio</t>
        </is>
      </c>
      <c r="D141" s="10" t="inlineStr">
        <is>
          <t>GCS</t>
        </is>
      </c>
      <c r="E141" s="10" t="inlineStr">
        <is>
          <t>Gestión de Calidad del Servicio</t>
        </is>
      </c>
      <c r="F141" s="10" t="inlineStr">
        <is>
          <t>-</t>
        </is>
      </c>
      <c r="G141" s="10" t="inlineStr">
        <is>
          <t>Control del protocolo de servicio e imagen corporativa</t>
        </is>
      </c>
      <c r="H141" s="10" t="inlineStr">
        <is>
          <t>Formulario de visitas y control</t>
        </is>
      </c>
      <c r="I141" s="10" t="inlineStr">
        <is>
          <t>Documento físico con novedades de las visitas</t>
        </is>
      </c>
      <c r="J141" s="10" t="inlineStr">
        <is>
          <t>Jefe de Atención al Cliente</t>
        </is>
      </c>
      <c r="K141" s="10" t="inlineStr">
        <is>
          <t>Jefe de Atención al Cliente</t>
        </is>
      </c>
      <c r="L141" s="10" t="inlineStr">
        <is>
          <t>UBICACIÓN FISICA - ARCHIVO DEL ÁREA</t>
        </is>
      </c>
      <c r="M141" s="10" t="inlineStr">
        <is>
          <t>DOCUMENTO DE ARCHIVO-FÍSICO</t>
        </is>
      </c>
      <c r="N141" s="10" t="inlineStr">
        <is>
          <t>PRIMARIOS</t>
        </is>
      </c>
      <c r="O141" s="10" t="inlineStr">
        <is>
          <t>DOCUMENTOS TÉCNICOS</t>
        </is>
      </c>
      <c r="P141" s="10" t="inlineStr">
        <is>
          <t>USO INTERNO(2)</t>
        </is>
      </c>
      <c r="Q141" s="10" t="inlineStr">
        <is>
          <t>MEDIA(2)</t>
        </is>
      </c>
      <c r="R141" s="10" t="inlineStr">
        <is>
          <t>BAJA(1)</t>
        </is>
      </c>
      <c r="S141" s="10">
        <f>+(IF(P141="PUBLICA(1)",1,IF(P141="USO INTERNO(2)",2,IF(P141="RESTRINGIDO(3)",3,3))))+(IF(Q141="BAJA(1)",1,IF(Q141="MEDIA(2)",2,IF(Q141="ALTA(3)",3,3))))+(IF(R141="BAJA(1)",1,IF(R141="MEDIA(2)",2,IF(R141="ALTA(3)",3,3))))</f>
        <v/>
      </c>
      <c r="T141" s="10">
        <f>+IF(S141&lt;6,"BAJA",IF(S141&lt;8,"MEDIA","ALTA"))</f>
        <v/>
      </c>
      <c r="U141" s="10" t="inlineStr">
        <is>
          <t>-</t>
        </is>
      </c>
      <c r="V141" s="24" t="n">
        <v>45580</v>
      </c>
      <c r="W141" s="19" t="inlineStr">
        <is>
          <t>N/A</t>
        </is>
      </c>
      <c r="X141" s="10">
        <f>+IFERROR(IF(VLOOKUP(Tabla2[[#This Row],[ID]],'EVALUACION DE RIESGO'!A:A,1,FALSE)=Tabla2[[#This Row],[ID]],"SI","NO"),"NO")</f>
        <v/>
      </c>
    </row>
    <row r="142">
      <c r="A142" s="91" t="inlineStr">
        <is>
          <t>56-GCS</t>
        </is>
      </c>
      <c r="B142" s="10" t="inlineStr">
        <is>
          <t>ESTRATÉGICO</t>
        </is>
      </c>
      <c r="C142" s="10" t="inlineStr">
        <is>
          <t>Gestión de Calidad del Servicio</t>
        </is>
      </c>
      <c r="D142" s="10" t="inlineStr">
        <is>
          <t>GCS</t>
        </is>
      </c>
      <c r="E142" s="10" t="inlineStr">
        <is>
          <t>Gestión de Calidad del Servicio</t>
        </is>
      </c>
      <c r="F142" s="10" t="inlineStr">
        <is>
          <t>-</t>
        </is>
      </c>
      <c r="G142" s="10" t="inlineStr">
        <is>
          <t>Control del protocolo de servicio e imagen corporativa</t>
        </is>
      </c>
      <c r="H142" s="10" t="inlineStr">
        <is>
          <t>Plan de acción de las no  conformidades en la atención</t>
        </is>
      </c>
      <c r="I142" s="10" t="inlineStr">
        <is>
          <t>Documento donde se recopila y analiza las no conformidades de las encuestas realizadas y se organiza la información para su plan de acción</t>
        </is>
      </c>
      <c r="J142" s="10" t="inlineStr">
        <is>
          <t>Jefe de Atención al Cliente</t>
        </is>
      </c>
      <c r="K142" s="10" t="inlineStr">
        <is>
          <t>Jefe de Atención al Cliente</t>
        </is>
      </c>
      <c r="L142" s="10" t="inlineStr">
        <is>
          <t>UBICACIÓN DIGITAL-EQUIPO DEL RESPONSABLE</t>
        </is>
      </c>
      <c r="M142" s="10" t="inlineStr">
        <is>
          <t>DOCUMENTO DE ARCHIVO-ELECTRÓNICO</t>
        </is>
      </c>
      <c r="N142" s="10" t="inlineStr">
        <is>
          <t>PRIMARIOS</t>
        </is>
      </c>
      <c r="O142" s="10" t="inlineStr">
        <is>
          <t>DOCUMENTOS TÉCNICOS</t>
        </is>
      </c>
      <c r="P142" s="10" t="inlineStr">
        <is>
          <t>USO INTERNO(2)</t>
        </is>
      </c>
      <c r="Q142" s="10" t="inlineStr">
        <is>
          <t>BAJA(1)</t>
        </is>
      </c>
      <c r="R142" s="10" t="inlineStr">
        <is>
          <t>BAJA(1)</t>
        </is>
      </c>
      <c r="S142" s="10">
        <f>+(IF(P142="PUBLICA(1)",1,IF(P142="USO INTERNO(2)",2,IF(P142="RESTRINGIDO(3)",3,3))))+(IF(Q142="BAJA(1)",1,IF(Q142="MEDIA(2)",2,IF(Q142="ALTA(3)",3,3))))+(IF(R142="BAJA(1)",1,IF(R142="MEDIA(2)",2,IF(R142="ALTA(3)",3,3))))</f>
        <v/>
      </c>
      <c r="T142" s="10">
        <f>+IF(S142&lt;6,"BAJA",IF(S142&lt;8,"MEDIA","ALTA"))</f>
        <v/>
      </c>
      <c r="U142" s="10" t="inlineStr">
        <is>
          <t>-</t>
        </is>
      </c>
      <c r="V142" s="24" t="n">
        <v>45580</v>
      </c>
      <c r="W142" s="19" t="inlineStr">
        <is>
          <t>N/A</t>
        </is>
      </c>
      <c r="X142" s="10">
        <f>+IFERROR(IF(VLOOKUP(Tabla2[[#This Row],[ID]],'EVALUACION DE RIESGO'!A:A,1,FALSE)=Tabla2[[#This Row],[ID]],"SI","NO"),"NO")</f>
        <v/>
      </c>
    </row>
    <row r="143">
      <c r="A143" s="91" t="inlineStr">
        <is>
          <t>57-GCS</t>
        </is>
      </c>
      <c r="B143" s="10" t="inlineStr">
        <is>
          <t>ESTRATÉGICO</t>
        </is>
      </c>
      <c r="C143" s="10" t="inlineStr">
        <is>
          <t>Gestión de Calidad del Servicio</t>
        </is>
      </c>
      <c r="D143" s="10" t="inlineStr">
        <is>
          <t>GCS</t>
        </is>
      </c>
      <c r="E143" s="10" t="inlineStr">
        <is>
          <t>Gestión de Calidad del Servicio</t>
        </is>
      </c>
      <c r="F143" s="10" t="inlineStr">
        <is>
          <t>-</t>
        </is>
      </c>
      <c r="G143" s="10" t="inlineStr">
        <is>
          <t>Cierre temporal de oficinas</t>
        </is>
      </c>
      <c r="H143" s="10" t="inlineStr">
        <is>
          <t>Formulario para registro de horarios y días de atención al público</t>
        </is>
      </c>
      <c r="I143" s="10" t="inlineStr">
        <is>
          <t>Formulario que se detalla las ausencias con respectivas responsabilidades y se envía a la SEPS</t>
        </is>
      </c>
      <c r="J143" s="10" t="inlineStr">
        <is>
          <t>Jefe de Atención al Cliente</t>
        </is>
      </c>
      <c r="K143" s="10" t="inlineStr">
        <is>
          <t>Jefe de Atención al Cliente</t>
        </is>
      </c>
      <c r="L143" s="10" t="inlineStr">
        <is>
          <t>UBICACIÓN DIGITAL-HERRAMIENTA SEC GERENCIA</t>
        </is>
      </c>
      <c r="M143" s="10" t="inlineStr">
        <is>
          <t>DOCUMENTO DE ARCHIVO-ELECTRÓNICO</t>
        </is>
      </c>
      <c r="N143" s="10" t="inlineStr">
        <is>
          <t>PRIMARIOS</t>
        </is>
      </c>
      <c r="O143" s="10" t="inlineStr">
        <is>
          <t>DOCUMENTOS HABILITANTES</t>
        </is>
      </c>
      <c r="P143" s="10" t="inlineStr">
        <is>
          <t>USO INTERNO(2)</t>
        </is>
      </c>
      <c r="Q143" s="10" t="inlineStr">
        <is>
          <t>MEDIA(2)</t>
        </is>
      </c>
      <c r="R143" s="10" t="inlineStr">
        <is>
          <t>BAJA(1)</t>
        </is>
      </c>
      <c r="S143" s="10">
        <f>+(IF(P143="PUBLICA(1)",1,IF(P143="USO INTERNO(2)",2,IF(P143="RESTRINGIDO(3)",3,3))))+(IF(Q143="BAJA(1)",1,IF(Q143="MEDIA(2)",2,IF(Q143="ALTA(3)",3,3))))+(IF(R143="BAJA(1)",1,IF(R143="MEDIA(2)",2,IF(R143="ALTA(3)",3,3))))</f>
        <v/>
      </c>
      <c r="T143" s="10">
        <f>+IF(S143&lt;6,"BAJA",IF(S143&lt;8,"MEDIA","ALTA"))</f>
        <v/>
      </c>
      <c r="U143" s="10" t="inlineStr">
        <is>
          <t>-</t>
        </is>
      </c>
      <c r="V143" s="24" t="n">
        <v>45580</v>
      </c>
      <c r="W143" s="19" t="inlineStr">
        <is>
          <t>N/A</t>
        </is>
      </c>
      <c r="X143" s="10">
        <f>+IFERROR(IF(VLOOKUP(Tabla2[[#This Row],[ID]],'EVALUACION DE RIESGO'!A:A,1,FALSE)=Tabla2[[#This Row],[ID]],"SI","NO"),"NO")</f>
        <v/>
      </c>
    </row>
    <row r="144">
      <c r="A144" s="91" t="inlineStr">
        <is>
          <t>58-GCS</t>
        </is>
      </c>
      <c r="B144" s="10" t="inlineStr">
        <is>
          <t>ESTRATÉGICO</t>
        </is>
      </c>
      <c r="C144" s="10" t="inlineStr">
        <is>
          <t>Gestión de Calidad del Servicio</t>
        </is>
      </c>
      <c r="D144" s="10" t="inlineStr">
        <is>
          <t>GCS</t>
        </is>
      </c>
      <c r="E144" s="10" t="inlineStr">
        <is>
          <t>Gestión de Calidad del Servicio</t>
        </is>
      </c>
      <c r="F144" s="10" t="inlineStr">
        <is>
          <t>-</t>
        </is>
      </c>
      <c r="G144" s="10" t="inlineStr">
        <is>
          <t>Cierre temporal de oficinas</t>
        </is>
      </c>
      <c r="H144" s="10" t="inlineStr">
        <is>
          <t>Autorización de Gerencia del Cierre Temporal de Oficinas</t>
        </is>
      </c>
      <c r="I144" s="10" t="inlineStr">
        <is>
          <t xml:space="preserve">Oficio de respuesta de la SEPS en referencia a la solicitud de cierre temporal de oficinas </t>
        </is>
      </c>
      <c r="J144" s="10" t="inlineStr">
        <is>
          <t>Jefe de Atención al Cliente</t>
        </is>
      </c>
      <c r="K144" s="10" t="inlineStr">
        <is>
          <t>Jefe de Atención al Cliente</t>
        </is>
      </c>
      <c r="L144" s="10" t="inlineStr">
        <is>
          <t>UBICACIÓN DIGITAL-HERRAMIENTA SEC GERENCIA</t>
        </is>
      </c>
      <c r="M144" s="10" t="inlineStr">
        <is>
          <t>DOCUMENTO DE ARCHIVO-ELECTRÓNICO</t>
        </is>
      </c>
      <c r="N144" s="10" t="inlineStr">
        <is>
          <t>PRIMARIOS</t>
        </is>
      </c>
      <c r="O144" s="10" t="inlineStr">
        <is>
          <t>DOCUMENTOS HABILITANTES</t>
        </is>
      </c>
      <c r="P144" s="10" t="inlineStr">
        <is>
          <t>RESTRINGIDO(3)</t>
        </is>
      </c>
      <c r="Q144" s="10" t="inlineStr">
        <is>
          <t>MEDIA(2)</t>
        </is>
      </c>
      <c r="R144" s="10" t="inlineStr">
        <is>
          <t>MEDIA(2)</t>
        </is>
      </c>
      <c r="S144" s="10">
        <f>+(IF(P144="PUBLICA(1)",1,IF(P144="USO INTERNO(2)",2,IF(P144="RESTRINGIDO(3)",3,3))))+(IF(Q144="BAJA(1)",1,IF(Q144="MEDIA(2)",2,IF(Q144="ALTA(3)",3,3))))+(IF(R144="BAJA(1)",1,IF(R144="MEDIA(2)",2,IF(R144="ALTA(3)",3,3))))</f>
        <v/>
      </c>
      <c r="T144" s="10">
        <f>+IF(S144&lt;6,"BAJA",IF(S144&lt;8,"MEDIA","ALTA"))</f>
        <v/>
      </c>
      <c r="U144" s="10" t="inlineStr">
        <is>
          <t>-</t>
        </is>
      </c>
      <c r="V144" s="24" t="n">
        <v>45580</v>
      </c>
      <c r="W144" s="19" t="inlineStr">
        <is>
          <t>N/A</t>
        </is>
      </c>
      <c r="X144" s="10">
        <f>+IFERROR(IF(VLOOKUP(Tabla2[[#This Row],[ID]],'EVALUACION DE RIESGO'!A:A,1,FALSE)=Tabla2[[#This Row],[ID]],"SI","NO"),"NO")</f>
        <v/>
      </c>
    </row>
    <row r="145">
      <c r="A145" s="91" t="inlineStr">
        <is>
          <t>59-GCS</t>
        </is>
      </c>
      <c r="B145" s="10" t="inlineStr">
        <is>
          <t>ESTRATÉGICO</t>
        </is>
      </c>
      <c r="C145" s="10" t="inlineStr">
        <is>
          <t>Gestión de Calidad del Servicio</t>
        </is>
      </c>
      <c r="D145" s="10" t="inlineStr">
        <is>
          <t>GCS</t>
        </is>
      </c>
      <c r="E145" s="10" t="inlineStr">
        <is>
          <t>Gestión de Calidad del Servicio</t>
        </is>
      </c>
      <c r="F145" s="10" t="inlineStr">
        <is>
          <t>-</t>
        </is>
      </c>
      <c r="G145" s="10" t="inlineStr">
        <is>
          <t xml:space="preserve">Validación de Estructuras de Género y Quejas y Reclamos </t>
        </is>
      </c>
      <c r="H145" s="10" t="inlineStr">
        <is>
          <t>Matriz de PQRS E</t>
        </is>
      </c>
      <c r="I145" s="10" t="inlineStr">
        <is>
          <t>Matriz de PQRS de gestión del área</t>
        </is>
      </c>
      <c r="J145" s="10" t="inlineStr">
        <is>
          <t>Jefe de Atención al Cliente</t>
        </is>
      </c>
      <c r="K145" s="10" t="inlineStr">
        <is>
          <t>Jefe de Atención al Cliente</t>
        </is>
      </c>
      <c r="L145" s="10" t="inlineStr">
        <is>
          <t>UBICACIÓN DIGITAL-EQUIPO DEL RESPONSABLE</t>
        </is>
      </c>
      <c r="M145" s="10" t="inlineStr">
        <is>
          <t>DOCUMENTO DE ARCHIVO-ELECTRÓNICO</t>
        </is>
      </c>
      <c r="N145" s="10" t="inlineStr">
        <is>
          <t>PRIMARIOS</t>
        </is>
      </c>
      <c r="O145" s="10" t="inlineStr">
        <is>
          <t>DOCUMENTOS TÉCNICOS</t>
        </is>
      </c>
      <c r="P145" s="10" t="inlineStr">
        <is>
          <t>RESTRINGIDO(3)</t>
        </is>
      </c>
      <c r="Q145" s="10" t="inlineStr">
        <is>
          <t>MEDIA(2)</t>
        </is>
      </c>
      <c r="R145" s="10" t="inlineStr">
        <is>
          <t>BAJA(1)</t>
        </is>
      </c>
      <c r="S145" s="10">
        <f>+(IF(P145="PUBLICA(1)",1,IF(P145="USO INTERNO(2)",2,IF(P145="RESTRINGIDO(3)",3,3))))+(IF(Q145="BAJA(1)",1,IF(Q145="MEDIA(2)",2,IF(Q145="ALTA(3)",3,3))))+(IF(R145="BAJA(1)",1,IF(R145="MEDIA(2)",2,IF(R145="ALTA(3)",3,3))))</f>
        <v/>
      </c>
      <c r="T145" s="10">
        <f>+IF(S145&lt;6,"BAJA",IF(S145&lt;8,"MEDIA","ALTA"))</f>
        <v/>
      </c>
      <c r="U145" s="10" t="inlineStr">
        <is>
          <t>-</t>
        </is>
      </c>
      <c r="V145" s="24" t="n">
        <v>45580</v>
      </c>
      <c r="W145" s="19" t="inlineStr">
        <is>
          <t>N/A</t>
        </is>
      </c>
      <c r="X145" s="10">
        <f>+IFERROR(IF(VLOOKUP(Tabla2[[#This Row],[ID]],'EVALUACION DE RIESGO'!A:A,1,FALSE)=Tabla2[[#This Row],[ID]],"SI","NO"),"NO")</f>
        <v/>
      </c>
    </row>
    <row r="146">
      <c r="A146" s="91" t="inlineStr">
        <is>
          <t>60-GCS</t>
        </is>
      </c>
      <c r="B146" s="10" t="inlineStr">
        <is>
          <t>ESTRATÉGICO</t>
        </is>
      </c>
      <c r="C146" s="10" t="inlineStr">
        <is>
          <t>Gestión de Calidad del Servicio</t>
        </is>
      </c>
      <c r="D146" s="10" t="inlineStr">
        <is>
          <t>GCS</t>
        </is>
      </c>
      <c r="E146" s="10" t="inlineStr">
        <is>
          <t>Gestión de Calidad del Servicio</t>
        </is>
      </c>
      <c r="F146" s="10" t="inlineStr">
        <is>
          <t>-</t>
        </is>
      </c>
      <c r="G146" s="10" t="inlineStr">
        <is>
          <t xml:space="preserve">Validación de Estructuras de Género y Quejas y Reclamos </t>
        </is>
      </c>
      <c r="H146" s="10" t="inlineStr">
        <is>
          <t>Estructuras de género y quejas y reclamos</t>
        </is>
      </c>
      <c r="I146" s="10" t="inlineStr">
        <is>
          <t>Estructura CI01 y IG01</t>
        </is>
      </c>
      <c r="J146" s="10" t="inlineStr">
        <is>
          <t>Jefe de Atención al Cliente</t>
        </is>
      </c>
      <c r="K146" s="10" t="inlineStr">
        <is>
          <t>Jefe de Atención al Cliente</t>
        </is>
      </c>
      <c r="L146" s="10" t="inlineStr">
        <is>
          <t>UBICACIÓN DIGITAL-EQUIPO DEL RESPONSABLE</t>
        </is>
      </c>
      <c r="M146" s="10" t="inlineStr">
        <is>
          <t>DOCUMENTO DE ARCHIVO-ELECTRÓNICO</t>
        </is>
      </c>
      <c r="N146" s="10" t="inlineStr">
        <is>
          <t>PRIMARIOS</t>
        </is>
      </c>
      <c r="O146" s="10" t="inlineStr">
        <is>
          <t>INFORMACIÓN DE SOCIOS Y CLIENTES</t>
        </is>
      </c>
      <c r="P146" s="10" t="inlineStr">
        <is>
          <t>RESTRINGIDO(3)</t>
        </is>
      </c>
      <c r="Q146" s="10" t="inlineStr">
        <is>
          <t>MEDIA(2)</t>
        </is>
      </c>
      <c r="R146" s="10" t="inlineStr">
        <is>
          <t>MEDIA(2)</t>
        </is>
      </c>
      <c r="S146" s="10">
        <f>+(IF(P146="PUBLICA(1)",1,IF(P146="USO INTERNO(2)",2,IF(P146="RESTRINGIDO(3)",3,3))))+(IF(Q146="BAJA(1)",1,IF(Q146="MEDIA(2)",2,IF(Q146="ALTA(3)",3,3))))+(IF(R146="BAJA(1)",1,IF(R146="MEDIA(2)",2,IF(R146="ALTA(3)",3,3))))</f>
        <v/>
      </c>
      <c r="T146" s="10">
        <f>+IF(S146&lt;6,"BAJA",IF(S146&lt;8,"MEDIA","ALTA"))</f>
        <v/>
      </c>
      <c r="U146" s="10" t="inlineStr">
        <is>
          <t>-</t>
        </is>
      </c>
      <c r="V146" s="24" t="n">
        <v>45580</v>
      </c>
      <c r="W146" s="19" t="inlineStr">
        <is>
          <t>N/A</t>
        </is>
      </c>
      <c r="X146" s="10">
        <f>+IFERROR(IF(VLOOKUP(Tabla2[[#This Row],[ID]],'EVALUACION DE RIESGO'!A:A,1,FALSE)=Tabla2[[#This Row],[ID]],"SI","NO"),"NO")</f>
        <v/>
      </c>
    </row>
    <row r="147">
      <c r="A147" s="91" t="inlineStr">
        <is>
          <t>61-GCS</t>
        </is>
      </c>
      <c r="B147" s="10" t="inlineStr">
        <is>
          <t>ESTRATÉGICO</t>
        </is>
      </c>
      <c r="C147" s="10" t="inlineStr">
        <is>
          <t>Gestión de Calidad del Servicio</t>
        </is>
      </c>
      <c r="D147" s="10" t="inlineStr">
        <is>
          <t>GCS</t>
        </is>
      </c>
      <c r="E147" s="10" t="inlineStr">
        <is>
          <t>Gestión de Calidad del Servicio</t>
        </is>
      </c>
      <c r="F147" s="10" t="inlineStr">
        <is>
          <t>-</t>
        </is>
      </c>
      <c r="G147" s="10" t="inlineStr">
        <is>
          <t xml:space="preserve">Validación de Estructuras de Género y Quejas y Reclamos </t>
        </is>
      </c>
      <c r="H147" s="10" t="inlineStr">
        <is>
          <t>Acuse de recibo de validación de estructuras</t>
        </is>
      </c>
      <c r="I147" s="10" t="inlineStr">
        <is>
          <t>Confirmación de recepción y confirmación de aprobación o negación</t>
        </is>
      </c>
      <c r="J147" s="10" t="inlineStr">
        <is>
          <t>Jefe de Atención al Cliente</t>
        </is>
      </c>
      <c r="K147" s="10" t="inlineStr">
        <is>
          <t>Jefe de Atención al Cliente</t>
        </is>
      </c>
      <c r="L147" s="10" t="inlineStr">
        <is>
          <t>UBICACIÓN DIGITAL-EQUIPO DEL RESPONSABLE</t>
        </is>
      </c>
      <c r="M147" s="10" t="inlineStr">
        <is>
          <t>DOCUMENTO DE ARCHIVO-ELECTRÓNICO</t>
        </is>
      </c>
      <c r="N147" s="10" t="inlineStr">
        <is>
          <t>PRIMARIOS</t>
        </is>
      </c>
      <c r="O147" s="10" t="inlineStr">
        <is>
          <t>INFORMACIÓN DE SOCIOS Y CLIENTES</t>
        </is>
      </c>
      <c r="P147" s="10" t="inlineStr">
        <is>
          <t>PUBLICA(1)</t>
        </is>
      </c>
      <c r="Q147" s="10" t="inlineStr">
        <is>
          <t>BAJA(1)</t>
        </is>
      </c>
      <c r="R147" s="10" t="inlineStr">
        <is>
          <t>BAJA(1)</t>
        </is>
      </c>
      <c r="S147" s="10">
        <f>+(IF(P147="PUBLICA(1)",1,IF(P147="USO INTERNO(2)",2,IF(P147="RESTRINGIDO(3)",3,3))))+(IF(Q147="BAJA(1)",1,IF(Q147="MEDIA(2)",2,IF(Q147="ALTA(3)",3,3))))+(IF(R147="BAJA(1)",1,IF(R147="MEDIA(2)",2,IF(R147="ALTA(3)",3,3))))</f>
        <v/>
      </c>
      <c r="T147" s="10">
        <f>+IF(S147&lt;6,"BAJA",IF(S147&lt;8,"MEDIA","ALTA"))</f>
        <v/>
      </c>
      <c r="U147" s="10" t="inlineStr">
        <is>
          <t>-</t>
        </is>
      </c>
      <c r="V147" s="24" t="n">
        <v>45580</v>
      </c>
      <c r="W147" s="19" t="inlineStr">
        <is>
          <t>N/A</t>
        </is>
      </c>
      <c r="X147" s="10">
        <f>+IFERROR(IF(VLOOKUP(Tabla2[[#This Row],[ID]],'EVALUACION DE RIESGO'!A:A,1,FALSE)=Tabla2[[#This Row],[ID]],"SI","NO"),"NO")</f>
        <v/>
      </c>
    </row>
    <row r="148">
      <c r="A148" s="91" t="inlineStr">
        <is>
          <t>62-GCS</t>
        </is>
      </c>
      <c r="B148" s="10" t="inlineStr">
        <is>
          <t>ESTRATÉGICO</t>
        </is>
      </c>
      <c r="C148" s="10" t="inlineStr">
        <is>
          <t>Gestión de Calidad del Servicio</t>
        </is>
      </c>
      <c r="D148" s="10" t="inlineStr">
        <is>
          <t>GCS</t>
        </is>
      </c>
      <c r="E148" s="10" t="inlineStr">
        <is>
          <t>Gestión de Calidad del Servicio</t>
        </is>
      </c>
      <c r="F148" s="10" t="inlineStr">
        <is>
          <t>-</t>
        </is>
      </c>
      <c r="G148" s="10" t="inlineStr">
        <is>
          <t>N/A</t>
        </is>
      </c>
      <c r="H148" s="10" t="inlineStr">
        <is>
          <t>Equipos de computación del Área de atención al cliente</t>
        </is>
      </c>
      <c r="I148" s="10" t="inlineStr">
        <is>
          <t>Equipos de computación donde se realiza la gestión del área</t>
        </is>
      </c>
      <c r="J148" s="10" t="inlineStr">
        <is>
          <t>Jefe de Atención al Cliente</t>
        </is>
      </c>
      <c r="K148" s="10" t="inlineStr">
        <is>
          <t>Jefe de Atención al Cliente</t>
        </is>
      </c>
      <c r="L148" s="10" t="inlineStr">
        <is>
          <t>UBICACIÓN FISICA-MATRIZ ATUNTAQUI</t>
        </is>
      </c>
      <c r="M148" s="10" t="inlineStr">
        <is>
          <t>DISCOS DUROS, SERVIDORES, DISCOS O MEDIOS PORTÁTILES, CINTAS O MEDIOS DE VIDEO Y AUDIO, ETC.</t>
        </is>
      </c>
      <c r="N148" s="10" t="inlineStr">
        <is>
          <t>APOYO</t>
        </is>
      </c>
      <c r="O148" s="10" t="inlineStr">
        <is>
          <t>HARDWARE</t>
        </is>
      </c>
      <c r="P148" s="10" t="inlineStr">
        <is>
          <t>NO CLASIFICADA(3)</t>
        </is>
      </c>
      <c r="Q148" s="10" t="inlineStr">
        <is>
          <t>MEDIA(2)</t>
        </is>
      </c>
      <c r="R148" s="10" t="inlineStr">
        <is>
          <t>MEDIA(2)</t>
        </is>
      </c>
      <c r="S148" s="10">
        <f>+(IF(P148="PUBLICA(1)",1,IF(P148="USO INTERNO(2)",2,IF(P148="RESTRINGIDO(3)",3,3))))+(IF(Q148="BAJA(1)",1,IF(Q148="MEDIA(2)",2,IF(Q148="ALTA(3)",3,3))))+(IF(R148="BAJA(1)",1,IF(R148="MEDIA(2)",2,IF(R148="ALTA(3)",3,3))))</f>
        <v/>
      </c>
      <c r="T148" s="10">
        <f>+IF(S148&lt;6,"BAJA",IF(S148&lt;8,"MEDIA","ALTA"))</f>
        <v/>
      </c>
      <c r="U148" s="10" t="inlineStr">
        <is>
          <t>-</t>
        </is>
      </c>
      <c r="V148" s="24" t="n">
        <v>45580</v>
      </c>
      <c r="W148" s="19" t="inlineStr">
        <is>
          <t>N/A</t>
        </is>
      </c>
      <c r="X148" s="10">
        <f>+IFERROR(IF(VLOOKUP(Tabla2[[#This Row],[ID]],'EVALUACION DE RIESGO'!A:A,1,FALSE)=Tabla2[[#This Row],[ID]],"SI","NO"),"NO")</f>
        <v/>
      </c>
    </row>
    <row r="149">
      <c r="A149" s="91" t="inlineStr">
        <is>
          <t>63-GCS</t>
        </is>
      </c>
      <c r="B149" s="10" t="inlineStr">
        <is>
          <t>ESTRATÉGICO</t>
        </is>
      </c>
      <c r="C149" s="10" t="inlineStr">
        <is>
          <t>Gestión de Calidad del Servicio</t>
        </is>
      </c>
      <c r="D149" s="10" t="inlineStr">
        <is>
          <t>GCS</t>
        </is>
      </c>
      <c r="E149" s="10" t="inlineStr">
        <is>
          <t>Gestión de Calidad del Servicio</t>
        </is>
      </c>
      <c r="F149" s="10" t="inlineStr">
        <is>
          <t>-</t>
        </is>
      </c>
      <c r="G149" s="10" t="inlineStr">
        <is>
          <t>N/A</t>
        </is>
      </c>
      <c r="H149" s="10" t="inlineStr">
        <is>
          <t>Jefe de Atención al Cliente</t>
        </is>
      </c>
      <c r="I149" s="10" t="inlineStr">
        <is>
          <t>N/A</t>
        </is>
      </c>
      <c r="J149" s="10" t="inlineStr">
        <is>
          <t>Jefe de Atención al Cliente</t>
        </is>
      </c>
      <c r="K149" s="10" t="inlineStr">
        <is>
          <t>N/A</t>
        </is>
      </c>
      <c r="L149" s="10" t="inlineStr">
        <is>
          <t>N/A</t>
        </is>
      </c>
      <c r="M149" s="10" t="inlineStr">
        <is>
          <t>N/A</t>
        </is>
      </c>
      <c r="N149" s="10" t="inlineStr">
        <is>
          <t>APOYO</t>
        </is>
      </c>
      <c r="O149" s="10" t="inlineStr">
        <is>
          <t>RECURSO HUMANO</t>
        </is>
      </c>
      <c r="P149" s="10" t="inlineStr">
        <is>
          <t>NO CLASIFICADA(3)</t>
        </is>
      </c>
      <c r="Q149" s="10" t="inlineStr">
        <is>
          <t>MEDIA(2)</t>
        </is>
      </c>
      <c r="R149" s="10" t="inlineStr">
        <is>
          <t>MEDIA(2)</t>
        </is>
      </c>
      <c r="S149" s="10">
        <f>+(IF(P149="PUBLICA(1)",1,IF(P149="USO INTERNO(2)",2,IF(P149="RESTRINGIDO(3)",3,3))))+(IF(Q149="BAJA(1)",1,IF(Q149="MEDIA(2)",2,IF(Q149="ALTA(3)",3,3))))+(IF(R149="BAJA(1)",1,IF(R149="MEDIA(2)",2,IF(R149="ALTA(3)",3,3))))</f>
        <v/>
      </c>
      <c r="T149" s="10">
        <f>+IF(S149&lt;6,"BAJA",IF(S149&lt;8,"MEDIA","ALTA"))</f>
        <v/>
      </c>
      <c r="U149" s="10" t="inlineStr">
        <is>
          <t>-</t>
        </is>
      </c>
      <c r="V149" s="24" t="n">
        <v>45580</v>
      </c>
      <c r="W149" s="19" t="inlineStr">
        <is>
          <t>N/A</t>
        </is>
      </c>
      <c r="X149" s="10">
        <f>+IFERROR(IF(VLOOKUP(Tabla2[[#This Row],[ID]],'EVALUACION DE RIESGO'!A:A,1,FALSE)=Tabla2[[#This Row],[ID]],"SI","NO"),"NO")</f>
        <v/>
      </c>
    </row>
    <row r="150">
      <c r="A150" s="91" t="inlineStr">
        <is>
          <t>64-GRS</t>
        </is>
      </c>
      <c r="B150" s="10" t="inlineStr">
        <is>
          <t>ESTRATÉGICO</t>
        </is>
      </c>
      <c r="C150" s="10" t="inlineStr">
        <is>
          <t>Gestión de Responsabilidad Social</t>
        </is>
      </c>
      <c r="D150" s="10" t="inlineStr">
        <is>
          <t>GRS</t>
        </is>
      </c>
      <c r="E150" s="10" t="inlineStr">
        <is>
          <t>Gestión de Responsabilidad Social</t>
        </is>
      </c>
      <c r="F150" s="10" t="inlineStr">
        <is>
          <t>-</t>
        </is>
      </c>
      <c r="G150" s="10" t="inlineStr">
        <is>
          <t xml:space="preserve">Determinación de los grupos de interés </t>
        </is>
      </c>
      <c r="H150" s="10" t="inlineStr">
        <is>
          <t>Matriz con grupos de interés definidos</t>
        </is>
      </c>
      <c r="I150" s="10" t="inlineStr">
        <is>
          <t>Matriz consolidad que contiene los grupos de interés institucionales</t>
        </is>
      </c>
      <c r="J150" s="10" t="inlineStr">
        <is>
          <t>Técnico de Responsabilidad Social</t>
        </is>
      </c>
      <c r="K150" s="10" t="inlineStr">
        <is>
          <t>Técnico de Responsabilidad Social</t>
        </is>
      </c>
      <c r="L150" s="10" t="inlineStr">
        <is>
          <t>UBICACIÓN DIGITAL-EQUIPO DEL RESPONSABLE</t>
        </is>
      </c>
      <c r="M150" s="10" t="inlineStr">
        <is>
          <t>DISCOS DUROS, SERVIDORES, DISCOS O MEDIOS PORTÁTILES, CINTAS O MEDIOS DE VIDEO Y AUDIO, ETC.</t>
        </is>
      </c>
      <c r="N150" s="10" t="inlineStr">
        <is>
          <t>PRIMARIOS</t>
        </is>
      </c>
      <c r="O150" s="10" t="inlineStr">
        <is>
          <t>DOCUMENTOS TÉCNICOS</t>
        </is>
      </c>
      <c r="P150" s="10" t="inlineStr">
        <is>
          <t>USO INTERNO(2)</t>
        </is>
      </c>
      <c r="Q150" s="10" t="inlineStr">
        <is>
          <t>MEDIA(2)</t>
        </is>
      </c>
      <c r="R150" s="10" t="inlineStr">
        <is>
          <t>BAJA(1)</t>
        </is>
      </c>
      <c r="S150" s="10">
        <f>+(IF(P150="PUBLICA(1)",1,IF(P150="USO INTERNO(2)",2,IF(P150="RESTRINGIDO(3)",3,3))))+(IF(Q150="BAJA(1)",1,IF(Q150="MEDIA(2)",2,IF(Q150="ALTA(3)",3,3))))+(IF(R150="BAJA(1)",1,IF(R150="MEDIA(2)",2,IF(R150="ALTA(3)",3,3))))</f>
        <v/>
      </c>
      <c r="T150" s="10">
        <f>+IF(S150&lt;6,"BAJA",IF(S150&lt;8,"MEDIA","ALTA"))</f>
        <v/>
      </c>
      <c r="U150" s="10" t="inlineStr">
        <is>
          <t>-</t>
        </is>
      </c>
      <c r="V150" s="24" t="n">
        <v>45580</v>
      </c>
      <c r="W150" s="19" t="inlineStr">
        <is>
          <t>N/A</t>
        </is>
      </c>
      <c r="X150" s="10">
        <f>+IFERROR(IF(VLOOKUP(Tabla2[[#This Row],[ID]],'EVALUACION DE RIESGO'!A:A,1,FALSE)=Tabla2[[#This Row],[ID]],"SI","NO"),"NO")</f>
        <v/>
      </c>
    </row>
    <row r="151">
      <c r="A151" s="91" t="inlineStr">
        <is>
          <t>65-GRS</t>
        </is>
      </c>
      <c r="B151" s="10" t="inlineStr">
        <is>
          <t>ESTRATÉGICO</t>
        </is>
      </c>
      <c r="C151" s="10" t="inlineStr">
        <is>
          <t>Gestión de Responsabilidad Social</t>
        </is>
      </c>
      <c r="D151" s="10" t="inlineStr">
        <is>
          <t>GRS</t>
        </is>
      </c>
      <c r="E151" s="10" t="inlineStr">
        <is>
          <t>Gestión de Responsabilidad Social</t>
        </is>
      </c>
      <c r="F151" s="10" t="inlineStr">
        <is>
          <t>-</t>
        </is>
      </c>
      <c r="G151" s="10" t="inlineStr">
        <is>
          <t xml:space="preserve">Determinación de los grupos de interés </t>
        </is>
      </c>
      <c r="H151" s="10" t="inlineStr">
        <is>
          <t>Matriz con los intereses de los stakeholders</t>
        </is>
      </c>
      <c r="I151" s="10" t="inlineStr">
        <is>
          <t>Matriz consolidad que contiene los grupos de interés institucionales</t>
        </is>
      </c>
      <c r="J151" s="10" t="inlineStr">
        <is>
          <t>Técnico de Responsabilidad Social</t>
        </is>
      </c>
      <c r="K151" s="10" t="inlineStr">
        <is>
          <t>Técnico de Responsabilidad Social</t>
        </is>
      </c>
      <c r="L151" s="10" t="inlineStr">
        <is>
          <t>UBICACIÓN DIGITAL-EQUIPO DEL RESPONSABLE</t>
        </is>
      </c>
      <c r="M151" s="10" t="inlineStr">
        <is>
          <t>DISCOS DUROS, SERVIDORES, DISCOS O MEDIOS PORTÁTILES, CINTAS O MEDIOS DE VIDEO Y AUDIO, ETC.</t>
        </is>
      </c>
      <c r="N151" s="10" t="inlineStr">
        <is>
          <t>PRIMARIOS</t>
        </is>
      </c>
      <c r="O151" s="10" t="inlineStr">
        <is>
          <t>DOCUMENTOS TÉCNICOS</t>
        </is>
      </c>
      <c r="P151" s="10" t="inlineStr">
        <is>
          <t>USO INTERNO(2)</t>
        </is>
      </c>
      <c r="Q151" s="10" t="inlineStr">
        <is>
          <t>MEDIA(2)</t>
        </is>
      </c>
      <c r="R151" s="10" t="inlineStr">
        <is>
          <t>BAJA(1)</t>
        </is>
      </c>
      <c r="S151" s="10">
        <f>+(IF(P151="PUBLICA(1)",1,IF(P151="USO INTERNO(2)",2,IF(P151="RESTRINGIDO(3)",3,3))))+(IF(Q151="BAJA(1)",1,IF(Q151="MEDIA(2)",2,IF(Q151="ALTA(3)",3,3))))+(IF(R151="BAJA(1)",1,IF(R151="MEDIA(2)",2,IF(R151="ALTA(3)",3,3))))</f>
        <v/>
      </c>
      <c r="T151" s="10">
        <f>+IF(S151&lt;6,"BAJA",IF(S151&lt;8,"MEDIA","ALTA"))</f>
        <v/>
      </c>
      <c r="U151" s="10" t="inlineStr">
        <is>
          <t>-</t>
        </is>
      </c>
      <c r="V151" s="24" t="n">
        <v>45580</v>
      </c>
      <c r="W151" s="19" t="inlineStr">
        <is>
          <t>N/A</t>
        </is>
      </c>
      <c r="X151" s="10">
        <f>+IFERROR(IF(VLOOKUP(Tabla2[[#This Row],[ID]],'EVALUACION DE RIESGO'!A:A,1,FALSE)=Tabla2[[#This Row],[ID]],"SI","NO"),"NO")</f>
        <v/>
      </c>
    </row>
    <row r="152">
      <c r="A152" s="91" t="inlineStr">
        <is>
          <t>66-GRS</t>
        </is>
      </c>
      <c r="B152" s="10" t="inlineStr">
        <is>
          <t>ESTRATÉGICO</t>
        </is>
      </c>
      <c r="C152" s="10" t="inlineStr">
        <is>
          <t>Gestión de Responsabilidad Social</t>
        </is>
      </c>
      <c r="D152" s="10" t="inlineStr">
        <is>
          <t>GRS</t>
        </is>
      </c>
      <c r="E152" s="10" t="inlineStr">
        <is>
          <t>Gestión de Responsabilidad Social</t>
        </is>
      </c>
      <c r="F152" s="10" t="inlineStr">
        <is>
          <t>-</t>
        </is>
      </c>
      <c r="G152" s="10" t="inlineStr">
        <is>
          <t xml:space="preserve">Evaluación del Sistema de Gestión de Responsabilidad Social </t>
        </is>
      </c>
      <c r="H152" s="10" t="inlineStr">
        <is>
          <t>Modelo de Gestión en Responsabilidad Social</t>
        </is>
      </c>
      <c r="I152" s="10" t="inlineStr">
        <is>
          <t xml:space="preserve">Modelo Levantamiento de STAKEHOLDES o grupos de interés </t>
        </is>
      </c>
      <c r="J152" s="10" t="inlineStr">
        <is>
          <t>Técnico de Responsabilidad Social</t>
        </is>
      </c>
      <c r="K152" s="10" t="inlineStr">
        <is>
          <t>Técnico de Responsabilidad Social</t>
        </is>
      </c>
      <c r="L152" s="10" t="inlineStr">
        <is>
          <t>UBICACIÓN DIGITAL-EQUIPO DEL RESPONSABLE</t>
        </is>
      </c>
      <c r="M152" s="10" t="inlineStr">
        <is>
          <t>DISCOS DUROS, SERVIDORES, DISCOS O MEDIOS PORTÁTILES, CINTAS O MEDIOS DE VIDEO Y AUDIO, ETC.</t>
        </is>
      </c>
      <c r="N152" s="10" t="inlineStr">
        <is>
          <t>PRIMARIOS</t>
        </is>
      </c>
      <c r="O152" s="10" t="inlineStr">
        <is>
          <t>DOCUMENTOS TÉCNICOS</t>
        </is>
      </c>
      <c r="P152" s="10" t="inlineStr">
        <is>
          <t>USO INTERNO(2)</t>
        </is>
      </c>
      <c r="Q152" s="10" t="inlineStr">
        <is>
          <t>MEDIA(2)</t>
        </is>
      </c>
      <c r="R152" s="10" t="inlineStr">
        <is>
          <t>BAJA(1)</t>
        </is>
      </c>
      <c r="S152" s="10">
        <f>+(IF(P152="PUBLICA(1)",1,IF(P152="USO INTERNO(2)",2,IF(P152="RESTRINGIDO(3)",3,3))))+(IF(Q152="BAJA(1)",1,IF(Q152="MEDIA(2)",2,IF(Q152="ALTA(3)",3,3))))+(IF(R152="BAJA(1)",1,IF(R152="MEDIA(2)",2,IF(R152="ALTA(3)",3,3))))</f>
        <v/>
      </c>
      <c r="T152" s="10">
        <f>+IF(S152&lt;6,"BAJA",IF(S152&lt;8,"MEDIA","ALTA"))</f>
        <v/>
      </c>
      <c r="U152" s="10" t="inlineStr">
        <is>
          <t>-</t>
        </is>
      </c>
      <c r="V152" s="24" t="n">
        <v>45580</v>
      </c>
      <c r="W152" s="19" t="inlineStr">
        <is>
          <t>N/A</t>
        </is>
      </c>
      <c r="X152" s="10">
        <f>+IFERROR(IF(VLOOKUP(Tabla2[[#This Row],[ID]],'EVALUACION DE RIESGO'!A:A,1,FALSE)=Tabla2[[#This Row],[ID]],"SI","NO"),"NO")</f>
        <v/>
      </c>
    </row>
    <row r="153">
      <c r="A153" s="91" t="inlineStr">
        <is>
          <t>67-GRS</t>
        </is>
      </c>
      <c r="B153" s="10" t="inlineStr">
        <is>
          <t>ESTRATÉGICO</t>
        </is>
      </c>
      <c r="C153" s="10" t="inlineStr">
        <is>
          <t>Gestión de Responsabilidad Social</t>
        </is>
      </c>
      <c r="D153" s="10" t="inlineStr">
        <is>
          <t>GRS</t>
        </is>
      </c>
      <c r="E153" s="10" t="inlineStr">
        <is>
          <t>Gestión de Responsabilidad Social</t>
        </is>
      </c>
      <c r="F153" s="10" t="inlineStr">
        <is>
          <t>-</t>
        </is>
      </c>
      <c r="G153" s="10" t="inlineStr">
        <is>
          <t xml:space="preserve">Evaluación del Sistema de Gestión de Responsabilidad Social </t>
        </is>
      </c>
      <c r="H153" s="10" t="inlineStr">
        <is>
          <t>Matriz de calificación del Sistema de Gestión de
Responsabilidad Social.</t>
        </is>
      </c>
      <c r="I153" s="10" t="inlineStr">
        <is>
          <t>Matriz de evaluación del objetivo estratégico - Responsabilidad Social Empresarial</t>
        </is>
      </c>
      <c r="J153" s="10" t="inlineStr">
        <is>
          <t>Técnico de Responsabilidad Social</t>
        </is>
      </c>
      <c r="K153" s="10" t="inlineStr">
        <is>
          <t>Técnico de Responsabilidad Social</t>
        </is>
      </c>
      <c r="L153" s="10" t="inlineStr">
        <is>
          <t>UBICACIÓN DIGITAL-EQUIPO DEL RESPONSABLE</t>
        </is>
      </c>
      <c r="M153" s="10" t="inlineStr">
        <is>
          <t>DISCOS DUROS, SERVIDORES, DISCOS O MEDIOS PORTÁTILES, CINTAS O MEDIOS DE VIDEO Y AUDIO, ETC.</t>
        </is>
      </c>
      <c r="N153" s="10" t="inlineStr">
        <is>
          <t>PRIMARIOS</t>
        </is>
      </c>
      <c r="O153" s="10" t="inlineStr">
        <is>
          <t>DOCUMENTOS TÉCNICOS</t>
        </is>
      </c>
      <c r="P153" s="10" t="inlineStr">
        <is>
          <t>USO INTERNO(2)</t>
        </is>
      </c>
      <c r="Q153" s="10" t="inlineStr">
        <is>
          <t>MEDIA(2)</t>
        </is>
      </c>
      <c r="R153" s="10" t="inlineStr">
        <is>
          <t>BAJA(1)</t>
        </is>
      </c>
      <c r="S153" s="10">
        <f>+(IF(P153="PUBLICA(1)",1,IF(P153="USO INTERNO(2)",2,IF(P153="RESTRINGIDO(3)",3,3))))+(IF(Q153="BAJA(1)",1,IF(Q153="MEDIA(2)",2,IF(Q153="ALTA(3)",3,3))))+(IF(R153="BAJA(1)",1,IF(R153="MEDIA(2)",2,IF(R153="ALTA(3)",3,3))))</f>
        <v/>
      </c>
      <c r="T153" s="10">
        <f>+IF(S153&lt;6,"BAJA",IF(S153&lt;8,"MEDIA","ALTA"))</f>
        <v/>
      </c>
      <c r="U153" s="10" t="inlineStr">
        <is>
          <t>-</t>
        </is>
      </c>
      <c r="V153" s="24" t="n">
        <v>45580</v>
      </c>
      <c r="W153" s="19" t="inlineStr">
        <is>
          <t>N/A</t>
        </is>
      </c>
      <c r="X153" s="10">
        <f>+IFERROR(IF(VLOOKUP(Tabla2[[#This Row],[ID]],'EVALUACION DE RIESGO'!A:A,1,FALSE)=Tabla2[[#This Row],[ID]],"SI","NO"),"NO")</f>
        <v/>
      </c>
    </row>
    <row r="154">
      <c r="A154" s="91" t="inlineStr">
        <is>
          <t>68-GRS</t>
        </is>
      </c>
      <c r="B154" s="10" t="inlineStr">
        <is>
          <t>ESTRATÉGICO</t>
        </is>
      </c>
      <c r="C154" s="10" t="inlineStr">
        <is>
          <t>Gestión de Responsabilidad Social</t>
        </is>
      </c>
      <c r="D154" s="10" t="inlineStr">
        <is>
          <t>GRS</t>
        </is>
      </c>
      <c r="E154" s="10" t="inlineStr">
        <is>
          <t>Gestión de Responsabilidad Social</t>
        </is>
      </c>
      <c r="F154" s="10" t="inlineStr">
        <is>
          <t>-</t>
        </is>
      </c>
      <c r="G154" s="10" t="inlineStr">
        <is>
          <t xml:space="preserve">Evaluación del Sistema de Gestión de Responsabilidad Social </t>
        </is>
      </c>
      <c r="H154" s="10" t="inlineStr">
        <is>
          <t>Planes de acción para el 
cumplimiento del Sistema de
Gestión de Responsabilidad Social.</t>
        </is>
      </c>
      <c r="I154" s="10" t="inlineStr">
        <is>
          <t>Archivo del área que se encuentra adjunto al informe de gestión anual</t>
        </is>
      </c>
      <c r="J154" s="10" t="inlineStr">
        <is>
          <t>Técnico de Responsabilidad Social</t>
        </is>
      </c>
      <c r="K154" s="10" t="inlineStr">
        <is>
          <t>Técnico de Responsabilidad Social</t>
        </is>
      </c>
      <c r="L154" s="10" t="inlineStr">
        <is>
          <t>UBICACIÓN DIGITAL-EQUIPO DEL RESPONSABLE</t>
        </is>
      </c>
      <c r="M154" s="10" t="inlineStr">
        <is>
          <t>DISCOS DUROS, SERVIDORES, DISCOS O MEDIOS PORTÁTILES, CINTAS O MEDIOS DE VIDEO Y AUDIO, ETC.</t>
        </is>
      </c>
      <c r="N154" s="10" t="inlineStr">
        <is>
          <t>PRIMARIOS</t>
        </is>
      </c>
      <c r="O154" s="10" t="inlineStr">
        <is>
          <t>DOCUMENTOS TÉCNICOS</t>
        </is>
      </c>
      <c r="P154" s="10" t="inlineStr">
        <is>
          <t>USO INTERNO(2)</t>
        </is>
      </c>
      <c r="Q154" s="10" t="inlineStr">
        <is>
          <t>MEDIA(2)</t>
        </is>
      </c>
      <c r="R154" s="10" t="inlineStr">
        <is>
          <t>BAJA(1)</t>
        </is>
      </c>
      <c r="S154" s="10">
        <f>+(IF(P154="PUBLICA(1)",1,IF(P154="USO INTERNO(2)",2,IF(P154="RESTRINGIDO(3)",3,3))))+(IF(Q154="BAJA(1)",1,IF(Q154="MEDIA(2)",2,IF(Q154="ALTA(3)",3,3))))+(IF(R154="BAJA(1)",1,IF(R154="MEDIA(2)",2,IF(R154="ALTA(3)",3,3))))</f>
        <v/>
      </c>
      <c r="T154" s="10">
        <f>+IF(S154&lt;6,"BAJA",IF(S154&lt;8,"MEDIA","ALTA"))</f>
        <v/>
      </c>
      <c r="U154" s="10" t="inlineStr">
        <is>
          <t>-</t>
        </is>
      </c>
      <c r="V154" s="24" t="n">
        <v>45580</v>
      </c>
      <c r="W154" s="19" t="inlineStr">
        <is>
          <t>N/A</t>
        </is>
      </c>
      <c r="X154" s="10">
        <f>+IFERROR(IF(VLOOKUP(Tabla2[[#This Row],[ID]],'EVALUACION DE RIESGO'!A:A,1,FALSE)=Tabla2[[#This Row],[ID]],"SI","NO"),"NO")</f>
        <v/>
      </c>
    </row>
    <row r="155">
      <c r="A155" s="91" t="inlineStr">
        <is>
          <t>69-GRS</t>
        </is>
      </c>
      <c r="B155" s="10" t="inlineStr">
        <is>
          <t>ESTRATÉGICO</t>
        </is>
      </c>
      <c r="C155" s="10" t="inlineStr">
        <is>
          <t>Gestión de Responsabilidad Social</t>
        </is>
      </c>
      <c r="D155" s="10" t="inlineStr">
        <is>
          <t>GRS</t>
        </is>
      </c>
      <c r="E155" s="10" t="inlineStr">
        <is>
          <t>Gestión de Responsabilidad Social</t>
        </is>
      </c>
      <c r="F155" s="10" t="inlineStr">
        <is>
          <t>-</t>
        </is>
      </c>
      <c r="G155" s="10" t="inlineStr">
        <is>
          <t xml:space="preserve">Elaboración del Balance Social </t>
        </is>
      </c>
      <c r="H155" s="10" t="inlineStr">
        <is>
          <t>Código de Responsabilidad Social.E</t>
        </is>
      </c>
      <c r="I155" s="10" t="inlineStr">
        <is>
          <t>Doc. de Código de responsabilidad Social subido  a WebCoop</t>
        </is>
      </c>
      <c r="J155" s="10" t="inlineStr">
        <is>
          <t>Técnico de Responsabilidad Social</t>
        </is>
      </c>
      <c r="K155" s="10" t="inlineStr">
        <is>
          <t>Técnico de Responsabilidad Social</t>
        </is>
      </c>
      <c r="L155" s="10" t="inlineStr">
        <is>
          <t>UBICACIÓN DIGITAL-WEBCOOP</t>
        </is>
      </c>
      <c r="M155" s="10" t="inlineStr">
        <is>
          <t>DOCUMENTO DE ARCHIVO-ELECTRÓNICO</t>
        </is>
      </c>
      <c r="N155" s="10" t="inlineStr">
        <is>
          <t>PRIMARIOS</t>
        </is>
      </c>
      <c r="O155" s="10" t="inlineStr">
        <is>
          <t>NORMATIVA INTERNA</t>
        </is>
      </c>
      <c r="P155" s="10" t="inlineStr">
        <is>
          <t>USO INTERNO(2)</t>
        </is>
      </c>
      <c r="Q155" s="10" t="inlineStr">
        <is>
          <t>MEDIA(2)</t>
        </is>
      </c>
      <c r="R155" s="10" t="inlineStr">
        <is>
          <t>BAJA(1)</t>
        </is>
      </c>
      <c r="S155" s="10">
        <f>+(IF(P155="PUBLICA(1)",1,IF(P155="USO INTERNO(2)",2,IF(P155="RESTRINGIDO(3)",3,3))))+(IF(Q155="BAJA(1)",1,IF(Q155="MEDIA(2)",2,IF(Q155="ALTA(3)",3,3))))+(IF(R155="BAJA(1)",1,IF(R155="MEDIA(2)",2,IF(R155="ALTA(3)",3,3))))</f>
        <v/>
      </c>
      <c r="T155" s="10">
        <f>+IF(S155&lt;6,"BAJA",IF(S155&lt;8,"MEDIA","ALTA"))</f>
        <v/>
      </c>
      <c r="U155" s="10" t="inlineStr">
        <is>
          <t>-</t>
        </is>
      </c>
      <c r="V155" s="24" t="n">
        <v>45580</v>
      </c>
      <c r="W155" s="19" t="inlineStr">
        <is>
          <t>N/A</t>
        </is>
      </c>
      <c r="X155" s="10">
        <f>+IFERROR(IF(VLOOKUP(Tabla2[[#This Row],[ID]],'EVALUACION DE RIESGO'!A:A,1,FALSE)=Tabla2[[#This Row],[ID]],"SI","NO"),"NO")</f>
        <v/>
      </c>
    </row>
    <row r="156">
      <c r="A156" s="91" t="inlineStr">
        <is>
          <t>70-GRS</t>
        </is>
      </c>
      <c r="B156" s="10" t="inlineStr">
        <is>
          <t>ESTRATÉGICO</t>
        </is>
      </c>
      <c r="C156" s="10" t="inlineStr">
        <is>
          <t>Gestión de Responsabilidad Social</t>
        </is>
      </c>
      <c r="D156" s="10" t="inlineStr">
        <is>
          <t>GRS</t>
        </is>
      </c>
      <c r="E156" s="10" t="inlineStr">
        <is>
          <t>Gestión de Responsabilidad Social</t>
        </is>
      </c>
      <c r="F156" s="10" t="inlineStr">
        <is>
          <t>-</t>
        </is>
      </c>
      <c r="G156" s="10" t="inlineStr">
        <is>
          <t xml:space="preserve">Elaboración del Balance Social </t>
        </is>
      </c>
      <c r="H156" s="10" t="inlineStr">
        <is>
          <t>Matriz de indicadores para el Balance Social.</t>
        </is>
      </c>
      <c r="I156" s="10" t="inlineStr">
        <is>
          <t>Matriz donde se consolida el balance social del año</t>
        </is>
      </c>
      <c r="J156" s="10" t="inlineStr">
        <is>
          <t>Técnico de Responsabilidad Social</t>
        </is>
      </c>
      <c r="K156" s="10" t="inlineStr">
        <is>
          <t>Técnico de Responsabilidad Social</t>
        </is>
      </c>
      <c r="L156" s="10" t="inlineStr">
        <is>
          <t>UBICACIÓN DIGITAL-EQUIPO DEL RESPONSABLE</t>
        </is>
      </c>
      <c r="M156" s="10" t="inlineStr">
        <is>
          <t>DISCOS DUROS, SERVIDORES, DISCOS O MEDIOS PORTÁTILES, CINTAS O MEDIOS DE VIDEO Y AUDIO, ETC.</t>
        </is>
      </c>
      <c r="N156" s="10" t="inlineStr">
        <is>
          <t>PRIMARIOS</t>
        </is>
      </c>
      <c r="O156" s="10" t="inlineStr">
        <is>
          <t>DOCUMENTOS TÉCNICOS</t>
        </is>
      </c>
      <c r="P156" s="10" t="inlineStr">
        <is>
          <t>USO INTERNO(2)</t>
        </is>
      </c>
      <c r="Q156" s="10" t="inlineStr">
        <is>
          <t>MEDIA(2)</t>
        </is>
      </c>
      <c r="R156" s="10" t="inlineStr">
        <is>
          <t>BAJA(1)</t>
        </is>
      </c>
      <c r="S156" s="10">
        <f>+(IF(P156="PUBLICA(1)",1,IF(P156="USO INTERNO(2)",2,IF(P156="RESTRINGIDO(3)",3,3))))+(IF(Q156="BAJA(1)",1,IF(Q156="MEDIA(2)",2,IF(Q156="ALTA(3)",3,3))))+(IF(R156="BAJA(1)",1,IF(R156="MEDIA(2)",2,IF(R156="ALTA(3)",3,3))))</f>
        <v/>
      </c>
      <c r="T156" s="10">
        <f>+IF(S156&lt;6,"BAJA",IF(S156&lt;8,"MEDIA","ALTA"))</f>
        <v/>
      </c>
      <c r="U156" s="10" t="inlineStr">
        <is>
          <t>-</t>
        </is>
      </c>
      <c r="V156" s="24" t="n">
        <v>45580</v>
      </c>
      <c r="W156" s="19" t="inlineStr">
        <is>
          <t>N/A</t>
        </is>
      </c>
      <c r="X156" s="10">
        <f>+IFERROR(IF(VLOOKUP(Tabla2[[#This Row],[ID]],'EVALUACION DE RIESGO'!A:A,1,FALSE)=Tabla2[[#This Row],[ID]],"SI","NO"),"NO")</f>
        <v/>
      </c>
    </row>
    <row r="157">
      <c r="A157" s="91" t="inlineStr">
        <is>
          <t>71-GRS</t>
        </is>
      </c>
      <c r="B157" s="10" t="inlineStr">
        <is>
          <t>ESTRATÉGICO</t>
        </is>
      </c>
      <c r="C157" s="10" t="inlineStr">
        <is>
          <t>Gestión de Responsabilidad Social</t>
        </is>
      </c>
      <c r="D157" s="10" t="inlineStr">
        <is>
          <t>GRS</t>
        </is>
      </c>
      <c r="E157" s="10" t="inlineStr">
        <is>
          <t>Gestión de Responsabilidad Social</t>
        </is>
      </c>
      <c r="F157" s="10" t="inlineStr">
        <is>
          <t>-</t>
        </is>
      </c>
      <c r="G157" s="10" t="inlineStr">
        <is>
          <t xml:space="preserve">Elaboración del Balance Social </t>
        </is>
      </c>
      <c r="H157" s="10" t="inlineStr">
        <is>
          <t>Balance Social.</t>
        </is>
      </c>
      <c r="I157" s="10" t="inlineStr">
        <is>
          <t>Resumen en informe de la matriz de Balance Social</t>
        </is>
      </c>
      <c r="J157" s="10" t="inlineStr">
        <is>
          <t>Técnico de Responsabilidad Social</t>
        </is>
      </c>
      <c r="K157" s="10" t="inlineStr">
        <is>
          <t>Técnico de Responsabilidad Social</t>
        </is>
      </c>
      <c r="L157" s="10" t="inlineStr">
        <is>
          <t>UBICACIÓN DIGITAL-PÁGINA WEB</t>
        </is>
      </c>
      <c r="M157" s="10" t="inlineStr">
        <is>
          <t>DOCUMENTO DE ARCHIVO-ELECTRÓNICO</t>
        </is>
      </c>
      <c r="N157" s="10" t="inlineStr">
        <is>
          <t>PRIMARIOS</t>
        </is>
      </c>
      <c r="O157" s="10" t="inlineStr">
        <is>
          <t>DOCUMENTOS TÉCNICOS</t>
        </is>
      </c>
      <c r="P157" s="10" t="inlineStr">
        <is>
          <t>USO INTERNO(2)</t>
        </is>
      </c>
      <c r="Q157" s="10" t="inlineStr">
        <is>
          <t>MEDIA(2)</t>
        </is>
      </c>
      <c r="R157" s="10" t="inlineStr">
        <is>
          <t>BAJA(1)</t>
        </is>
      </c>
      <c r="S157" s="10">
        <f>+(IF(P157="PUBLICA(1)",1,IF(P157="USO INTERNO(2)",2,IF(P157="RESTRINGIDO(3)",3,3))))+(IF(Q157="BAJA(1)",1,IF(Q157="MEDIA(2)",2,IF(Q157="ALTA(3)",3,3))))+(IF(R157="BAJA(1)",1,IF(R157="MEDIA(2)",2,IF(R157="ALTA(3)",3,3))))</f>
        <v/>
      </c>
      <c r="T157" s="10">
        <f>+IF(S157&lt;6,"BAJA",IF(S157&lt;8,"MEDIA","ALTA"))</f>
        <v/>
      </c>
      <c r="U157" s="10" t="inlineStr">
        <is>
          <t>-</t>
        </is>
      </c>
      <c r="V157" s="24" t="n">
        <v>45580</v>
      </c>
      <c r="W157" s="19" t="inlineStr">
        <is>
          <t>N/A</t>
        </is>
      </c>
      <c r="X157" s="10">
        <f>+IFERROR(IF(VLOOKUP(Tabla2[[#This Row],[ID]],'EVALUACION DE RIESGO'!A:A,1,FALSE)=Tabla2[[#This Row],[ID]],"SI","NO"),"NO")</f>
        <v/>
      </c>
    </row>
    <row r="158">
      <c r="A158" s="91" t="inlineStr">
        <is>
          <t>72-GRS</t>
        </is>
      </c>
      <c r="B158" s="10" t="inlineStr">
        <is>
          <t>ESTRATÉGICO</t>
        </is>
      </c>
      <c r="C158" s="10" t="inlineStr">
        <is>
          <t>Gestión de Responsabilidad Social</t>
        </is>
      </c>
      <c r="D158" s="10" t="inlineStr">
        <is>
          <t>GRS</t>
        </is>
      </c>
      <c r="E158" s="10" t="inlineStr">
        <is>
          <t>Gestión de Responsabilidad Social</t>
        </is>
      </c>
      <c r="F158" s="10" t="inlineStr">
        <is>
          <t>-</t>
        </is>
      </c>
      <c r="G158" s="10" t="inlineStr">
        <is>
          <t>Elaboración de Programas y Campañas de Responsabilidad Social y Ambiental</t>
        </is>
      </c>
      <c r="H158" s="10" t="inlineStr">
        <is>
          <t>Proyecto de programa o campaña de Responsabilidad Social.</t>
        </is>
      </c>
      <c r="I158" s="10" t="inlineStr">
        <is>
          <t>Archivo de registro de programas de compañas</t>
        </is>
      </c>
      <c r="J158" s="10" t="inlineStr">
        <is>
          <t>Técnico de Responsabilidad Social</t>
        </is>
      </c>
      <c r="K158" s="10" t="inlineStr">
        <is>
          <t>Técnico de Responsabilidad Social</t>
        </is>
      </c>
      <c r="L158" s="10" t="inlineStr">
        <is>
          <t>UBICACIÓN DIGITAL-EQUIPO DEL RESPONSABLE</t>
        </is>
      </c>
      <c r="M158" s="10" t="inlineStr">
        <is>
          <t>DISCOS DUROS, SERVIDORES, DISCOS O MEDIOS PORTÁTILES, CINTAS O MEDIOS DE VIDEO Y AUDIO, ETC.</t>
        </is>
      </c>
      <c r="N158" s="10" t="inlineStr">
        <is>
          <t>PRIMARIOS</t>
        </is>
      </c>
      <c r="O158" s="10" t="inlineStr">
        <is>
          <t>DOCUMENTOS TÉCNICOS</t>
        </is>
      </c>
      <c r="P158" s="10" t="inlineStr">
        <is>
          <t>USO INTERNO(2)</t>
        </is>
      </c>
      <c r="Q158" s="10" t="inlineStr">
        <is>
          <t>MEDIA(2)</t>
        </is>
      </c>
      <c r="R158" s="10" t="inlineStr">
        <is>
          <t>BAJA(1)</t>
        </is>
      </c>
      <c r="S158" s="10">
        <f>+(IF(P158="PUBLICA(1)",1,IF(P158="USO INTERNO(2)",2,IF(P158="RESTRINGIDO(3)",3,3))))+(IF(Q158="BAJA(1)",1,IF(Q158="MEDIA(2)",2,IF(Q158="ALTA(3)",3,3))))+(IF(R158="BAJA(1)",1,IF(R158="MEDIA(2)",2,IF(R158="ALTA(3)",3,3))))</f>
        <v/>
      </c>
      <c r="T158" s="10">
        <f>+IF(S158&lt;6,"BAJA",IF(S158&lt;8,"MEDIA","ALTA"))</f>
        <v/>
      </c>
      <c r="U158" s="10" t="inlineStr">
        <is>
          <t>-</t>
        </is>
      </c>
      <c r="V158" s="24" t="n">
        <v>45580</v>
      </c>
      <c r="W158" s="19" t="inlineStr">
        <is>
          <t>N/A</t>
        </is>
      </c>
      <c r="X158" s="10">
        <f>+IFERROR(IF(VLOOKUP(Tabla2[[#This Row],[ID]],'EVALUACION DE RIESGO'!A:A,1,FALSE)=Tabla2[[#This Row],[ID]],"SI","NO"),"NO")</f>
        <v/>
      </c>
    </row>
    <row r="159">
      <c r="A159" s="91" t="inlineStr">
        <is>
          <t>73-GRS</t>
        </is>
      </c>
      <c r="B159" s="10" t="inlineStr">
        <is>
          <t>ESTRATÉGICO</t>
        </is>
      </c>
      <c r="C159" s="10" t="inlineStr">
        <is>
          <t>Gestión de Responsabilidad Social</t>
        </is>
      </c>
      <c r="D159" s="10" t="inlineStr">
        <is>
          <t>GRS</t>
        </is>
      </c>
      <c r="E159" s="10" t="inlineStr">
        <is>
          <t>Gestión de Responsabilidad Social</t>
        </is>
      </c>
      <c r="F159" s="10" t="inlineStr">
        <is>
          <t>-</t>
        </is>
      </c>
      <c r="G159" s="10" t="inlineStr">
        <is>
          <t>Programa de educación financiera</t>
        </is>
      </c>
      <c r="H159" s="10" t="inlineStr">
        <is>
          <t>Programa Anual de Educación Financiera.</t>
        </is>
      </c>
      <c r="I159" s="10" t="inlineStr">
        <is>
          <t>Planificación anual de las iniciativas y programas de educación financiera para el periodo</t>
        </is>
      </c>
      <c r="J159" s="10" t="inlineStr">
        <is>
          <t>Técnico de Responsabilidad Social</t>
        </is>
      </c>
      <c r="K159" s="10" t="inlineStr">
        <is>
          <t>Técnico de Responsabilidad Social</t>
        </is>
      </c>
      <c r="L159" s="10" t="inlineStr">
        <is>
          <t>UBICACIÓN DIGITAL-EQUIPO DEL RESPONSABLE</t>
        </is>
      </c>
      <c r="M159" s="10" t="inlineStr">
        <is>
          <t>DISCOS DUROS, SERVIDORES, DISCOS O MEDIOS PORTÁTILES, CINTAS O MEDIOS DE VIDEO Y AUDIO, ETC.</t>
        </is>
      </c>
      <c r="N159" s="10" t="inlineStr">
        <is>
          <t>PRIMARIOS</t>
        </is>
      </c>
      <c r="O159" s="10" t="inlineStr">
        <is>
          <t>DOCUMENTOS TÉCNICOS</t>
        </is>
      </c>
      <c r="P159" s="10" t="inlineStr">
        <is>
          <t>USO INTERNO(2)</t>
        </is>
      </c>
      <c r="Q159" s="10" t="inlineStr">
        <is>
          <t>MEDIA(2)</t>
        </is>
      </c>
      <c r="R159" s="10" t="inlineStr">
        <is>
          <t>BAJA(1)</t>
        </is>
      </c>
      <c r="S159" s="10">
        <f>+(IF(P159="PUBLICA(1)",1,IF(P159="USO INTERNO(2)",2,IF(P159="RESTRINGIDO(3)",3,3))))+(IF(Q159="BAJA(1)",1,IF(Q159="MEDIA(2)",2,IF(Q159="ALTA(3)",3,3))))+(IF(R159="BAJA(1)",1,IF(R159="MEDIA(2)",2,IF(R159="ALTA(3)",3,3))))</f>
        <v/>
      </c>
      <c r="T159" s="10">
        <f>+IF(S159&lt;6,"BAJA",IF(S159&lt;8,"MEDIA","ALTA"))</f>
        <v/>
      </c>
      <c r="U159" s="10" t="inlineStr">
        <is>
          <t>-</t>
        </is>
      </c>
      <c r="V159" s="24" t="n">
        <v>45580</v>
      </c>
      <c r="W159" s="19" t="inlineStr">
        <is>
          <t>N/A</t>
        </is>
      </c>
      <c r="X159" s="10">
        <f>+IFERROR(IF(VLOOKUP(Tabla2[[#This Row],[ID]],'EVALUACION DE RIESGO'!A:A,1,FALSE)=Tabla2[[#This Row],[ID]],"SI","NO"),"NO")</f>
        <v/>
      </c>
    </row>
    <row r="160">
      <c r="A160" s="91" t="inlineStr">
        <is>
          <t>74-GRS</t>
        </is>
      </c>
      <c r="B160" s="10" t="inlineStr">
        <is>
          <t>ESTRATÉGICO</t>
        </is>
      </c>
      <c r="C160" s="10" t="inlineStr">
        <is>
          <t>Gestión de Responsabilidad Social</t>
        </is>
      </c>
      <c r="D160" s="10" t="inlineStr">
        <is>
          <t>GRS</t>
        </is>
      </c>
      <c r="E160" s="10" t="inlineStr">
        <is>
          <t>Gestión de Responsabilidad Social</t>
        </is>
      </c>
      <c r="F160" s="10" t="inlineStr">
        <is>
          <t>-</t>
        </is>
      </c>
      <c r="G160" s="10" t="inlineStr">
        <is>
          <t>Programa de educación financiera</t>
        </is>
      </c>
      <c r="H160" s="10" t="inlineStr">
        <is>
          <t>Base de datos de socios capacitados y asistentes</t>
        </is>
      </c>
      <c r="I160" s="10" t="inlineStr">
        <is>
          <t>Registro de capacitaciones realizadas</t>
        </is>
      </c>
      <c r="J160" s="10" t="inlineStr">
        <is>
          <t>Técnico de Responsabilidad Social</t>
        </is>
      </c>
      <c r="K160" s="10" t="inlineStr">
        <is>
          <t>Técnico de Responsabilidad Social</t>
        </is>
      </c>
      <c r="L160" s="10" t="inlineStr">
        <is>
          <t>DOCUMENTOS FISICOS-ARCHIVOS DE LA OFICINA</t>
        </is>
      </c>
      <c r="M160" s="10" t="inlineStr">
        <is>
          <t>DOCUMENTO DE ARCHIVO-FÍSICO</t>
        </is>
      </c>
      <c r="N160" s="10" t="inlineStr">
        <is>
          <t>PRIMARIOS</t>
        </is>
      </c>
      <c r="O160" s="10" t="inlineStr">
        <is>
          <t>INFORMACIÓN DE TERCEROS</t>
        </is>
      </c>
      <c r="P160" s="10" t="inlineStr">
        <is>
          <t>USO INTERNO(2)</t>
        </is>
      </c>
      <c r="Q160" s="10" t="inlineStr">
        <is>
          <t>MEDIA(2)</t>
        </is>
      </c>
      <c r="R160" s="10" t="inlineStr">
        <is>
          <t>BAJA(1)</t>
        </is>
      </c>
      <c r="S160" s="10">
        <f>+(IF(P160="PUBLICA(1)",1,IF(P160="USO INTERNO(2)",2,IF(P160="RESTRINGIDO(3)",3,3))))+(IF(Q160="BAJA(1)",1,IF(Q160="MEDIA(2)",2,IF(Q160="ALTA(3)",3,3))))+(IF(R160="BAJA(1)",1,IF(R160="MEDIA(2)",2,IF(R160="ALTA(3)",3,3))))</f>
        <v/>
      </c>
      <c r="T160" s="10">
        <f>+IF(S160&lt;6,"BAJA",IF(S160&lt;8,"MEDIA","ALTA"))</f>
        <v/>
      </c>
      <c r="U160" s="10" t="inlineStr">
        <is>
          <t>-</t>
        </is>
      </c>
      <c r="V160" s="24" t="n">
        <v>45580</v>
      </c>
      <c r="W160" s="19" t="inlineStr">
        <is>
          <t>N/A</t>
        </is>
      </c>
      <c r="X160" s="10">
        <f>+IFERROR(IF(VLOOKUP(Tabla2[[#This Row],[ID]],'EVALUACION DE RIESGO'!A:A,1,FALSE)=Tabla2[[#This Row],[ID]],"SI","NO"),"NO")</f>
        <v/>
      </c>
    </row>
    <row r="161">
      <c r="A161" s="91" t="inlineStr">
        <is>
          <t>75-GRS</t>
        </is>
      </c>
      <c r="B161" s="10" t="inlineStr">
        <is>
          <t>ESTRATÉGICO</t>
        </is>
      </c>
      <c r="C161" s="10" t="inlineStr">
        <is>
          <t>Gestión de Responsabilidad Social</t>
        </is>
      </c>
      <c r="D161" s="10" t="inlineStr">
        <is>
          <t>GRS</t>
        </is>
      </c>
      <c r="E161" s="10" t="inlineStr">
        <is>
          <t>Gestión de Responsabilidad Social</t>
        </is>
      </c>
      <c r="F161" s="10" t="inlineStr">
        <is>
          <t>-</t>
        </is>
      </c>
      <c r="G161" s="10" t="inlineStr">
        <is>
          <t>Programa de educación financiera</t>
        </is>
      </c>
      <c r="H161" s="10" t="inlineStr">
        <is>
          <t>Informe de Evaluación al Programa de Educación Financiera.</t>
        </is>
      </c>
      <c r="I161" s="10" t="inlineStr">
        <is>
          <t>Contenido del informe anual punto 5.5.1</t>
        </is>
      </c>
      <c r="J161" s="10" t="inlineStr">
        <is>
          <t>Técnico de Responsabilidad Social</t>
        </is>
      </c>
      <c r="K161" s="10" t="inlineStr">
        <is>
          <t>Técnico de Responsabilidad Social</t>
        </is>
      </c>
      <c r="L161" s="10" t="inlineStr">
        <is>
          <t>UBICACIÓN DIGITAL-EQUIPO DEL RESPONSABLE</t>
        </is>
      </c>
      <c r="M161" s="10" t="inlineStr">
        <is>
          <t>DISCOS DUROS, SERVIDORES, DISCOS O MEDIOS PORTÁTILES, CINTAS O MEDIOS DE VIDEO Y AUDIO, ETC.</t>
        </is>
      </c>
      <c r="N161" s="10" t="inlineStr">
        <is>
          <t>PRIMARIOS</t>
        </is>
      </c>
      <c r="O161" s="10" t="inlineStr">
        <is>
          <t>DOCUMENTOS TÉCNICOS</t>
        </is>
      </c>
      <c r="P161" s="10" t="inlineStr">
        <is>
          <t>USO INTERNO(2)</t>
        </is>
      </c>
      <c r="Q161" s="10" t="inlineStr">
        <is>
          <t>MEDIA(2)</t>
        </is>
      </c>
      <c r="R161" s="10" t="inlineStr">
        <is>
          <t>BAJA(1)</t>
        </is>
      </c>
      <c r="S161" s="10">
        <f>+(IF(P161="PUBLICA(1)",1,IF(P161="USO INTERNO(2)",2,IF(P161="RESTRINGIDO(3)",3,3))))+(IF(Q161="BAJA(1)",1,IF(Q161="MEDIA(2)",2,IF(Q161="ALTA(3)",3,3))))+(IF(R161="BAJA(1)",1,IF(R161="MEDIA(2)",2,IF(R161="ALTA(3)",3,3))))</f>
        <v/>
      </c>
      <c r="T161" s="10">
        <f>+IF(S161&lt;6,"BAJA",IF(S161&lt;8,"MEDIA","ALTA"))</f>
        <v/>
      </c>
      <c r="U161" s="10" t="inlineStr">
        <is>
          <t>-</t>
        </is>
      </c>
      <c r="V161" s="24" t="n">
        <v>45580</v>
      </c>
      <c r="W161" s="19" t="inlineStr">
        <is>
          <t>N/A</t>
        </is>
      </c>
      <c r="X161" s="10">
        <f>+IFERROR(IF(VLOOKUP(Tabla2[[#This Row],[ID]],'EVALUACION DE RIESGO'!A:A,1,FALSE)=Tabla2[[#This Row],[ID]],"SI","NO"),"NO")</f>
        <v/>
      </c>
    </row>
    <row r="162">
      <c r="A162" s="91" t="inlineStr">
        <is>
          <t>76-GRS</t>
        </is>
      </c>
      <c r="B162" s="10" t="inlineStr">
        <is>
          <t>ESTRATÉGICO</t>
        </is>
      </c>
      <c r="C162" s="10" t="inlineStr">
        <is>
          <t>Gestión de Responsabilidad Social</t>
        </is>
      </c>
      <c r="D162" s="10" t="inlineStr">
        <is>
          <t>GRS</t>
        </is>
      </c>
      <c r="E162" s="10" t="inlineStr">
        <is>
          <t>Gestión de Responsabilidad Social</t>
        </is>
      </c>
      <c r="F162" s="10" t="inlineStr">
        <is>
          <t>-</t>
        </is>
      </c>
      <c r="G162" s="10" t="inlineStr">
        <is>
          <t>N/A</t>
        </is>
      </c>
      <c r="H162" s="10" t="inlineStr">
        <is>
          <t xml:space="preserve">Equipos de computación </t>
        </is>
      </c>
      <c r="I162" s="10" t="inlineStr">
        <is>
          <t>Equipos de computación donde se realiza la gestión del área</t>
        </is>
      </c>
      <c r="J162" s="10" t="inlineStr">
        <is>
          <t xml:space="preserve">Oficial de Seguridad de la Información </t>
        </is>
      </c>
      <c r="K162" s="10" t="inlineStr">
        <is>
          <t xml:space="preserve">Oficial de Seguridad de la Información </t>
        </is>
      </c>
      <c r="L162" s="10" t="inlineStr">
        <is>
          <t>UBICACIÓN FISICA-SUCURSAL IBARRA</t>
        </is>
      </c>
      <c r="M162" s="10" t="inlineStr">
        <is>
          <t>DISCOS DUROS, SERVIDORES, DISCOS O MEDIOS PORTÁTILES, CINTAS O MEDIOS DE VIDEO Y AUDIO, ETC.</t>
        </is>
      </c>
      <c r="N162" s="10" t="inlineStr">
        <is>
          <t>APOYO</t>
        </is>
      </c>
      <c r="O162" s="10" t="inlineStr">
        <is>
          <t>HARDWARE</t>
        </is>
      </c>
      <c r="P162" s="10" t="inlineStr">
        <is>
          <t>RESTRINGIDO(3)</t>
        </is>
      </c>
      <c r="Q162" s="10" t="inlineStr">
        <is>
          <t>MEDIA(2)</t>
        </is>
      </c>
      <c r="R162" s="10" t="inlineStr">
        <is>
          <t>BAJA(1)</t>
        </is>
      </c>
      <c r="S162" s="10">
        <f>+(IF(P162="PUBLICA(1)",1,IF(P162="USO INTERNO(2)",2,IF(P162="RESTRINGIDO(3)",3,3))))+(IF(Q162="BAJA(1)",1,IF(Q162="MEDIA(2)",2,IF(Q162="ALTA(3)",3,3))))+(IF(R162="BAJA(1)",1,IF(R162="MEDIA(2)",2,IF(R162="ALTA(3)",3,3))))</f>
        <v/>
      </c>
      <c r="T162" s="10">
        <f>+IF(S162&lt;6,"BAJA",IF(S162&lt;8,"MEDIA","ALTA"))</f>
        <v/>
      </c>
      <c r="U162" s="10" t="inlineStr">
        <is>
          <t>-</t>
        </is>
      </c>
      <c r="V162" s="24" t="n">
        <v>45712</v>
      </c>
      <c r="W162" s="19" t="inlineStr">
        <is>
          <t>N/A</t>
        </is>
      </c>
      <c r="X162" s="10">
        <f>+IFERROR(IF(VLOOKUP(Tabla2[[#This Row],[ID]],'EVALUACION DE RIESGO'!A:A,1,FALSE)=Tabla2[[#This Row],[ID]],"SI","NO"),"NO")</f>
        <v/>
      </c>
    </row>
    <row r="163">
      <c r="A163" s="91" t="inlineStr">
        <is>
          <t>77-GRS</t>
        </is>
      </c>
      <c r="B163" s="10" t="inlineStr">
        <is>
          <t>ESTRATÉGICO</t>
        </is>
      </c>
      <c r="C163" s="10" t="inlineStr">
        <is>
          <t>Gestión de Responsabilidad Social</t>
        </is>
      </c>
      <c r="D163" s="10" t="inlineStr">
        <is>
          <t>GRS</t>
        </is>
      </c>
      <c r="E163" s="10" t="inlineStr">
        <is>
          <t>Gestión de Responsabilidad Social</t>
        </is>
      </c>
      <c r="F163" s="10" t="inlineStr">
        <is>
          <t>-</t>
        </is>
      </c>
      <c r="G163" s="10" t="inlineStr">
        <is>
          <t>N/A</t>
        </is>
      </c>
      <c r="H163" s="10" t="inlineStr">
        <is>
          <t>Técnico de Responsabilidad Social</t>
        </is>
      </c>
      <c r="I163" s="10" t="inlineStr">
        <is>
          <t>N/A</t>
        </is>
      </c>
      <c r="J163" s="10" t="inlineStr">
        <is>
          <t>Técnico de Responsabilidad Social</t>
        </is>
      </c>
      <c r="K163" s="10" t="inlineStr">
        <is>
          <t>N/A</t>
        </is>
      </c>
      <c r="L163" s="10" t="inlineStr">
        <is>
          <t>N/A</t>
        </is>
      </c>
      <c r="M163" s="10" t="inlineStr">
        <is>
          <t>N/A</t>
        </is>
      </c>
      <c r="N163" s="10" t="inlineStr">
        <is>
          <t>APOYO</t>
        </is>
      </c>
      <c r="O163" s="10" t="inlineStr">
        <is>
          <t>RECURSO HUMANO</t>
        </is>
      </c>
      <c r="P163" s="10" t="inlineStr">
        <is>
          <t>USO INTERNO(2)</t>
        </is>
      </c>
      <c r="Q163" s="10" t="inlineStr">
        <is>
          <t>MEDIA(2)</t>
        </is>
      </c>
      <c r="R163" s="10" t="inlineStr">
        <is>
          <t>BAJA(1)</t>
        </is>
      </c>
      <c r="S163" s="10">
        <f>+(IF(P163="PUBLICA(1)",1,IF(P163="USO INTERNO(2)",2,IF(P163="RESTRINGIDO(3)",3,3))))+(IF(Q163="BAJA(1)",1,IF(Q163="MEDIA(2)",2,IF(Q163="ALTA(3)",3,3))))+(IF(R163="BAJA(1)",1,IF(R163="MEDIA(2)",2,IF(R163="ALTA(3)",3,3))))</f>
        <v/>
      </c>
      <c r="T163" s="10">
        <f>+IF(S163&lt;6,"BAJA",IF(S163&lt;8,"MEDIA","ALTA"))</f>
        <v/>
      </c>
      <c r="U163" s="10" t="inlineStr">
        <is>
          <t>-</t>
        </is>
      </c>
      <c r="V163" s="24" t="n">
        <v>45580</v>
      </c>
      <c r="W163" s="19" t="inlineStr">
        <is>
          <t>N/A</t>
        </is>
      </c>
      <c r="X163" s="10">
        <f>+IFERROR(IF(VLOOKUP(Tabla2[[#This Row],[ID]],'EVALUACION DE RIESGO'!A:A,1,FALSE)=Tabla2[[#This Row],[ID]],"SI","NO"),"NO")</f>
        <v/>
      </c>
    </row>
    <row r="164">
      <c r="A164" s="91" t="inlineStr">
        <is>
          <t>1-GAU</t>
        </is>
      </c>
      <c r="B164" s="10" t="inlineStr">
        <is>
          <t>APOYO</t>
        </is>
      </c>
      <c r="C164" s="10" t="inlineStr">
        <is>
          <t xml:space="preserve">Gestión de Auditoría </t>
        </is>
      </c>
      <c r="D164" s="10" t="inlineStr">
        <is>
          <t>GAU</t>
        </is>
      </c>
      <c r="E164" s="10" t="inlineStr">
        <is>
          <t>Gestión de Auditoría Interna</t>
        </is>
      </c>
      <c r="F164" s="10" t="inlineStr">
        <is>
          <t>-</t>
        </is>
      </c>
      <c r="G164" s="10" t="inlineStr">
        <is>
          <t>Planificación Anual de Auditoría</t>
        </is>
      </c>
      <c r="H164" s="10" t="inlineStr">
        <is>
          <t>Plan Anual de Auditoría Interna</t>
        </is>
      </c>
      <c r="I164" s="10" t="inlineStr">
        <is>
          <t xml:space="preserve">Plan de las actividades a ejecutarse durante el año </t>
        </is>
      </c>
      <c r="J164" s="10" t="inlineStr">
        <is>
          <t xml:space="preserve">Gerente de Auditoría </t>
        </is>
      </c>
      <c r="K164" s="10" t="inlineStr">
        <is>
          <t xml:space="preserve">Gerente de Auditoría </t>
        </is>
      </c>
      <c r="L164" s="10" t="inlineStr">
        <is>
          <t>UBICACIÓN DIGITAL-EQUIPO DEL RESPONSABLE</t>
        </is>
      </c>
      <c r="M164" s="10" t="inlineStr">
        <is>
          <t>DOCUMENTO DE ARCHIVO-ELECTRÓNICO</t>
        </is>
      </c>
      <c r="N164" s="10" t="inlineStr">
        <is>
          <t>PRIMARIOS</t>
        </is>
      </c>
      <c r="O164" s="10" t="inlineStr">
        <is>
          <t>DOCUMENTOS TÉCNICOS</t>
        </is>
      </c>
      <c r="P164" s="10" t="inlineStr">
        <is>
          <t>USO INTERNO(2)</t>
        </is>
      </c>
      <c r="Q164" s="10" t="inlineStr">
        <is>
          <t>BAJA(1)</t>
        </is>
      </c>
      <c r="R164" s="10" t="inlineStr">
        <is>
          <t>MEDIA(2)</t>
        </is>
      </c>
      <c r="S164" s="10">
        <f>+(IF(P164="PUBLICA(1)",1,IF(P164="USO INTERNO(2)",2,IF(P164="RESTRINGIDO(3)",3,3))))+(IF(Q164="BAJA(1)",1,IF(Q164="MEDIA(2)",2,IF(Q164="ALTA(3)",3,3))))+(IF(R164="BAJA(1)",1,IF(R164="MEDIA(2)",2,IF(R164="ALTA(3)",3,3))))</f>
        <v/>
      </c>
      <c r="T164" s="10">
        <f>+IF(S164&lt;6,"BAJA",IF(S164&lt;8,"MEDIA","ALTA"))</f>
        <v/>
      </c>
      <c r="U164" s="10" t="inlineStr">
        <is>
          <t>-</t>
        </is>
      </c>
      <c r="V164" s="24" t="n">
        <v>45706</v>
      </c>
      <c r="W164" s="19" t="inlineStr">
        <is>
          <t>N/A</t>
        </is>
      </c>
      <c r="X164" s="10">
        <f>+IFERROR(IF(VLOOKUP(Tabla2[[#This Row],[ID]],'EVALUACION DE RIESGO'!A:A,1,FALSE)=Tabla2[[#This Row],[ID]],"SI","NO"),"NO")</f>
        <v/>
      </c>
    </row>
    <row r="165">
      <c r="A165" s="91" t="inlineStr">
        <is>
          <t>2-GAU</t>
        </is>
      </c>
      <c r="B165" s="10" t="inlineStr">
        <is>
          <t>APOYO</t>
        </is>
      </c>
      <c r="C165" s="10" t="inlineStr">
        <is>
          <t xml:space="preserve">Gestión de Auditoría </t>
        </is>
      </c>
      <c r="D165" s="10" t="inlineStr">
        <is>
          <t>GAU</t>
        </is>
      </c>
      <c r="E165" s="10" t="inlineStr">
        <is>
          <t>Gestión de Auditoría Interna</t>
        </is>
      </c>
      <c r="F165" s="10" t="inlineStr">
        <is>
          <t>-</t>
        </is>
      </c>
      <c r="G165" s="10" t="inlineStr">
        <is>
          <t xml:space="preserve">Ejecución del Plan Anual de Auditoría Interna   </t>
        </is>
      </c>
      <c r="H165" s="10" t="inlineStr">
        <is>
          <t>Orden de trabajo</t>
        </is>
      </c>
      <c r="I165" s="10" t="inlineStr">
        <is>
          <t>Documento de asignación de las condiciones y plazos del examen</t>
        </is>
      </c>
      <c r="J165" s="10" t="inlineStr">
        <is>
          <t xml:space="preserve">Gerente de Auditoría </t>
        </is>
      </c>
      <c r="K165" s="10" t="inlineStr">
        <is>
          <t xml:space="preserve">Gerente de Auditoría </t>
        </is>
      </c>
      <c r="L165" s="10" t="inlineStr">
        <is>
          <t>UBICACIÓN DIGITAL-EQUIPO DEL RESPONSABLE</t>
        </is>
      </c>
      <c r="M165" s="10" t="inlineStr">
        <is>
          <t>DOCUMENTO DE ARCHIVO-ELECTRÓNICO</t>
        </is>
      </c>
      <c r="N165" s="10" t="inlineStr">
        <is>
          <t>PRIMARIOS</t>
        </is>
      </c>
      <c r="O165" s="10" t="inlineStr">
        <is>
          <t>DOCUMENTOS TÉCNICOS</t>
        </is>
      </c>
      <c r="P165" s="10" t="inlineStr">
        <is>
          <t>USO INTERNO(2)</t>
        </is>
      </c>
      <c r="Q165" s="10" t="inlineStr">
        <is>
          <t>BAJA(1)</t>
        </is>
      </c>
      <c r="R165" s="10" t="inlineStr">
        <is>
          <t>MEDIA(2)</t>
        </is>
      </c>
      <c r="S165" s="10">
        <f>+(IF(P165="PUBLICA(1)",1,IF(P165="USO INTERNO(2)",2,IF(P165="RESTRINGIDO(3)",3,3))))+(IF(Q165="BAJA(1)",1,IF(Q165="MEDIA(2)",2,IF(Q165="ALTA(3)",3,3))))+(IF(R165="BAJA(1)",1,IF(R165="MEDIA(2)",2,IF(R165="ALTA(3)",3,3))))</f>
        <v/>
      </c>
      <c r="T165" s="10">
        <f>+IF(S165&lt;6,"BAJA",IF(S165&lt;8,"MEDIA","ALTA"))</f>
        <v/>
      </c>
      <c r="U165" s="10" t="inlineStr">
        <is>
          <t>-</t>
        </is>
      </c>
      <c r="V165" s="24" t="n">
        <v>45706</v>
      </c>
      <c r="W165" s="19" t="inlineStr">
        <is>
          <t>N/A</t>
        </is>
      </c>
      <c r="X165" s="10">
        <f>+IFERROR(IF(VLOOKUP(Tabla2[[#This Row],[ID]],'EVALUACION DE RIESGO'!A:A,1,FALSE)=Tabla2[[#This Row],[ID]],"SI","NO"),"NO")</f>
        <v/>
      </c>
    </row>
    <row r="166">
      <c r="A166" s="91" t="inlineStr">
        <is>
          <t>3-GAU</t>
        </is>
      </c>
      <c r="B166" s="10" t="inlineStr">
        <is>
          <t>APOYO</t>
        </is>
      </c>
      <c r="C166" s="10" t="inlineStr">
        <is>
          <t xml:space="preserve">Gestión de Auditoría </t>
        </is>
      </c>
      <c r="D166" s="10" t="inlineStr">
        <is>
          <t>GAU</t>
        </is>
      </c>
      <c r="E166" s="10" t="inlineStr">
        <is>
          <t>Gestión de Auditoría Interna</t>
        </is>
      </c>
      <c r="F166" s="10" t="inlineStr">
        <is>
          <t>-</t>
        </is>
      </c>
      <c r="G166" s="10" t="inlineStr">
        <is>
          <t xml:space="preserve">Ejecución del Plan Anual de Auditoría Interna   </t>
        </is>
      </c>
      <c r="H166" s="10" t="inlineStr">
        <is>
          <t>Notificación de inicio</t>
        </is>
      </c>
      <c r="I166" s="10" t="inlineStr">
        <is>
          <t>Anuncio o notificación que se realiza al auditado indicando el inicio del proceso de autoría</t>
        </is>
      </c>
      <c r="J166" s="10" t="inlineStr">
        <is>
          <t xml:space="preserve">Gerente de Auditoría </t>
        </is>
      </c>
      <c r="K166" s="10" t="inlineStr">
        <is>
          <t>Auditores internos</t>
        </is>
      </c>
      <c r="L166" s="10" t="inlineStr">
        <is>
          <t>UBICACIÓN DIGITAL-EQUIPO DEL RESPONSABLE</t>
        </is>
      </c>
      <c r="M166" s="10" t="inlineStr">
        <is>
          <t>DOCUMENTO DE ARCHIVO-ELECTRÓNICO</t>
        </is>
      </c>
      <c r="N166" s="10" t="inlineStr">
        <is>
          <t>PRIMARIOS</t>
        </is>
      </c>
      <c r="O166" s="10" t="inlineStr">
        <is>
          <t>COMUNICACIÓN INTERNA</t>
        </is>
      </c>
      <c r="P166" s="10" t="inlineStr">
        <is>
          <t>USO INTERNO(2)</t>
        </is>
      </c>
      <c r="Q166" s="10" t="inlineStr">
        <is>
          <t>BAJA(1)</t>
        </is>
      </c>
      <c r="R166" s="10" t="inlineStr">
        <is>
          <t>MEDIA(2)</t>
        </is>
      </c>
      <c r="S166" s="10">
        <f>+(IF(P166="PUBLICA(1)",1,IF(P166="USO INTERNO(2)",2,IF(P166="RESTRINGIDO(3)",3,3))))+(IF(Q166="BAJA(1)",1,IF(Q166="MEDIA(2)",2,IF(Q166="ALTA(3)",3,3))))+(IF(R166="BAJA(1)",1,IF(R166="MEDIA(2)",2,IF(R166="ALTA(3)",3,3))))</f>
        <v/>
      </c>
      <c r="T166" s="10">
        <f>+IF(S166&lt;6,"BAJA",IF(S166&lt;8,"MEDIA","ALTA"))</f>
        <v/>
      </c>
      <c r="U166" s="10" t="inlineStr">
        <is>
          <t>-</t>
        </is>
      </c>
      <c r="V166" s="24" t="n">
        <v>45706</v>
      </c>
      <c r="W166" s="19" t="inlineStr">
        <is>
          <t>N/A</t>
        </is>
      </c>
      <c r="X166" s="10">
        <f>+IFERROR(IF(VLOOKUP(Tabla2[[#This Row],[ID]],'EVALUACION DE RIESGO'!A:A,1,FALSE)=Tabla2[[#This Row],[ID]],"SI","NO"),"NO")</f>
        <v/>
      </c>
    </row>
    <row r="167">
      <c r="A167" s="91" t="inlineStr">
        <is>
          <t>4-GAU</t>
        </is>
      </c>
      <c r="B167" s="10" t="inlineStr">
        <is>
          <t>APOYO</t>
        </is>
      </c>
      <c r="C167" s="10" t="inlineStr">
        <is>
          <t xml:space="preserve">Gestión de Auditoría </t>
        </is>
      </c>
      <c r="D167" s="10" t="inlineStr">
        <is>
          <t>GAU</t>
        </is>
      </c>
      <c r="E167" s="10" t="inlineStr">
        <is>
          <t>Gestión de Auditoría Interna</t>
        </is>
      </c>
      <c r="F167" s="10" t="inlineStr">
        <is>
          <t>-</t>
        </is>
      </c>
      <c r="G167" s="10" t="inlineStr">
        <is>
          <t xml:space="preserve">Ejecución del Plan Anual de Auditoría Interna   </t>
        </is>
      </c>
      <c r="H167" s="10" t="inlineStr">
        <is>
          <t>Solicitud de información</t>
        </is>
      </c>
      <c r="I167" s="10" t="inlineStr">
        <is>
          <t>Requerimientos de información para la ejecución de los exámenes</t>
        </is>
      </c>
      <c r="J167" s="10" t="inlineStr">
        <is>
          <t xml:space="preserve">Gerente de Auditoría </t>
        </is>
      </c>
      <c r="K167" s="10" t="inlineStr">
        <is>
          <t>Auditores internos</t>
        </is>
      </c>
      <c r="L167" s="10" t="inlineStr">
        <is>
          <t>UBICACIÓN DIGITAL-EQUIPO DEL RESPONSABLE</t>
        </is>
      </c>
      <c r="M167" s="10" t="inlineStr">
        <is>
          <t>DOCUMENTO DE ARCHIVO-ELECTRÓNICO</t>
        </is>
      </c>
      <c r="N167" s="10" t="inlineStr">
        <is>
          <t>PRIMARIOS</t>
        </is>
      </c>
      <c r="O167" s="10" t="inlineStr">
        <is>
          <t>COMUNICACIÓN INTERNA</t>
        </is>
      </c>
      <c r="P167" s="10" t="inlineStr">
        <is>
          <t>USO INTERNO(2)</t>
        </is>
      </c>
      <c r="Q167" s="10" t="inlineStr">
        <is>
          <t>BAJA(1)</t>
        </is>
      </c>
      <c r="R167" s="10" t="inlineStr">
        <is>
          <t>MEDIA(2)</t>
        </is>
      </c>
      <c r="S167" s="10">
        <f>+(IF(P167="PUBLICA(1)",1,IF(P167="USO INTERNO(2)",2,IF(P167="RESTRINGIDO(3)",3,3))))+(IF(Q167="BAJA(1)",1,IF(Q167="MEDIA(2)",2,IF(Q167="ALTA(3)",3,3))))+(IF(R167="BAJA(1)",1,IF(R167="MEDIA(2)",2,IF(R167="ALTA(3)",3,3))))</f>
        <v/>
      </c>
      <c r="T167" s="10">
        <f>+IF(S167&lt;6,"BAJA",IF(S167&lt;8,"MEDIA","ALTA"))</f>
        <v/>
      </c>
      <c r="U167" s="10" t="inlineStr">
        <is>
          <t>-</t>
        </is>
      </c>
      <c r="V167" s="24" t="n">
        <v>45706</v>
      </c>
      <c r="W167" s="19" t="inlineStr">
        <is>
          <t>N/A</t>
        </is>
      </c>
      <c r="X167" s="10">
        <f>+IFERROR(IF(VLOOKUP(Tabla2[[#This Row],[ID]],'EVALUACION DE RIESGO'!A:A,1,FALSE)=Tabla2[[#This Row],[ID]],"SI","NO"),"NO")</f>
        <v/>
      </c>
    </row>
    <row r="168">
      <c r="A168" s="91" t="inlineStr">
        <is>
          <t>5-GAU</t>
        </is>
      </c>
      <c r="B168" s="10" t="inlineStr">
        <is>
          <t>APOYO</t>
        </is>
      </c>
      <c r="C168" s="10" t="inlineStr">
        <is>
          <t xml:space="preserve">Gestión de Auditoría </t>
        </is>
      </c>
      <c r="D168" s="10" t="inlineStr">
        <is>
          <t>GAU</t>
        </is>
      </c>
      <c r="E168" s="10" t="inlineStr">
        <is>
          <t>Gestión de Auditoría Interna</t>
        </is>
      </c>
      <c r="F168" s="10" t="inlineStr">
        <is>
          <t>-</t>
        </is>
      </c>
      <c r="G168" s="10" t="inlineStr">
        <is>
          <t xml:space="preserve">Ejecución del Plan Anual de Auditoría Interna   </t>
        </is>
      </c>
      <c r="H168" s="10" t="inlineStr">
        <is>
          <t>Planificación Específica para examen de Auditoría</t>
        </is>
      </c>
      <c r="I168" s="10" t="inlineStr">
        <is>
          <t xml:space="preserve">Plan de las pruebas a aplicar en cada examen de auditoria </t>
        </is>
      </c>
      <c r="J168" s="10" t="inlineStr">
        <is>
          <t xml:space="preserve">Gerente de Auditoría </t>
        </is>
      </c>
      <c r="K168" s="10" t="inlineStr">
        <is>
          <t>Auditores internos</t>
        </is>
      </c>
      <c r="L168" s="10" t="inlineStr">
        <is>
          <t>UBICACIÓN DIGITAL-EQUIPO DEL RESPONSABLE</t>
        </is>
      </c>
      <c r="M168" s="10" t="inlineStr">
        <is>
          <t>DOCUMENTO DE ARCHIVO-ELECTRÓNICO</t>
        </is>
      </c>
      <c r="N168" s="10" t="inlineStr">
        <is>
          <t>PRIMARIOS</t>
        </is>
      </c>
      <c r="O168" s="10" t="inlineStr">
        <is>
          <t>DOCUMENTOS TÉCNICOS</t>
        </is>
      </c>
      <c r="P168" s="10" t="inlineStr">
        <is>
          <t>USO INTERNO(2)</t>
        </is>
      </c>
      <c r="Q168" s="10" t="inlineStr">
        <is>
          <t>BAJA(1)</t>
        </is>
      </c>
      <c r="R168" s="10" t="inlineStr">
        <is>
          <t>MEDIA(2)</t>
        </is>
      </c>
      <c r="S168" s="10">
        <f>+(IF(P168="PUBLICA(1)",1,IF(P168="USO INTERNO(2)",2,IF(P168="RESTRINGIDO(3)",3,3))))+(IF(Q168="BAJA(1)",1,IF(Q168="MEDIA(2)",2,IF(Q168="ALTA(3)",3,3))))+(IF(R168="BAJA(1)",1,IF(R168="MEDIA(2)",2,IF(R168="ALTA(3)",3,3))))</f>
        <v/>
      </c>
      <c r="T168" s="10">
        <f>+IF(S168&lt;6,"BAJA",IF(S168&lt;8,"MEDIA","ALTA"))</f>
        <v/>
      </c>
      <c r="U168" s="10" t="inlineStr">
        <is>
          <t>-</t>
        </is>
      </c>
      <c r="V168" s="24" t="n">
        <v>45706</v>
      </c>
      <c r="W168" s="19" t="inlineStr">
        <is>
          <t>N/A</t>
        </is>
      </c>
      <c r="X168" s="10">
        <f>+IFERROR(IF(VLOOKUP(Tabla2[[#This Row],[ID]],'EVALUACION DE RIESGO'!A:A,1,FALSE)=Tabla2[[#This Row],[ID]],"SI","NO"),"NO")</f>
        <v/>
      </c>
    </row>
    <row r="169">
      <c r="A169" s="91" t="inlineStr">
        <is>
          <t>6-GAU</t>
        </is>
      </c>
      <c r="B169" s="10" t="inlineStr">
        <is>
          <t>APOYO</t>
        </is>
      </c>
      <c r="C169" s="10" t="inlineStr">
        <is>
          <t xml:space="preserve">Gestión de Auditoría </t>
        </is>
      </c>
      <c r="D169" s="10" t="inlineStr">
        <is>
          <t>GAU</t>
        </is>
      </c>
      <c r="E169" s="10" t="inlineStr">
        <is>
          <t>Gestión de Auditoría Interna</t>
        </is>
      </c>
      <c r="F169" s="10" t="inlineStr">
        <is>
          <t>-</t>
        </is>
      </c>
      <c r="G169" s="10" t="inlineStr">
        <is>
          <t xml:space="preserve">Ejecución del Plan Anual de Auditoría Interna   </t>
        </is>
      </c>
      <c r="H169" s="10" t="inlineStr">
        <is>
          <t>Papeles de trabajo</t>
        </is>
      </c>
      <c r="I169" s="10" t="inlineStr">
        <is>
          <t xml:space="preserve">Análisis de la data recibida con respecto a las pruebas aplicadas </t>
        </is>
      </c>
      <c r="J169" s="10" t="inlineStr">
        <is>
          <t xml:space="preserve">Gerente de Auditoría </t>
        </is>
      </c>
      <c r="K169" s="10" t="inlineStr">
        <is>
          <t>Auditores internos</t>
        </is>
      </c>
      <c r="L169" s="10" t="inlineStr">
        <is>
          <t>UBICACIÓN DIGITAL-EQUIPO DEL RESPONSABLE</t>
        </is>
      </c>
      <c r="M169" s="10" t="inlineStr">
        <is>
          <t>DOCUMENTO DE ARCHIVO-ELECTRÓNICO</t>
        </is>
      </c>
      <c r="N169" s="10" t="inlineStr">
        <is>
          <t>PRIMARIOS</t>
        </is>
      </c>
      <c r="O169" s="10" t="inlineStr">
        <is>
          <t>DOCUMENTOS TÉCNICOS</t>
        </is>
      </c>
      <c r="P169" s="10" t="inlineStr">
        <is>
          <t>RESTRINGIDO(3)</t>
        </is>
      </c>
      <c r="Q169" s="10" t="inlineStr">
        <is>
          <t>MEDIA(2)</t>
        </is>
      </c>
      <c r="R169" s="10" t="inlineStr">
        <is>
          <t>MEDIA(2)</t>
        </is>
      </c>
      <c r="S169" s="10">
        <f>+(IF(P169="PUBLICA(1)",1,IF(P169="USO INTERNO(2)",2,IF(P169="RESTRINGIDO(3)",3,3))))+(IF(Q169="BAJA(1)",1,IF(Q169="MEDIA(2)",2,IF(Q169="ALTA(3)",3,3))))+(IF(R169="BAJA(1)",1,IF(R169="MEDIA(2)",2,IF(R169="ALTA(3)",3,3))))</f>
        <v/>
      </c>
      <c r="T169" s="10">
        <f>+IF(S169&lt;6,"BAJA",IF(S169&lt;8,"MEDIA","ALTA"))</f>
        <v/>
      </c>
      <c r="U169" s="10" t="inlineStr">
        <is>
          <t>-</t>
        </is>
      </c>
      <c r="V169" s="24" t="n">
        <v>45706</v>
      </c>
      <c r="W169" s="19" t="inlineStr">
        <is>
          <t>N/A</t>
        </is>
      </c>
      <c r="X169" s="10">
        <f>+IFERROR(IF(VLOOKUP(Tabla2[[#This Row],[ID]],'EVALUACION DE RIESGO'!A:A,1,FALSE)=Tabla2[[#This Row],[ID]],"SI","NO"),"NO")</f>
        <v/>
      </c>
    </row>
    <row r="170">
      <c r="A170" s="91" t="inlineStr">
        <is>
          <t>7-GAU</t>
        </is>
      </c>
      <c r="B170" s="10" t="inlineStr">
        <is>
          <t>APOYO</t>
        </is>
      </c>
      <c r="C170" s="10" t="inlineStr">
        <is>
          <t xml:space="preserve">Gestión de Auditoría </t>
        </is>
      </c>
      <c r="D170" s="10" t="inlineStr">
        <is>
          <t>GAU</t>
        </is>
      </c>
      <c r="E170" s="10" t="inlineStr">
        <is>
          <t>Gestión de Auditoría Interna</t>
        </is>
      </c>
      <c r="F170" s="10" t="inlineStr">
        <is>
          <t>-</t>
        </is>
      </c>
      <c r="G170" s="10" t="inlineStr">
        <is>
          <t xml:space="preserve">Ejecución del Plan Anual de Auditoría Interna   </t>
        </is>
      </c>
      <c r="H170" s="10" t="inlineStr">
        <is>
          <t>Informe borrador de Auditoría</t>
        </is>
      </c>
      <c r="I170" s="10" t="inlineStr">
        <is>
          <t>Informe de consolidación de resultados del examen de auditoría</t>
        </is>
      </c>
      <c r="J170" s="10" t="inlineStr">
        <is>
          <t xml:space="preserve">Gerente de Auditoría </t>
        </is>
      </c>
      <c r="K170" s="10" t="inlineStr">
        <is>
          <t>Auditores internos</t>
        </is>
      </c>
      <c r="L170" s="10" t="inlineStr">
        <is>
          <t>UBICACIÓN DIGITAL-EQUIPO DEL RESPONSABLE</t>
        </is>
      </c>
      <c r="M170" s="10" t="inlineStr">
        <is>
          <t>DOCUMENTO DE ARCHIVO-ELECTRÓNICO</t>
        </is>
      </c>
      <c r="N170" s="10" t="inlineStr">
        <is>
          <t>PRIMARIOS</t>
        </is>
      </c>
      <c r="O170" s="10" t="inlineStr">
        <is>
          <t>DOCUMENTOS TÉCNICOS</t>
        </is>
      </c>
      <c r="P170" s="10" t="inlineStr">
        <is>
          <t>RESTRINGIDO(3)</t>
        </is>
      </c>
      <c r="Q170" s="10" t="inlineStr">
        <is>
          <t>MEDIA(2)</t>
        </is>
      </c>
      <c r="R170" s="10" t="inlineStr">
        <is>
          <t>MEDIA(2)</t>
        </is>
      </c>
      <c r="S170" s="10">
        <f>+(IF(P170="PUBLICA(1)",1,IF(P170="USO INTERNO(2)",2,IF(P170="RESTRINGIDO(3)",3,3))))+(IF(Q170="BAJA(1)",1,IF(Q170="MEDIA(2)",2,IF(Q170="ALTA(3)",3,3))))+(IF(R170="BAJA(1)",1,IF(R170="MEDIA(2)",2,IF(R170="ALTA(3)",3,3))))</f>
        <v/>
      </c>
      <c r="T170" s="10">
        <f>+IF(S170&lt;6,"BAJA",IF(S170&lt;8,"MEDIA","ALTA"))</f>
        <v/>
      </c>
      <c r="U170" s="10" t="inlineStr">
        <is>
          <t>-</t>
        </is>
      </c>
      <c r="V170" s="24" t="n">
        <v>45706</v>
      </c>
      <c r="W170" s="19" t="inlineStr">
        <is>
          <t>N/A</t>
        </is>
      </c>
      <c r="X170" s="10">
        <f>+IFERROR(IF(VLOOKUP(Tabla2[[#This Row],[ID]],'EVALUACION DE RIESGO'!A:A,1,FALSE)=Tabla2[[#This Row],[ID]],"SI","NO"),"NO")</f>
        <v/>
      </c>
    </row>
    <row r="171">
      <c r="A171" s="91" t="inlineStr">
        <is>
          <t>8-GAU</t>
        </is>
      </c>
      <c r="B171" s="10" t="inlineStr">
        <is>
          <t>APOYO</t>
        </is>
      </c>
      <c r="C171" s="10" t="inlineStr">
        <is>
          <t xml:space="preserve">Gestión de Auditoría </t>
        </is>
      </c>
      <c r="D171" s="10" t="inlineStr">
        <is>
          <t>GAU</t>
        </is>
      </c>
      <c r="E171" s="10" t="inlineStr">
        <is>
          <t>Gestión de Auditoría Interna</t>
        </is>
      </c>
      <c r="F171" s="10" t="inlineStr">
        <is>
          <t>-</t>
        </is>
      </c>
      <c r="G171" s="10" t="inlineStr">
        <is>
          <t xml:space="preserve">Ejecución del Plan Anual de Auditoría Interna   </t>
        </is>
      </c>
      <c r="H171" s="10" t="inlineStr">
        <is>
          <t>Informe de Auditoría Interna</t>
        </is>
      </c>
      <c r="I171" s="10" t="inlineStr">
        <is>
          <t>Informe de consolidación de resultados aceptado por el área auditada, documento resultante publicado en el sistema del ente de control SEPS</t>
        </is>
      </c>
      <c r="J171" s="10" t="inlineStr">
        <is>
          <t xml:space="preserve">Gerente de Auditoría </t>
        </is>
      </c>
      <c r="K171" s="10" t="inlineStr">
        <is>
          <t>Auditores internos</t>
        </is>
      </c>
      <c r="L171" s="10" t="inlineStr">
        <is>
          <t>UBICACIÓN DIGITAL-EQUIPO DEL RESPONSABLE</t>
        </is>
      </c>
      <c r="M171" s="10" t="inlineStr">
        <is>
          <t>DOCUMENTO DE ARCHIVO-ELECTRÓNICO</t>
        </is>
      </c>
      <c r="N171" s="10" t="inlineStr">
        <is>
          <t>PRIMARIOS</t>
        </is>
      </c>
      <c r="O171" s="10" t="inlineStr">
        <is>
          <t>DOCUMENTOS TÉCNICOS</t>
        </is>
      </c>
      <c r="P171" s="10" t="inlineStr">
        <is>
          <t>RESTRINGIDO(3)</t>
        </is>
      </c>
      <c r="Q171" s="10" t="inlineStr">
        <is>
          <t>BAJA(1)</t>
        </is>
      </c>
      <c r="R171" s="10" t="inlineStr">
        <is>
          <t>MEDIA(2)</t>
        </is>
      </c>
      <c r="S171" s="10">
        <f>+(IF(P171="PUBLICA(1)",1,IF(P171="USO INTERNO(2)",2,IF(P171="RESTRINGIDO(3)",3,3))))+(IF(Q171="BAJA(1)",1,IF(Q171="MEDIA(2)",2,IF(Q171="ALTA(3)",3,3))))+(IF(R171="BAJA(1)",1,IF(R171="MEDIA(2)",2,IF(R171="ALTA(3)",3,3))))</f>
        <v/>
      </c>
      <c r="T171" s="10">
        <f>+IF(S171&lt;6,"BAJA",IF(S171&lt;8,"MEDIA","ALTA"))</f>
        <v/>
      </c>
      <c r="U171" s="10" t="inlineStr">
        <is>
          <t>-</t>
        </is>
      </c>
      <c r="V171" s="24" t="n">
        <v>45706</v>
      </c>
      <c r="W171" s="19" t="inlineStr">
        <is>
          <t>N/A</t>
        </is>
      </c>
      <c r="X171" s="10">
        <f>+IFERROR(IF(VLOOKUP(Tabla2[[#This Row],[ID]],'EVALUACION DE RIESGO'!A:A,1,FALSE)=Tabla2[[#This Row],[ID]],"SI","NO"),"NO")</f>
        <v/>
      </c>
    </row>
    <row r="172">
      <c r="A172" s="91" t="inlineStr">
        <is>
          <t>9-GAU</t>
        </is>
      </c>
      <c r="B172" s="10" t="inlineStr">
        <is>
          <t>APOYO</t>
        </is>
      </c>
      <c r="C172" s="10" t="inlineStr">
        <is>
          <t xml:space="preserve">Gestión de Auditoría </t>
        </is>
      </c>
      <c r="D172" s="10" t="inlineStr">
        <is>
          <t>GAU</t>
        </is>
      </c>
      <c r="E172" s="10" t="inlineStr">
        <is>
          <t>Gestión de Auditoría Interna</t>
        </is>
      </c>
      <c r="F172" s="10" t="inlineStr">
        <is>
          <t>-</t>
        </is>
      </c>
      <c r="G172" s="10" t="inlineStr">
        <is>
          <t xml:space="preserve">Ejecución del Plan Anual de Auditoría Interna   </t>
        </is>
      </c>
      <c r="H172" s="10" t="inlineStr">
        <is>
          <t>Acta de lectura a informe borrador</t>
        </is>
      </c>
      <c r="I172" s="10" t="inlineStr">
        <is>
          <t>Constancia de la comunicación de resultados y criterios del auditado en el momento de la lectura del informe borrador</t>
        </is>
      </c>
      <c r="J172" s="10" t="inlineStr">
        <is>
          <t xml:space="preserve">Gerente de Auditoría </t>
        </is>
      </c>
      <c r="K172" s="10" t="inlineStr">
        <is>
          <t>Auditores internos</t>
        </is>
      </c>
      <c r="L172" s="10" t="inlineStr">
        <is>
          <t>UBICACIÓN DIGITAL-EQUIPO DEL RESPONSABLE</t>
        </is>
      </c>
      <c r="M172" s="10" t="inlineStr">
        <is>
          <t>DOCUMENTO DE ARCHIVO-ELECTRÓNICO</t>
        </is>
      </c>
      <c r="N172" s="10" t="inlineStr">
        <is>
          <t>PRIMARIOS</t>
        </is>
      </c>
      <c r="O172" s="10" t="inlineStr">
        <is>
          <t>DOCUMENTOS TÉCNICOS</t>
        </is>
      </c>
      <c r="P172" s="10" t="inlineStr">
        <is>
          <t>USO INTERNO(2)</t>
        </is>
      </c>
      <c r="Q172" s="10" t="inlineStr">
        <is>
          <t>BAJA(1)</t>
        </is>
      </c>
      <c r="R172" s="10" t="inlineStr">
        <is>
          <t>MEDIA(2)</t>
        </is>
      </c>
      <c r="S172" s="10">
        <f>+(IF(P172="PUBLICA(1)",1,IF(P172="USO INTERNO(2)",2,IF(P172="RESTRINGIDO(3)",3,3))))+(IF(Q172="BAJA(1)",1,IF(Q172="MEDIA(2)",2,IF(Q172="ALTA(3)",3,3))))+(IF(R172="BAJA(1)",1,IF(R172="MEDIA(2)",2,IF(R172="ALTA(3)",3,3))))</f>
        <v/>
      </c>
      <c r="T172" s="10">
        <f>+IF(S172&lt;6,"BAJA",IF(S172&lt;8,"MEDIA","ALTA"))</f>
        <v/>
      </c>
      <c r="U172" s="10" t="inlineStr">
        <is>
          <t>-</t>
        </is>
      </c>
      <c r="V172" s="24" t="n">
        <v>45706</v>
      </c>
      <c r="W172" s="19" t="inlineStr">
        <is>
          <t>N/A</t>
        </is>
      </c>
      <c r="X172" s="10">
        <f>+IFERROR(IF(VLOOKUP(Tabla2[[#This Row],[ID]],'EVALUACION DE RIESGO'!A:A,1,FALSE)=Tabla2[[#This Row],[ID]],"SI","NO"),"NO")</f>
        <v/>
      </c>
    </row>
    <row r="173">
      <c r="A173" s="91" t="inlineStr">
        <is>
          <t>10-GAU</t>
        </is>
      </c>
      <c r="B173" s="10" t="inlineStr">
        <is>
          <t>APOYO</t>
        </is>
      </c>
      <c r="C173" s="10" t="inlineStr">
        <is>
          <t xml:space="preserve">Gestión de Auditoría </t>
        </is>
      </c>
      <c r="D173" s="10" t="inlineStr">
        <is>
          <t>GAU</t>
        </is>
      </c>
      <c r="E173" s="10" t="inlineStr">
        <is>
          <t>Gestión de Auditoría Interna</t>
        </is>
      </c>
      <c r="F173" s="10" t="inlineStr">
        <is>
          <t>-</t>
        </is>
      </c>
      <c r="G173" s="10" t="inlineStr">
        <is>
          <t xml:space="preserve">Ejecución del Plan Anual de Auditoría Interna   </t>
        </is>
      </c>
      <c r="H173" s="10" t="inlineStr">
        <is>
          <t>Notificación de lectura Informe Borrador</t>
        </is>
      </c>
      <c r="I173" s="10" t="inlineStr">
        <is>
          <t>Notificación de lectura del Informe Borrador presenta el Equipo de auditores</t>
        </is>
      </c>
      <c r="J173" s="10" t="inlineStr">
        <is>
          <t xml:space="preserve">Gerente de Auditoría </t>
        </is>
      </c>
      <c r="K173" s="10" t="inlineStr">
        <is>
          <t>Auditores internos</t>
        </is>
      </c>
      <c r="L173" s="10" t="inlineStr">
        <is>
          <t>UBICACIÓN DIGITAL-EQUIPO DEL RESPONSABLE</t>
        </is>
      </c>
      <c r="M173" s="10" t="inlineStr">
        <is>
          <t>DOCUMENTO DE ARCHIVO-ELECTRÓNICO</t>
        </is>
      </c>
      <c r="N173" s="10" t="inlineStr">
        <is>
          <t>PRIMARIOS</t>
        </is>
      </c>
      <c r="O173" s="10" t="inlineStr">
        <is>
          <t>COMUNICACIÓN INTERNA</t>
        </is>
      </c>
      <c r="P173" s="10" t="inlineStr">
        <is>
          <t>USO INTERNO(2)</t>
        </is>
      </c>
      <c r="Q173" s="10" t="inlineStr">
        <is>
          <t>BAJA(1)</t>
        </is>
      </c>
      <c r="R173" s="10" t="inlineStr">
        <is>
          <t>MEDIA(2)</t>
        </is>
      </c>
      <c r="S173" s="10">
        <f>+(IF(P173="PUBLICA(1)",1,IF(P173="USO INTERNO(2)",2,IF(P173="RESTRINGIDO(3)",3,3))))+(IF(Q173="BAJA(1)",1,IF(Q173="MEDIA(2)",2,IF(Q173="ALTA(3)",3,3))))+(IF(R173="BAJA(1)",1,IF(R173="MEDIA(2)",2,IF(R173="ALTA(3)",3,3))))</f>
        <v/>
      </c>
      <c r="T173" s="10">
        <f>+IF(S173&lt;6,"BAJA",IF(S173&lt;8,"MEDIA","ALTA"))</f>
        <v/>
      </c>
      <c r="U173" s="10" t="inlineStr">
        <is>
          <t>-</t>
        </is>
      </c>
      <c r="V173" s="24" t="n">
        <v>45706</v>
      </c>
      <c r="W173" s="19" t="inlineStr">
        <is>
          <t>N/A</t>
        </is>
      </c>
      <c r="X173" s="10">
        <f>+IFERROR(IF(VLOOKUP(Tabla2[[#This Row],[ID]],'EVALUACION DE RIESGO'!A:A,1,FALSE)=Tabla2[[#This Row],[ID]],"SI","NO"),"NO")</f>
        <v/>
      </c>
    </row>
    <row r="174">
      <c r="A174" s="91" t="inlineStr">
        <is>
          <t>11-GAU</t>
        </is>
      </c>
      <c r="B174" s="10" t="inlineStr">
        <is>
          <t>APOYO</t>
        </is>
      </c>
      <c r="C174" s="10" t="inlineStr">
        <is>
          <t xml:space="preserve">Gestión de Auditoría </t>
        </is>
      </c>
      <c r="D174" s="10" t="inlineStr">
        <is>
          <t>GAU</t>
        </is>
      </c>
      <c r="E174" s="10" t="inlineStr">
        <is>
          <t>Gestión de Auditoría Interna</t>
        </is>
      </c>
      <c r="F174" s="10" t="inlineStr">
        <is>
          <t>-</t>
        </is>
      </c>
      <c r="G174" s="10" t="inlineStr">
        <is>
          <t xml:space="preserve">Ejecución del Plan Anual de Auditoría Interna   </t>
        </is>
      </c>
      <c r="H174" s="10" t="inlineStr">
        <is>
          <t>Registro digital de recomendaciones</t>
        </is>
      </c>
      <c r="I174" s="10" t="inlineStr">
        <is>
          <t>Detalle del estado de las recomendaciones realizadas producto de las Auditorias presentadas</t>
        </is>
      </c>
      <c r="J174" s="10" t="inlineStr">
        <is>
          <t xml:space="preserve">Gerente de Auditoría </t>
        </is>
      </c>
      <c r="K174" s="10" t="inlineStr">
        <is>
          <t>Auditores internos</t>
        </is>
      </c>
      <c r="L174" s="10" t="inlineStr">
        <is>
          <t>UBICACIÓN DIGITAL - NEXTAUDI</t>
        </is>
      </c>
      <c r="M174" s="10" t="inlineStr">
        <is>
          <t>DOCUMENTO DE ARCHIVO-ELECTRÓNICO</t>
        </is>
      </c>
      <c r="N174" s="10" t="inlineStr">
        <is>
          <t>PRIMARIOS</t>
        </is>
      </c>
      <c r="O174" s="10" t="inlineStr">
        <is>
          <t>DOCUMENTOS TÉCNICOS</t>
        </is>
      </c>
      <c r="P174" s="10" t="inlineStr">
        <is>
          <t>USO INTERNO(2)</t>
        </is>
      </c>
      <c r="Q174" s="10" t="inlineStr">
        <is>
          <t>MEDIA(2)</t>
        </is>
      </c>
      <c r="R174" s="10" t="inlineStr">
        <is>
          <t>MEDIA(2)</t>
        </is>
      </c>
      <c r="S174" s="10">
        <f>+(IF(P174="PUBLICA(1)",1,IF(P174="USO INTERNO(2)",2,IF(P174="RESTRINGIDO(3)",3,3))))+(IF(Q174="BAJA(1)",1,IF(Q174="MEDIA(2)",2,IF(Q174="ALTA(3)",3,3))))+(IF(R174="BAJA(1)",1,IF(R174="MEDIA(2)",2,IF(R174="ALTA(3)",3,3))))</f>
        <v/>
      </c>
      <c r="T174" s="10">
        <f>+IF(S174&lt;6,"BAJA",IF(S174&lt;8,"MEDIA","ALTA"))</f>
        <v/>
      </c>
      <c r="U174" s="10" t="inlineStr">
        <is>
          <t>-</t>
        </is>
      </c>
      <c r="V174" s="24" t="n">
        <v>45706</v>
      </c>
      <c r="W174" s="19" t="inlineStr">
        <is>
          <t>N/A</t>
        </is>
      </c>
      <c r="X174" s="10">
        <f>+IFERROR(IF(VLOOKUP(Tabla2[[#This Row],[ID]],'EVALUACION DE RIESGO'!A:A,1,FALSE)=Tabla2[[#This Row],[ID]],"SI","NO"),"NO")</f>
        <v/>
      </c>
    </row>
    <row r="175">
      <c r="A175" s="91" t="inlineStr">
        <is>
          <t>12-GAU</t>
        </is>
      </c>
      <c r="B175" s="10" t="inlineStr">
        <is>
          <t>APOYO</t>
        </is>
      </c>
      <c r="C175" s="10" t="inlineStr">
        <is>
          <t xml:space="preserve">Gestión de Auditoría </t>
        </is>
      </c>
      <c r="D175" s="10" t="inlineStr">
        <is>
          <t>GAU</t>
        </is>
      </c>
      <c r="E175" s="10" t="inlineStr">
        <is>
          <t>Gestión de Auditoría Interna</t>
        </is>
      </c>
      <c r="F175" s="10" t="inlineStr">
        <is>
          <t>-</t>
        </is>
      </c>
      <c r="G175" s="10" t="inlineStr">
        <is>
          <t xml:space="preserve">Seguimiento y evaluación de recomendaciones         </t>
        </is>
      </c>
      <c r="H175" s="10" t="inlineStr">
        <is>
          <t>Informes de Auditoria Interna</t>
        </is>
      </c>
      <c r="I175" s="10" t="inlineStr">
        <is>
          <t>Reporte de los resultados de los seguimientos trimestrales de recomendaciones</t>
        </is>
      </c>
      <c r="J175" s="10" t="inlineStr">
        <is>
          <t xml:space="preserve">Gerente de Auditoría </t>
        </is>
      </c>
      <c r="K175" s="10" t="inlineStr">
        <is>
          <t xml:space="preserve">Gerente de Auditoría </t>
        </is>
      </c>
      <c r="L175" s="10" t="inlineStr">
        <is>
          <t>UBICACIÓN DIGITAL-EQUIPO DEL RESPONSABLE</t>
        </is>
      </c>
      <c r="M175" s="10" t="inlineStr">
        <is>
          <t>DOCUMENTO DE ARCHIVO-ELECTRÓNICO</t>
        </is>
      </c>
      <c r="N175" s="10" t="inlineStr">
        <is>
          <t>PRIMARIOS</t>
        </is>
      </c>
      <c r="O175" s="10" t="inlineStr">
        <is>
          <t>DOCUMENTOS TÉCNICOS</t>
        </is>
      </c>
      <c r="P175" s="10" t="inlineStr">
        <is>
          <t>RESTRINGIDO(3)</t>
        </is>
      </c>
      <c r="Q175" s="10" t="inlineStr">
        <is>
          <t>MEDIA(2)</t>
        </is>
      </c>
      <c r="R175" s="10" t="inlineStr">
        <is>
          <t>MEDIA(2)</t>
        </is>
      </c>
      <c r="S175" s="10">
        <f>+(IF(P175="PUBLICA(1)",1,IF(P175="USO INTERNO(2)",2,IF(P175="RESTRINGIDO(3)",3,3))))+(IF(Q175="BAJA(1)",1,IF(Q175="MEDIA(2)",2,IF(Q175="ALTA(3)",3,3))))+(IF(R175="BAJA(1)",1,IF(R175="MEDIA(2)",2,IF(R175="ALTA(3)",3,3))))</f>
        <v/>
      </c>
      <c r="T175" s="10">
        <f>+IF(S175&lt;6,"BAJA",IF(S175&lt;8,"MEDIA","ALTA"))</f>
        <v/>
      </c>
      <c r="U175" s="10" t="inlineStr">
        <is>
          <t>-</t>
        </is>
      </c>
      <c r="V175" s="24" t="n">
        <v>45706</v>
      </c>
      <c r="W175" s="19" t="inlineStr">
        <is>
          <t>N/A</t>
        </is>
      </c>
      <c r="X175" s="10">
        <f>+IFERROR(IF(VLOOKUP(Tabla2[[#This Row],[ID]],'EVALUACION DE RIESGO'!A:A,1,FALSE)=Tabla2[[#This Row],[ID]],"SI","NO"),"NO")</f>
        <v/>
      </c>
    </row>
    <row r="176">
      <c r="A176" s="91" t="inlineStr">
        <is>
          <t>13-GAU</t>
        </is>
      </c>
      <c r="B176" s="10" t="inlineStr">
        <is>
          <t>APOYO</t>
        </is>
      </c>
      <c r="C176" s="10" t="inlineStr">
        <is>
          <t xml:space="preserve">Gestión de Auditoría </t>
        </is>
      </c>
      <c r="D176" s="10" t="inlineStr">
        <is>
          <t>GAU</t>
        </is>
      </c>
      <c r="E176" s="10" t="inlineStr">
        <is>
          <t>Gestión de Auditoría Interna</t>
        </is>
      </c>
      <c r="F176" s="10" t="inlineStr">
        <is>
          <t>-</t>
        </is>
      </c>
      <c r="G176" s="10" t="inlineStr">
        <is>
          <t xml:space="preserve">Seguimiento y evaluación de recomendaciones         </t>
        </is>
      </c>
      <c r="H176" s="10" t="inlineStr">
        <is>
          <t>Justificativos</t>
        </is>
      </c>
      <c r="I176" s="10" t="inlineStr">
        <is>
          <t>Documentos entregables propuestos en los planes de acción para el cumplimiento de las recomendaciones</t>
        </is>
      </c>
      <c r="J176" s="10" t="inlineStr">
        <is>
          <t xml:space="preserve">Gerente de Auditoría </t>
        </is>
      </c>
      <c r="K176" s="10" t="inlineStr">
        <is>
          <t>Auditores internos</t>
        </is>
      </c>
      <c r="L176" s="10" t="inlineStr">
        <is>
          <t>UBICACIÓN DIGITAL - NEXTAUDI</t>
        </is>
      </c>
      <c r="M176" s="10" t="inlineStr">
        <is>
          <t>DOCUMENTO DE ARCHIVO-ELECTRÓNICO</t>
        </is>
      </c>
      <c r="N176" s="10" t="inlineStr">
        <is>
          <t>PRIMARIOS</t>
        </is>
      </c>
      <c r="O176" s="10" t="inlineStr">
        <is>
          <t>DOCUMENTOS TÉCNICOS</t>
        </is>
      </c>
      <c r="P176" s="10" t="inlineStr">
        <is>
          <t>USO INTERNO(2)</t>
        </is>
      </c>
      <c r="Q176" s="10" t="inlineStr">
        <is>
          <t>BAJA(1)</t>
        </is>
      </c>
      <c r="R176" s="10" t="inlineStr">
        <is>
          <t>MEDIA(2)</t>
        </is>
      </c>
      <c r="S176" s="10">
        <f>+(IF(P176="PUBLICA(1)",1,IF(P176="USO INTERNO(2)",2,IF(P176="RESTRINGIDO(3)",3,3))))+(IF(Q176="BAJA(1)",1,IF(Q176="MEDIA(2)",2,IF(Q176="ALTA(3)",3,3))))+(IF(R176="BAJA(1)",1,IF(R176="MEDIA(2)",2,IF(R176="ALTA(3)",3,3))))</f>
        <v/>
      </c>
      <c r="T176" s="10">
        <f>+IF(S176&lt;6,"BAJA",IF(S176&lt;8,"MEDIA","ALTA"))</f>
        <v/>
      </c>
      <c r="U176" s="10" t="inlineStr">
        <is>
          <t>-</t>
        </is>
      </c>
      <c r="V176" s="24" t="n">
        <v>45706</v>
      </c>
      <c r="W176" s="19" t="inlineStr">
        <is>
          <t>N/A</t>
        </is>
      </c>
      <c r="X176" s="10">
        <f>+IFERROR(IF(VLOOKUP(Tabla2[[#This Row],[ID]],'EVALUACION DE RIESGO'!A:A,1,FALSE)=Tabla2[[#This Row],[ID]],"SI","NO"),"NO")</f>
        <v/>
      </c>
    </row>
    <row r="177">
      <c r="A177" s="91" t="inlineStr">
        <is>
          <t>14-GAU</t>
        </is>
      </c>
      <c r="B177" s="10" t="inlineStr">
        <is>
          <t>APOYO</t>
        </is>
      </c>
      <c r="C177" s="10" t="inlineStr">
        <is>
          <t xml:space="preserve">Gestión de Auditoría </t>
        </is>
      </c>
      <c r="D177" s="10" t="inlineStr">
        <is>
          <t>GAU</t>
        </is>
      </c>
      <c r="E177" s="10" t="inlineStr">
        <is>
          <t>Gestión de Auditoría Interna</t>
        </is>
      </c>
      <c r="F177" s="10" t="inlineStr">
        <is>
          <t>-</t>
        </is>
      </c>
      <c r="G177" s="10" t="inlineStr">
        <is>
          <t>Evaluación del Plan Anual de Auditoria  Interna</t>
        </is>
      </c>
      <c r="H177" s="10" t="inlineStr">
        <is>
          <t>Informe de gestión de Auditoria Interna</t>
        </is>
      </c>
      <c r="I177" s="10" t="inlineStr">
        <is>
          <t xml:space="preserve">Consolidación de los resultados de los exámenes que se presenta a Gerencia y Consejos </t>
        </is>
      </c>
      <c r="J177" s="10" t="inlineStr">
        <is>
          <t xml:space="preserve">Gerente de Auditoría </t>
        </is>
      </c>
      <c r="K177" s="10" t="inlineStr">
        <is>
          <t xml:space="preserve">Gerente de Auditoría </t>
        </is>
      </c>
      <c r="L177" s="10" t="inlineStr">
        <is>
          <t>UBICACIÓN DIGITAL-EQUIPO DEL RESPONSABLE</t>
        </is>
      </c>
      <c r="M177" s="10" t="inlineStr">
        <is>
          <t>DOCUMENTO DE ARCHIVO-ELECTRÓNICO</t>
        </is>
      </c>
      <c r="N177" s="10" t="inlineStr">
        <is>
          <t>PRIMARIOS</t>
        </is>
      </c>
      <c r="O177" s="10" t="inlineStr">
        <is>
          <t>DOCUMENTOS TÉCNICOS</t>
        </is>
      </c>
      <c r="P177" s="10" t="inlineStr">
        <is>
          <t>USO INTERNO(2)</t>
        </is>
      </c>
      <c r="Q177" s="10" t="inlineStr">
        <is>
          <t>BAJA(1)</t>
        </is>
      </c>
      <c r="R177" s="10" t="inlineStr">
        <is>
          <t>MEDIA(2)</t>
        </is>
      </c>
      <c r="S177" s="10">
        <f>+(IF(P177="PUBLICA(1)",1,IF(P177="USO INTERNO(2)",2,IF(P177="RESTRINGIDO(3)",3,3))))+(IF(Q177="BAJA(1)",1,IF(Q177="MEDIA(2)",2,IF(Q177="ALTA(3)",3,3))))+(IF(R177="BAJA(1)",1,IF(R177="MEDIA(2)",2,IF(R177="ALTA(3)",3,3))))</f>
        <v/>
      </c>
      <c r="T177" s="10">
        <f>+IF(S177&lt;6,"BAJA",IF(S177&lt;8,"MEDIA","ALTA"))</f>
        <v/>
      </c>
      <c r="U177" s="10" t="inlineStr">
        <is>
          <t>-</t>
        </is>
      </c>
      <c r="V177" s="24" t="n">
        <v>45706</v>
      </c>
      <c r="W177" s="19" t="inlineStr">
        <is>
          <t>N/A</t>
        </is>
      </c>
      <c r="X177" s="10">
        <f>+IFERROR(IF(VLOOKUP(Tabla2[[#This Row],[ID]],'EVALUACION DE RIESGO'!A:A,1,FALSE)=Tabla2[[#This Row],[ID]],"SI","NO"),"NO")</f>
        <v/>
      </c>
    </row>
    <row r="178">
      <c r="A178" s="91" t="inlineStr">
        <is>
          <t>15-GAU</t>
        </is>
      </c>
      <c r="B178" s="10" t="inlineStr">
        <is>
          <t>APOYO</t>
        </is>
      </c>
      <c r="C178" s="10" t="inlineStr">
        <is>
          <t xml:space="preserve">Gestión de Auditoría </t>
        </is>
      </c>
      <c r="D178" s="10" t="inlineStr">
        <is>
          <t>GAU</t>
        </is>
      </c>
      <c r="E178" s="10" t="inlineStr">
        <is>
          <t>Gestión de Auditoría Interna</t>
        </is>
      </c>
      <c r="F178" s="10" t="inlineStr">
        <is>
          <t>-</t>
        </is>
      </c>
      <c r="G178" s="10" t="inlineStr">
        <is>
          <t xml:space="preserve">Examen Especial de Auditoría No Planificado </t>
        </is>
      </c>
      <c r="H178" s="10" t="inlineStr">
        <is>
          <t>Plan Anual de Auditoría Modificado</t>
        </is>
      </c>
      <c r="I178" s="10" t="inlineStr">
        <is>
          <t xml:space="preserve">Plan de las actividades a ejecutarse durante el año </t>
        </is>
      </c>
      <c r="J178" s="10" t="inlineStr">
        <is>
          <t xml:space="preserve">Gerente de Auditoría </t>
        </is>
      </c>
      <c r="K178" s="10" t="inlineStr">
        <is>
          <t xml:space="preserve">Gerente de Auditoría </t>
        </is>
      </c>
      <c r="L178" s="10" t="inlineStr">
        <is>
          <t>UBICACIÓN DIGITAL-EQUIPO DEL RESPONSABLE</t>
        </is>
      </c>
      <c r="M178" s="10" t="inlineStr">
        <is>
          <t>DOCUMENTO DE ARCHIVO-ELECTRÓNICO</t>
        </is>
      </c>
      <c r="N178" s="10" t="inlineStr">
        <is>
          <t>PRIMARIOS</t>
        </is>
      </c>
      <c r="O178" s="10" t="inlineStr">
        <is>
          <t>DOCUMENTOS TÉCNICOS</t>
        </is>
      </c>
      <c r="P178" s="10" t="inlineStr">
        <is>
          <t>USO INTERNO(2)</t>
        </is>
      </c>
      <c r="Q178" s="10" t="inlineStr">
        <is>
          <t>BAJA(1)</t>
        </is>
      </c>
      <c r="R178" s="10" t="inlineStr">
        <is>
          <t>MEDIA(2)</t>
        </is>
      </c>
      <c r="S178" s="10">
        <f>+(IF(P178="PUBLICA(1)",1,IF(P178="USO INTERNO(2)",2,IF(P178="RESTRINGIDO(3)",3,3))))+(IF(Q178="BAJA(1)",1,IF(Q178="MEDIA(2)",2,IF(Q178="ALTA(3)",3,3))))+(IF(R178="BAJA(1)",1,IF(R178="MEDIA(2)",2,IF(R178="ALTA(3)",3,3))))</f>
        <v/>
      </c>
      <c r="T178" s="10">
        <f>+IF(S178&lt;6,"BAJA",IF(S178&lt;8,"MEDIA","ALTA"))</f>
        <v/>
      </c>
      <c r="U178" s="10" t="inlineStr">
        <is>
          <t>-</t>
        </is>
      </c>
      <c r="V178" s="24" t="n">
        <v>45706</v>
      </c>
      <c r="W178" s="19" t="inlineStr">
        <is>
          <t>N/A</t>
        </is>
      </c>
      <c r="X178" s="10">
        <f>+IFERROR(IF(VLOOKUP(Tabla2[[#This Row],[ID]],'EVALUACION DE RIESGO'!A:A,1,FALSE)=Tabla2[[#This Row],[ID]],"SI","NO"),"NO")</f>
        <v/>
      </c>
    </row>
    <row r="179">
      <c r="A179" s="91" t="inlineStr">
        <is>
          <t>16-GAU</t>
        </is>
      </c>
      <c r="B179" s="10" t="inlineStr">
        <is>
          <t>APOYO</t>
        </is>
      </c>
      <c r="C179" s="10" t="inlineStr">
        <is>
          <t xml:space="preserve">Gestión de Auditoría </t>
        </is>
      </c>
      <c r="D179" s="10" t="inlineStr">
        <is>
          <t>GAU</t>
        </is>
      </c>
      <c r="E179" s="10" t="inlineStr">
        <is>
          <t>Gestión de Auditoría Interna</t>
        </is>
      </c>
      <c r="F179" s="10" t="inlineStr">
        <is>
          <t>-</t>
        </is>
      </c>
      <c r="G179" s="10" t="inlineStr">
        <is>
          <t xml:space="preserve">Examen Especial de Auditoría No Planificado </t>
        </is>
      </c>
      <c r="H179" s="10" t="inlineStr">
        <is>
          <t>Comunicación de modificación del Plan Anual de Auditoría</t>
        </is>
      </c>
      <c r="I179" s="10" t="inlineStr">
        <is>
          <t>Documento de comunicación de la modificación del Plan Inicial de Auditoría</t>
        </is>
      </c>
      <c r="J179" s="10" t="inlineStr">
        <is>
          <t xml:space="preserve">Gerente de Auditoría </t>
        </is>
      </c>
      <c r="K179" s="10" t="inlineStr">
        <is>
          <t xml:space="preserve">Gerente de Auditoría </t>
        </is>
      </c>
      <c r="L179" s="10" t="inlineStr">
        <is>
          <t>UBICACIÓN DIGITAL-EQUIPO DEL RESPONSABLE</t>
        </is>
      </c>
      <c r="M179" s="10" t="inlineStr">
        <is>
          <t>DOCUMENTO DE ARCHIVO-ELECTRÓNICO</t>
        </is>
      </c>
      <c r="N179" s="10" t="inlineStr">
        <is>
          <t>PRIMARIOS</t>
        </is>
      </c>
      <c r="O179" s="10" t="inlineStr">
        <is>
          <t>COMUNICACIÓN INTERNA</t>
        </is>
      </c>
      <c r="P179" s="10" t="inlineStr">
        <is>
          <t>USO INTERNO(2)</t>
        </is>
      </c>
      <c r="Q179" s="10" t="inlineStr">
        <is>
          <t>BAJA(1)</t>
        </is>
      </c>
      <c r="R179" s="10" t="inlineStr">
        <is>
          <t>MEDIA(2)</t>
        </is>
      </c>
      <c r="S179" s="10">
        <f>+(IF(P179="PUBLICA(1)",1,IF(P179="USO INTERNO(2)",2,IF(P179="RESTRINGIDO(3)",3,3))))+(IF(Q179="BAJA(1)",1,IF(Q179="MEDIA(2)",2,IF(Q179="ALTA(3)",3,3))))+(IF(R179="BAJA(1)",1,IF(R179="MEDIA(2)",2,IF(R179="ALTA(3)",3,3))))</f>
        <v/>
      </c>
      <c r="T179" s="10">
        <f>+IF(S179&lt;6,"BAJA",IF(S179&lt;8,"MEDIA","ALTA"))</f>
        <v/>
      </c>
      <c r="U179" s="10" t="inlineStr">
        <is>
          <t>-</t>
        </is>
      </c>
      <c r="V179" s="24" t="n">
        <v>45706</v>
      </c>
      <c r="W179" s="19" t="inlineStr">
        <is>
          <t>N/A</t>
        </is>
      </c>
      <c r="X179" s="10">
        <f>+IFERROR(IF(VLOOKUP(Tabla2[[#This Row],[ID]],'EVALUACION DE RIESGO'!A:A,1,FALSE)=Tabla2[[#This Row],[ID]],"SI","NO"),"NO")</f>
        <v/>
      </c>
    </row>
    <row r="180">
      <c r="A180" s="91" t="inlineStr">
        <is>
          <t>17-GAU</t>
        </is>
      </c>
      <c r="B180" s="10" t="inlineStr">
        <is>
          <t>APOYO</t>
        </is>
      </c>
      <c r="C180" s="10" t="inlineStr">
        <is>
          <t xml:space="preserve">Gestión de Auditoría </t>
        </is>
      </c>
      <c r="D180" s="10" t="inlineStr">
        <is>
          <t>GAU</t>
        </is>
      </c>
      <c r="E180" s="10" t="inlineStr">
        <is>
          <t>Gestión de Auditoría Interna</t>
        </is>
      </c>
      <c r="F180" s="10" t="inlineStr">
        <is>
          <t>-</t>
        </is>
      </c>
      <c r="G180" s="10" t="inlineStr">
        <is>
          <t>N/A</t>
        </is>
      </c>
      <c r="H180" s="10" t="inlineStr">
        <is>
          <t xml:space="preserve">Equipos de computación </t>
        </is>
      </c>
      <c r="I180" s="10" t="inlineStr">
        <is>
          <t>Equipos de computación donde se realiza la gestión del área</t>
        </is>
      </c>
      <c r="J180" s="10" t="inlineStr">
        <is>
          <t xml:space="preserve">Oficial de Seguridad de la Información </t>
        </is>
      </c>
      <c r="K180" s="10" t="inlineStr">
        <is>
          <t xml:space="preserve">Gerente de Auditoría </t>
        </is>
      </c>
      <c r="L180" s="10" t="inlineStr">
        <is>
          <t>UBICACIÓN FISICA-SUCURSAL IBARRA</t>
        </is>
      </c>
      <c r="M180" s="10" t="inlineStr">
        <is>
          <t>DISCOS DUROS, SERVIDORES, DISCOS O MEDIOS PORTÁTILES, CINTAS O MEDIOS DE VIDEO Y AUDIO, ETC.</t>
        </is>
      </c>
      <c r="N180" s="10" t="inlineStr">
        <is>
          <t>APOYO</t>
        </is>
      </c>
      <c r="O180" s="10" t="inlineStr">
        <is>
          <t>HARDWARE</t>
        </is>
      </c>
      <c r="P180" s="10" t="inlineStr">
        <is>
          <t>RESTRINGIDO(3)</t>
        </is>
      </c>
      <c r="Q180" s="10" t="inlineStr">
        <is>
          <t>MEDIA(2)</t>
        </is>
      </c>
      <c r="R180" s="10" t="inlineStr">
        <is>
          <t>MEDIA(2)</t>
        </is>
      </c>
      <c r="S180" s="10">
        <f>+(IF(P180="PUBLICA(1)",1,IF(P180="USO INTERNO(2)",2,IF(P180="RESTRINGIDO(3)",3,3))))+(IF(Q180="BAJA(1)",1,IF(Q180="MEDIA(2)",2,IF(Q180="ALTA(3)",3,3))))+(IF(R180="BAJA(1)",1,IF(R180="MEDIA(2)",2,IF(R180="ALTA(3)",3,3))))</f>
        <v/>
      </c>
      <c r="T180" s="10">
        <f>+IF(S180&lt;6,"BAJA",IF(S180&lt;8,"MEDIA","ALTA"))</f>
        <v/>
      </c>
      <c r="U180" s="10" t="inlineStr">
        <is>
          <t>-</t>
        </is>
      </c>
      <c r="V180" s="24" t="n">
        <v>45712</v>
      </c>
      <c r="W180" s="19" t="inlineStr">
        <is>
          <t>N/A</t>
        </is>
      </c>
      <c r="X180" s="10">
        <f>+IFERROR(IF(VLOOKUP(Tabla2[[#This Row],[ID]],'EVALUACION DE RIESGO'!A:A,1,FALSE)=Tabla2[[#This Row],[ID]],"SI","NO"),"NO")</f>
        <v/>
      </c>
    </row>
    <row r="181">
      <c r="A181" s="91" t="inlineStr">
        <is>
          <t>18-GAU</t>
        </is>
      </c>
      <c r="B181" s="10" t="inlineStr">
        <is>
          <t>APOYO</t>
        </is>
      </c>
      <c r="C181" s="10" t="inlineStr">
        <is>
          <t xml:space="preserve">Gestión de Auditoría </t>
        </is>
      </c>
      <c r="D181" s="10" t="inlineStr">
        <is>
          <t>GAU</t>
        </is>
      </c>
      <c r="E181" s="10" t="inlineStr">
        <is>
          <t>Gestión de Auditoría Interna</t>
        </is>
      </c>
      <c r="F181" s="10" t="inlineStr">
        <is>
          <t>-</t>
        </is>
      </c>
      <c r="G181" s="10" t="inlineStr">
        <is>
          <t>N/A</t>
        </is>
      </c>
      <c r="H181" s="10" t="inlineStr">
        <is>
          <t>Gerente de Auditoría</t>
        </is>
      </c>
      <c r="I181" s="10" t="inlineStr">
        <is>
          <t>N/A</t>
        </is>
      </c>
      <c r="J181" s="10" t="inlineStr">
        <is>
          <t xml:space="preserve">Oficial de Seguridad de la Información </t>
        </is>
      </c>
      <c r="K181" s="10" t="inlineStr">
        <is>
          <t>N/A</t>
        </is>
      </c>
      <c r="L181" s="10" t="inlineStr">
        <is>
          <t>N/A</t>
        </is>
      </c>
      <c r="M181" s="10" t="inlineStr">
        <is>
          <t>N/A</t>
        </is>
      </c>
      <c r="N181" s="10" t="inlineStr">
        <is>
          <t>APOYO</t>
        </is>
      </c>
      <c r="O181" s="10" t="inlineStr">
        <is>
          <t>RECURSO HUMANO</t>
        </is>
      </c>
      <c r="P181" s="10" t="inlineStr">
        <is>
          <t>USO INTERNO(2)</t>
        </is>
      </c>
      <c r="Q181" s="10" t="inlineStr">
        <is>
          <t>MEDIA(2)</t>
        </is>
      </c>
      <c r="R181" s="10" t="inlineStr">
        <is>
          <t>MEDIA(2)</t>
        </is>
      </c>
      <c r="S181" s="10">
        <f>+(IF(P181="PUBLICA(1)",1,IF(P181="USO INTERNO(2)",2,IF(P181="RESTRINGIDO(3)",3,3))))+(IF(Q181="BAJA(1)",1,IF(Q181="MEDIA(2)",2,IF(Q181="ALTA(3)",3,3))))+(IF(R181="BAJA(1)",1,IF(R181="MEDIA(2)",2,IF(R181="ALTA(3)",3,3))))</f>
        <v/>
      </c>
      <c r="T181" s="10">
        <f>+IF(S181&lt;6,"BAJA",IF(S181&lt;8,"MEDIA","ALTA"))</f>
        <v/>
      </c>
      <c r="U181" s="10" t="inlineStr">
        <is>
          <t>-</t>
        </is>
      </c>
      <c r="V181" s="24" t="n">
        <v>45712</v>
      </c>
      <c r="W181" s="19" t="inlineStr">
        <is>
          <t>N/A</t>
        </is>
      </c>
      <c r="X181" s="10">
        <f>+IFERROR(IF(VLOOKUP(Tabla2[[#This Row],[ID]],'EVALUACION DE RIESGO'!A:A,1,FALSE)=Tabla2[[#This Row],[ID]],"SI","NO"),"NO")</f>
        <v/>
      </c>
    </row>
    <row r="182">
      <c r="A182" s="91" t="inlineStr">
        <is>
          <t>1-GCA</t>
        </is>
      </c>
      <c r="B182" s="10" t="inlineStr">
        <is>
          <t>PRODUCTIVO</t>
        </is>
      </c>
      <c r="C182" s="10" t="inlineStr">
        <is>
          <t>Gestión de Captaciones</t>
        </is>
      </c>
      <c r="D182" s="10" t="inlineStr">
        <is>
          <t>GCA</t>
        </is>
      </c>
      <c r="E182" s="10" t="inlineStr">
        <is>
          <t>Depósitos a Plazo Fijo</t>
        </is>
      </c>
      <c r="F182" s="10" t="inlineStr">
        <is>
          <t>-</t>
        </is>
      </c>
      <c r="G182" s="10" t="inlineStr">
        <is>
          <t>Planificación de captaciones</t>
        </is>
      </c>
      <c r="H182" s="10" t="inlineStr">
        <is>
          <t>Agenda de visitas semanales</t>
        </is>
      </c>
      <c r="I182" s="10" t="inlineStr">
        <is>
          <t>Agenda de visitas semanales</t>
        </is>
      </c>
      <c r="J182" s="10" t="inlineStr">
        <is>
          <t xml:space="preserve">Jefe de Captaciones </t>
        </is>
      </c>
      <c r="K182" s="10" t="inlineStr">
        <is>
          <t xml:space="preserve">Jefe de Captaciones </t>
        </is>
      </c>
      <c r="L182" s="10" t="inlineStr">
        <is>
          <t>UBICACIÓN DIGITAL-EQUIPO DEL RESPONSABLE</t>
        </is>
      </c>
      <c r="M182" s="10" t="inlineStr">
        <is>
          <t>DISCOS DUROS, SERVIDORES, DISCOS O MEDIOS PORTÁTILES, CINTAS O MEDIOS DE VIDEO Y AUDIO, ETC.</t>
        </is>
      </c>
      <c r="N182" s="10" t="inlineStr">
        <is>
          <t>PRIMARIOS</t>
        </is>
      </c>
      <c r="O182" s="10" t="inlineStr">
        <is>
          <t>COMUNICACIÓN INTERNA</t>
        </is>
      </c>
      <c r="P182" s="10" t="inlineStr">
        <is>
          <t>PUBLICA(1)</t>
        </is>
      </c>
      <c r="Q182" s="10" t="inlineStr">
        <is>
          <t>MEDIA(2)</t>
        </is>
      </c>
      <c r="R182" s="10" t="inlineStr">
        <is>
          <t>BAJA(1)</t>
        </is>
      </c>
      <c r="S182" s="10">
        <f>+(IF(P182="PUBLICA(1)",1,IF(P182="USO INTERNO(2)",2,IF(P182="RESTRINGIDO(3)",3,3))))+(IF(Q182="BAJA(1)",1,IF(Q182="MEDIA(2)",2,IF(Q182="ALTA(3)",3,3))))+(IF(R182="BAJA(1)",1,IF(R182="MEDIA(2)",2,IF(R182="ALTA(3)",3,3))))</f>
        <v/>
      </c>
      <c r="T182" s="10">
        <f>+IF(S182&lt;6,"BAJA",IF(S182&lt;8,"MEDIA","ALTA"))</f>
        <v/>
      </c>
      <c r="U182" s="10" t="inlineStr">
        <is>
          <t>-</t>
        </is>
      </c>
      <c r="V182" s="24" t="n">
        <v>45595</v>
      </c>
      <c r="W182" s="19" t="inlineStr">
        <is>
          <t>N/A</t>
        </is>
      </c>
      <c r="X182" s="10">
        <f>+IFERROR(IF(VLOOKUP(Tabla2[[#This Row],[ID]],'EVALUACION DE RIESGO'!A:A,1,FALSE)=Tabla2[[#This Row],[ID]],"SI","NO"),"NO")</f>
        <v/>
      </c>
    </row>
    <row r="183">
      <c r="A183" s="91" t="inlineStr">
        <is>
          <t>2-GCA</t>
        </is>
      </c>
      <c r="B183" s="10" t="inlineStr">
        <is>
          <t>PRODUCTIVO</t>
        </is>
      </c>
      <c r="C183" s="10" t="inlineStr">
        <is>
          <t>Gestión de Captaciones</t>
        </is>
      </c>
      <c r="D183" s="10" t="inlineStr">
        <is>
          <t>GCA</t>
        </is>
      </c>
      <c r="E183" s="10" t="inlineStr">
        <is>
          <t>Depósitos a Plazo Fijo</t>
        </is>
      </c>
      <c r="F183" s="10" t="inlineStr">
        <is>
          <t>-</t>
        </is>
      </c>
      <c r="G183" s="10" t="inlineStr">
        <is>
          <t>Apertura de depósito a plazo fijo</t>
        </is>
      </c>
      <c r="H183" s="10" t="inlineStr">
        <is>
          <t>Liquidación de caja</t>
        </is>
      </c>
      <c r="I183" s="10" t="inlineStr">
        <is>
          <t>Transacción de deposito a plazo /Físico y digital se sube al sistema FIT</t>
        </is>
      </c>
      <c r="J183" s="10" t="inlineStr">
        <is>
          <t xml:space="preserve">Jefe de Captaciones </t>
        </is>
      </c>
      <c r="K183" s="10" t="inlineStr">
        <is>
          <t>Supervisor Operativo el vigente y el Asesor de Captaciones las vencidas</t>
        </is>
      </c>
      <c r="L183" s="10" t="inlineStr">
        <is>
          <t>DOCUMENTOS FISICOS-ARCHIVOS DE LA OFICINA</t>
        </is>
      </c>
      <c r="M183" s="10" t="inlineStr">
        <is>
          <t>DOCUMENTO DE ARCHIVO-FÍSICO</t>
        </is>
      </c>
      <c r="N183" s="10" t="inlineStr">
        <is>
          <t>PRIMARIOS</t>
        </is>
      </c>
      <c r="O183" s="10" t="inlineStr">
        <is>
          <t>DOCUMENTOS HABILITANTES</t>
        </is>
      </c>
      <c r="P183" s="10" t="inlineStr">
        <is>
          <t>USO INTERNO(2)</t>
        </is>
      </c>
      <c r="Q183" s="10" t="inlineStr">
        <is>
          <t>MEDIA(2)</t>
        </is>
      </c>
      <c r="R183" s="10" t="inlineStr">
        <is>
          <t>MEDIA(2)</t>
        </is>
      </c>
      <c r="S183" s="10">
        <f>+(IF(P183="PUBLICA(1)",1,IF(P183="USO INTERNO(2)",2,IF(P183="RESTRINGIDO(3)",3,3))))+(IF(Q183="BAJA(1)",1,IF(Q183="MEDIA(2)",2,IF(Q183="ALTA(3)",3,3))))+(IF(R183="BAJA(1)",1,IF(R183="MEDIA(2)",2,IF(R183="ALTA(3)",3,3))))</f>
        <v/>
      </c>
      <c r="T183" s="10">
        <f>+IF(S183&lt;6,"BAJA",IF(S183&lt;8,"MEDIA","ALTA"))</f>
        <v/>
      </c>
      <c r="U183" s="10" t="inlineStr">
        <is>
          <t>-</t>
        </is>
      </c>
      <c r="V183" s="24" t="n">
        <v>45595</v>
      </c>
      <c r="W183" s="19" t="inlineStr">
        <is>
          <t>N/A</t>
        </is>
      </c>
      <c r="X183" s="10">
        <f>+IFERROR(IF(VLOOKUP(Tabla2[[#This Row],[ID]],'EVALUACION DE RIESGO'!A:A,1,FALSE)=Tabla2[[#This Row],[ID]],"SI","NO"),"NO")</f>
        <v/>
      </c>
    </row>
    <row r="184">
      <c r="A184" s="91" t="inlineStr">
        <is>
          <t>3-GCA</t>
        </is>
      </c>
      <c r="B184" s="10" t="inlineStr">
        <is>
          <t>PRODUCTIVO</t>
        </is>
      </c>
      <c r="C184" s="10" t="inlineStr">
        <is>
          <t>Gestión de Captaciones</t>
        </is>
      </c>
      <c r="D184" s="10" t="inlineStr">
        <is>
          <t>GCA</t>
        </is>
      </c>
      <c r="E184" s="10" t="inlineStr">
        <is>
          <t>Depósitos a Plazo Fijo</t>
        </is>
      </c>
      <c r="F184" s="10" t="inlineStr">
        <is>
          <t>-</t>
        </is>
      </c>
      <c r="G184" s="10" t="inlineStr">
        <is>
          <t>Apertura de depósito a plazo fijo</t>
        </is>
      </c>
      <c r="H184" s="10" t="inlineStr">
        <is>
          <t>Certificado de depósito a plazo fijo</t>
        </is>
      </c>
      <c r="I184" s="10" t="inlineStr">
        <is>
          <t>Certificado que se imprime para el clienta y otra idéntica que mantiene el asesor</t>
        </is>
      </c>
      <c r="J184" s="10" t="inlineStr">
        <is>
          <t xml:space="preserve">Jefe de Captaciones </t>
        </is>
      </c>
      <c r="K184" s="10" t="inlineStr">
        <is>
          <t>Supervisor Operativo el vigente y el Asesor de Captaciones las vencidas</t>
        </is>
      </c>
      <c r="L184" s="10" t="inlineStr">
        <is>
          <t>DOCUMENTOS FISICOS-ARCHIVOS DE LA OFICINA</t>
        </is>
      </c>
      <c r="M184" s="10" t="inlineStr">
        <is>
          <t>DOCUMENTO DE ARCHIVO-FÍSICO</t>
        </is>
      </c>
      <c r="N184" s="10" t="inlineStr">
        <is>
          <t>PRIMARIOS</t>
        </is>
      </c>
      <c r="O184" s="10" t="inlineStr">
        <is>
          <t>DOCUMENTOS HABILITANTES</t>
        </is>
      </c>
      <c r="P184" s="10" t="inlineStr">
        <is>
          <t>USO INTERNO(2)</t>
        </is>
      </c>
      <c r="Q184" s="10" t="inlineStr">
        <is>
          <t>MEDIA(2)</t>
        </is>
      </c>
      <c r="R184" s="10" t="inlineStr">
        <is>
          <t>ALTA(3)</t>
        </is>
      </c>
      <c r="S184" s="10">
        <f>+(IF(P184="PUBLICA(1)",1,IF(P184="USO INTERNO(2)",2,IF(P184="RESTRINGIDO(3)",3,3))))+(IF(Q184="BAJA(1)",1,IF(Q184="MEDIA(2)",2,IF(Q184="ALTA(3)",3,3))))+(IF(R184="BAJA(1)",1,IF(R184="MEDIA(2)",2,IF(R184="ALTA(3)",3,3))))</f>
        <v/>
      </c>
      <c r="T184" s="10">
        <f>+IF(S184&lt;6,"BAJA",IF(S184&lt;8,"MEDIA","ALTA"))</f>
        <v/>
      </c>
      <c r="U184" s="10" t="inlineStr">
        <is>
          <t>-</t>
        </is>
      </c>
      <c r="V184" s="24" t="n">
        <v>45595</v>
      </c>
      <c r="W184" s="19" t="inlineStr">
        <is>
          <t>N/A</t>
        </is>
      </c>
      <c r="X184" s="10">
        <f>+IFERROR(IF(VLOOKUP(Tabla2[[#This Row],[ID]],'EVALUACION DE RIESGO'!A:A,1,FALSE)=Tabla2[[#This Row],[ID]],"SI","NO"),"NO")</f>
        <v/>
      </c>
    </row>
    <row r="185">
      <c r="A185" s="91" t="inlineStr">
        <is>
          <t>4-GCA</t>
        </is>
      </c>
      <c r="B185" s="10" t="inlineStr">
        <is>
          <t>PRODUCTIVO</t>
        </is>
      </c>
      <c r="C185" s="10" t="inlineStr">
        <is>
          <t>Gestión de Captaciones</t>
        </is>
      </c>
      <c r="D185" s="10" t="inlineStr">
        <is>
          <t>GCA</t>
        </is>
      </c>
      <c r="E185" s="10" t="inlineStr">
        <is>
          <t>Depósitos a Plazo Fijo</t>
        </is>
      </c>
      <c r="F185" s="10" t="inlineStr">
        <is>
          <t>-</t>
        </is>
      </c>
      <c r="G185" s="10" t="inlineStr">
        <is>
          <t>Apertura de depósito a plazo fijo</t>
        </is>
      </c>
      <c r="H185" s="10" t="inlineStr">
        <is>
          <t>Certificación de información</t>
        </is>
      </c>
      <c r="I185" s="10" t="inlineStr">
        <is>
          <t>Certificado de información que se realiza cuando se actualizan los datos del socio</t>
        </is>
      </c>
      <c r="J185" s="10" t="inlineStr">
        <is>
          <t xml:space="preserve">Jefe de Captaciones </t>
        </is>
      </c>
      <c r="K185" s="10" t="inlineStr">
        <is>
          <t>Supervisor Operativo el vigente y el Asesor de Captaciones las vencidas</t>
        </is>
      </c>
      <c r="L185" s="10" t="inlineStr">
        <is>
          <t>DOCUMENTOS FISICOS-ARCHIVOS DE LA OFICINA</t>
        </is>
      </c>
      <c r="M185" s="10" t="inlineStr">
        <is>
          <t>DOCUMENTO DE ARCHIVO-FÍSICO</t>
        </is>
      </c>
      <c r="N185" s="10" t="inlineStr">
        <is>
          <t>PRIMARIOS</t>
        </is>
      </c>
      <c r="O185" s="10" t="inlineStr">
        <is>
          <t>DOCUMENTOS HABILITANTES</t>
        </is>
      </c>
      <c r="P185" s="10" t="inlineStr">
        <is>
          <t>USO INTERNO(2)</t>
        </is>
      </c>
      <c r="Q185" s="10" t="inlineStr">
        <is>
          <t>MEDIA(2)</t>
        </is>
      </c>
      <c r="R185" s="10" t="inlineStr">
        <is>
          <t>MEDIA(2)</t>
        </is>
      </c>
      <c r="S185" s="10">
        <f>+(IF(P185="PUBLICA(1)",1,IF(P185="USO INTERNO(2)",2,IF(P185="RESTRINGIDO(3)",3,3))))+(IF(Q185="BAJA(1)",1,IF(Q185="MEDIA(2)",2,IF(Q185="ALTA(3)",3,3))))+(IF(R185="BAJA(1)",1,IF(R185="MEDIA(2)",2,IF(R185="ALTA(3)",3,3))))</f>
        <v/>
      </c>
      <c r="T185" s="10">
        <f>+IF(S185&lt;6,"BAJA",IF(S185&lt;8,"MEDIA","ALTA"))</f>
        <v/>
      </c>
      <c r="U185" s="10" t="inlineStr">
        <is>
          <t>-</t>
        </is>
      </c>
      <c r="V185" s="24" t="n">
        <v>45595</v>
      </c>
      <c r="W185" s="19" t="inlineStr">
        <is>
          <t>N/A</t>
        </is>
      </c>
      <c r="X185" s="10">
        <f>+IFERROR(IF(VLOOKUP(Tabla2[[#This Row],[ID]],'EVALUACION DE RIESGO'!A:A,1,FALSE)=Tabla2[[#This Row],[ID]],"SI","NO"),"NO")</f>
        <v/>
      </c>
    </row>
    <row r="186">
      <c r="A186" s="91" t="inlineStr">
        <is>
          <t>5-GCA</t>
        </is>
      </c>
      <c r="B186" s="10" t="inlineStr">
        <is>
          <t>PRODUCTIVO</t>
        </is>
      </c>
      <c r="C186" s="10" t="inlineStr">
        <is>
          <t>Gestión de Captaciones</t>
        </is>
      </c>
      <c r="D186" s="10" t="inlineStr">
        <is>
          <t>GCA</t>
        </is>
      </c>
      <c r="E186" s="10" t="inlineStr">
        <is>
          <t>Depósitos a Plazo Fijo</t>
        </is>
      </c>
      <c r="F186" s="10" t="inlineStr">
        <is>
          <t>-</t>
        </is>
      </c>
      <c r="G186" s="10" t="inlineStr">
        <is>
          <t>Apertura de depósito a plazo fijo</t>
        </is>
      </c>
      <c r="H186" s="10" t="inlineStr">
        <is>
          <t>Formulario de licitud de fondos</t>
        </is>
      </c>
      <c r="I186" s="10" t="inlineStr">
        <is>
          <t>Documento firmado de declaración de origen o destino licito de recursos</t>
        </is>
      </c>
      <c r="J186" s="10" t="inlineStr">
        <is>
          <t xml:space="preserve">Jefe de Captaciones </t>
        </is>
      </c>
      <c r="K186" s="10" t="inlineStr">
        <is>
          <t>Supervisor Operativo el vigente y el Asesor de Captaciones las vencidas</t>
        </is>
      </c>
      <c r="L186" s="10" t="inlineStr">
        <is>
          <t>DOCUMENTOS FISICOS-ARCHIVOS DE LA OFICINA</t>
        </is>
      </c>
      <c r="M186" s="10" t="inlineStr">
        <is>
          <t>DOCUMENTO DE ARCHIVO-FÍSICO</t>
        </is>
      </c>
      <c r="N186" s="10" t="inlineStr">
        <is>
          <t>PRIMARIOS</t>
        </is>
      </c>
      <c r="O186" s="10" t="inlineStr">
        <is>
          <t>DOCUMENTOS HABILITANTES</t>
        </is>
      </c>
      <c r="P186" s="10" t="inlineStr">
        <is>
          <t>USO INTERNO(2)</t>
        </is>
      </c>
      <c r="Q186" s="10" t="inlineStr">
        <is>
          <t>MEDIA(2)</t>
        </is>
      </c>
      <c r="R186" s="10" t="inlineStr">
        <is>
          <t>MEDIA(2)</t>
        </is>
      </c>
      <c r="S186" s="10">
        <f>+(IF(P186="PUBLICA(1)",1,IF(P186="USO INTERNO(2)",2,IF(P186="RESTRINGIDO(3)",3,3))))+(IF(Q186="BAJA(1)",1,IF(Q186="MEDIA(2)",2,IF(Q186="ALTA(3)",3,3))))+(IF(R186="BAJA(1)",1,IF(R186="MEDIA(2)",2,IF(R186="ALTA(3)",3,3))))</f>
        <v/>
      </c>
      <c r="T186" s="10">
        <f>+IF(S186&lt;6,"BAJA",IF(S186&lt;8,"MEDIA","ALTA"))</f>
        <v/>
      </c>
      <c r="U186" s="10" t="inlineStr">
        <is>
          <t>-</t>
        </is>
      </c>
      <c r="V186" s="24" t="n">
        <v>45595</v>
      </c>
      <c r="W186" s="19" t="inlineStr">
        <is>
          <t>N/A</t>
        </is>
      </c>
      <c r="X186" s="10">
        <f>+IFERROR(IF(VLOOKUP(Tabla2[[#This Row],[ID]],'EVALUACION DE RIESGO'!A:A,1,FALSE)=Tabla2[[#This Row],[ID]],"SI","NO"),"NO")</f>
        <v/>
      </c>
    </row>
    <row r="187">
      <c r="A187" s="91" t="inlineStr">
        <is>
          <t>6-GCA</t>
        </is>
      </c>
      <c r="B187" s="10" t="inlineStr">
        <is>
          <t>PRODUCTIVO</t>
        </is>
      </c>
      <c r="C187" s="10" t="inlineStr">
        <is>
          <t>Gestión de Captaciones</t>
        </is>
      </c>
      <c r="D187" s="10" t="inlineStr">
        <is>
          <t>GCA</t>
        </is>
      </c>
      <c r="E187" s="10" t="inlineStr">
        <is>
          <t>Depósitos a Plazo Fijo</t>
        </is>
      </c>
      <c r="F187" s="10" t="inlineStr">
        <is>
          <t>-</t>
        </is>
      </c>
      <c r="G187" s="10" t="inlineStr">
        <is>
          <t>Apertura de depósito a plazo fijo</t>
        </is>
      </c>
      <c r="H187" s="10" t="inlineStr">
        <is>
          <t>File digital</t>
        </is>
      </c>
      <c r="I187" s="10" t="inlineStr">
        <is>
          <t>Documentación que se escanea y se sube al Core financiero</t>
        </is>
      </c>
      <c r="J187" s="10" t="inlineStr">
        <is>
          <t xml:space="preserve">Jefe de Captaciones </t>
        </is>
      </c>
      <c r="K187" s="10" t="inlineStr">
        <is>
          <t xml:space="preserve">Jefe de Captaciones </t>
        </is>
      </c>
      <c r="L187" s="10" t="inlineStr">
        <is>
          <t>UBICACIÓN DIGITAL-CORE FINANCIERO</t>
        </is>
      </c>
      <c r="M187" s="10" t="inlineStr">
        <is>
          <t>SISTEMA DE ADMINISTRACIÓN DE DOCUMENTOS</t>
        </is>
      </c>
      <c r="N187" s="10" t="inlineStr">
        <is>
          <t>PRIMARIOS</t>
        </is>
      </c>
      <c r="O187" s="10" t="inlineStr">
        <is>
          <t>INFORMACIÓN DE SOCIOS Y CLIENTES</t>
        </is>
      </c>
      <c r="P187" s="10" t="inlineStr">
        <is>
          <t>USO INTERNO(2)</t>
        </is>
      </c>
      <c r="Q187" s="10" t="inlineStr">
        <is>
          <t>MEDIA(2)</t>
        </is>
      </c>
      <c r="R187" s="10" t="inlineStr">
        <is>
          <t>MEDIA(2)</t>
        </is>
      </c>
      <c r="S187" s="10">
        <f>+(IF(P187="PUBLICA(1)",1,IF(P187="USO INTERNO(2)",2,IF(P187="RESTRINGIDO(3)",3,3))))+(IF(Q187="BAJA(1)",1,IF(Q187="MEDIA(2)",2,IF(Q187="ALTA(3)",3,3))))+(IF(R187="BAJA(1)",1,IF(R187="MEDIA(2)",2,IF(R187="ALTA(3)",3,3))))</f>
        <v/>
      </c>
      <c r="T187" s="10">
        <f>+IF(S187&lt;6,"BAJA",IF(S187&lt;8,"MEDIA","ALTA"))</f>
        <v/>
      </c>
      <c r="U187" s="10" t="inlineStr">
        <is>
          <t>-</t>
        </is>
      </c>
      <c r="V187" s="24" t="n">
        <v>45595</v>
      </c>
      <c r="W187" s="19" t="inlineStr">
        <is>
          <t>N/A</t>
        </is>
      </c>
      <c r="X187" s="10">
        <f>+IFERROR(IF(VLOOKUP(Tabla2[[#This Row],[ID]],'EVALUACION DE RIESGO'!A:A,1,FALSE)=Tabla2[[#This Row],[ID]],"SI","NO"),"NO")</f>
        <v/>
      </c>
    </row>
    <row r="188">
      <c r="A188" s="91" t="inlineStr">
        <is>
          <t>7-GCA</t>
        </is>
      </c>
      <c r="B188" s="10" t="inlineStr">
        <is>
          <t>PRODUCTIVO</t>
        </is>
      </c>
      <c r="C188" s="10" t="inlineStr">
        <is>
          <t>Gestión de Captaciones</t>
        </is>
      </c>
      <c r="D188" s="10" t="inlineStr">
        <is>
          <t>GCA</t>
        </is>
      </c>
      <c r="E188" s="10" t="inlineStr">
        <is>
          <t>Depósitos a Plazo Fijo</t>
        </is>
      </c>
      <c r="F188" s="10" t="inlineStr">
        <is>
          <t>-</t>
        </is>
      </c>
      <c r="G188" s="10" t="inlineStr">
        <is>
          <t>Apertura de depósitos a plazo fijo a entidades financieras.</t>
        </is>
      </c>
      <c r="H188" s="10" t="inlineStr">
        <is>
          <t xml:space="preserve">Tabla de Tasas de Interés E / Documentos requeridos en la apertura de depósitos a plazo fijo </t>
        </is>
      </c>
      <c r="I188" s="10" t="inlineStr">
        <is>
          <t>Archivo digital de tasa tablero</t>
        </is>
      </c>
      <c r="J188" s="10" t="inlineStr">
        <is>
          <t xml:space="preserve">Jefe de Captaciones </t>
        </is>
      </c>
      <c r="K188" s="10" t="inlineStr">
        <is>
          <t xml:space="preserve">Jefe de Captaciones </t>
        </is>
      </c>
      <c r="L188" s="10" t="inlineStr">
        <is>
          <t>UBICACIÓN DIGITAL-EQUIPO DEL RESPONSABLE</t>
        </is>
      </c>
      <c r="M188" s="10" t="inlineStr">
        <is>
          <t>DISCOS DUROS, SERVIDORES, DISCOS O MEDIOS PORTÁTILES, CINTAS O MEDIOS DE VIDEO Y AUDIO, ETC.</t>
        </is>
      </c>
      <c r="N188" s="10" t="inlineStr">
        <is>
          <t>PRIMARIOS</t>
        </is>
      </c>
      <c r="O188" s="10" t="inlineStr">
        <is>
          <t>COMUNICACIÓN INTERNA</t>
        </is>
      </c>
      <c r="P188" s="10" t="inlineStr">
        <is>
          <t>PUBLICA(1)</t>
        </is>
      </c>
      <c r="Q188" s="10" t="inlineStr">
        <is>
          <t>MEDIA(2)</t>
        </is>
      </c>
      <c r="R188" s="10" t="inlineStr">
        <is>
          <t>BAJA(1)</t>
        </is>
      </c>
      <c r="S188" s="10">
        <f>+(IF(P188="PUBLICA(1)",1,IF(P188="USO INTERNO(2)",2,IF(P188="RESTRINGIDO(3)",3,3))))+(IF(Q188="BAJA(1)",1,IF(Q188="MEDIA(2)",2,IF(Q188="ALTA(3)",3,3))))+(IF(R188="BAJA(1)",1,IF(R188="MEDIA(2)",2,IF(R188="ALTA(3)",3,3))))</f>
        <v/>
      </c>
      <c r="T188" s="10">
        <f>+IF(S188&lt;6,"BAJA",IF(S188&lt;8,"MEDIA","ALTA"))</f>
        <v/>
      </c>
      <c r="U188" s="10" t="inlineStr">
        <is>
          <t>-</t>
        </is>
      </c>
      <c r="V188" s="24" t="n">
        <v>45595</v>
      </c>
      <c r="W188" s="19" t="inlineStr">
        <is>
          <t>N/A</t>
        </is>
      </c>
      <c r="X188" s="10">
        <f>+IFERROR(IF(VLOOKUP(Tabla2[[#This Row],[ID]],'EVALUACION DE RIESGO'!A:A,1,FALSE)=Tabla2[[#This Row],[ID]],"SI","NO"),"NO")</f>
        <v/>
      </c>
    </row>
    <row r="189">
      <c r="A189" s="91" t="inlineStr">
        <is>
          <t>8-GCA</t>
        </is>
      </c>
      <c r="B189" s="10" t="inlineStr">
        <is>
          <t>PRODUCTIVO</t>
        </is>
      </c>
      <c r="C189" s="10" t="inlineStr">
        <is>
          <t>Gestión de Captaciones</t>
        </is>
      </c>
      <c r="D189" s="10" t="inlineStr">
        <is>
          <t>GCA</t>
        </is>
      </c>
      <c r="E189" s="10" t="inlineStr">
        <is>
          <t>Depósitos a Plazo Fijo</t>
        </is>
      </c>
      <c r="F189" s="10" t="inlineStr">
        <is>
          <t>-</t>
        </is>
      </c>
      <c r="G189" s="10" t="inlineStr">
        <is>
          <t>Depósitos a Plazo Fijo desmaterializados</t>
        </is>
      </c>
      <c r="H189" s="10" t="inlineStr">
        <is>
          <t>Pre-Liquidación de Venta</t>
        </is>
      </c>
      <c r="I189" s="10" t="inlineStr">
        <is>
          <t>Archivo del área de Preliquidación de Venta</t>
        </is>
      </c>
      <c r="J189" s="10" t="inlineStr">
        <is>
          <t xml:space="preserve">Jefe de Captaciones </t>
        </is>
      </c>
      <c r="K189" s="10" t="inlineStr">
        <is>
          <t xml:space="preserve">Jefe de Captaciones </t>
        </is>
      </c>
      <c r="L189" s="10" t="inlineStr">
        <is>
          <t>UBICACIÓN DIGITAL-EQUIPO DEL RESPONSABLE</t>
        </is>
      </c>
      <c r="M189" s="10" t="inlineStr">
        <is>
          <t>DISCOS DUROS, SERVIDORES, DISCOS O MEDIOS PORTÁTILES, CINTAS O MEDIOS DE VIDEO Y AUDIO, ETC.</t>
        </is>
      </c>
      <c r="N189" s="10" t="inlineStr">
        <is>
          <t>PRIMARIOS</t>
        </is>
      </c>
      <c r="O189" s="10" t="inlineStr">
        <is>
          <t>DOCUMENTOS HABILITANTES</t>
        </is>
      </c>
      <c r="P189" s="10" t="inlineStr">
        <is>
          <t>USO INTERNO(2)</t>
        </is>
      </c>
      <c r="Q189" s="10" t="inlineStr">
        <is>
          <t>MEDIA(2)</t>
        </is>
      </c>
      <c r="R189" s="10" t="inlineStr">
        <is>
          <t>MEDIA(2)</t>
        </is>
      </c>
      <c r="S189" s="10">
        <f>+(IF(P189="PUBLICA(1)",1,IF(P189="USO INTERNO(2)",2,IF(P189="RESTRINGIDO(3)",3,3))))+(IF(Q189="BAJA(1)",1,IF(Q189="MEDIA(2)",2,IF(Q189="ALTA(3)",3,3))))+(IF(R189="BAJA(1)",1,IF(R189="MEDIA(2)",2,IF(R189="ALTA(3)",3,3))))</f>
        <v/>
      </c>
      <c r="T189" s="10">
        <f>+IF(S189&lt;6,"BAJA",IF(S189&lt;8,"MEDIA","ALTA"))</f>
        <v/>
      </c>
      <c r="U189" s="10" t="inlineStr">
        <is>
          <t>-</t>
        </is>
      </c>
      <c r="V189" s="24" t="n">
        <v>45595</v>
      </c>
      <c r="W189" s="19" t="inlineStr">
        <is>
          <t>N/A</t>
        </is>
      </c>
      <c r="X189" s="10">
        <f>+IFERROR(IF(VLOOKUP(Tabla2[[#This Row],[ID]],'EVALUACION DE RIESGO'!A:A,1,FALSE)=Tabla2[[#This Row],[ID]],"SI","NO"),"NO")</f>
        <v/>
      </c>
    </row>
    <row r="190">
      <c r="A190" s="91" t="inlineStr">
        <is>
          <t>9-GCA</t>
        </is>
      </c>
      <c r="B190" s="10" t="inlineStr">
        <is>
          <t>PRODUCTIVO</t>
        </is>
      </c>
      <c r="C190" s="10" t="inlineStr">
        <is>
          <t>Gestión de Captaciones</t>
        </is>
      </c>
      <c r="D190" s="10" t="inlineStr">
        <is>
          <t>GCA</t>
        </is>
      </c>
      <c r="E190" s="10" t="inlineStr">
        <is>
          <t>Depósitos a Plazo Fijo</t>
        </is>
      </c>
      <c r="F190" s="10" t="inlineStr">
        <is>
          <t>-</t>
        </is>
      </c>
      <c r="G190" s="10" t="inlineStr">
        <is>
          <t>Depósitos a Plazo Fijo desmaterializados</t>
        </is>
      </c>
      <c r="H190" s="10" t="inlineStr">
        <is>
          <t>Liquidación de Venta</t>
        </is>
      </c>
      <c r="I190" s="10" t="inlineStr">
        <is>
          <t>Archivo del área de Liquidación de venta</t>
        </is>
      </c>
      <c r="J190" s="10" t="inlineStr">
        <is>
          <t xml:space="preserve">Jefe de Captaciones </t>
        </is>
      </c>
      <c r="K190" s="10" t="inlineStr">
        <is>
          <t xml:space="preserve">Jefe de Captaciones </t>
        </is>
      </c>
      <c r="L190" s="10" t="inlineStr">
        <is>
          <t>UBICACIÓN DIGITAL-EQUIPO DEL RESPONSABLE</t>
        </is>
      </c>
      <c r="M190" s="10" t="inlineStr">
        <is>
          <t>DISCOS DUROS, SERVIDORES, DISCOS O MEDIOS PORTÁTILES, CINTAS O MEDIOS DE VIDEO Y AUDIO, ETC.</t>
        </is>
      </c>
      <c r="N190" s="10" t="inlineStr">
        <is>
          <t>PRIMARIOS</t>
        </is>
      </c>
      <c r="O190" s="10" t="inlineStr">
        <is>
          <t>DOCUMENTOS HABILITANTES</t>
        </is>
      </c>
      <c r="P190" s="10" t="inlineStr">
        <is>
          <t>USO INTERNO(2)</t>
        </is>
      </c>
      <c r="Q190" s="10" t="inlineStr">
        <is>
          <t>MEDIA(2)</t>
        </is>
      </c>
      <c r="R190" s="10" t="inlineStr">
        <is>
          <t>MEDIA(2)</t>
        </is>
      </c>
      <c r="S190" s="10">
        <f>+(IF(P190="PUBLICA(1)",1,IF(P190="USO INTERNO(2)",2,IF(P190="RESTRINGIDO(3)",3,3))))+(IF(Q190="BAJA(1)",1,IF(Q190="MEDIA(2)",2,IF(Q190="ALTA(3)",3,3))))+(IF(R190="BAJA(1)",1,IF(R190="MEDIA(2)",2,IF(R190="ALTA(3)",3,3))))</f>
        <v/>
      </c>
      <c r="T190" s="10">
        <f>+IF(S190&lt;6,"BAJA",IF(S190&lt;8,"MEDIA","ALTA"))</f>
        <v/>
      </c>
      <c r="U190" s="10" t="inlineStr">
        <is>
          <t>-</t>
        </is>
      </c>
      <c r="V190" s="24" t="n">
        <v>45595</v>
      </c>
      <c r="W190" s="19" t="inlineStr">
        <is>
          <t>N/A</t>
        </is>
      </c>
      <c r="X190" s="10">
        <f>+IFERROR(IF(VLOOKUP(Tabla2[[#This Row],[ID]],'EVALUACION DE RIESGO'!A:A,1,FALSE)=Tabla2[[#This Row],[ID]],"SI","NO"),"NO")</f>
        <v/>
      </c>
    </row>
    <row r="191">
      <c r="A191" s="91" t="inlineStr">
        <is>
          <t>10-GCA</t>
        </is>
      </c>
      <c r="B191" s="10" t="inlineStr">
        <is>
          <t>PRODUCTIVO</t>
        </is>
      </c>
      <c r="C191" s="10" t="inlineStr">
        <is>
          <t>Gestión de Captaciones</t>
        </is>
      </c>
      <c r="D191" s="10" t="inlineStr">
        <is>
          <t>GCA</t>
        </is>
      </c>
      <c r="E191" s="10" t="inlineStr">
        <is>
          <t>Depósitos a Plazo Fijo</t>
        </is>
      </c>
      <c r="F191" s="10" t="inlineStr">
        <is>
          <t>-</t>
        </is>
      </c>
      <c r="G191" s="10" t="inlineStr">
        <is>
          <t>Depósitos a Plazo Fijo desmaterializados</t>
        </is>
      </c>
      <c r="H191" s="10" t="inlineStr">
        <is>
          <t>Certificado de depósito a plazo fijo materializado</t>
        </is>
      </c>
      <c r="I191" s="10" t="inlineStr">
        <is>
          <t>Renovación de depósitos a plazo fijo Cancelación anticipada de depósitos</t>
        </is>
      </c>
      <c r="J191" s="10" t="inlineStr">
        <is>
          <t xml:space="preserve">Jefe de Captaciones </t>
        </is>
      </c>
      <c r="K191" s="10" t="inlineStr">
        <is>
          <t xml:space="preserve">Jefe de Captaciones </t>
        </is>
      </c>
      <c r="L191" s="10" t="inlineStr">
        <is>
          <t>DOCUMENTOS FISICOS-ARCHIVOS DE LA OFICINA</t>
        </is>
      </c>
      <c r="M191" s="10" t="inlineStr">
        <is>
          <t>DOCUMENTO DE ARCHIVO-FÍSICO</t>
        </is>
      </c>
      <c r="N191" s="10" t="inlineStr">
        <is>
          <t>PRIMARIOS</t>
        </is>
      </c>
      <c r="O191" s="10" t="inlineStr">
        <is>
          <t>DOCUMENTOS HABILITANTES</t>
        </is>
      </c>
      <c r="P191" s="10" t="inlineStr">
        <is>
          <t>USO INTERNO(2)</t>
        </is>
      </c>
      <c r="Q191" s="10" t="inlineStr">
        <is>
          <t>MEDIA(2)</t>
        </is>
      </c>
      <c r="R191" s="10" t="inlineStr">
        <is>
          <t>ALTA(3)</t>
        </is>
      </c>
      <c r="S191" s="10">
        <f>+(IF(P191="PUBLICA(1)",1,IF(P191="USO INTERNO(2)",2,IF(P191="RESTRINGIDO(3)",3,3))))+(IF(Q191="BAJA(1)",1,IF(Q191="MEDIA(2)",2,IF(Q191="ALTA(3)",3,3))))+(IF(R191="BAJA(1)",1,IF(R191="MEDIA(2)",2,IF(R191="ALTA(3)",3,3))))</f>
        <v/>
      </c>
      <c r="T191" s="10">
        <f>+IF(S191&lt;6,"BAJA",IF(S191&lt;8,"MEDIA","ALTA"))</f>
        <v/>
      </c>
      <c r="U191" s="10" t="inlineStr">
        <is>
          <t>-</t>
        </is>
      </c>
      <c r="V191" s="24" t="n">
        <v>45595</v>
      </c>
      <c r="W191" s="19" t="inlineStr">
        <is>
          <t>N/A</t>
        </is>
      </c>
      <c r="X191" s="10">
        <f>+IFERROR(IF(VLOOKUP(Tabla2[[#This Row],[ID]],'EVALUACION DE RIESGO'!A:A,1,FALSE)=Tabla2[[#This Row],[ID]],"SI","NO"),"NO")</f>
        <v/>
      </c>
    </row>
    <row r="192">
      <c r="A192" s="91" t="inlineStr">
        <is>
          <t>11-GCA</t>
        </is>
      </c>
      <c r="B192" s="10" t="inlineStr">
        <is>
          <t>PRODUCTIVO</t>
        </is>
      </c>
      <c r="C192" s="10" t="inlineStr">
        <is>
          <t>Gestión de Captaciones</t>
        </is>
      </c>
      <c r="D192" s="10" t="inlineStr">
        <is>
          <t>GCA</t>
        </is>
      </c>
      <c r="E192" s="10" t="inlineStr">
        <is>
          <t>Depósitos a Plazo Fijo</t>
        </is>
      </c>
      <c r="F192" s="10" t="inlineStr">
        <is>
          <t>-</t>
        </is>
      </c>
      <c r="G192" s="10" t="inlineStr">
        <is>
          <t>Depósitos a Plazo Fijo desmaterializados</t>
        </is>
      </c>
      <c r="H192" s="10" t="inlineStr">
        <is>
          <t>Certificado de información</t>
        </is>
      </c>
      <c r="I192" s="10" t="inlineStr">
        <is>
          <t>Certificado de información que se realiza cuando se actualizan los datos del socio</t>
        </is>
      </c>
      <c r="J192" s="10" t="inlineStr">
        <is>
          <t xml:space="preserve">Jefe de Captaciones </t>
        </is>
      </c>
      <c r="K192" s="10" t="inlineStr">
        <is>
          <t xml:space="preserve">Jefe de Captaciones </t>
        </is>
      </c>
      <c r="L192" s="10" t="inlineStr">
        <is>
          <t>DOCUMENTOS FISICOS-ARCHIVOS DE LA OFICINA</t>
        </is>
      </c>
      <c r="M192" s="10" t="inlineStr">
        <is>
          <t>DOCUMENTO DE ARCHIVO-FÍSICO</t>
        </is>
      </c>
      <c r="N192" s="10" t="inlineStr">
        <is>
          <t>PRIMARIOS</t>
        </is>
      </c>
      <c r="O192" s="10" t="inlineStr">
        <is>
          <t>DOCUMENTOS HABILITANTES</t>
        </is>
      </c>
      <c r="P192" s="10" t="inlineStr">
        <is>
          <t>USO INTERNO(2)</t>
        </is>
      </c>
      <c r="Q192" s="10" t="inlineStr">
        <is>
          <t>MEDIA(2)</t>
        </is>
      </c>
      <c r="R192" s="10" t="inlineStr">
        <is>
          <t>MEDIA(2)</t>
        </is>
      </c>
      <c r="S192" s="10">
        <f>+(IF(P192="PUBLICA(1)",1,IF(P192="USO INTERNO(2)",2,IF(P192="RESTRINGIDO(3)",3,3))))+(IF(Q192="BAJA(1)",1,IF(Q192="MEDIA(2)",2,IF(Q192="ALTA(3)",3,3))))+(IF(R192="BAJA(1)",1,IF(R192="MEDIA(2)",2,IF(R192="ALTA(3)",3,3))))</f>
        <v/>
      </c>
      <c r="T192" s="10">
        <f>+IF(S192&lt;6,"BAJA",IF(S192&lt;8,"MEDIA","ALTA"))</f>
        <v/>
      </c>
      <c r="U192" s="10" t="inlineStr">
        <is>
          <t>-</t>
        </is>
      </c>
      <c r="V192" s="24" t="n">
        <v>45595</v>
      </c>
      <c r="W192" s="19" t="inlineStr">
        <is>
          <t>N/A</t>
        </is>
      </c>
      <c r="X192" s="10">
        <f>+IFERROR(IF(VLOOKUP(Tabla2[[#This Row],[ID]],'EVALUACION DE RIESGO'!A:A,1,FALSE)=Tabla2[[#This Row],[ID]],"SI","NO"),"NO")</f>
        <v/>
      </c>
    </row>
    <row r="193">
      <c r="A193" s="91" t="inlineStr">
        <is>
          <t>12-GCA</t>
        </is>
      </c>
      <c r="B193" s="10" t="inlineStr">
        <is>
          <t>PRODUCTIVO</t>
        </is>
      </c>
      <c r="C193" s="10" t="inlineStr">
        <is>
          <t>Gestión de Captaciones</t>
        </is>
      </c>
      <c r="D193" s="10" t="inlineStr">
        <is>
          <t>GCA</t>
        </is>
      </c>
      <c r="E193" s="10" t="inlineStr">
        <is>
          <t>Depósitos a Plazo Fijo</t>
        </is>
      </c>
      <c r="F193" s="10" t="inlineStr">
        <is>
          <t>-</t>
        </is>
      </c>
      <c r="G193" s="10" t="inlineStr">
        <is>
          <t>Depósitos a Plazo Fijo desmaterializados</t>
        </is>
      </c>
      <c r="H193" s="10" t="inlineStr">
        <is>
          <t>Formulario Registros de Negociaciones</t>
        </is>
      </c>
      <c r="I193" s="10" t="inlineStr">
        <is>
          <t>Archivo del área Formulario Registros de Negociaciones</t>
        </is>
      </c>
      <c r="J193" s="10" t="inlineStr">
        <is>
          <t xml:space="preserve">Jefe de Captaciones </t>
        </is>
      </c>
      <c r="K193" s="10" t="inlineStr">
        <is>
          <t xml:space="preserve">Jefe de Captaciones </t>
        </is>
      </c>
      <c r="L193" s="10" t="inlineStr">
        <is>
          <t>UBICACIÓN DIGITAL-EQUIPO DEL RESPONSABLE</t>
        </is>
      </c>
      <c r="M193" s="10" t="inlineStr">
        <is>
          <t>DISCOS DUROS, SERVIDORES, DISCOS O MEDIOS PORTÁTILES, CINTAS O MEDIOS DE VIDEO Y AUDIO, ETC.</t>
        </is>
      </c>
      <c r="N193" s="10" t="inlineStr">
        <is>
          <t>PRIMARIOS</t>
        </is>
      </c>
      <c r="O193" s="10" t="inlineStr">
        <is>
          <t>DOCUMENTOS HABILITANTES</t>
        </is>
      </c>
      <c r="P193" s="10" t="inlineStr">
        <is>
          <t>USO INTERNO(2)</t>
        </is>
      </c>
      <c r="Q193" s="10" t="inlineStr">
        <is>
          <t>MEDIA(2)</t>
        </is>
      </c>
      <c r="R193" s="10" t="inlineStr">
        <is>
          <t>BAJA(1)</t>
        </is>
      </c>
      <c r="S193" s="10">
        <f>+(IF(P193="PUBLICA(1)",1,IF(P193="USO INTERNO(2)",2,IF(P193="RESTRINGIDO(3)",3,3))))+(IF(Q193="BAJA(1)",1,IF(Q193="MEDIA(2)",2,IF(Q193="ALTA(3)",3,3))))+(IF(R193="BAJA(1)",1,IF(R193="MEDIA(2)",2,IF(R193="ALTA(3)",3,3))))</f>
        <v/>
      </c>
      <c r="T193" s="10">
        <f>+IF(S193&lt;6,"BAJA",IF(S193&lt;8,"MEDIA","ALTA"))</f>
        <v/>
      </c>
      <c r="U193" s="10" t="inlineStr">
        <is>
          <t>-</t>
        </is>
      </c>
      <c r="V193" s="24" t="n">
        <v>45595</v>
      </c>
      <c r="W193" s="19" t="inlineStr">
        <is>
          <t>N/A</t>
        </is>
      </c>
      <c r="X193" s="10">
        <f>+IFERROR(IF(VLOOKUP(Tabla2[[#This Row],[ID]],'EVALUACION DE RIESGO'!A:A,1,FALSE)=Tabla2[[#This Row],[ID]],"SI","NO"),"NO")</f>
        <v/>
      </c>
    </row>
    <row r="194">
      <c r="A194" s="91" t="inlineStr">
        <is>
          <t>13-GCA</t>
        </is>
      </c>
      <c r="B194" s="10" t="inlineStr">
        <is>
          <t>PRODUCTIVO</t>
        </is>
      </c>
      <c r="C194" s="10" t="inlineStr">
        <is>
          <t>Gestión de Captaciones</t>
        </is>
      </c>
      <c r="D194" s="10" t="inlineStr">
        <is>
          <t>GCA</t>
        </is>
      </c>
      <c r="E194" s="10" t="inlineStr">
        <is>
          <t>Depósitos a Plazo Fijo</t>
        </is>
      </c>
      <c r="F194" s="10" t="inlineStr">
        <is>
          <t>-</t>
        </is>
      </c>
      <c r="G194" s="10" t="inlineStr">
        <is>
          <t>Renovación de depósitos a plazo fijo</t>
        </is>
      </c>
      <c r="H194" s="10" t="inlineStr">
        <is>
          <t>Orden de pago</t>
        </is>
      </c>
      <c r="I194" s="10" t="inlineStr">
        <is>
          <t>Recibido de cancelación normal de depósito a plazo fijo</t>
        </is>
      </c>
      <c r="J194" s="10" t="inlineStr">
        <is>
          <t xml:space="preserve">Jefe de Captaciones </t>
        </is>
      </c>
      <c r="K194" s="10" t="inlineStr">
        <is>
          <t>Asesor de Captaciones</t>
        </is>
      </c>
      <c r="L194" s="10" t="inlineStr">
        <is>
          <t>DOCUMENTOS FISICOS-ARCHIVOS DE LA OFICINA</t>
        </is>
      </c>
      <c r="M194" s="10" t="inlineStr">
        <is>
          <t>DOCUMENTO DE ARCHIVO-FÍSICO</t>
        </is>
      </c>
      <c r="N194" s="10" t="inlineStr">
        <is>
          <t>PRIMARIOS</t>
        </is>
      </c>
      <c r="O194" s="10" t="inlineStr">
        <is>
          <t>DOCUMENTOS HABILITANTES</t>
        </is>
      </c>
      <c r="P194" s="10" t="inlineStr">
        <is>
          <t>USO INTERNO(2)</t>
        </is>
      </c>
      <c r="Q194" s="10" t="inlineStr">
        <is>
          <t>MEDIA(2)</t>
        </is>
      </c>
      <c r="R194" s="10" t="inlineStr">
        <is>
          <t>MEDIA(2)</t>
        </is>
      </c>
      <c r="S194" s="10">
        <f>+(IF(P194="PUBLICA(1)",1,IF(P194="USO INTERNO(2)",2,IF(P194="RESTRINGIDO(3)",3,3))))+(IF(Q194="BAJA(1)",1,IF(Q194="MEDIA(2)",2,IF(Q194="ALTA(3)",3,3))))+(IF(R194="BAJA(1)",1,IF(R194="MEDIA(2)",2,IF(R194="ALTA(3)",3,3))))</f>
        <v/>
      </c>
      <c r="T194" s="10">
        <f>+IF(S194&lt;6,"BAJA",IF(S194&lt;8,"MEDIA","ALTA"))</f>
        <v/>
      </c>
      <c r="U194" s="10" t="inlineStr">
        <is>
          <t>-</t>
        </is>
      </c>
      <c r="V194" s="24" t="n">
        <v>45595</v>
      </c>
      <c r="W194" s="19" t="inlineStr">
        <is>
          <t>N/A</t>
        </is>
      </c>
      <c r="X194" s="10">
        <f>+IFERROR(IF(VLOOKUP(Tabla2[[#This Row],[ID]],'EVALUACION DE RIESGO'!A:A,1,FALSE)=Tabla2[[#This Row],[ID]],"SI","NO"),"NO")</f>
        <v/>
      </c>
    </row>
    <row r="195">
      <c r="A195" s="91" t="inlineStr">
        <is>
          <t>14-GCA</t>
        </is>
      </c>
      <c r="B195" s="10" t="inlineStr">
        <is>
          <t>PRODUCTIVO</t>
        </is>
      </c>
      <c r="C195" s="10" t="inlineStr">
        <is>
          <t>Gestión de Captaciones</t>
        </is>
      </c>
      <c r="D195" s="10" t="inlineStr">
        <is>
          <t>GCA</t>
        </is>
      </c>
      <c r="E195" s="10" t="inlineStr">
        <is>
          <t>Depósitos a Plazo Fijo</t>
        </is>
      </c>
      <c r="F195" s="10" t="inlineStr">
        <is>
          <t>-</t>
        </is>
      </c>
      <c r="G195" s="10" t="inlineStr">
        <is>
          <t>Renovación de depósitos a plazo fijo</t>
        </is>
      </c>
      <c r="H195" s="10" t="inlineStr">
        <is>
          <t>Certificado de depósito a plazo fijo</t>
        </is>
      </c>
      <c r="I195" s="10" t="inlineStr">
        <is>
          <t>Certificado que se imprime para el clienta y otra idéntica que mantiene el asesor</t>
        </is>
      </c>
      <c r="J195" s="10" t="inlineStr">
        <is>
          <t xml:space="preserve">Jefe de Captaciones </t>
        </is>
      </c>
      <c r="K195" s="10" t="inlineStr">
        <is>
          <t>Supervisor Operativo el vigente y el Asesor de Captaciones las vencidas</t>
        </is>
      </c>
      <c r="L195" s="10" t="inlineStr">
        <is>
          <t>DOCUMENTOS FISICOS-ARCHIVOS DE LA OFICINA</t>
        </is>
      </c>
      <c r="M195" s="10" t="inlineStr">
        <is>
          <t>DOCUMENTO DE ARCHIVO-FÍSICO</t>
        </is>
      </c>
      <c r="N195" s="10" t="inlineStr">
        <is>
          <t>PRIMARIOS</t>
        </is>
      </c>
      <c r="O195" s="10" t="inlineStr">
        <is>
          <t>DOCUMENTOS HABILITANTES</t>
        </is>
      </c>
      <c r="P195" s="10" t="inlineStr">
        <is>
          <t>USO INTERNO(2)</t>
        </is>
      </c>
      <c r="Q195" s="10" t="inlineStr">
        <is>
          <t>MEDIA(2)</t>
        </is>
      </c>
      <c r="R195" s="10" t="inlineStr">
        <is>
          <t>ALTA(3)</t>
        </is>
      </c>
      <c r="S195" s="10">
        <f>+(IF(P195="PUBLICA(1)",1,IF(P195="USO INTERNO(2)",2,IF(P195="RESTRINGIDO(3)",3,3))))+(IF(Q195="BAJA(1)",1,IF(Q195="MEDIA(2)",2,IF(Q195="ALTA(3)",3,3))))+(IF(R195="BAJA(1)",1,IF(R195="MEDIA(2)",2,IF(R195="ALTA(3)",3,3))))</f>
        <v/>
      </c>
      <c r="T195" s="10">
        <f>+IF(S195&lt;6,"BAJA",IF(S195&lt;8,"MEDIA","ALTA"))</f>
        <v/>
      </c>
      <c r="U195" s="10" t="inlineStr">
        <is>
          <t>-</t>
        </is>
      </c>
      <c r="V195" s="24" t="n">
        <v>45595</v>
      </c>
      <c r="W195" s="19" t="inlineStr">
        <is>
          <t>N/A</t>
        </is>
      </c>
      <c r="X195" s="10">
        <f>+IFERROR(IF(VLOOKUP(Tabla2[[#This Row],[ID]],'EVALUACION DE RIESGO'!A:A,1,FALSE)=Tabla2[[#This Row],[ID]],"SI","NO"),"NO")</f>
        <v/>
      </c>
    </row>
    <row r="196">
      <c r="A196" s="91" t="inlineStr">
        <is>
          <t>15-GCA</t>
        </is>
      </c>
      <c r="B196" s="10" t="inlineStr">
        <is>
          <t>PRODUCTIVO</t>
        </is>
      </c>
      <c r="C196" s="10" t="inlineStr">
        <is>
          <t>Gestión de Captaciones</t>
        </is>
      </c>
      <c r="D196" s="10" t="inlineStr">
        <is>
          <t>GCA</t>
        </is>
      </c>
      <c r="E196" s="10" t="inlineStr">
        <is>
          <t>Depósitos a Plazo Fijo</t>
        </is>
      </c>
      <c r="F196" s="10" t="inlineStr">
        <is>
          <t>-</t>
        </is>
      </c>
      <c r="G196" s="10" t="inlineStr">
        <is>
          <t>Renovación de depósitos a plazo fijo</t>
        </is>
      </c>
      <c r="H196" s="10" t="inlineStr">
        <is>
          <t xml:space="preserve">Certificación de información. </t>
        </is>
      </c>
      <c r="I196" s="10" t="inlineStr">
        <is>
          <t>Certificado de información que se realiza cuando se actualizan los datos del socio</t>
        </is>
      </c>
      <c r="J196" s="10" t="inlineStr">
        <is>
          <t xml:space="preserve">Jefe de Captaciones </t>
        </is>
      </c>
      <c r="K196" s="10" t="inlineStr">
        <is>
          <t>Supervisor Operativo el vigente y el Asesor de Captaciones las vencidas</t>
        </is>
      </c>
      <c r="L196" s="10" t="inlineStr">
        <is>
          <t>DOCUMENTOS FISICOS-ARCHIVOS DE LA OFICINA</t>
        </is>
      </c>
      <c r="M196" s="10" t="inlineStr">
        <is>
          <t>DOCUMENTO DE ARCHIVO-FÍSICO</t>
        </is>
      </c>
      <c r="N196" s="10" t="inlineStr">
        <is>
          <t>PRIMARIOS</t>
        </is>
      </c>
      <c r="O196" s="10" t="inlineStr">
        <is>
          <t>DOCUMENTOS HABILITANTES</t>
        </is>
      </c>
      <c r="P196" s="10" t="inlineStr">
        <is>
          <t>USO INTERNO(2)</t>
        </is>
      </c>
      <c r="Q196" s="10" t="inlineStr">
        <is>
          <t>MEDIA(2)</t>
        </is>
      </c>
      <c r="R196" s="10" t="inlineStr">
        <is>
          <t>MEDIA(2)</t>
        </is>
      </c>
      <c r="S196" s="10">
        <f>+(IF(P196="PUBLICA(1)",1,IF(P196="USO INTERNO(2)",2,IF(P196="RESTRINGIDO(3)",3,3))))+(IF(Q196="BAJA(1)",1,IF(Q196="MEDIA(2)",2,IF(Q196="ALTA(3)",3,3))))+(IF(R196="BAJA(1)",1,IF(R196="MEDIA(2)",2,IF(R196="ALTA(3)",3,3))))</f>
        <v/>
      </c>
      <c r="T196" s="10">
        <f>+IF(S196&lt;6,"BAJA",IF(S196&lt;8,"MEDIA","ALTA"))</f>
        <v/>
      </c>
      <c r="U196" s="10" t="inlineStr">
        <is>
          <t>-</t>
        </is>
      </c>
      <c r="V196" s="24" t="n">
        <v>45595</v>
      </c>
      <c r="W196" s="19" t="inlineStr">
        <is>
          <t>N/A</t>
        </is>
      </c>
      <c r="X196" s="10">
        <f>+IFERROR(IF(VLOOKUP(Tabla2[[#This Row],[ID]],'EVALUACION DE RIESGO'!A:A,1,FALSE)=Tabla2[[#This Row],[ID]],"SI","NO"),"NO")</f>
        <v/>
      </c>
    </row>
    <row r="197">
      <c r="A197" s="91" t="inlineStr">
        <is>
          <t>16-GCA</t>
        </is>
      </c>
      <c r="B197" s="10" t="inlineStr">
        <is>
          <t>PRODUCTIVO</t>
        </is>
      </c>
      <c r="C197" s="10" t="inlineStr">
        <is>
          <t>Gestión de Captaciones</t>
        </is>
      </c>
      <c r="D197" s="10" t="inlineStr">
        <is>
          <t>GCA</t>
        </is>
      </c>
      <c r="E197" s="10" t="inlineStr">
        <is>
          <t>Depósitos a Plazo Fijo</t>
        </is>
      </c>
      <c r="F197" s="10" t="inlineStr">
        <is>
          <t>-</t>
        </is>
      </c>
      <c r="G197" s="10" t="inlineStr">
        <is>
          <t>Renovación de depósitos a plazo fijo</t>
        </is>
      </c>
      <c r="H197" s="10" t="inlineStr">
        <is>
          <t>File digital.</t>
        </is>
      </c>
      <c r="I197" s="10" t="inlineStr">
        <is>
          <t>Documentación que se escanea y se sube al Core financiero</t>
        </is>
      </c>
      <c r="J197" s="10" t="inlineStr">
        <is>
          <t xml:space="preserve">Jefe de Captaciones </t>
        </is>
      </c>
      <c r="K197" s="10" t="inlineStr">
        <is>
          <t xml:space="preserve">Jefe de Captaciones </t>
        </is>
      </c>
      <c r="L197" s="10" t="inlineStr">
        <is>
          <t>UBICACIÓN DIGITAL-CORE FINANCIERO</t>
        </is>
      </c>
      <c r="M197" s="10" t="inlineStr">
        <is>
          <t>SISTEMA DE ADMINISTRACIÓN DE DOCUMENTOS</t>
        </is>
      </c>
      <c r="N197" s="10" t="inlineStr">
        <is>
          <t>PRIMARIOS</t>
        </is>
      </c>
      <c r="O197" s="10" t="inlineStr">
        <is>
          <t>INFORMACIÓN DE SOCIOS Y CLIENTES</t>
        </is>
      </c>
      <c r="P197" s="10" t="inlineStr">
        <is>
          <t>USO INTERNO(2)</t>
        </is>
      </c>
      <c r="Q197" s="10" t="inlineStr">
        <is>
          <t>MEDIA(2)</t>
        </is>
      </c>
      <c r="R197" s="10" t="inlineStr">
        <is>
          <t>MEDIA(2)</t>
        </is>
      </c>
      <c r="S197" s="10">
        <f>+(IF(P197="PUBLICA(1)",1,IF(P197="USO INTERNO(2)",2,IF(P197="RESTRINGIDO(3)",3,3))))+(IF(Q197="BAJA(1)",1,IF(Q197="MEDIA(2)",2,IF(Q197="ALTA(3)",3,3))))+(IF(R197="BAJA(1)",1,IF(R197="MEDIA(2)",2,IF(R197="ALTA(3)",3,3))))</f>
        <v/>
      </c>
      <c r="T197" s="10">
        <f>+IF(S197&lt;6,"BAJA",IF(S197&lt;8,"MEDIA","ALTA"))</f>
        <v/>
      </c>
      <c r="U197" s="10" t="inlineStr">
        <is>
          <t>-</t>
        </is>
      </c>
      <c r="V197" s="24" t="n">
        <v>45595</v>
      </c>
      <c r="W197" s="19" t="inlineStr">
        <is>
          <t>N/A</t>
        </is>
      </c>
      <c r="X197" s="10">
        <f>+IFERROR(IF(VLOOKUP(Tabla2[[#This Row],[ID]],'EVALUACION DE RIESGO'!A:A,1,FALSE)=Tabla2[[#This Row],[ID]],"SI","NO"),"NO")</f>
        <v/>
      </c>
    </row>
    <row r="198">
      <c r="A198" s="91" t="inlineStr">
        <is>
          <t>17-GCA</t>
        </is>
      </c>
      <c r="B198" s="10" t="inlineStr">
        <is>
          <t>PRODUCTIVO</t>
        </is>
      </c>
      <c r="C198" s="10" t="inlineStr">
        <is>
          <t>Gestión de Captaciones</t>
        </is>
      </c>
      <c r="D198" s="10" t="inlineStr">
        <is>
          <t>GCA</t>
        </is>
      </c>
      <c r="E198" s="10" t="inlineStr">
        <is>
          <t>Depósitos a Plazo Fijo</t>
        </is>
      </c>
      <c r="F198" s="10" t="inlineStr">
        <is>
          <t>-</t>
        </is>
      </c>
      <c r="G198" s="10" t="inlineStr">
        <is>
          <t>Cancelación anticipada de depósitos a plazo fijo</t>
        </is>
      </c>
      <c r="H198" s="10" t="inlineStr">
        <is>
          <t>Solicitud de cancelación anticipada</t>
        </is>
      </c>
      <c r="I198" s="10" t="inlineStr">
        <is>
          <t>Solicitud que el socio realiza para realizar la operación</t>
        </is>
      </c>
      <c r="J198" s="10" t="inlineStr">
        <is>
          <t xml:space="preserve">Jefe de Captaciones </t>
        </is>
      </c>
      <c r="K198" s="10" t="inlineStr">
        <is>
          <t>Asesor de Captaciones</t>
        </is>
      </c>
      <c r="L198" s="10" t="inlineStr">
        <is>
          <t>DOCUMENTOS FISICOS-ARCHIVOS DE LA OFICINA</t>
        </is>
      </c>
      <c r="M198" s="10" t="inlineStr">
        <is>
          <t>DOCUMENTO DE ARCHIVO-FÍSICO</t>
        </is>
      </c>
      <c r="N198" s="10" t="inlineStr">
        <is>
          <t>PRIMARIOS</t>
        </is>
      </c>
      <c r="O198" s="10" t="inlineStr">
        <is>
          <t>DOCUMENTOS HABILITANTES</t>
        </is>
      </c>
      <c r="P198" s="10" t="inlineStr">
        <is>
          <t>USO INTERNO(2)</t>
        </is>
      </c>
      <c r="Q198" s="10" t="inlineStr">
        <is>
          <t>MEDIA(2)</t>
        </is>
      </c>
      <c r="R198" s="10" t="inlineStr">
        <is>
          <t>MEDIA(2)</t>
        </is>
      </c>
      <c r="S198" s="10">
        <f>+(IF(P198="PUBLICA(1)",1,IF(P198="USO INTERNO(2)",2,IF(P198="RESTRINGIDO(3)",3,3))))+(IF(Q198="BAJA(1)",1,IF(Q198="MEDIA(2)",2,IF(Q198="ALTA(3)",3,3))))+(IF(R198="BAJA(1)",1,IF(R198="MEDIA(2)",2,IF(R198="ALTA(3)",3,3))))</f>
        <v/>
      </c>
      <c r="T198" s="10">
        <f>+IF(S198&lt;6,"BAJA",IF(S198&lt;8,"MEDIA","ALTA"))</f>
        <v/>
      </c>
      <c r="U198" s="10" t="inlineStr">
        <is>
          <t>-</t>
        </is>
      </c>
      <c r="V198" s="24" t="n">
        <v>45595</v>
      </c>
      <c r="W198" s="19" t="inlineStr">
        <is>
          <t>N/A</t>
        </is>
      </c>
      <c r="X198" s="10">
        <f>+IFERROR(IF(VLOOKUP(Tabla2[[#This Row],[ID]],'EVALUACION DE RIESGO'!A:A,1,FALSE)=Tabla2[[#This Row],[ID]],"SI","NO"),"NO")</f>
        <v/>
      </c>
    </row>
    <row r="199">
      <c r="A199" s="91" t="inlineStr">
        <is>
          <t>18-GCA</t>
        </is>
      </c>
      <c r="B199" s="10" t="inlineStr">
        <is>
          <t>PRODUCTIVO</t>
        </is>
      </c>
      <c r="C199" s="10" t="inlineStr">
        <is>
          <t>Gestión de Captaciones</t>
        </is>
      </c>
      <c r="D199" s="10" t="inlineStr">
        <is>
          <t>GCA</t>
        </is>
      </c>
      <c r="E199" s="10" t="inlineStr">
        <is>
          <t>Depósitos a Plazo Fijo</t>
        </is>
      </c>
      <c r="F199" s="10" t="inlineStr">
        <is>
          <t>-</t>
        </is>
      </c>
      <c r="G199" s="10" t="inlineStr">
        <is>
          <t>Cancelación de depósitos a plazo fijo</t>
        </is>
      </c>
      <c r="H199" s="10" t="inlineStr">
        <is>
          <t>Orden de pago.</t>
        </is>
      </c>
      <c r="I199" s="10" t="inlineStr">
        <is>
          <t>Recibido de cancelación normal de depósito a plazo fijo</t>
        </is>
      </c>
      <c r="J199" s="10" t="inlineStr">
        <is>
          <t xml:space="preserve">Jefe de Captaciones </t>
        </is>
      </c>
      <c r="K199" s="10" t="inlineStr">
        <is>
          <t>Asesor de Captaciones</t>
        </is>
      </c>
      <c r="L199" s="10" t="inlineStr">
        <is>
          <t>DOCUMENTOS FISICOS-ARCHIVOS DE LA OFICINA</t>
        </is>
      </c>
      <c r="M199" s="10" t="inlineStr">
        <is>
          <t>DOCUMENTO DE ARCHIVO-FÍSICO</t>
        </is>
      </c>
      <c r="N199" s="10" t="inlineStr">
        <is>
          <t>PRIMARIOS</t>
        </is>
      </c>
      <c r="O199" s="10" t="inlineStr">
        <is>
          <t>DOCUMENTOS HABILITANTES</t>
        </is>
      </c>
      <c r="P199" s="10" t="inlineStr">
        <is>
          <t>USO INTERNO(2)</t>
        </is>
      </c>
      <c r="Q199" s="10" t="inlineStr">
        <is>
          <t>MEDIA(2)</t>
        </is>
      </c>
      <c r="R199" s="10" t="inlineStr">
        <is>
          <t>MEDIA(2)</t>
        </is>
      </c>
      <c r="S199" s="10">
        <f>+(IF(P199="PUBLICA(1)",1,IF(P199="USO INTERNO(2)",2,IF(P199="RESTRINGIDO(3)",3,3))))+(IF(Q199="BAJA(1)",1,IF(Q199="MEDIA(2)",2,IF(Q199="ALTA(3)",3,3))))+(IF(R199="BAJA(1)",1,IF(R199="MEDIA(2)",2,IF(R199="ALTA(3)",3,3))))</f>
        <v/>
      </c>
      <c r="T199" s="10">
        <f>+IF(S199&lt;6,"BAJA",IF(S199&lt;8,"MEDIA","ALTA"))</f>
        <v/>
      </c>
      <c r="U199" s="10" t="inlineStr">
        <is>
          <t>-</t>
        </is>
      </c>
      <c r="V199" s="24" t="n">
        <v>45595</v>
      </c>
      <c r="W199" s="19" t="inlineStr">
        <is>
          <t>N/A</t>
        </is>
      </c>
      <c r="X199" s="10">
        <f>+IFERROR(IF(VLOOKUP(Tabla2[[#This Row],[ID]],'EVALUACION DE RIESGO'!A:A,1,FALSE)=Tabla2[[#This Row],[ID]],"SI","NO"),"NO")</f>
        <v/>
      </c>
    </row>
    <row r="200">
      <c r="A200" s="91" t="inlineStr">
        <is>
          <t>19-GCA</t>
        </is>
      </c>
      <c r="B200" s="10" t="inlineStr">
        <is>
          <t>PRODUCTIVO</t>
        </is>
      </c>
      <c r="C200" s="10" t="inlineStr">
        <is>
          <t>Gestión de Captaciones</t>
        </is>
      </c>
      <c r="D200" s="10" t="inlineStr">
        <is>
          <t>GCA</t>
        </is>
      </c>
      <c r="E200" s="10" t="inlineStr">
        <is>
          <t>Depósitos a Plazo Fijo</t>
        </is>
      </c>
      <c r="F200" s="10" t="inlineStr">
        <is>
          <t>-</t>
        </is>
      </c>
      <c r="G200" s="10" t="inlineStr">
        <is>
          <t>Cancelación de depósitos a plazo fijo</t>
        </is>
      </c>
      <c r="H200" s="10" t="inlineStr">
        <is>
          <t>Solicitud de transferencia
bancaria.</t>
        </is>
      </c>
      <c r="I200" s="10" t="inlineStr">
        <is>
          <t>Formato de solicitud de transferencia bancar del socio</t>
        </is>
      </c>
      <c r="J200" s="10" t="inlineStr">
        <is>
          <t xml:space="preserve">Jefe de Captaciones </t>
        </is>
      </c>
      <c r="K200" s="10" t="inlineStr">
        <is>
          <t xml:space="preserve">Supervisor Operativo </t>
        </is>
      </c>
      <c r="L200" s="10" t="inlineStr">
        <is>
          <t>DOCUMENTOS FISICOS-ARCHIVOS DE LA OFICINA</t>
        </is>
      </c>
      <c r="M200" s="10" t="inlineStr">
        <is>
          <t>DOCUMENTO DE ARCHIVO-FÍSICO</t>
        </is>
      </c>
      <c r="N200" s="10" t="inlineStr">
        <is>
          <t>PRIMARIOS</t>
        </is>
      </c>
      <c r="O200" s="10" t="inlineStr">
        <is>
          <t>DOCUMENTOS HABILITANTES</t>
        </is>
      </c>
      <c r="P200" s="10" t="inlineStr">
        <is>
          <t>PUBLICA(1)</t>
        </is>
      </c>
      <c r="Q200" s="10" t="inlineStr">
        <is>
          <t>MEDIA(2)</t>
        </is>
      </c>
      <c r="R200" s="10" t="inlineStr">
        <is>
          <t>MEDIA(2)</t>
        </is>
      </c>
      <c r="S200" s="10">
        <f>+(IF(P200="PUBLICA(1)",1,IF(P200="USO INTERNO(2)",2,IF(P200="RESTRINGIDO(3)",3,3))))+(IF(Q200="BAJA(1)",1,IF(Q200="MEDIA(2)",2,IF(Q200="ALTA(3)",3,3))))+(IF(R200="BAJA(1)",1,IF(R200="MEDIA(2)",2,IF(R200="ALTA(3)",3,3))))</f>
        <v/>
      </c>
      <c r="T200" s="10">
        <f>+IF(S200&lt;6,"BAJA",IF(S200&lt;8,"MEDIA","ALTA"))</f>
        <v/>
      </c>
      <c r="U200" s="10" t="inlineStr">
        <is>
          <t>-</t>
        </is>
      </c>
      <c r="V200" s="24" t="n">
        <v>45595</v>
      </c>
      <c r="W200" s="19" t="inlineStr">
        <is>
          <t>N/A</t>
        </is>
      </c>
      <c r="X200" s="10">
        <f>+IFERROR(IF(VLOOKUP(Tabla2[[#This Row],[ID]],'EVALUACION DE RIESGO'!A:A,1,FALSE)=Tabla2[[#This Row],[ID]],"SI","NO"),"NO")</f>
        <v/>
      </c>
    </row>
    <row r="201">
      <c r="A201" s="91" t="inlineStr">
        <is>
          <t>20-GCA</t>
        </is>
      </c>
      <c r="B201" s="10" t="inlineStr">
        <is>
          <t>PRODUCTIVO</t>
        </is>
      </c>
      <c r="C201" s="10" t="inlineStr">
        <is>
          <t>Gestión de Captaciones</t>
        </is>
      </c>
      <c r="D201" s="10" t="inlineStr">
        <is>
          <t>GCA</t>
        </is>
      </c>
      <c r="E201" s="10" t="inlineStr">
        <is>
          <t>Depósitos a Plazo Fijo</t>
        </is>
      </c>
      <c r="F201" s="10" t="inlineStr">
        <is>
          <t>-</t>
        </is>
      </c>
      <c r="G201" s="10" t="inlineStr">
        <is>
          <t xml:space="preserve">Modificación de cotitulares y/o forma de pago     </t>
        </is>
      </c>
      <c r="H201" s="10" t="inlineStr">
        <is>
          <t xml:space="preserve">Formulario de modificación 
de cotitular. </t>
        </is>
      </c>
      <c r="I201" s="10" t="inlineStr">
        <is>
          <t>Documento que se genera para la actualización</t>
        </is>
      </c>
      <c r="J201" s="10" t="inlineStr">
        <is>
          <t xml:space="preserve">Jefe de Captaciones </t>
        </is>
      </c>
      <c r="K201" s="10" t="inlineStr">
        <is>
          <t>Asesor de Captaciones</t>
        </is>
      </c>
      <c r="L201" s="10" t="inlineStr">
        <is>
          <t>DOCUMENTOS FISICOS-ARCHIVOS DE LA OFICINA</t>
        </is>
      </c>
      <c r="M201" s="10" t="inlineStr">
        <is>
          <t>DOCUMENTO DE ARCHIVO-FÍSICO</t>
        </is>
      </c>
      <c r="N201" s="10" t="inlineStr">
        <is>
          <t>PRIMARIOS</t>
        </is>
      </c>
      <c r="O201" s="10" t="inlineStr">
        <is>
          <t>DOCUMENTOS HABILITANTES</t>
        </is>
      </c>
      <c r="P201" s="10" t="inlineStr">
        <is>
          <t>USO INTERNO(2)</t>
        </is>
      </c>
      <c r="Q201" s="10" t="inlineStr">
        <is>
          <t>MEDIA(2)</t>
        </is>
      </c>
      <c r="R201" s="10" t="inlineStr">
        <is>
          <t>MEDIA(2)</t>
        </is>
      </c>
      <c r="S201" s="10">
        <f>+(IF(P201="PUBLICA(1)",1,IF(P201="USO INTERNO(2)",2,IF(P201="RESTRINGIDO(3)",3,3))))+(IF(Q201="BAJA(1)",1,IF(Q201="MEDIA(2)",2,IF(Q201="ALTA(3)",3,3))))+(IF(R201="BAJA(1)",1,IF(R201="MEDIA(2)",2,IF(R201="ALTA(3)",3,3))))</f>
        <v/>
      </c>
      <c r="T201" s="10">
        <f>+IF(S201&lt;6,"BAJA",IF(S201&lt;8,"MEDIA","ALTA"))</f>
        <v/>
      </c>
      <c r="U201" s="10" t="inlineStr">
        <is>
          <t>-</t>
        </is>
      </c>
      <c r="V201" s="24" t="n">
        <v>45595</v>
      </c>
      <c r="W201" s="19" t="inlineStr">
        <is>
          <t>N/A</t>
        </is>
      </c>
      <c r="X201" s="10">
        <f>+IFERROR(IF(VLOOKUP(Tabla2[[#This Row],[ID]],'EVALUACION DE RIESGO'!A:A,1,FALSE)=Tabla2[[#This Row],[ID]],"SI","NO"),"NO")</f>
        <v/>
      </c>
    </row>
    <row r="202">
      <c r="A202" s="91" t="inlineStr">
        <is>
          <t>21-GCA</t>
        </is>
      </c>
      <c r="B202" s="10" t="inlineStr">
        <is>
          <t>PRODUCTIVO</t>
        </is>
      </c>
      <c r="C202" s="10" t="inlineStr">
        <is>
          <t>Gestión de Captaciones</t>
        </is>
      </c>
      <c r="D202" s="10" t="inlineStr">
        <is>
          <t>GCA</t>
        </is>
      </c>
      <c r="E202" s="10" t="inlineStr">
        <is>
          <t>Depósitos a Plazo Fijo</t>
        </is>
      </c>
      <c r="F202" s="10" t="inlineStr">
        <is>
          <t>-</t>
        </is>
      </c>
      <c r="G202" s="10" t="inlineStr">
        <is>
          <t xml:space="preserve">Modificación de cotitulares y/o forma de pago     </t>
        </is>
      </c>
      <c r="H202" s="10" t="inlineStr">
        <is>
          <t>Formulario de modificación 
de forma de pago de
intereses.</t>
        </is>
      </c>
      <c r="I202" s="10" t="inlineStr">
        <is>
          <t>Formulario que especifica el cambio de pago de intereses por el cliente</t>
        </is>
      </c>
      <c r="J202" s="10" t="inlineStr">
        <is>
          <t xml:space="preserve">Jefe de Captaciones </t>
        </is>
      </c>
      <c r="K202" s="10" t="inlineStr">
        <is>
          <t>Asesor de Captaciones</t>
        </is>
      </c>
      <c r="L202" s="10" t="inlineStr">
        <is>
          <t>DOCUMENTOS FISICOS-ARCHIVOS DE LA OFICINA</t>
        </is>
      </c>
      <c r="M202" s="10" t="inlineStr">
        <is>
          <t>DOCUMENTO DE ARCHIVO-FÍSICO</t>
        </is>
      </c>
      <c r="N202" s="10" t="inlineStr">
        <is>
          <t>PRIMARIOS</t>
        </is>
      </c>
      <c r="O202" s="10" t="inlineStr">
        <is>
          <t>DOCUMENTOS HABILITANTES</t>
        </is>
      </c>
      <c r="P202" s="10" t="inlineStr">
        <is>
          <t>PUBLICA(1)</t>
        </is>
      </c>
      <c r="Q202" s="10" t="inlineStr">
        <is>
          <t>MEDIA(2)</t>
        </is>
      </c>
      <c r="R202" s="10" t="inlineStr">
        <is>
          <t>MEDIA(2)</t>
        </is>
      </c>
      <c r="S202" s="10">
        <f>+(IF(P202="PUBLICA(1)",1,IF(P202="USO INTERNO(2)",2,IF(P202="RESTRINGIDO(3)",3,3))))+(IF(Q202="BAJA(1)",1,IF(Q202="MEDIA(2)",2,IF(Q202="ALTA(3)",3,3))))+(IF(R202="BAJA(1)",1,IF(R202="MEDIA(2)",2,IF(R202="ALTA(3)",3,3))))</f>
        <v/>
      </c>
      <c r="T202" s="10">
        <f>+IF(S202&lt;6,"BAJA",IF(S202&lt;8,"MEDIA","ALTA"))</f>
        <v/>
      </c>
      <c r="U202" s="10" t="inlineStr">
        <is>
          <t>-</t>
        </is>
      </c>
      <c r="V202" s="24" t="n">
        <v>45595</v>
      </c>
      <c r="W202" s="19" t="inlineStr">
        <is>
          <t>N/A</t>
        </is>
      </c>
      <c r="X202" s="10">
        <f>+IFERROR(IF(VLOOKUP(Tabla2[[#This Row],[ID]],'EVALUACION DE RIESGO'!A:A,1,FALSE)=Tabla2[[#This Row],[ID]],"SI","NO"),"NO")</f>
        <v/>
      </c>
    </row>
    <row r="203">
      <c r="A203" s="91" t="inlineStr">
        <is>
          <t>22-GCA</t>
        </is>
      </c>
      <c r="B203" s="10" t="inlineStr">
        <is>
          <t>PRODUCTIVO</t>
        </is>
      </c>
      <c r="C203" s="10" t="inlineStr">
        <is>
          <t>Gestión de Captaciones</t>
        </is>
      </c>
      <c r="D203" s="10" t="inlineStr">
        <is>
          <t>GCA</t>
        </is>
      </c>
      <c r="E203" s="10" t="inlineStr">
        <is>
          <t>Depósitos a Plazo Fijo</t>
        </is>
      </c>
      <c r="F203" s="10" t="inlineStr">
        <is>
          <t>-</t>
        </is>
      </c>
      <c r="G203" s="10" t="inlineStr">
        <is>
          <t xml:space="preserve">Modificación de cotitulares y/o forma de pago     </t>
        </is>
      </c>
      <c r="H203" s="10" t="inlineStr">
        <is>
          <t>Certificado de depósito a plazo fijo</t>
        </is>
      </c>
      <c r="I203" s="10" t="inlineStr">
        <is>
          <t>Certificado que se imprime para el clienta y otra idéntica que mantiene el asesor</t>
        </is>
      </c>
      <c r="J203" s="10" t="inlineStr">
        <is>
          <t xml:space="preserve">Jefe de Captaciones </t>
        </is>
      </c>
      <c r="K203" s="10" t="inlineStr">
        <is>
          <t>Supervisor Operativo el vigente y el Asesor de Captaciones las vencidas</t>
        </is>
      </c>
      <c r="L203" s="10" t="inlineStr">
        <is>
          <t>DOCUMENTOS FISICOS-ARCHIVOS DE LA OFICINA</t>
        </is>
      </c>
      <c r="M203" s="10" t="inlineStr">
        <is>
          <t>DOCUMENTO DE ARCHIVO-FÍSICO</t>
        </is>
      </c>
      <c r="N203" s="10" t="inlineStr">
        <is>
          <t>PRIMARIOS</t>
        </is>
      </c>
      <c r="O203" s="10" t="inlineStr">
        <is>
          <t>DOCUMENTOS HABILITANTES</t>
        </is>
      </c>
      <c r="P203" s="10" t="inlineStr">
        <is>
          <t>USO INTERNO(2)</t>
        </is>
      </c>
      <c r="Q203" s="10" t="inlineStr">
        <is>
          <t>MEDIA(2)</t>
        </is>
      </c>
      <c r="R203" s="10" t="inlineStr">
        <is>
          <t>ALTA(3)</t>
        </is>
      </c>
      <c r="S203" s="10">
        <f>+(IF(P203="PUBLICA(1)",1,IF(P203="USO INTERNO(2)",2,IF(P203="RESTRINGIDO(3)",3,3))))+(IF(Q203="BAJA(1)",1,IF(Q203="MEDIA(2)",2,IF(Q203="ALTA(3)",3,3))))+(IF(R203="BAJA(1)",1,IF(R203="MEDIA(2)",2,IF(R203="ALTA(3)",3,3))))</f>
        <v/>
      </c>
      <c r="T203" s="10">
        <f>+IF(S203&lt;6,"BAJA",IF(S203&lt;8,"MEDIA","ALTA"))</f>
        <v/>
      </c>
      <c r="U203" s="10" t="inlineStr">
        <is>
          <t>-</t>
        </is>
      </c>
      <c r="V203" s="24" t="n">
        <v>45595</v>
      </c>
      <c r="W203" s="19" t="inlineStr">
        <is>
          <t>N/A</t>
        </is>
      </c>
      <c r="X203" s="10">
        <f>+IFERROR(IF(VLOOKUP(Tabla2[[#This Row],[ID]],'EVALUACION DE RIESGO'!A:A,1,FALSE)=Tabla2[[#This Row],[ID]],"SI","NO"),"NO")</f>
        <v/>
      </c>
    </row>
    <row r="204">
      <c r="A204" s="91" t="inlineStr">
        <is>
          <t>23-GCA</t>
        </is>
      </c>
      <c r="B204" s="10" t="inlineStr">
        <is>
          <t>PRODUCTIVO</t>
        </is>
      </c>
      <c r="C204" s="10" t="inlineStr">
        <is>
          <t>Gestión de Captaciones</t>
        </is>
      </c>
      <c r="D204" s="10" t="inlineStr">
        <is>
          <t>GCA</t>
        </is>
      </c>
      <c r="E204" s="10" t="inlineStr">
        <is>
          <t>Depósitos a Plazo Fijo</t>
        </is>
      </c>
      <c r="F204" s="10" t="inlineStr">
        <is>
          <t>-</t>
        </is>
      </c>
      <c r="G204" s="10" t="inlineStr">
        <is>
          <t xml:space="preserve">Cesión de derechos de depósito a plazo fijo personas naturales y jurídicas </t>
        </is>
      </c>
      <c r="H204" s="10" t="inlineStr">
        <is>
          <t>Solicitud de cancelación
anticipada</t>
        </is>
      </c>
      <c r="I204" s="10" t="inlineStr">
        <is>
          <t>Solicitud que el socio realiza para realizar la operación</t>
        </is>
      </c>
      <c r="J204" s="10" t="inlineStr">
        <is>
          <t xml:space="preserve">Jefe de Captaciones </t>
        </is>
      </c>
      <c r="K204" s="10" t="inlineStr">
        <is>
          <t>Asesor de Captaciones</t>
        </is>
      </c>
      <c r="L204" s="10" t="inlineStr">
        <is>
          <t>DOCUMENTOS FISICOS-ARCHIVOS DE LA OFICINA</t>
        </is>
      </c>
      <c r="M204" s="10" t="inlineStr">
        <is>
          <t>DOCUMENTO DE ARCHIVO-FÍSICO</t>
        </is>
      </c>
      <c r="N204" s="10" t="inlineStr">
        <is>
          <t>PRIMARIOS</t>
        </is>
      </c>
      <c r="O204" s="10" t="inlineStr">
        <is>
          <t>DOCUMENTOS HABILITANTES</t>
        </is>
      </c>
      <c r="P204" s="10" t="inlineStr">
        <is>
          <t>PUBLICA(1)</t>
        </is>
      </c>
      <c r="Q204" s="10" t="inlineStr">
        <is>
          <t>MEDIA(2)</t>
        </is>
      </c>
      <c r="R204" s="10" t="inlineStr">
        <is>
          <t>MEDIA(2)</t>
        </is>
      </c>
      <c r="S204" s="10">
        <f>+(IF(P204="PUBLICA(1)",1,IF(P204="USO INTERNO(2)",2,IF(P204="RESTRINGIDO(3)",3,3))))+(IF(Q204="BAJA(1)",1,IF(Q204="MEDIA(2)",2,IF(Q204="ALTA(3)",3,3))))+(IF(R204="BAJA(1)",1,IF(R204="MEDIA(2)",2,IF(R204="ALTA(3)",3,3))))</f>
        <v/>
      </c>
      <c r="T204" s="10">
        <f>+IF(S204&lt;6,"BAJA",IF(S204&lt;8,"MEDIA","ALTA"))</f>
        <v/>
      </c>
      <c r="U204" s="10" t="inlineStr">
        <is>
          <t>-</t>
        </is>
      </c>
      <c r="V204" s="24" t="n">
        <v>45595</v>
      </c>
      <c r="W204" s="19" t="inlineStr">
        <is>
          <t>N/A</t>
        </is>
      </c>
      <c r="X204" s="10">
        <f>+IFERROR(IF(VLOOKUP(Tabla2[[#This Row],[ID]],'EVALUACION DE RIESGO'!A:A,1,FALSE)=Tabla2[[#This Row],[ID]],"SI","NO"),"NO")</f>
        <v/>
      </c>
    </row>
    <row r="205">
      <c r="A205" s="91" t="inlineStr">
        <is>
          <t>24-GCA</t>
        </is>
      </c>
      <c r="B205" s="10" t="inlineStr">
        <is>
          <t>PRODUCTIVO</t>
        </is>
      </c>
      <c r="C205" s="10" t="inlineStr">
        <is>
          <t>Gestión de Captaciones</t>
        </is>
      </c>
      <c r="D205" s="10" t="inlineStr">
        <is>
          <t>GCA</t>
        </is>
      </c>
      <c r="E205" s="10" t="inlineStr">
        <is>
          <t>Depósitos a Plazo Fijo</t>
        </is>
      </c>
      <c r="F205" s="10" t="inlineStr">
        <is>
          <t>-</t>
        </is>
      </c>
      <c r="G205" s="10" t="inlineStr">
        <is>
          <t>Reverso, Anulación y reimpresión de depósitos a plazo fijo</t>
        </is>
      </c>
      <c r="H205" s="10" t="inlineStr">
        <is>
          <t>Formulario de reversos, anulación y reimpresión.</t>
        </is>
      </c>
      <c r="I205" s="10" t="inlineStr">
        <is>
          <t>Documento que se comparte por correo para solicitar el reverso, anulación y reimpresión</t>
        </is>
      </c>
      <c r="J205" s="10" t="inlineStr">
        <is>
          <t xml:space="preserve">Jefe de Captaciones </t>
        </is>
      </c>
      <c r="K205" s="10" t="inlineStr">
        <is>
          <t>Asesor de Captaciones</t>
        </is>
      </c>
      <c r="L205" s="10" t="inlineStr">
        <is>
          <t>DOCUMENTOS FISICOS-ARCHIVOS DE LA OFICINA</t>
        </is>
      </c>
      <c r="M205" s="10" t="inlineStr">
        <is>
          <t>DOCUMENTO DE ARCHIVO-FÍSICO</t>
        </is>
      </c>
      <c r="N205" s="10" t="inlineStr">
        <is>
          <t>PRIMARIOS</t>
        </is>
      </c>
      <c r="O205" s="10" t="inlineStr">
        <is>
          <t>COMUNICACIÓN INTERNA</t>
        </is>
      </c>
      <c r="P205" s="10" t="inlineStr">
        <is>
          <t>USO INTERNO(2)</t>
        </is>
      </c>
      <c r="Q205" s="10" t="inlineStr">
        <is>
          <t>MEDIA(2)</t>
        </is>
      </c>
      <c r="R205" s="10" t="inlineStr">
        <is>
          <t>MEDIA(2)</t>
        </is>
      </c>
      <c r="S205" s="10">
        <f>+(IF(P205="PUBLICA(1)",1,IF(P205="USO INTERNO(2)",2,IF(P205="RESTRINGIDO(3)",3,3))))+(IF(Q205="BAJA(1)",1,IF(Q205="MEDIA(2)",2,IF(Q205="ALTA(3)",3,3))))+(IF(R205="BAJA(1)",1,IF(R205="MEDIA(2)",2,IF(R205="ALTA(3)",3,3))))</f>
        <v/>
      </c>
      <c r="T205" s="10">
        <f>+IF(S205&lt;6,"BAJA",IF(S205&lt;8,"MEDIA","ALTA"))</f>
        <v/>
      </c>
      <c r="U205" s="10" t="inlineStr">
        <is>
          <t>-</t>
        </is>
      </c>
      <c r="V205" s="24" t="n">
        <v>45595</v>
      </c>
      <c r="W205" s="19" t="inlineStr">
        <is>
          <t>N/A</t>
        </is>
      </c>
      <c r="X205" s="10">
        <f>+IFERROR(IF(VLOOKUP(Tabla2[[#This Row],[ID]],'EVALUACION DE RIESGO'!A:A,1,FALSE)=Tabla2[[#This Row],[ID]],"SI","NO"),"NO")</f>
        <v/>
      </c>
    </row>
    <row r="206">
      <c r="A206" s="91" t="inlineStr">
        <is>
          <t>25-GCA</t>
        </is>
      </c>
      <c r="B206" s="10" t="inlineStr">
        <is>
          <t>PRODUCTIVO</t>
        </is>
      </c>
      <c r="C206" s="10" t="inlineStr">
        <is>
          <t>Gestión de Captaciones</t>
        </is>
      </c>
      <c r="D206" s="10" t="inlineStr">
        <is>
          <t>GCA</t>
        </is>
      </c>
      <c r="E206" s="10" t="inlineStr">
        <is>
          <t>Depósitos a Plazo Fijo</t>
        </is>
      </c>
      <c r="F206" s="10" t="inlineStr">
        <is>
          <t>-</t>
        </is>
      </c>
      <c r="G206" s="10" t="inlineStr">
        <is>
          <t>Reverso, Anulación y reimpresión de depósitos a plazo fijo</t>
        </is>
      </c>
      <c r="H206" s="10" t="inlineStr">
        <is>
          <t>Certificado de depósito a
plazo fijo reimpreso.</t>
        </is>
      </c>
      <c r="I206" s="10" t="inlineStr">
        <is>
          <t xml:space="preserve">Certificado normal de póliza </t>
        </is>
      </c>
      <c r="J206" s="10" t="inlineStr">
        <is>
          <t xml:space="preserve">Jefe de Captaciones </t>
        </is>
      </c>
      <c r="K206" s="10" t="inlineStr">
        <is>
          <t>Supervisor Operativo el vigente y el Asesor de Captaciones las vencidas</t>
        </is>
      </c>
      <c r="L206" s="10" t="inlineStr">
        <is>
          <t>DOCUMENTOS FISICOS-ARCHIVOS DE LA OFICINA</t>
        </is>
      </c>
      <c r="M206" s="10" t="inlineStr">
        <is>
          <t>DOCUMENTO DE ARCHIVO-FÍSICO</t>
        </is>
      </c>
      <c r="N206" s="10" t="inlineStr">
        <is>
          <t>PRIMARIOS</t>
        </is>
      </c>
      <c r="O206" s="10" t="inlineStr">
        <is>
          <t>DOCUMENTOS HABILITANTES</t>
        </is>
      </c>
      <c r="P206" s="10" t="inlineStr">
        <is>
          <t>USO INTERNO(2)</t>
        </is>
      </c>
      <c r="Q206" s="10" t="inlineStr">
        <is>
          <t>MEDIA(2)</t>
        </is>
      </c>
      <c r="R206" s="10" t="inlineStr">
        <is>
          <t>ALTA(3)</t>
        </is>
      </c>
      <c r="S206" s="10">
        <f>+(IF(P206="PUBLICA(1)",1,IF(P206="USO INTERNO(2)",2,IF(P206="RESTRINGIDO(3)",3,3))))+(IF(Q206="BAJA(1)",1,IF(Q206="MEDIA(2)",2,IF(Q206="ALTA(3)",3,3))))+(IF(R206="BAJA(1)",1,IF(R206="MEDIA(2)",2,IF(R206="ALTA(3)",3,3))))</f>
        <v/>
      </c>
      <c r="T206" s="10">
        <f>+IF(S206&lt;6,"BAJA",IF(S206&lt;8,"MEDIA","ALTA"))</f>
        <v/>
      </c>
      <c r="U206" s="10" t="inlineStr">
        <is>
          <t>-</t>
        </is>
      </c>
      <c r="V206" s="24" t="n">
        <v>45595</v>
      </c>
      <c r="W206" s="19" t="inlineStr">
        <is>
          <t>N/A</t>
        </is>
      </c>
      <c r="X206" s="10">
        <f>+IFERROR(IF(VLOOKUP(Tabla2[[#This Row],[ID]],'EVALUACION DE RIESGO'!A:A,1,FALSE)=Tabla2[[#This Row],[ID]],"SI","NO"),"NO")</f>
        <v/>
      </c>
    </row>
    <row r="207">
      <c r="A207" s="91" t="inlineStr">
        <is>
          <t>26-GCA</t>
        </is>
      </c>
      <c r="B207" s="10" t="inlineStr">
        <is>
          <t>PRODUCTIVO</t>
        </is>
      </c>
      <c r="C207" s="10" t="inlineStr">
        <is>
          <t>Gestión de Captaciones</t>
        </is>
      </c>
      <c r="D207" s="10" t="inlineStr">
        <is>
          <t>GCA</t>
        </is>
      </c>
      <c r="E207" s="10" t="inlineStr">
        <is>
          <t>Depósitos a Plazo Fijo</t>
        </is>
      </c>
      <c r="F207" s="10" t="inlineStr">
        <is>
          <t>-</t>
        </is>
      </c>
      <c r="G207" s="10" t="inlineStr">
        <is>
          <t>Reverso, Anulación y reimpresión de depósitos a plazo fijo</t>
        </is>
      </c>
      <c r="H207" s="10" t="inlineStr">
        <is>
          <t>Certificado de depósito a plazo fijo anulado.</t>
        </is>
      </c>
      <c r="I207" s="10" t="inlineStr">
        <is>
          <t>Certificado con el sello de anulado mas la autorización</t>
        </is>
      </c>
      <c r="J207" s="10" t="inlineStr">
        <is>
          <t xml:space="preserve">Jefe de Captaciones </t>
        </is>
      </c>
      <c r="K207" s="10" t="inlineStr">
        <is>
          <t>Supervisor Operativo el vigente y el Asesor de Captaciones las vencidas</t>
        </is>
      </c>
      <c r="L207" s="10" t="inlineStr">
        <is>
          <t>DOCUMENTOS FISICOS-ARCHIVOS DE LA OFICINA</t>
        </is>
      </c>
      <c r="M207" s="10" t="inlineStr">
        <is>
          <t>DOCUMENTO DE ARCHIVO-FÍSICO</t>
        </is>
      </c>
      <c r="N207" s="10" t="inlineStr">
        <is>
          <t>PRIMARIOS</t>
        </is>
      </c>
      <c r="O207" s="10" t="inlineStr">
        <is>
          <t>DOCUMENTOS HABILITANTES</t>
        </is>
      </c>
      <c r="P207" s="10" t="inlineStr">
        <is>
          <t>USO INTERNO(2)</t>
        </is>
      </c>
      <c r="Q207" s="10" t="inlineStr">
        <is>
          <t>MEDIA(2)</t>
        </is>
      </c>
      <c r="R207" s="10" t="inlineStr">
        <is>
          <t>ALTA(3)</t>
        </is>
      </c>
      <c r="S207" s="10">
        <f>+(IF(P207="PUBLICA(1)",1,IF(P207="USO INTERNO(2)",2,IF(P207="RESTRINGIDO(3)",3,3))))+(IF(Q207="BAJA(1)",1,IF(Q207="MEDIA(2)",2,IF(Q207="ALTA(3)",3,3))))+(IF(R207="BAJA(1)",1,IF(R207="MEDIA(2)",2,IF(R207="ALTA(3)",3,3))))</f>
        <v/>
      </c>
      <c r="T207" s="10">
        <f>+IF(S207&lt;6,"BAJA",IF(S207&lt;8,"MEDIA","ALTA"))</f>
        <v/>
      </c>
      <c r="U207" s="10" t="inlineStr">
        <is>
          <t>-</t>
        </is>
      </c>
      <c r="V207" s="24" t="n">
        <v>45595</v>
      </c>
      <c r="W207" s="19" t="inlineStr">
        <is>
          <t>N/A</t>
        </is>
      </c>
      <c r="X207" s="10">
        <f>+IFERROR(IF(VLOOKUP(Tabla2[[#This Row],[ID]],'EVALUACION DE RIESGO'!A:A,1,FALSE)=Tabla2[[#This Row],[ID]],"SI","NO"),"NO")</f>
        <v/>
      </c>
    </row>
    <row r="208">
      <c r="A208" s="91" t="inlineStr">
        <is>
          <t>27-GCA</t>
        </is>
      </c>
      <c r="B208" s="10" t="inlineStr">
        <is>
          <t>PRODUCTIVO</t>
        </is>
      </c>
      <c r="C208" s="10" t="inlineStr">
        <is>
          <t>Gestión de Captaciones</t>
        </is>
      </c>
      <c r="D208" s="10" t="inlineStr">
        <is>
          <t>GCA</t>
        </is>
      </c>
      <c r="E208" s="10" t="inlineStr">
        <is>
          <t>Depósitos a Plazo Fijo</t>
        </is>
      </c>
      <c r="F208" s="10" t="inlineStr">
        <is>
          <t>-</t>
        </is>
      </c>
      <c r="G208" s="10" t="inlineStr">
        <is>
          <t>Control y custodia de Certificados de DPF</t>
        </is>
      </c>
      <c r="H208" s="10" t="inlineStr">
        <is>
          <t>Acta Entrega recepción de certificados de DPF.</t>
        </is>
      </c>
      <c r="I208" s="10" t="inlineStr">
        <is>
          <t>Reporte de pólizas que se entregan al supervisor operativo</t>
        </is>
      </c>
      <c r="J208" s="10" t="inlineStr">
        <is>
          <t xml:space="preserve">Jefe de Captaciones </t>
        </is>
      </c>
      <c r="K208" s="10" t="inlineStr">
        <is>
          <t>supervisor operativo</t>
        </is>
      </c>
      <c r="L208" s="10" t="inlineStr">
        <is>
          <t>DOCUMENTOS FISICOS-ARCHIVOS DE LA OFICINA</t>
        </is>
      </c>
      <c r="M208" s="10" t="inlineStr">
        <is>
          <t>DOCUMENTO DE ARCHIVO-FÍSICO</t>
        </is>
      </c>
      <c r="N208" s="10" t="inlineStr">
        <is>
          <t>PRIMARIOS</t>
        </is>
      </c>
      <c r="O208" s="10" t="inlineStr">
        <is>
          <t>COMUNICACIÓN INTERNA</t>
        </is>
      </c>
      <c r="P208" s="10" t="inlineStr">
        <is>
          <t>PUBLICA(1)</t>
        </is>
      </c>
      <c r="Q208" s="10" t="inlineStr">
        <is>
          <t>MEDIA(2)</t>
        </is>
      </c>
      <c r="R208" s="10" t="inlineStr">
        <is>
          <t>ALTA(3)</t>
        </is>
      </c>
      <c r="S208" s="10">
        <f>+(IF(P208="PUBLICA(1)",1,IF(P208="USO INTERNO(2)",2,IF(P208="RESTRINGIDO(3)",3,3))))+(IF(Q208="BAJA(1)",1,IF(Q208="MEDIA(2)",2,IF(Q208="ALTA(3)",3,3))))+(IF(R208="BAJA(1)",1,IF(R208="MEDIA(2)",2,IF(R208="ALTA(3)",3,3))))</f>
        <v/>
      </c>
      <c r="T208" s="10">
        <f>+IF(S208&lt;6,"BAJA",IF(S208&lt;8,"MEDIA","ALTA"))</f>
        <v/>
      </c>
      <c r="U208" s="10" t="inlineStr">
        <is>
          <t>-</t>
        </is>
      </c>
      <c r="V208" s="24" t="n">
        <v>45595</v>
      </c>
      <c r="W208" s="19" t="inlineStr">
        <is>
          <t>N/A</t>
        </is>
      </c>
      <c r="X208" s="10">
        <f>+IFERROR(IF(VLOOKUP(Tabla2[[#This Row],[ID]],'EVALUACION DE RIESGO'!A:A,1,FALSE)=Tabla2[[#This Row],[ID]],"SI","NO"),"NO")</f>
        <v/>
      </c>
    </row>
    <row r="209">
      <c r="A209" s="91" t="inlineStr">
        <is>
          <t>28-GCA</t>
        </is>
      </c>
      <c r="B209" s="10" t="inlineStr">
        <is>
          <t>PRODUCTIVO</t>
        </is>
      </c>
      <c r="C209" s="10" t="inlineStr">
        <is>
          <t>Gestión de Captaciones</t>
        </is>
      </c>
      <c r="D209" s="10" t="inlineStr">
        <is>
          <t>GCA</t>
        </is>
      </c>
      <c r="E209" s="10" t="inlineStr">
        <is>
          <t>Depósitos a Plazo Fijo</t>
        </is>
      </c>
      <c r="F209" s="10" t="inlineStr">
        <is>
          <t>-</t>
        </is>
      </c>
      <c r="G209" s="10" t="inlineStr">
        <is>
          <t>Control y custodia de Certificados de DPF</t>
        </is>
      </c>
      <c r="H209" s="10" t="inlineStr">
        <is>
          <t>Reporte Plazos Fijos por Asesor.</t>
        </is>
      </c>
      <c r="I209" s="10" t="inlineStr">
        <is>
          <t>Reportes que se generan del sistema solo de acceso para Jefe de Captaciones y Jefe de Front operativo</t>
        </is>
      </c>
      <c r="J209" s="10" t="inlineStr">
        <is>
          <t xml:space="preserve">Jefe de Captaciones </t>
        </is>
      </c>
      <c r="K209" s="10" t="inlineStr">
        <is>
          <t xml:space="preserve">Jefe de Captaciones </t>
        </is>
      </c>
      <c r="L209" s="10" t="inlineStr">
        <is>
          <t>DOCUMENTOS FISICOS-ARCHIVOS DE LA OFICINA</t>
        </is>
      </c>
      <c r="M209" s="10" t="inlineStr">
        <is>
          <t>DOCUMENTO DE ARCHIVO-FÍSICO</t>
        </is>
      </c>
      <c r="N209" s="10" t="inlineStr">
        <is>
          <t>PRIMARIOS</t>
        </is>
      </c>
      <c r="O209" s="10" t="inlineStr">
        <is>
          <t>COMUNICACIÓN INTERNA</t>
        </is>
      </c>
      <c r="P209" s="10" t="inlineStr">
        <is>
          <t>USO INTERNO(2)</t>
        </is>
      </c>
      <c r="Q209" s="10" t="inlineStr">
        <is>
          <t>MEDIA(2)</t>
        </is>
      </c>
      <c r="R209" s="10" t="inlineStr">
        <is>
          <t>BAJA(1)</t>
        </is>
      </c>
      <c r="S209" s="10">
        <f>+(IF(P209="PUBLICA(1)",1,IF(P209="USO INTERNO(2)",2,IF(P209="RESTRINGIDO(3)",3,3))))+(IF(Q209="BAJA(1)",1,IF(Q209="MEDIA(2)",2,IF(Q209="ALTA(3)",3,3))))+(IF(R209="BAJA(1)",1,IF(R209="MEDIA(2)",2,IF(R209="ALTA(3)",3,3))))</f>
        <v/>
      </c>
      <c r="T209" s="10">
        <f>+IF(S209&lt;6,"BAJA",IF(S209&lt;8,"MEDIA","ALTA"))</f>
        <v/>
      </c>
      <c r="U209" s="10" t="inlineStr">
        <is>
          <t>-</t>
        </is>
      </c>
      <c r="V209" s="24" t="n">
        <v>45595</v>
      </c>
      <c r="W209" s="19" t="inlineStr">
        <is>
          <t>N/A</t>
        </is>
      </c>
      <c r="X209" s="10">
        <f>+IFERROR(IF(VLOOKUP(Tabla2[[#This Row],[ID]],'EVALUACION DE RIESGO'!A:A,1,FALSE)=Tabla2[[#This Row],[ID]],"SI","NO"),"NO")</f>
        <v/>
      </c>
    </row>
    <row r="210">
      <c r="A210" s="91" t="inlineStr">
        <is>
          <t>29-GCA</t>
        </is>
      </c>
      <c r="B210" s="10" t="inlineStr">
        <is>
          <t>PRODUCTIVO</t>
        </is>
      </c>
      <c r="C210" s="10" t="inlineStr">
        <is>
          <t>Gestión de Captaciones</t>
        </is>
      </c>
      <c r="D210" s="10" t="inlineStr">
        <is>
          <t>GCA</t>
        </is>
      </c>
      <c r="E210" s="10" t="inlineStr">
        <is>
          <t>Depósitos a Plazo Fijo</t>
        </is>
      </c>
      <c r="F210" s="10" t="inlineStr">
        <is>
          <t>-</t>
        </is>
      </c>
      <c r="G210" s="10" t="inlineStr">
        <is>
          <t xml:space="preserve">Ejecución de controles del proceso de depósitos a plazo fijo </t>
        </is>
      </c>
      <c r="H210" s="10" t="inlineStr">
        <is>
          <t>Informe de control de operaciones de depósitos a plazo fijo.</t>
        </is>
      </c>
      <c r="I210" s="10" t="inlineStr">
        <is>
          <t>Informe de gestión mensual realizada por el Jefe de Captaciones</t>
        </is>
      </c>
      <c r="J210" s="10" t="inlineStr">
        <is>
          <t xml:space="preserve">Jefe de Captaciones </t>
        </is>
      </c>
      <c r="K210" s="10" t="inlineStr">
        <is>
          <t xml:space="preserve">Jefe de Captaciones </t>
        </is>
      </c>
      <c r="L210" s="10" t="inlineStr">
        <is>
          <t>DOCUMENTOS FISICOS-ARCHIVOS DE LA OFICINA</t>
        </is>
      </c>
      <c r="M210" s="10" t="inlineStr">
        <is>
          <t>DOCUMENTO DE ARCHIVO-FÍSICO</t>
        </is>
      </c>
      <c r="N210" s="10" t="inlineStr">
        <is>
          <t>PRIMARIOS</t>
        </is>
      </c>
      <c r="O210" s="10" t="inlineStr">
        <is>
          <t>DOCUMENTOS TÉCNICOS</t>
        </is>
      </c>
      <c r="P210" s="10" t="inlineStr">
        <is>
          <t>PUBLICA(1)</t>
        </is>
      </c>
      <c r="Q210" s="10" t="inlineStr">
        <is>
          <t>MEDIA(2)</t>
        </is>
      </c>
      <c r="R210" s="10" t="inlineStr">
        <is>
          <t>MEDIA(2)</t>
        </is>
      </c>
      <c r="S210" s="10">
        <f>+(IF(P210="PUBLICA(1)",1,IF(P210="USO INTERNO(2)",2,IF(P210="RESTRINGIDO(3)",3,3))))+(IF(Q210="BAJA(1)",1,IF(Q210="MEDIA(2)",2,IF(Q210="ALTA(3)",3,3))))+(IF(R210="BAJA(1)",1,IF(R210="MEDIA(2)",2,IF(R210="ALTA(3)",3,3))))</f>
        <v/>
      </c>
      <c r="T210" s="10">
        <f>+IF(S210&lt;6,"BAJA",IF(S210&lt;8,"MEDIA","ALTA"))</f>
        <v/>
      </c>
      <c r="U210" s="10" t="inlineStr">
        <is>
          <t>-</t>
        </is>
      </c>
      <c r="V210" s="24" t="n">
        <v>45595</v>
      </c>
      <c r="W210" s="19" t="inlineStr">
        <is>
          <t>N/A</t>
        </is>
      </c>
      <c r="X210" s="10">
        <f>+IFERROR(IF(VLOOKUP(Tabla2[[#This Row],[ID]],'EVALUACION DE RIESGO'!A:A,1,FALSE)=Tabla2[[#This Row],[ID]],"SI","NO"),"NO")</f>
        <v/>
      </c>
    </row>
    <row r="211">
      <c r="A211" s="91" t="inlineStr">
        <is>
          <t>30-GCA</t>
        </is>
      </c>
      <c r="B211" s="10" t="inlineStr">
        <is>
          <t>PRODUCTIVO</t>
        </is>
      </c>
      <c r="C211" s="10" t="inlineStr">
        <is>
          <t>Gestión de Captaciones</t>
        </is>
      </c>
      <c r="D211" s="10" t="inlineStr">
        <is>
          <t>GCA</t>
        </is>
      </c>
      <c r="E211" s="10" t="inlineStr">
        <is>
          <t>Depósitos a Plazo Fijo</t>
        </is>
      </c>
      <c r="F211" s="10" t="inlineStr">
        <is>
          <t>-</t>
        </is>
      </c>
      <c r="G211" s="10" t="inlineStr">
        <is>
          <t>Evaluación de riesgo de lavado de activos</t>
        </is>
      </c>
      <c r="H211" s="10" t="inlineStr">
        <is>
          <t>Formulario de licitud de fondos</t>
        </is>
      </c>
      <c r="I211" s="10" t="inlineStr">
        <is>
          <t>Documento firmado de declaración de origen o destino licito de recursos</t>
        </is>
      </c>
      <c r="J211" s="10" t="inlineStr">
        <is>
          <t xml:space="preserve">Jefe de Captaciones </t>
        </is>
      </c>
      <c r="K211" s="10" t="inlineStr">
        <is>
          <t>Supervisor Operativo el vigente y el Asesor de Captaciones las vencidas</t>
        </is>
      </c>
      <c r="L211" s="10" t="inlineStr">
        <is>
          <t>DOCUMENTOS FISICOS-ARCHIVOS DE LA OFICINA</t>
        </is>
      </c>
      <c r="M211" s="10" t="inlineStr">
        <is>
          <t>DOCUMENTO DE ARCHIVO-FÍSICO</t>
        </is>
      </c>
      <c r="N211" s="10" t="inlineStr">
        <is>
          <t>PRIMARIOS</t>
        </is>
      </c>
      <c r="O211" s="10" t="inlineStr">
        <is>
          <t>DOCUMENTOS HABILITANTES</t>
        </is>
      </c>
      <c r="P211" s="10" t="inlineStr">
        <is>
          <t>USO INTERNO(2)</t>
        </is>
      </c>
      <c r="Q211" s="10" t="inlineStr">
        <is>
          <t>MEDIA(2)</t>
        </is>
      </c>
      <c r="R211" s="10" t="inlineStr">
        <is>
          <t>MEDIA(2)</t>
        </is>
      </c>
      <c r="S211" s="10">
        <f>+(IF(P211="PUBLICA(1)",1,IF(P211="USO INTERNO(2)",2,IF(P211="RESTRINGIDO(3)",3,3))))+(IF(Q211="BAJA(1)",1,IF(Q211="MEDIA(2)",2,IF(Q211="ALTA(3)",3,3))))+(IF(R211="BAJA(1)",1,IF(R211="MEDIA(2)",2,IF(R211="ALTA(3)",3,3))))</f>
        <v/>
      </c>
      <c r="T211" s="10">
        <f>+IF(S211&lt;6,"BAJA",IF(S211&lt;8,"MEDIA","ALTA"))</f>
        <v/>
      </c>
      <c r="U211" s="10" t="inlineStr">
        <is>
          <t>-</t>
        </is>
      </c>
      <c r="V211" s="24" t="n">
        <v>45595</v>
      </c>
      <c r="W211" s="19" t="inlineStr">
        <is>
          <t>N/A</t>
        </is>
      </c>
      <c r="X211" s="10">
        <f>+IFERROR(IF(VLOOKUP(Tabla2[[#This Row],[ID]],'EVALUACION DE RIESGO'!A:A,1,FALSE)=Tabla2[[#This Row],[ID]],"SI","NO"),"NO")</f>
        <v/>
      </c>
    </row>
    <row r="212">
      <c r="A212" s="91" t="inlineStr">
        <is>
          <t>31-GCA</t>
        </is>
      </c>
      <c r="B212" s="10" t="inlineStr">
        <is>
          <t>PRODUCTIVO</t>
        </is>
      </c>
      <c r="C212" s="10" t="inlineStr">
        <is>
          <t>Gestión de Captaciones</t>
        </is>
      </c>
      <c r="D212" s="10" t="inlineStr">
        <is>
          <t>GCA</t>
        </is>
      </c>
      <c r="E212" s="10" t="inlineStr">
        <is>
          <t>Depósitos a Plazo Fijo</t>
        </is>
      </c>
      <c r="F212" s="10" t="inlineStr">
        <is>
          <t>-</t>
        </is>
      </c>
      <c r="G212" s="10" t="inlineStr">
        <is>
          <t>Evaluación de riesgo de lavado de activos</t>
        </is>
      </c>
      <c r="H212" s="10" t="inlineStr">
        <is>
          <t>Documentos de justificación de transacciones</t>
        </is>
      </c>
      <c r="I212" s="10" t="inlineStr">
        <is>
          <t>Entregables del cliente con información justificativa de póliza</t>
        </is>
      </c>
      <c r="J212" s="10" t="inlineStr">
        <is>
          <t xml:space="preserve">Jefe de Captaciones </t>
        </is>
      </c>
      <c r="K212" s="10" t="inlineStr">
        <is>
          <t xml:space="preserve">Jefe de Captaciones </t>
        </is>
      </c>
      <c r="L212" s="10" t="inlineStr">
        <is>
          <t>DOCUMENTOS FISICOS-ARCHIVOS DE LA OFICINA</t>
        </is>
      </c>
      <c r="M212" s="10" t="inlineStr">
        <is>
          <t>DOCUMENTO DE ARCHIVO-FÍSICO</t>
        </is>
      </c>
      <c r="N212" s="10" t="inlineStr">
        <is>
          <t>PRIMARIOS</t>
        </is>
      </c>
      <c r="O212" s="10" t="inlineStr">
        <is>
          <t>DOCUMENTOS HABILITANTES</t>
        </is>
      </c>
      <c r="P212" s="10" t="inlineStr">
        <is>
          <t>USO INTERNO(2)</t>
        </is>
      </c>
      <c r="Q212" s="10" t="inlineStr">
        <is>
          <t>MEDIA(2)</t>
        </is>
      </c>
      <c r="R212" s="10" t="inlineStr">
        <is>
          <t>ALTA(3)</t>
        </is>
      </c>
      <c r="S212" s="10">
        <f>+(IF(P212="PUBLICA(1)",1,IF(P212="USO INTERNO(2)",2,IF(P212="RESTRINGIDO(3)",3,3))))+(IF(Q212="BAJA(1)",1,IF(Q212="MEDIA(2)",2,IF(Q212="ALTA(3)",3,3))))+(IF(R212="BAJA(1)",1,IF(R212="MEDIA(2)",2,IF(R212="ALTA(3)",3,3))))</f>
        <v/>
      </c>
      <c r="T212" s="10">
        <f>+IF(S212&lt;6,"BAJA",IF(S212&lt;8,"MEDIA","ALTA"))</f>
        <v/>
      </c>
      <c r="U212" s="10" t="inlineStr">
        <is>
          <t>-</t>
        </is>
      </c>
      <c r="V212" s="24" t="n">
        <v>45595</v>
      </c>
      <c r="W212" s="19" t="inlineStr">
        <is>
          <t>N/A</t>
        </is>
      </c>
      <c r="X212" s="10">
        <f>+IFERROR(IF(VLOOKUP(Tabla2[[#This Row],[ID]],'EVALUACION DE RIESGO'!A:A,1,FALSE)=Tabla2[[#This Row],[ID]],"SI","NO"),"NO")</f>
        <v/>
      </c>
    </row>
    <row r="213">
      <c r="A213" s="91" t="inlineStr">
        <is>
          <t>32-GCA</t>
        </is>
      </c>
      <c r="B213" s="10" t="inlineStr">
        <is>
          <t>PRODUCTIVO</t>
        </is>
      </c>
      <c r="C213" s="10" t="inlineStr">
        <is>
          <t>Gestión de Captaciones</t>
        </is>
      </c>
      <c r="D213" s="10" t="inlineStr">
        <is>
          <t>GCA</t>
        </is>
      </c>
      <c r="E213" s="10" t="inlineStr">
        <is>
          <t xml:space="preserve">Ahorros a la Vista </t>
        </is>
      </c>
      <c r="F213" s="10" t="inlineStr">
        <is>
          <t xml:space="preserve">Gestión de Cuentas de Ahorro </t>
        </is>
      </c>
      <c r="G213" s="10" t="inlineStr">
        <is>
          <t>Apertura de cuentas de ahorros  y certificados de aportación</t>
        </is>
      </c>
      <c r="H213" s="10" t="inlineStr">
        <is>
          <t>Contrato de Apertura de Cuentas de Ahorro</t>
        </is>
      </c>
      <c r="I213" s="10" t="inlineStr">
        <is>
          <t>Documento de contrato que contiene información del socio y términos y condiciones del contrato, contiene firmas de validación</t>
        </is>
      </c>
      <c r="J213" s="10" t="inlineStr">
        <is>
          <t xml:space="preserve">Jefe de Captaciones </t>
        </is>
      </c>
      <c r="K213" s="10" t="inlineStr">
        <is>
          <t>FIT</t>
        </is>
      </c>
      <c r="L213" s="10" t="inlineStr">
        <is>
          <t>UBICACIÓN DIGITAL-CORE FINANCIERO</t>
        </is>
      </c>
      <c r="M213" s="10" t="inlineStr">
        <is>
          <t>DISCOS DUROS, SERVIDORES, DISCOS O MEDIOS PORTÁTILES, CINTAS O MEDIOS DE VIDEO Y AUDIO, ETC.</t>
        </is>
      </c>
      <c r="N213" s="10" t="inlineStr">
        <is>
          <t>PRIMARIOS</t>
        </is>
      </c>
      <c r="O213" s="10" t="inlineStr">
        <is>
          <t>DOCUMENTOS HABILITANTES</t>
        </is>
      </c>
      <c r="P213" s="10" t="inlineStr">
        <is>
          <t>USO INTERNO(2)</t>
        </is>
      </c>
      <c r="Q213" s="10" t="inlineStr">
        <is>
          <t>MEDIA(2)</t>
        </is>
      </c>
      <c r="R213" s="10" t="inlineStr">
        <is>
          <t>MEDIA(2)</t>
        </is>
      </c>
      <c r="S213" s="10">
        <f>+(IF(P213="PUBLICA(1)",1,IF(P213="USO INTERNO(2)",2,IF(P213="RESTRINGIDO(3)",3,3))))+(IF(Q213="BAJA(1)",1,IF(Q213="MEDIA(2)",2,IF(Q213="ALTA(3)",3,3))))+(IF(R213="BAJA(1)",1,IF(R213="MEDIA(2)",2,IF(R213="ALTA(3)",3,3))))</f>
        <v/>
      </c>
      <c r="T213" s="10">
        <f>+IF(S213&lt;6,"BAJA",IF(S213&lt;8,"MEDIA","ALTA"))</f>
        <v/>
      </c>
      <c r="U213" s="10" t="inlineStr">
        <is>
          <t>-</t>
        </is>
      </c>
      <c r="V213" s="24" t="n">
        <v>45595</v>
      </c>
      <c r="W213" s="19" t="inlineStr">
        <is>
          <t>N/A</t>
        </is>
      </c>
      <c r="X213" s="10">
        <f>+IFERROR(IF(VLOOKUP(Tabla2[[#This Row],[ID]],'EVALUACION DE RIESGO'!A:A,1,FALSE)=Tabla2[[#This Row],[ID]],"SI","NO"),"NO")</f>
        <v/>
      </c>
    </row>
    <row r="214">
      <c r="A214" s="91" t="inlineStr">
        <is>
          <t>33-GCA</t>
        </is>
      </c>
      <c r="B214" s="10" t="inlineStr">
        <is>
          <t>PRODUCTIVO</t>
        </is>
      </c>
      <c r="C214" s="10" t="inlineStr">
        <is>
          <t>Gestión de Captaciones</t>
        </is>
      </c>
      <c r="D214" s="10" t="inlineStr">
        <is>
          <t>GCA</t>
        </is>
      </c>
      <c r="E214" s="10" t="inlineStr">
        <is>
          <t xml:space="preserve">Ahorros a la Vista </t>
        </is>
      </c>
      <c r="F214" s="10" t="inlineStr">
        <is>
          <t xml:space="preserve">Gestión de Cuentas de Ahorro </t>
        </is>
      </c>
      <c r="G214" s="10" t="inlineStr">
        <is>
          <t>Apertura de cuentas de ahorros  y certificados de aportación</t>
        </is>
      </c>
      <c r="H214" s="10" t="inlineStr">
        <is>
          <t>Papeletas para depósito inicial</t>
        </is>
      </c>
      <c r="I214" s="10" t="inlineStr">
        <is>
          <t>Papeleta registrada por el cliente e ingresada a ventanilla</t>
        </is>
      </c>
      <c r="J214" s="10" t="inlineStr">
        <is>
          <t xml:space="preserve">Jefe de Captaciones </t>
        </is>
      </c>
      <c r="K214" s="10" t="inlineStr">
        <is>
          <t>N/A</t>
        </is>
      </c>
      <c r="L214" s="10" t="inlineStr">
        <is>
          <t>DOCUMENTOS FISICOS-ARCHIVOS DE LA OFICINA</t>
        </is>
      </c>
      <c r="M214" s="10" t="inlineStr">
        <is>
          <t>DOCUMENTO DE ARCHIVO-FÍSICO</t>
        </is>
      </c>
      <c r="N214" s="10" t="inlineStr">
        <is>
          <t>PRIMARIOS</t>
        </is>
      </c>
      <c r="O214" s="10" t="inlineStr">
        <is>
          <t>DOCUMENTOS HABILITANTES</t>
        </is>
      </c>
      <c r="P214" s="10" t="inlineStr">
        <is>
          <t>PUBLICA(1)</t>
        </is>
      </c>
      <c r="Q214" s="10" t="inlineStr">
        <is>
          <t>MEDIA(2)</t>
        </is>
      </c>
      <c r="R214" s="10" t="inlineStr">
        <is>
          <t>MEDIA(2)</t>
        </is>
      </c>
      <c r="S214" s="10">
        <f>+(IF(P214="PUBLICA(1)",1,IF(P214="USO INTERNO(2)",2,IF(P214="RESTRINGIDO(3)",3,3))))+(IF(Q214="BAJA(1)",1,IF(Q214="MEDIA(2)",2,IF(Q214="ALTA(3)",3,3))))+(IF(R214="BAJA(1)",1,IF(R214="MEDIA(2)",2,IF(R214="ALTA(3)",3,3))))</f>
        <v/>
      </c>
      <c r="T214" s="10">
        <f>+IF(S214&lt;6,"BAJA",IF(S214&lt;8,"MEDIA","ALTA"))</f>
        <v/>
      </c>
      <c r="U214" s="10" t="inlineStr">
        <is>
          <t>-</t>
        </is>
      </c>
      <c r="V214" s="24" t="n">
        <v>45595</v>
      </c>
      <c r="W214" s="19" t="inlineStr">
        <is>
          <t>N/A</t>
        </is>
      </c>
      <c r="X214" s="10">
        <f>+IFERROR(IF(VLOOKUP(Tabla2[[#This Row],[ID]],'EVALUACION DE RIESGO'!A:A,1,FALSE)=Tabla2[[#This Row],[ID]],"SI","NO"),"NO")</f>
        <v/>
      </c>
    </row>
    <row r="215">
      <c r="A215" s="91" t="inlineStr">
        <is>
          <t>34-GCA</t>
        </is>
      </c>
      <c r="B215" s="10" t="inlineStr">
        <is>
          <t>PRODUCTIVO</t>
        </is>
      </c>
      <c r="C215" s="10" t="inlineStr">
        <is>
          <t>Gestión de Captaciones</t>
        </is>
      </c>
      <c r="D215" s="10" t="inlineStr">
        <is>
          <t>GCA</t>
        </is>
      </c>
      <c r="E215" s="10" t="inlineStr">
        <is>
          <t xml:space="preserve">Ahorros a la Vista </t>
        </is>
      </c>
      <c r="F215" s="10" t="inlineStr">
        <is>
          <t xml:space="preserve">Gestión de Cuentas de Ahorro </t>
        </is>
      </c>
      <c r="G215" s="10" t="inlineStr">
        <is>
          <t>Apertura de cuentas de ahorros  y certificados de aportación</t>
        </is>
      </c>
      <c r="H215" s="10" t="inlineStr">
        <is>
          <t>File digitalizado de socio/cuenta ahorrista/cliente</t>
        </is>
      </c>
      <c r="I215" s="10" t="inlineStr">
        <is>
          <t>Files de respaldo de los documentos de salida de la apertura de cuentas, digitalizados y cargados a FIT</t>
        </is>
      </c>
      <c r="J215" s="10" t="inlineStr">
        <is>
          <t xml:space="preserve">Jefe de Captaciones </t>
        </is>
      </c>
      <c r="K215" s="10" t="inlineStr">
        <is>
          <t>FIT</t>
        </is>
      </c>
      <c r="L215" s="10" t="inlineStr">
        <is>
          <t>UBICACIÓN DIGITAL-CORE FINANCIERO</t>
        </is>
      </c>
      <c r="M215" s="10" t="inlineStr">
        <is>
          <t>SISTEMAS DE INFORMACIÓN CORPORATIVOS</t>
        </is>
      </c>
      <c r="N215" s="10" t="inlineStr">
        <is>
          <t>PRIMARIOS</t>
        </is>
      </c>
      <c r="O215" s="10" t="inlineStr">
        <is>
          <t>DOCUMENTOS HABILITANTES</t>
        </is>
      </c>
      <c r="P215" s="10" t="inlineStr">
        <is>
          <t>USO INTERNO(2)</t>
        </is>
      </c>
      <c r="Q215" s="10" t="inlineStr">
        <is>
          <t>MEDIA(2)</t>
        </is>
      </c>
      <c r="R215" s="10" t="inlineStr">
        <is>
          <t>MEDIA(2)</t>
        </is>
      </c>
      <c r="S215" s="10">
        <f>+(IF(P215="PUBLICA(1)",1,IF(P215="USO INTERNO(2)",2,IF(P215="RESTRINGIDO(3)",3,3))))+(IF(Q215="BAJA(1)",1,IF(Q215="MEDIA(2)",2,IF(Q215="ALTA(3)",3,3))))+(IF(R215="BAJA(1)",1,IF(R215="MEDIA(2)",2,IF(R215="ALTA(3)",3,3))))</f>
        <v/>
      </c>
      <c r="T215" s="10">
        <f>+IF(S215&lt;6,"BAJA",IF(S215&lt;8,"MEDIA","ALTA"))</f>
        <v/>
      </c>
      <c r="U215" s="10" t="inlineStr">
        <is>
          <t>-</t>
        </is>
      </c>
      <c r="V215" s="24" t="n">
        <v>45595</v>
      </c>
      <c r="W215" s="19" t="inlineStr">
        <is>
          <t>N/A</t>
        </is>
      </c>
      <c r="X215" s="10">
        <f>+IFERROR(IF(VLOOKUP(Tabla2[[#This Row],[ID]],'EVALUACION DE RIESGO'!A:A,1,FALSE)=Tabla2[[#This Row],[ID]],"SI","NO"),"NO")</f>
        <v/>
      </c>
    </row>
    <row r="216">
      <c r="A216" s="91" t="inlineStr">
        <is>
          <t>35-GCA</t>
        </is>
      </c>
      <c r="B216" s="10" t="inlineStr">
        <is>
          <t>PRODUCTIVO</t>
        </is>
      </c>
      <c r="C216" s="10" t="inlineStr">
        <is>
          <t>Gestión de Captaciones</t>
        </is>
      </c>
      <c r="D216" s="10" t="inlineStr">
        <is>
          <t>GCA</t>
        </is>
      </c>
      <c r="E216" s="10" t="inlineStr">
        <is>
          <t xml:space="preserve">Ahorros a la Vista </t>
        </is>
      </c>
      <c r="F216" s="10" t="inlineStr">
        <is>
          <t xml:space="preserve">Gestión de Cuentas de Ahorro </t>
        </is>
      </c>
      <c r="G216" s="10" t="inlineStr">
        <is>
          <t>Apertura de cuentas de ahorros  y certificados de aportación</t>
        </is>
      </c>
      <c r="H216" s="10" t="inlineStr">
        <is>
          <t>Certificación de información</t>
        </is>
      </c>
      <c r="I216" s="10" t="inlineStr">
        <is>
          <t>Certificado de la entrega de información personal del cliente entregado al asesor de servicio</t>
        </is>
      </c>
      <c r="J216" s="10" t="inlineStr">
        <is>
          <t xml:space="preserve">Jefe de Captaciones </t>
        </is>
      </c>
      <c r="K216" s="10" t="inlineStr">
        <is>
          <t>FIT</t>
        </is>
      </c>
      <c r="L216" s="10" t="inlineStr">
        <is>
          <t>UBICACIÓN DIGITAL-CORE FINANCIERO</t>
        </is>
      </c>
      <c r="M216" s="10" t="inlineStr">
        <is>
          <t>SISTEMAS DE INFORMACIÓN CORPORATIVOS</t>
        </is>
      </c>
      <c r="N216" s="10" t="inlineStr">
        <is>
          <t>PRIMARIOS</t>
        </is>
      </c>
      <c r="O216" s="10" t="inlineStr">
        <is>
          <t>DOCUMENTOS HABILITANTES</t>
        </is>
      </c>
      <c r="P216" s="10" t="inlineStr">
        <is>
          <t>USO INTERNO(2)</t>
        </is>
      </c>
      <c r="Q216" s="10" t="inlineStr">
        <is>
          <t>MEDIA(2)</t>
        </is>
      </c>
      <c r="R216" s="10" t="inlineStr">
        <is>
          <t>MEDIA(2)</t>
        </is>
      </c>
      <c r="S216" s="10">
        <f>+(IF(P216="PUBLICA(1)",1,IF(P216="USO INTERNO(2)",2,IF(P216="RESTRINGIDO(3)",3,3))))+(IF(Q216="BAJA(1)",1,IF(Q216="MEDIA(2)",2,IF(Q216="ALTA(3)",3,3))))+(IF(R216="BAJA(1)",1,IF(R216="MEDIA(2)",2,IF(R216="ALTA(3)",3,3))))</f>
        <v/>
      </c>
      <c r="T216" s="10">
        <f>+IF(S216&lt;6,"BAJA",IF(S216&lt;8,"MEDIA","ALTA"))</f>
        <v/>
      </c>
      <c r="U216" s="10" t="inlineStr">
        <is>
          <t>-</t>
        </is>
      </c>
      <c r="V216" s="24" t="n">
        <v>45595</v>
      </c>
      <c r="W216" s="19" t="inlineStr">
        <is>
          <t>N/A</t>
        </is>
      </c>
      <c r="X216" s="10">
        <f>+IFERROR(IF(VLOOKUP(Tabla2[[#This Row],[ID]],'EVALUACION DE RIESGO'!A:A,1,FALSE)=Tabla2[[#This Row],[ID]],"SI","NO"),"NO")</f>
        <v/>
      </c>
    </row>
    <row r="217">
      <c r="A217" s="91" t="inlineStr">
        <is>
          <t>36-GCA</t>
        </is>
      </c>
      <c r="B217" s="10" t="inlineStr">
        <is>
          <t>PRODUCTIVO</t>
        </is>
      </c>
      <c r="C217" s="10" t="inlineStr">
        <is>
          <t>Gestión de Captaciones</t>
        </is>
      </c>
      <c r="D217" s="10" t="inlineStr">
        <is>
          <t>GCA</t>
        </is>
      </c>
      <c r="E217" s="10" t="inlineStr">
        <is>
          <t xml:space="preserve">Ahorros a la Vista </t>
        </is>
      </c>
      <c r="F217" s="10" t="inlineStr">
        <is>
          <t xml:space="preserve">Gestión de Cuentas de Ahorro </t>
        </is>
      </c>
      <c r="G217" s="10" t="inlineStr">
        <is>
          <t>Bloqueo y desbloqueo de cuentas de ahorros</t>
        </is>
      </c>
      <c r="H217" s="10" t="inlineStr">
        <is>
          <t>Autorización de bloqueo de cuenta</t>
        </is>
      </c>
      <c r="I217" s="10" t="inlineStr">
        <is>
          <t>Formato realizado por los Asesores de Servicios de autorización para bloquear las cuentas de ahorro</t>
        </is>
      </c>
      <c r="J217" s="10" t="inlineStr">
        <is>
          <t xml:space="preserve">Jefe de Captaciones </t>
        </is>
      </c>
      <c r="K217" s="10" t="inlineStr">
        <is>
          <t>FIT</t>
        </is>
      </c>
      <c r="L217" s="10" t="inlineStr">
        <is>
          <t>UBICACIÓN DIGITAL-CORE FINANCIERO</t>
        </is>
      </c>
      <c r="M217" s="10" t="inlineStr">
        <is>
          <t>SISTEMAS DE INFORMACIÓN CORPORATIVOS</t>
        </is>
      </c>
      <c r="N217" s="10" t="inlineStr">
        <is>
          <t>PRIMARIOS</t>
        </is>
      </c>
      <c r="O217" s="10" t="inlineStr">
        <is>
          <t>DOCUMENTOS HABILITANTES</t>
        </is>
      </c>
      <c r="P217" s="10" t="inlineStr">
        <is>
          <t>USO INTERNO(2)</t>
        </is>
      </c>
      <c r="Q217" s="10" t="inlineStr">
        <is>
          <t>MEDIA(2)</t>
        </is>
      </c>
      <c r="R217" s="10" t="inlineStr">
        <is>
          <t>MEDIA(2)</t>
        </is>
      </c>
      <c r="S217" s="10">
        <f>+(IF(P217="PUBLICA(1)",1,IF(P217="USO INTERNO(2)",2,IF(P217="RESTRINGIDO(3)",3,3))))+(IF(Q217="BAJA(1)",1,IF(Q217="MEDIA(2)",2,IF(Q217="ALTA(3)",3,3))))+(IF(R217="BAJA(1)",1,IF(R217="MEDIA(2)",2,IF(R217="ALTA(3)",3,3))))</f>
        <v/>
      </c>
      <c r="T217" s="10">
        <f>+IF(S217&lt;6,"BAJA",IF(S217&lt;8,"MEDIA","ALTA"))</f>
        <v/>
      </c>
      <c r="U217" s="10" t="inlineStr">
        <is>
          <t>-</t>
        </is>
      </c>
      <c r="V217" s="24" t="n">
        <v>45595</v>
      </c>
      <c r="W217" s="19" t="inlineStr">
        <is>
          <t>N/A</t>
        </is>
      </c>
      <c r="X217" s="10">
        <f>+IFERROR(IF(VLOOKUP(Tabla2[[#This Row],[ID]],'EVALUACION DE RIESGO'!A:A,1,FALSE)=Tabla2[[#This Row],[ID]],"SI","NO"),"NO")</f>
        <v/>
      </c>
    </row>
    <row r="218">
      <c r="A218" s="91" t="inlineStr">
        <is>
          <t>37-GCA</t>
        </is>
      </c>
      <c r="B218" s="10" t="inlineStr">
        <is>
          <t>PRODUCTIVO</t>
        </is>
      </c>
      <c r="C218" s="10" t="inlineStr">
        <is>
          <t>Gestión de Captaciones</t>
        </is>
      </c>
      <c r="D218" s="10" t="inlineStr">
        <is>
          <t>GCA</t>
        </is>
      </c>
      <c r="E218" s="10" t="inlineStr">
        <is>
          <t xml:space="preserve">Ahorros a la Vista </t>
        </is>
      </c>
      <c r="F218" s="10" t="inlineStr">
        <is>
          <t xml:space="preserve">Gestión de Cuentas de Ahorro </t>
        </is>
      </c>
      <c r="G218" s="10" t="inlineStr">
        <is>
          <t>Cierre de cuenta de ahorros y certificados de aportación</t>
        </is>
      </c>
      <c r="H218" s="10" t="inlineStr">
        <is>
          <t>Carta de cierre de cuenta / Solicitud de cierre de cuenta</t>
        </is>
      </c>
      <c r="I218" s="10" t="inlineStr">
        <is>
          <t>Documento del socio que realiza el socio, indicando el cierre de la cuenta.</t>
        </is>
      </c>
      <c r="J218" s="10" t="inlineStr">
        <is>
          <t xml:space="preserve">Jefe de Captaciones </t>
        </is>
      </c>
      <c r="K218" s="10" t="inlineStr">
        <is>
          <t>FIT</t>
        </is>
      </c>
      <c r="L218" s="10" t="inlineStr">
        <is>
          <t>UBICACIÓN DIGITAL-CORE FINANCIERO</t>
        </is>
      </c>
      <c r="M218" s="10" t="inlineStr">
        <is>
          <t>SISTEMAS DE INFORMACIÓN CORPORATIVOS</t>
        </is>
      </c>
      <c r="N218" s="10" t="inlineStr">
        <is>
          <t>PRIMARIOS</t>
        </is>
      </c>
      <c r="O218" s="10" t="inlineStr">
        <is>
          <t>DOCUMENTOS HABILITANTES</t>
        </is>
      </c>
      <c r="P218" s="10" t="inlineStr">
        <is>
          <t>USO INTERNO(2)</t>
        </is>
      </c>
      <c r="Q218" s="10" t="inlineStr">
        <is>
          <t>MEDIA(2)</t>
        </is>
      </c>
      <c r="R218" s="10" t="inlineStr">
        <is>
          <t>MEDIA(2)</t>
        </is>
      </c>
      <c r="S218" s="10">
        <f>+(IF(P218="PUBLICA(1)",1,IF(P218="USO INTERNO(2)",2,IF(P218="RESTRINGIDO(3)",3,3))))+(IF(Q218="BAJA(1)",1,IF(Q218="MEDIA(2)",2,IF(Q218="ALTA(3)",3,3))))+(IF(R218="BAJA(1)",1,IF(R218="MEDIA(2)",2,IF(R218="ALTA(3)",3,3))))</f>
        <v/>
      </c>
      <c r="T218" s="10">
        <f>+IF(S218&lt;6,"BAJA",IF(S218&lt;8,"MEDIA","ALTA"))</f>
        <v/>
      </c>
      <c r="U218" s="10" t="inlineStr">
        <is>
          <t>-</t>
        </is>
      </c>
      <c r="V218" s="24" t="n">
        <v>45595</v>
      </c>
      <c r="W218" s="19" t="inlineStr">
        <is>
          <t>N/A</t>
        </is>
      </c>
      <c r="X218" s="10">
        <f>+IFERROR(IF(VLOOKUP(Tabla2[[#This Row],[ID]],'EVALUACION DE RIESGO'!A:A,1,FALSE)=Tabla2[[#This Row],[ID]],"SI","NO"),"NO")</f>
        <v/>
      </c>
    </row>
    <row r="219">
      <c r="A219" s="91" t="inlineStr">
        <is>
          <t>38-GCA</t>
        </is>
      </c>
      <c r="B219" s="10" t="inlineStr">
        <is>
          <t>PRODUCTIVO</t>
        </is>
      </c>
      <c r="C219" s="10" t="inlineStr">
        <is>
          <t>Gestión de Captaciones</t>
        </is>
      </c>
      <c r="D219" s="10" t="inlineStr">
        <is>
          <t>GCA</t>
        </is>
      </c>
      <c r="E219" s="10" t="inlineStr">
        <is>
          <t xml:space="preserve">Ahorros a la Vista </t>
        </is>
      </c>
      <c r="F219" s="10" t="inlineStr">
        <is>
          <t xml:space="preserve">Gestión de Cuentas de Ahorro </t>
        </is>
      </c>
      <c r="G219" s="10" t="inlineStr">
        <is>
          <t>Cierre de cuenta de ahorros y certificados de aportación</t>
        </is>
      </c>
      <c r="H219" s="10" t="inlineStr">
        <is>
          <t>Formulación de consentimiento de liquidación de haberes</t>
        </is>
      </c>
      <c r="I219" s="10" t="inlineStr">
        <is>
          <t xml:space="preserve">Formulario exportado del sistema donde se detalla el estado de la cuenta a cerrar </t>
        </is>
      </c>
      <c r="J219" s="10" t="inlineStr">
        <is>
          <t xml:space="preserve">Jefe de Captaciones </t>
        </is>
      </c>
      <c r="K219" s="10" t="inlineStr">
        <is>
          <t>FIT</t>
        </is>
      </c>
      <c r="L219" s="10" t="inlineStr">
        <is>
          <t>UBICACIÓN DIGITAL-CORE FINANCIERO</t>
        </is>
      </c>
      <c r="M219" s="10" t="inlineStr">
        <is>
          <t>SISTEMAS DE INFORMACIÓN CORPORATIVOS</t>
        </is>
      </c>
      <c r="N219" s="10" t="inlineStr">
        <is>
          <t>PRIMARIOS</t>
        </is>
      </c>
      <c r="O219" s="10" t="inlineStr">
        <is>
          <t>DOCUMENTOS HABILITANTES</t>
        </is>
      </c>
      <c r="P219" s="10" t="inlineStr">
        <is>
          <t>USO INTERNO(2)</t>
        </is>
      </c>
      <c r="Q219" s="10" t="inlineStr">
        <is>
          <t>MEDIA(2)</t>
        </is>
      </c>
      <c r="R219" s="10" t="inlineStr">
        <is>
          <t>MEDIA(2)</t>
        </is>
      </c>
      <c r="S219" s="10">
        <f>+(IF(P219="PUBLICA(1)",1,IF(P219="USO INTERNO(2)",2,IF(P219="RESTRINGIDO(3)",3,3))))+(IF(Q219="BAJA(1)",1,IF(Q219="MEDIA(2)",2,IF(Q219="ALTA(3)",3,3))))+(IF(R219="BAJA(1)",1,IF(R219="MEDIA(2)",2,IF(R219="ALTA(3)",3,3))))</f>
        <v/>
      </c>
      <c r="T219" s="10">
        <f>+IF(S219&lt;6,"BAJA",IF(S219&lt;8,"MEDIA","ALTA"))</f>
        <v/>
      </c>
      <c r="U219" s="10" t="inlineStr">
        <is>
          <t>-</t>
        </is>
      </c>
      <c r="V219" s="24" t="n">
        <v>45595</v>
      </c>
      <c r="W219" s="19" t="inlineStr">
        <is>
          <t>N/A</t>
        </is>
      </c>
      <c r="X219" s="10">
        <f>+IFERROR(IF(VLOOKUP(Tabla2[[#This Row],[ID]],'EVALUACION DE RIESGO'!A:A,1,FALSE)=Tabla2[[#This Row],[ID]],"SI","NO"),"NO")</f>
        <v/>
      </c>
    </row>
    <row r="220">
      <c r="A220" s="91" t="inlineStr">
        <is>
          <t>39-GCA</t>
        </is>
      </c>
      <c r="B220" s="10" t="inlineStr">
        <is>
          <t>PRODUCTIVO</t>
        </is>
      </c>
      <c r="C220" s="10" t="inlineStr">
        <is>
          <t>Gestión de Captaciones</t>
        </is>
      </c>
      <c r="D220" s="10" t="inlineStr">
        <is>
          <t>GCA</t>
        </is>
      </c>
      <c r="E220" s="10" t="inlineStr">
        <is>
          <t xml:space="preserve">Ahorros a la Vista </t>
        </is>
      </c>
      <c r="F220" s="10" t="inlineStr">
        <is>
          <t xml:space="preserve">Gestión de Cuentas de Ahorro </t>
        </is>
      </c>
      <c r="G220" s="10" t="inlineStr">
        <is>
          <t xml:space="preserve">Transferencia de certificados de aportación            </t>
        </is>
      </c>
      <c r="H220" s="10" t="inlineStr">
        <is>
          <t>Solicitud de transferencias de certificados de aportación</t>
        </is>
      </c>
      <c r="I220" s="10" t="inlineStr">
        <is>
          <t>Documento donde se registra la cuenta e información del socio, firmas responsabilidad de clientes, asesor, consejo de administración en su aprobación anexa la cédula del cliente</t>
        </is>
      </c>
      <c r="J220" s="10" t="inlineStr">
        <is>
          <t xml:space="preserve">Jefe de Captaciones </t>
        </is>
      </c>
      <c r="K220" s="10" t="inlineStr">
        <is>
          <t>Asesor de Servicio</t>
        </is>
      </c>
      <c r="L220" s="10" t="inlineStr">
        <is>
          <t>DOCUMENTOS FISICOS-ARCHIVOS DE LA OFICINA</t>
        </is>
      </c>
      <c r="M220" s="10" t="inlineStr">
        <is>
          <t>DOCUMENTO DE ARCHIVO-FÍSICO</t>
        </is>
      </c>
      <c r="N220" s="10" t="inlineStr">
        <is>
          <t>PRIMARIOS</t>
        </is>
      </c>
      <c r="O220" s="10" t="inlineStr">
        <is>
          <t>DOCUMENTOS HABILITANTES</t>
        </is>
      </c>
      <c r="P220" s="10" t="inlineStr">
        <is>
          <t>PUBLICA(1)</t>
        </is>
      </c>
      <c r="Q220" s="10" t="inlineStr">
        <is>
          <t>MEDIA(2)</t>
        </is>
      </c>
      <c r="R220" s="10" t="inlineStr">
        <is>
          <t>MEDIA(2)</t>
        </is>
      </c>
      <c r="S220" s="10">
        <f>+(IF(P220="PUBLICA(1)",1,IF(P220="USO INTERNO(2)",2,IF(P220="RESTRINGIDO(3)",3,3))))+(IF(Q220="BAJA(1)",1,IF(Q220="MEDIA(2)",2,IF(Q220="ALTA(3)",3,3))))+(IF(R220="BAJA(1)",1,IF(R220="MEDIA(2)",2,IF(R220="ALTA(3)",3,3))))</f>
        <v/>
      </c>
      <c r="T220" s="10">
        <f>+IF(S220&lt;6,"BAJA",IF(S220&lt;8,"MEDIA","ALTA"))</f>
        <v/>
      </c>
      <c r="U220" s="10" t="inlineStr">
        <is>
          <t>-</t>
        </is>
      </c>
      <c r="V220" s="24" t="n">
        <v>45595</v>
      </c>
      <c r="W220" s="19" t="inlineStr">
        <is>
          <t>N/A</t>
        </is>
      </c>
      <c r="X220" s="10">
        <f>+IFERROR(IF(VLOOKUP(Tabla2[[#This Row],[ID]],'EVALUACION DE RIESGO'!A:A,1,FALSE)=Tabla2[[#This Row],[ID]],"SI","NO"),"NO")</f>
        <v/>
      </c>
    </row>
    <row r="221">
      <c r="A221" s="91" t="inlineStr">
        <is>
          <t>40-GCA</t>
        </is>
      </c>
      <c r="B221" s="10" t="inlineStr">
        <is>
          <t>PRODUCTIVO</t>
        </is>
      </c>
      <c r="C221" s="10" t="inlineStr">
        <is>
          <t>Gestión de Captaciones</t>
        </is>
      </c>
      <c r="D221" s="10" t="inlineStr">
        <is>
          <t>GCA</t>
        </is>
      </c>
      <c r="E221" s="10" t="inlineStr">
        <is>
          <t xml:space="preserve">Ahorros a la Vista </t>
        </is>
      </c>
      <c r="F221" s="10" t="inlineStr">
        <is>
          <t xml:space="preserve">Gestión de Cuentas de Ahorro </t>
        </is>
      </c>
      <c r="G221" s="10" t="inlineStr">
        <is>
          <t xml:space="preserve">Transferencia de certificados de aportación            </t>
        </is>
      </c>
      <c r="H221" s="10" t="inlineStr">
        <is>
          <t>Detalle de socios receptores de transferencia de certificados de aportación</t>
        </is>
      </c>
      <c r="I221" s="10" t="inlineStr">
        <is>
          <t xml:space="preserve">Formato donde se registra el socio que reporta la devolución o transacción de valores entre cuentas de ahorro normas y certificados de aportación </t>
        </is>
      </c>
      <c r="J221" s="10" t="inlineStr">
        <is>
          <t xml:space="preserve">Jefe de Captaciones </t>
        </is>
      </c>
      <c r="K221" s="10" t="inlineStr">
        <is>
          <t>Asesor de Servicio</t>
        </is>
      </c>
      <c r="L221" s="10" t="inlineStr">
        <is>
          <t>UBICACIÓN DIGITAL-EQUIPO DEL CUSTODIO</t>
        </is>
      </c>
      <c r="M221" s="10" t="inlineStr">
        <is>
          <t>DISCOS DUROS, SERVIDORES, DISCOS O MEDIOS PORTÁTILES, CINTAS O MEDIOS DE VIDEO Y AUDIO, ETC.</t>
        </is>
      </c>
      <c r="N221" s="10" t="inlineStr">
        <is>
          <t>PRIMARIOS</t>
        </is>
      </c>
      <c r="O221" s="10" t="inlineStr">
        <is>
          <t>INFORMACIÓN DE SOCIOS Y CLIENTES</t>
        </is>
      </c>
      <c r="P221" s="10" t="inlineStr">
        <is>
          <t>PUBLICA(1)</t>
        </is>
      </c>
      <c r="Q221" s="10" t="inlineStr">
        <is>
          <t>MEDIA(2)</t>
        </is>
      </c>
      <c r="R221" s="10" t="inlineStr">
        <is>
          <t>BAJA(1)</t>
        </is>
      </c>
      <c r="S221" s="10">
        <f>+(IF(P221="PUBLICA(1)",1,IF(P221="USO INTERNO(2)",2,IF(P221="RESTRINGIDO(3)",3,3))))+(IF(Q221="BAJA(1)",1,IF(Q221="MEDIA(2)",2,IF(Q221="ALTA(3)",3,3))))+(IF(R221="BAJA(1)",1,IF(R221="MEDIA(2)",2,IF(R221="ALTA(3)",3,3))))</f>
        <v/>
      </c>
      <c r="T221" s="10">
        <f>+IF(S221&lt;6,"BAJA",IF(S221&lt;8,"MEDIA","ALTA"))</f>
        <v/>
      </c>
      <c r="U221" s="10" t="inlineStr">
        <is>
          <t>-</t>
        </is>
      </c>
      <c r="V221" s="24" t="n">
        <v>45595</v>
      </c>
      <c r="W221" s="19" t="inlineStr">
        <is>
          <t>N/A</t>
        </is>
      </c>
      <c r="X221" s="10">
        <f>+IFERROR(IF(VLOOKUP(Tabla2[[#This Row],[ID]],'EVALUACION DE RIESGO'!A:A,1,FALSE)=Tabla2[[#This Row],[ID]],"SI","NO"),"NO")</f>
        <v/>
      </c>
    </row>
    <row r="222">
      <c r="A222" s="91" t="inlineStr">
        <is>
          <t>41-GCA</t>
        </is>
      </c>
      <c r="B222" s="10" t="inlineStr">
        <is>
          <t>PRODUCTIVO</t>
        </is>
      </c>
      <c r="C222" s="10" t="inlineStr">
        <is>
          <t>Gestión de Captaciones</t>
        </is>
      </c>
      <c r="D222" s="10" t="inlineStr">
        <is>
          <t>GCA</t>
        </is>
      </c>
      <c r="E222" s="10" t="inlineStr">
        <is>
          <t xml:space="preserve">Ahorros a la Vista </t>
        </is>
      </c>
      <c r="F222" s="10" t="inlineStr">
        <is>
          <t xml:space="preserve">Gestión de Cuentas de Ahorro </t>
        </is>
      </c>
      <c r="G222" s="10" t="inlineStr">
        <is>
          <t xml:space="preserve">Transferencia de certificados de aportación            </t>
        </is>
      </c>
      <c r="H222" s="10" t="inlineStr">
        <is>
          <t>Matriz consolidada de transferencias de certificados de aportación por agencia</t>
        </is>
      </c>
      <c r="I222" s="10" t="inlineStr">
        <is>
          <t>Consolidación de información de las transferencias realizadas de certificados de aportación</t>
        </is>
      </c>
      <c r="J222" s="10" t="inlineStr">
        <is>
          <t xml:space="preserve">Jefe de Captaciones </t>
        </is>
      </c>
      <c r="K222" s="10" t="inlineStr">
        <is>
          <t>Asesor de Servicio</t>
        </is>
      </c>
      <c r="L222" s="10" t="inlineStr">
        <is>
          <t>UBICACIÓN DIGITAL-EQUIPO DEL CUSTODIO</t>
        </is>
      </c>
      <c r="M222" s="10" t="inlineStr">
        <is>
          <t>DISCOS DUROS, SERVIDORES, DISCOS O MEDIOS PORTÁTILES, CINTAS O MEDIOS DE VIDEO Y AUDIO, ETC.</t>
        </is>
      </c>
      <c r="N222" s="10" t="inlineStr">
        <is>
          <t>PRIMARIOS</t>
        </is>
      </c>
      <c r="O222" s="10" t="inlineStr">
        <is>
          <t>INFORMACIÓN DE SOCIOS Y CLIENTES</t>
        </is>
      </c>
      <c r="P222" s="10" t="inlineStr">
        <is>
          <t>PUBLICA(1)</t>
        </is>
      </c>
      <c r="Q222" s="10" t="inlineStr">
        <is>
          <t>MEDIA(2)</t>
        </is>
      </c>
      <c r="R222" s="10" t="inlineStr">
        <is>
          <t>BAJA(1)</t>
        </is>
      </c>
      <c r="S222" s="10">
        <f>+(IF(P222="PUBLICA(1)",1,IF(P222="USO INTERNO(2)",2,IF(P222="RESTRINGIDO(3)",3,3))))+(IF(Q222="BAJA(1)",1,IF(Q222="MEDIA(2)",2,IF(Q222="ALTA(3)",3,3))))+(IF(R222="BAJA(1)",1,IF(R222="MEDIA(2)",2,IF(R222="ALTA(3)",3,3))))</f>
        <v/>
      </c>
      <c r="T222" s="10">
        <f>+IF(S222&lt;6,"BAJA",IF(S222&lt;8,"MEDIA","ALTA"))</f>
        <v/>
      </c>
      <c r="U222" s="10" t="inlineStr">
        <is>
          <t>-</t>
        </is>
      </c>
      <c r="V222" s="24" t="n">
        <v>45595</v>
      </c>
      <c r="W222" s="19" t="inlineStr">
        <is>
          <t>N/A</t>
        </is>
      </c>
      <c r="X222" s="10">
        <f>+IFERROR(IF(VLOOKUP(Tabla2[[#This Row],[ID]],'EVALUACION DE RIESGO'!A:A,1,FALSE)=Tabla2[[#This Row],[ID]],"SI","NO"),"NO")</f>
        <v/>
      </c>
    </row>
    <row r="223">
      <c r="A223" s="91" t="inlineStr">
        <is>
          <t>42-GCA</t>
        </is>
      </c>
      <c r="B223" s="10" t="inlineStr">
        <is>
          <t>PRODUCTIVO</t>
        </is>
      </c>
      <c r="C223" s="10" t="inlineStr">
        <is>
          <t>Gestión de Captaciones</t>
        </is>
      </c>
      <c r="D223" s="10" t="inlineStr">
        <is>
          <t>GCA</t>
        </is>
      </c>
      <c r="E223" s="10" t="inlineStr">
        <is>
          <t xml:space="preserve">Ahorros a la Vista </t>
        </is>
      </c>
      <c r="F223" s="10" t="inlineStr">
        <is>
          <t xml:space="preserve">Gestión de Cuentas de Ahorro </t>
        </is>
      </c>
      <c r="G223" s="10" t="inlineStr">
        <is>
          <t>Elaboración, Anulación y canje de libretas de ahorro</t>
        </is>
      </c>
      <c r="H223" s="10" t="inlineStr">
        <is>
          <t>Libreta de ahorros</t>
        </is>
      </c>
      <c r="I223" s="10" t="inlineStr">
        <is>
          <t>Libreta de ahorros entrega al cliente donde se detalla el estado de la cuenta e información del cliente</t>
        </is>
      </c>
      <c r="J223" s="10" t="inlineStr">
        <is>
          <t xml:space="preserve">Jefe de Captaciones </t>
        </is>
      </c>
      <c r="K223" s="10" t="inlineStr">
        <is>
          <t>N/A</t>
        </is>
      </c>
      <c r="L223" s="10" t="inlineStr">
        <is>
          <t>DOCUMENTOS FISICOS-ARCHIVOS DE LA OFICINA</t>
        </is>
      </c>
      <c r="M223" s="10" t="inlineStr">
        <is>
          <t>DOCUMENTO DE ARCHIVO-FÍSICO</t>
        </is>
      </c>
      <c r="N223" s="10" t="inlineStr">
        <is>
          <t>PRIMARIOS</t>
        </is>
      </c>
      <c r="O223" s="10" t="inlineStr">
        <is>
          <t>DOCUMENTOS HABILITANTES</t>
        </is>
      </c>
      <c r="P223" s="10" t="inlineStr">
        <is>
          <t>USO INTERNO(2)</t>
        </is>
      </c>
      <c r="Q223" s="10" t="inlineStr">
        <is>
          <t>MEDIA(2)</t>
        </is>
      </c>
      <c r="R223" s="10" t="inlineStr">
        <is>
          <t>MEDIA(2)</t>
        </is>
      </c>
      <c r="S223" s="10">
        <f>+(IF(P223="PUBLICA(1)",1,IF(P223="USO INTERNO(2)",2,IF(P223="RESTRINGIDO(3)",3,3))))+(IF(Q223="BAJA(1)",1,IF(Q223="MEDIA(2)",2,IF(Q223="ALTA(3)",3,3))))+(IF(R223="BAJA(1)",1,IF(R223="MEDIA(2)",2,IF(R223="ALTA(3)",3,3))))</f>
        <v/>
      </c>
      <c r="T223" s="10">
        <f>+IF(S223&lt;6,"BAJA",IF(S223&lt;8,"MEDIA","ALTA"))</f>
        <v/>
      </c>
      <c r="U223" s="10" t="inlineStr">
        <is>
          <t>-</t>
        </is>
      </c>
      <c r="V223" s="24" t="n">
        <v>45595</v>
      </c>
      <c r="W223" s="19" t="inlineStr">
        <is>
          <t>N/A</t>
        </is>
      </c>
      <c r="X223" s="10">
        <f>+IFERROR(IF(VLOOKUP(Tabla2[[#This Row],[ID]],'EVALUACION DE RIESGO'!A:A,1,FALSE)=Tabla2[[#This Row],[ID]],"SI","NO"),"NO")</f>
        <v/>
      </c>
    </row>
    <row r="224">
      <c r="A224" s="91" t="inlineStr">
        <is>
          <t>43-GCA</t>
        </is>
      </c>
      <c r="B224" s="10" t="inlineStr">
        <is>
          <t>PRODUCTIVO</t>
        </is>
      </c>
      <c r="C224" s="10" t="inlineStr">
        <is>
          <t>Gestión de Captaciones</t>
        </is>
      </c>
      <c r="D224" s="10" t="inlineStr">
        <is>
          <t>GCA</t>
        </is>
      </c>
      <c r="E224" s="10" t="inlineStr">
        <is>
          <t xml:space="preserve">Ahorros a la Vista </t>
        </is>
      </c>
      <c r="F224" s="10" t="inlineStr">
        <is>
          <t xml:space="preserve">Gestión de Cuentas de Ahorro </t>
        </is>
      </c>
      <c r="G224" s="10" t="inlineStr">
        <is>
          <t>Elaboración, Anulación y canje de libretas de ahorro</t>
        </is>
      </c>
      <c r="H224" s="10" t="inlineStr">
        <is>
          <t>Denuncia realizada en la página del Consejo de la Judicatura, Sistema de Documentos Extraviados</t>
        </is>
      </c>
      <c r="I224" s="10" t="inlineStr">
        <is>
          <t xml:space="preserve">Denuncia impresa del Consejo de la Judicatura  realizada por el cliente </t>
        </is>
      </c>
      <c r="J224" s="10" t="inlineStr">
        <is>
          <t xml:space="preserve">Jefe de Captaciones </t>
        </is>
      </c>
      <c r="K224" s="10" t="inlineStr">
        <is>
          <t>Asesor de Servicio</t>
        </is>
      </c>
      <c r="L224" s="10" t="inlineStr">
        <is>
          <t>DOCUMENTOS FISICOS-ARCHIVOS DE LA OFICINA</t>
        </is>
      </c>
      <c r="M224" s="10" t="inlineStr">
        <is>
          <t>DOCUMENTO DE ARCHIVO-FÍSICO</t>
        </is>
      </c>
      <c r="N224" s="10" t="inlineStr">
        <is>
          <t>PRIMARIOS</t>
        </is>
      </c>
      <c r="O224" s="10" t="inlineStr">
        <is>
          <t>INFORMACIÓN DE SOCIOS Y CLIENTES</t>
        </is>
      </c>
      <c r="P224" s="10" t="inlineStr">
        <is>
          <t>USO INTERNO(2)</t>
        </is>
      </c>
      <c r="Q224" s="10" t="inlineStr">
        <is>
          <t>MEDIA(2)</t>
        </is>
      </c>
      <c r="R224" s="10" t="inlineStr">
        <is>
          <t>BAJA(1)</t>
        </is>
      </c>
      <c r="S224" s="10">
        <f>+(IF(P224="PUBLICA(1)",1,IF(P224="USO INTERNO(2)",2,IF(P224="RESTRINGIDO(3)",3,3))))+(IF(Q224="BAJA(1)",1,IF(Q224="MEDIA(2)",2,IF(Q224="ALTA(3)",3,3))))+(IF(R224="BAJA(1)",1,IF(R224="MEDIA(2)",2,IF(R224="ALTA(3)",3,3))))</f>
        <v/>
      </c>
      <c r="T224" s="10">
        <f>+IF(S224&lt;6,"BAJA",IF(S224&lt;8,"MEDIA","ALTA"))</f>
        <v/>
      </c>
      <c r="U224" s="10" t="inlineStr">
        <is>
          <t>-</t>
        </is>
      </c>
      <c r="V224" s="24" t="n">
        <v>45595</v>
      </c>
      <c r="W224" s="19" t="inlineStr">
        <is>
          <t>N/A</t>
        </is>
      </c>
      <c r="X224" s="10">
        <f>+IFERROR(IF(VLOOKUP(Tabla2[[#This Row],[ID]],'EVALUACION DE RIESGO'!A:A,1,FALSE)=Tabla2[[#This Row],[ID]],"SI","NO"),"NO")</f>
        <v/>
      </c>
    </row>
    <row r="225">
      <c r="A225" s="91" t="inlineStr">
        <is>
          <t>44-GCA</t>
        </is>
      </c>
      <c r="B225" s="10" t="inlineStr">
        <is>
          <t>PRODUCTIVO</t>
        </is>
      </c>
      <c r="C225" s="10" t="inlineStr">
        <is>
          <t>Gestión de Captaciones</t>
        </is>
      </c>
      <c r="D225" s="10" t="inlineStr">
        <is>
          <t>GCA</t>
        </is>
      </c>
      <c r="E225" s="10" t="inlineStr">
        <is>
          <t xml:space="preserve">Ahorros a la Vista </t>
        </is>
      </c>
      <c r="F225" s="10" t="inlineStr">
        <is>
          <t xml:space="preserve">Gestión de Cuentas de Ahorro </t>
        </is>
      </c>
      <c r="G225" s="10" t="inlineStr">
        <is>
          <t>Elaboración, Anulación y canje de libretas de ahorro</t>
        </is>
      </c>
      <c r="H225" s="10" t="inlineStr">
        <is>
          <t>Autorización de débito servicios corporativos</t>
        </is>
      </c>
      <c r="I225" s="10" t="inlineStr">
        <is>
          <t>Formato firmado por el cliente donde se detallan los débitos realizados y motivos</t>
        </is>
      </c>
      <c r="J225" s="10" t="inlineStr">
        <is>
          <t xml:space="preserve">Jefe de Captaciones </t>
        </is>
      </c>
      <c r="K225" s="10" t="inlineStr">
        <is>
          <t>Asesor de Servicio</t>
        </is>
      </c>
      <c r="L225" s="10" t="inlineStr">
        <is>
          <t>DOCUMENTOS FISICOS-ARCHIVOS DE LA OFICINA</t>
        </is>
      </c>
      <c r="M225" s="10" t="inlineStr">
        <is>
          <t>DOCUMENTO DE ARCHIVO-FÍSICO</t>
        </is>
      </c>
      <c r="N225" s="10" t="inlineStr">
        <is>
          <t>PRIMARIOS</t>
        </is>
      </c>
      <c r="O225" s="10" t="inlineStr">
        <is>
          <t>DOCUMENTOS HABILITANTES</t>
        </is>
      </c>
      <c r="P225" s="10" t="inlineStr">
        <is>
          <t>PUBLICA(1)</t>
        </is>
      </c>
      <c r="Q225" s="10" t="inlineStr">
        <is>
          <t>MEDIA(2)</t>
        </is>
      </c>
      <c r="R225" s="10" t="inlineStr">
        <is>
          <t>MEDIA(2)</t>
        </is>
      </c>
      <c r="S225" s="10">
        <f>+(IF(P225="PUBLICA(1)",1,IF(P225="USO INTERNO(2)",2,IF(P225="RESTRINGIDO(3)",3,3))))+(IF(Q225="BAJA(1)",1,IF(Q225="MEDIA(2)",2,IF(Q225="ALTA(3)",3,3))))+(IF(R225="BAJA(1)",1,IF(R225="MEDIA(2)",2,IF(R225="ALTA(3)",3,3))))</f>
        <v/>
      </c>
      <c r="T225" s="10">
        <f>+IF(S225&lt;6,"BAJA",IF(S225&lt;8,"MEDIA","ALTA"))</f>
        <v/>
      </c>
      <c r="U225" s="10" t="inlineStr">
        <is>
          <t>-</t>
        </is>
      </c>
      <c r="V225" s="24" t="n">
        <v>45595</v>
      </c>
      <c r="W225" s="19" t="inlineStr">
        <is>
          <t>N/A</t>
        </is>
      </c>
      <c r="X225" s="10">
        <f>+IFERROR(IF(VLOOKUP(Tabla2[[#This Row],[ID]],'EVALUACION DE RIESGO'!A:A,1,FALSE)=Tabla2[[#This Row],[ID]],"SI","NO"),"NO")</f>
        <v/>
      </c>
    </row>
    <row r="226">
      <c r="A226" s="91" t="inlineStr">
        <is>
          <t>45-GCA</t>
        </is>
      </c>
      <c r="B226" s="10" t="inlineStr">
        <is>
          <t>PRODUCTIVO</t>
        </is>
      </c>
      <c r="C226" s="10" t="inlineStr">
        <is>
          <t>Gestión de Captaciones</t>
        </is>
      </c>
      <c r="D226" s="10" t="inlineStr">
        <is>
          <t>GCA</t>
        </is>
      </c>
      <c r="E226" s="10" t="inlineStr">
        <is>
          <t xml:space="preserve">Ahorros a la Vista </t>
        </is>
      </c>
      <c r="F226" s="10" t="inlineStr">
        <is>
          <t xml:space="preserve">Gestión de Cuentas de Ahorro </t>
        </is>
      </c>
      <c r="G226" s="10" t="inlineStr">
        <is>
          <t>Elaboración, Anulación y canje de libretas de ahorro</t>
        </is>
      </c>
      <c r="H226" s="10" t="inlineStr">
        <is>
          <t>Registro de datos de nueva libreta</t>
        </is>
      </c>
      <c r="I226" s="10" t="inlineStr">
        <is>
          <t>Registro de datos realizado en el sistema, a tanto la cuenta y numero de cartola</t>
        </is>
      </c>
      <c r="J226" s="10" t="inlineStr">
        <is>
          <t xml:space="preserve">Jefe de Captaciones </t>
        </is>
      </c>
      <c r="K226" s="10" t="inlineStr">
        <is>
          <t>FIT</t>
        </is>
      </c>
      <c r="L226" s="10" t="inlineStr">
        <is>
          <t>UBICACIÓN DIGITAL-CORE FINANCIERO</t>
        </is>
      </c>
      <c r="M226" s="10" t="inlineStr">
        <is>
          <t>SISTEMAS DE INFORMACIÓN CORPORATIVOS</t>
        </is>
      </c>
      <c r="N226" s="10" t="inlineStr">
        <is>
          <t>PRIMARIOS</t>
        </is>
      </c>
      <c r="O226" s="10" t="inlineStr">
        <is>
          <t>DOCUMENTOS HABILITANTES</t>
        </is>
      </c>
      <c r="P226" s="10" t="inlineStr">
        <is>
          <t>PUBLICA(1)</t>
        </is>
      </c>
      <c r="Q226" s="10" t="inlineStr">
        <is>
          <t>MEDIA(2)</t>
        </is>
      </c>
      <c r="R226" s="10" t="inlineStr">
        <is>
          <t>MEDIA(2)</t>
        </is>
      </c>
      <c r="S226" s="10">
        <f>+(IF(P226="PUBLICA(1)",1,IF(P226="USO INTERNO(2)",2,IF(P226="RESTRINGIDO(3)",3,3))))+(IF(Q226="BAJA(1)",1,IF(Q226="MEDIA(2)",2,IF(Q226="ALTA(3)",3,3))))+(IF(R226="BAJA(1)",1,IF(R226="MEDIA(2)",2,IF(R226="ALTA(3)",3,3))))</f>
        <v/>
      </c>
      <c r="T226" s="10">
        <f>+IF(S226&lt;6,"BAJA",IF(S226&lt;8,"MEDIA","ALTA"))</f>
        <v/>
      </c>
      <c r="U226" s="10" t="inlineStr">
        <is>
          <t>-</t>
        </is>
      </c>
      <c r="V226" s="24" t="n">
        <v>45595</v>
      </c>
      <c r="W226" s="19" t="inlineStr">
        <is>
          <t>N/A</t>
        </is>
      </c>
      <c r="X226" s="10">
        <f>+IFERROR(IF(VLOOKUP(Tabla2[[#This Row],[ID]],'EVALUACION DE RIESGO'!A:A,1,FALSE)=Tabla2[[#This Row],[ID]],"SI","NO"),"NO")</f>
        <v/>
      </c>
    </row>
    <row r="227">
      <c r="A227" s="91" t="inlineStr">
        <is>
          <t>46-GCA</t>
        </is>
      </c>
      <c r="B227" s="10" t="inlineStr">
        <is>
          <t>PRODUCTIVO</t>
        </is>
      </c>
      <c r="C227" s="10" t="inlineStr">
        <is>
          <t>Gestión de Captaciones</t>
        </is>
      </c>
      <c r="D227" s="10" t="inlineStr">
        <is>
          <t>GCA</t>
        </is>
      </c>
      <c r="E227" s="10" t="inlineStr">
        <is>
          <t xml:space="preserve">Ahorros a la Vista </t>
        </is>
      </c>
      <c r="F227" s="10" t="inlineStr">
        <is>
          <t xml:space="preserve">Gestión de Cuentas de Ahorro </t>
        </is>
      </c>
      <c r="G227" s="10" t="inlineStr">
        <is>
          <t xml:space="preserve">Informe de aperturas y cierres de cuentas             </t>
        </is>
      </c>
      <c r="H227" s="10" t="inlineStr">
        <is>
          <t>Informe de cuentas aperturadas y cerradas</t>
        </is>
      </c>
      <c r="I227" s="10" t="inlineStr">
        <is>
          <t>Oficio que detalla la política, actividad de ahorros a la vista, cuentas aperturadas por producto con oficina cantidad y monto, se agrega un cuadro de crecimiento, motivos de cierres de cuentas , detalle del total de cuentas y socios activos e inactivos</t>
        </is>
      </c>
      <c r="J227" s="10" t="inlineStr">
        <is>
          <t xml:space="preserve">Jefe de Captaciones </t>
        </is>
      </c>
      <c r="K227" s="10" t="inlineStr">
        <is>
          <t>Analista de Negocios</t>
        </is>
      </c>
      <c r="L227" s="10" t="inlineStr">
        <is>
          <t>UBICACIÓN DIGITAL-EQUIPO DEL CUSTODIO</t>
        </is>
      </c>
      <c r="M227" s="10" t="inlineStr">
        <is>
          <t>DISCOS DUROS, SERVIDORES, DISCOS O MEDIOS PORTÁTILES, CINTAS O MEDIOS DE VIDEO Y AUDIO, ETC.</t>
        </is>
      </c>
      <c r="N227" s="10" t="inlineStr">
        <is>
          <t>PRIMARIOS</t>
        </is>
      </c>
      <c r="O227" s="10" t="inlineStr">
        <is>
          <t>INFORMACIÓN DE SOCIOS Y CLIENTES</t>
        </is>
      </c>
      <c r="P227" s="10" t="inlineStr">
        <is>
          <t>USO INTERNO(2)</t>
        </is>
      </c>
      <c r="Q227" s="10" t="inlineStr">
        <is>
          <t>MEDIA(2)</t>
        </is>
      </c>
      <c r="R227" s="10" t="inlineStr">
        <is>
          <t>BAJA(1)</t>
        </is>
      </c>
      <c r="S227" s="10">
        <f>+(IF(P227="PUBLICA(1)",1,IF(P227="USO INTERNO(2)",2,IF(P227="RESTRINGIDO(3)",3,3))))+(IF(Q227="BAJA(1)",1,IF(Q227="MEDIA(2)",2,IF(Q227="ALTA(3)",3,3))))+(IF(R227="BAJA(1)",1,IF(R227="MEDIA(2)",2,IF(R227="ALTA(3)",3,3))))</f>
        <v/>
      </c>
      <c r="T227" s="10">
        <f>+IF(S227&lt;6,"BAJA",IF(S227&lt;8,"MEDIA","ALTA"))</f>
        <v/>
      </c>
      <c r="U227" s="10" t="inlineStr">
        <is>
          <t>-</t>
        </is>
      </c>
      <c r="V227" s="24" t="n">
        <v>45595</v>
      </c>
      <c r="W227" s="19" t="inlineStr">
        <is>
          <t>N/A</t>
        </is>
      </c>
      <c r="X227" s="10">
        <f>+IFERROR(IF(VLOOKUP(Tabla2[[#This Row],[ID]],'EVALUACION DE RIESGO'!A:A,1,FALSE)=Tabla2[[#This Row],[ID]],"SI","NO"),"NO")</f>
        <v/>
      </c>
    </row>
    <row r="228">
      <c r="A228" s="91" t="inlineStr">
        <is>
          <t>47-GCA</t>
        </is>
      </c>
      <c r="B228" s="10" t="inlineStr">
        <is>
          <t>PRODUCTIVO</t>
        </is>
      </c>
      <c r="C228" s="10" t="inlineStr">
        <is>
          <t>Gestión de Captaciones</t>
        </is>
      </c>
      <c r="D228" s="10" t="inlineStr">
        <is>
          <t>GCA</t>
        </is>
      </c>
      <c r="E228" s="10" t="inlineStr">
        <is>
          <t xml:space="preserve">Ahorros a la Vista </t>
        </is>
      </c>
      <c r="F228" s="10" t="inlineStr">
        <is>
          <t xml:space="preserve">Gestión de Cuentas de Ahorro </t>
        </is>
      </c>
      <c r="G228" s="10" t="inlineStr">
        <is>
          <t xml:space="preserve">Informe de aperturas y cierres de cuentas             </t>
        </is>
      </c>
      <c r="H228" s="10" t="inlineStr">
        <is>
          <t>Reporte de cuentas con saldo inferiores al monto establecido</t>
        </is>
      </c>
      <c r="I228" s="10" t="inlineStr">
        <is>
          <t>Reporte de cuentas con saldos inferiores gestionado por operaciones y riesgos con información del cliente</t>
        </is>
      </c>
      <c r="J228" s="10" t="inlineStr">
        <is>
          <t xml:space="preserve">Jefe de Captaciones </t>
        </is>
      </c>
      <c r="K228" s="10" t="inlineStr">
        <is>
          <t>Analista de Negocios</t>
        </is>
      </c>
      <c r="L228" s="10" t="inlineStr">
        <is>
          <t>UBICACIÓN DIGITAL-EQUIPO DEL CUSTODIO</t>
        </is>
      </c>
      <c r="M228" s="10" t="inlineStr">
        <is>
          <t>DISCOS DUROS, SERVIDORES, DISCOS O MEDIOS PORTÁTILES, CINTAS O MEDIOS DE VIDEO Y AUDIO, ETC.</t>
        </is>
      </c>
      <c r="N228" s="10" t="inlineStr">
        <is>
          <t>PRIMARIOS</t>
        </is>
      </c>
      <c r="O228" s="10" t="inlineStr">
        <is>
          <t>INFORMACIÓN DE SOCIOS Y CLIENTES</t>
        </is>
      </c>
      <c r="P228" s="10" t="inlineStr">
        <is>
          <t>USO INTERNO(2)</t>
        </is>
      </c>
      <c r="Q228" s="10" t="inlineStr">
        <is>
          <t>MEDIA(2)</t>
        </is>
      </c>
      <c r="R228" s="10" t="inlineStr">
        <is>
          <t>BAJA(1)</t>
        </is>
      </c>
      <c r="S228" s="10">
        <f>+(IF(P228="PUBLICA(1)",1,IF(P228="USO INTERNO(2)",2,IF(P228="RESTRINGIDO(3)",3,3))))+(IF(Q228="BAJA(1)",1,IF(Q228="MEDIA(2)",2,IF(Q228="ALTA(3)",3,3))))+(IF(R228="BAJA(1)",1,IF(R228="MEDIA(2)",2,IF(R228="ALTA(3)",3,3))))</f>
        <v/>
      </c>
      <c r="T228" s="10">
        <f>+IF(S228&lt;6,"BAJA",IF(S228&lt;8,"MEDIA","ALTA"))</f>
        <v/>
      </c>
      <c r="U228" s="10" t="inlineStr">
        <is>
          <t>-</t>
        </is>
      </c>
      <c r="V228" s="24" t="n">
        <v>45595</v>
      </c>
      <c r="W228" s="19" t="inlineStr">
        <is>
          <t>N/A</t>
        </is>
      </c>
      <c r="X228" s="10">
        <f>+IFERROR(IF(VLOOKUP(Tabla2[[#This Row],[ID]],'EVALUACION DE RIESGO'!A:A,1,FALSE)=Tabla2[[#This Row],[ID]],"SI","NO"),"NO")</f>
        <v/>
      </c>
    </row>
    <row r="229">
      <c r="A229" s="91" t="inlineStr">
        <is>
          <t>48-GCA</t>
        </is>
      </c>
      <c r="B229" s="10" t="inlineStr">
        <is>
          <t>PRODUCTIVO</t>
        </is>
      </c>
      <c r="C229" s="10" t="inlineStr">
        <is>
          <t>Gestión de Captaciones</t>
        </is>
      </c>
      <c r="D229" s="10" t="inlineStr">
        <is>
          <t>GCA</t>
        </is>
      </c>
      <c r="E229" s="10" t="inlineStr">
        <is>
          <t xml:space="preserve">Ahorros a la Vista </t>
        </is>
      </c>
      <c r="F229" s="10" t="inlineStr">
        <is>
          <t xml:space="preserve">Gestión  de Ahorro Programado </t>
        </is>
      </c>
      <c r="G229" s="10" t="inlineStr">
        <is>
          <t xml:space="preserve">Apertura de cuenta de ahorro programado       </t>
        </is>
      </c>
      <c r="H229" s="10" t="inlineStr">
        <is>
          <t>File del socio</t>
        </is>
      </c>
      <c r="I229" s="10" t="inlineStr">
        <is>
          <t>File consolidado ingresado al sistema Fit con toda la documentación necesaria para la apertura de la cuenta</t>
        </is>
      </c>
      <c r="J229" s="10" t="inlineStr">
        <is>
          <t xml:space="preserve">Jefe de Captaciones </t>
        </is>
      </c>
      <c r="K229" s="10" t="inlineStr">
        <is>
          <t>FIT</t>
        </is>
      </c>
      <c r="L229" s="10" t="inlineStr">
        <is>
          <t>UBICACIÓN DIGITAL-CORE FINANCIERO</t>
        </is>
      </c>
      <c r="M229" s="10" t="inlineStr">
        <is>
          <t>SISTEMAS DE INFORMACIÓN CORPORATIVOS</t>
        </is>
      </c>
      <c r="N229" s="10" t="inlineStr">
        <is>
          <t>PRIMARIOS</t>
        </is>
      </c>
      <c r="O229" s="10" t="inlineStr">
        <is>
          <t>INFORMACIÓN DE SOCIOS Y CLIENTES</t>
        </is>
      </c>
      <c r="P229" s="10" t="inlineStr">
        <is>
          <t>USO INTERNO(2)</t>
        </is>
      </c>
      <c r="Q229" s="10" t="inlineStr">
        <is>
          <t>MEDIA(2)</t>
        </is>
      </c>
      <c r="R229" s="10" t="inlineStr">
        <is>
          <t>MEDIA(2)</t>
        </is>
      </c>
      <c r="S229" s="10">
        <f>+(IF(P229="PUBLICA(1)",1,IF(P229="USO INTERNO(2)",2,IF(P229="RESTRINGIDO(3)",3,3))))+(IF(Q229="BAJA(1)",1,IF(Q229="MEDIA(2)",2,IF(Q229="ALTA(3)",3,3))))+(IF(R229="BAJA(1)",1,IF(R229="MEDIA(2)",2,IF(R229="ALTA(3)",3,3))))</f>
        <v/>
      </c>
      <c r="T229" s="10">
        <f>+IF(S229&lt;6,"BAJA",IF(S229&lt;8,"MEDIA","ALTA"))</f>
        <v/>
      </c>
      <c r="U229" s="10" t="inlineStr">
        <is>
          <t>-</t>
        </is>
      </c>
      <c r="V229" s="24" t="n">
        <v>45595</v>
      </c>
      <c r="W229" s="19" t="inlineStr">
        <is>
          <t>N/A</t>
        </is>
      </c>
      <c r="X229" s="10">
        <f>+IFERROR(IF(VLOOKUP(Tabla2[[#This Row],[ID]],'EVALUACION DE RIESGO'!A:A,1,FALSE)=Tabla2[[#This Row],[ID]],"SI","NO"),"NO")</f>
        <v/>
      </c>
    </row>
    <row r="230">
      <c r="A230" s="91" t="inlineStr">
        <is>
          <t>49-GCA</t>
        </is>
      </c>
      <c r="B230" s="10" t="inlineStr">
        <is>
          <t>PRODUCTIVO</t>
        </is>
      </c>
      <c r="C230" s="10" t="inlineStr">
        <is>
          <t>Gestión de Captaciones</t>
        </is>
      </c>
      <c r="D230" s="10" t="inlineStr">
        <is>
          <t>GCA</t>
        </is>
      </c>
      <c r="E230" s="10" t="inlineStr">
        <is>
          <t xml:space="preserve">Ahorros a la Vista </t>
        </is>
      </c>
      <c r="F230" s="10" t="inlineStr">
        <is>
          <t xml:space="preserve">Gestión  de Ahorro Programado </t>
        </is>
      </c>
      <c r="G230" s="10" t="inlineStr">
        <is>
          <t xml:space="preserve">Apertura de cuenta de ahorro programado       </t>
        </is>
      </c>
      <c r="H230" s="10" t="inlineStr">
        <is>
          <t>Contrato de Apertura de Cuentas de Ahorro</t>
        </is>
      </c>
      <c r="I230" s="10" t="inlineStr">
        <is>
          <t>Documento de contrato que contiene información del socio y términos y condiciones del contrato, contiene firmas de validación</t>
        </is>
      </c>
      <c r="J230" s="10" t="inlineStr">
        <is>
          <t xml:space="preserve">Jefe de Captaciones </t>
        </is>
      </c>
      <c r="K230" s="10" t="inlineStr">
        <is>
          <t>Asesor de Servicio</t>
        </is>
      </c>
      <c r="L230" s="10" t="inlineStr">
        <is>
          <t>DOCUMENTOS FISICOS-ARCHIVOS DE LA OFICINA</t>
        </is>
      </c>
      <c r="M230" s="10" t="inlineStr">
        <is>
          <t>DOCUMENTO DE ARCHIVO-FÍSICO</t>
        </is>
      </c>
      <c r="N230" s="10" t="inlineStr">
        <is>
          <t>PRIMARIOS</t>
        </is>
      </c>
      <c r="O230" s="10" t="inlineStr">
        <is>
          <t>DOCUMENTOS HABILITANTES</t>
        </is>
      </c>
      <c r="P230" s="10" t="inlineStr">
        <is>
          <t>USO INTERNO(2)</t>
        </is>
      </c>
      <c r="Q230" s="10" t="inlineStr">
        <is>
          <t>MEDIA(2)</t>
        </is>
      </c>
      <c r="R230" s="10" t="inlineStr">
        <is>
          <t>MEDIA(2)</t>
        </is>
      </c>
      <c r="S230" s="10">
        <f>+(IF(P230="PUBLICA(1)",1,IF(P230="USO INTERNO(2)",2,IF(P230="RESTRINGIDO(3)",3,3))))+(IF(Q230="BAJA(1)",1,IF(Q230="MEDIA(2)",2,IF(Q230="ALTA(3)",3,3))))+(IF(R230="BAJA(1)",1,IF(R230="MEDIA(2)",2,IF(R230="ALTA(3)",3,3))))</f>
        <v/>
      </c>
      <c r="T230" s="10">
        <f>+IF(S230&lt;6,"BAJA",IF(S230&lt;8,"MEDIA","ALTA"))</f>
        <v/>
      </c>
      <c r="U230" s="10" t="inlineStr">
        <is>
          <t>-</t>
        </is>
      </c>
      <c r="V230" s="24" t="n">
        <v>45595</v>
      </c>
      <c r="W230" s="19" t="inlineStr">
        <is>
          <t>N/A</t>
        </is>
      </c>
      <c r="X230" s="10">
        <f>+IFERROR(IF(VLOOKUP(Tabla2[[#This Row],[ID]],'EVALUACION DE RIESGO'!A:A,1,FALSE)=Tabla2[[#This Row],[ID]],"SI","NO"),"NO")</f>
        <v/>
      </c>
    </row>
    <row r="231">
      <c r="A231" s="91" t="inlineStr">
        <is>
          <t>50-GCA</t>
        </is>
      </c>
      <c r="B231" s="10" t="inlineStr">
        <is>
          <t>PRODUCTIVO</t>
        </is>
      </c>
      <c r="C231" s="10" t="inlineStr">
        <is>
          <t>Gestión de Captaciones</t>
        </is>
      </c>
      <c r="D231" s="10" t="inlineStr">
        <is>
          <t>GCA</t>
        </is>
      </c>
      <c r="E231" s="10" t="inlineStr">
        <is>
          <t xml:space="preserve">Ahorros a la Vista </t>
        </is>
      </c>
      <c r="F231" s="10" t="inlineStr">
        <is>
          <t xml:space="preserve">Gestión  de Ahorro Programado </t>
        </is>
      </c>
      <c r="G231" s="10" t="inlineStr">
        <is>
          <t xml:space="preserve">Renovación de ahorro programado               </t>
        </is>
      </c>
      <c r="H231" s="10" t="inlineStr">
        <is>
          <t>File del socio</t>
        </is>
      </c>
      <c r="I231" s="10" t="inlineStr">
        <is>
          <t>File consolidado ingresado al sistema Fit con toda la documentación necesaria para la apertura de la cuenta</t>
        </is>
      </c>
      <c r="J231" s="10" t="inlineStr">
        <is>
          <t xml:space="preserve">Jefe de Captaciones </t>
        </is>
      </c>
      <c r="K231" s="10" t="inlineStr">
        <is>
          <t>FIT</t>
        </is>
      </c>
      <c r="L231" s="10" t="inlineStr">
        <is>
          <t>UBICACIÓN DIGITAL-CORE FINANCIERO</t>
        </is>
      </c>
      <c r="M231" s="10" t="inlineStr">
        <is>
          <t>SISTEMAS DE INFORMACIÓN CORPORATIVOS</t>
        </is>
      </c>
      <c r="N231" s="10" t="inlineStr">
        <is>
          <t>PRIMARIOS</t>
        </is>
      </c>
      <c r="O231" s="10" t="inlineStr">
        <is>
          <t>INFORMACIÓN DE SOCIOS Y CLIENTES</t>
        </is>
      </c>
      <c r="P231" s="10" t="inlineStr">
        <is>
          <t>USO INTERNO(2)</t>
        </is>
      </c>
      <c r="Q231" s="10" t="inlineStr">
        <is>
          <t>MEDIA(2)</t>
        </is>
      </c>
      <c r="R231" s="10" t="inlineStr">
        <is>
          <t>MEDIA(2)</t>
        </is>
      </c>
      <c r="S231" s="10">
        <f>+(IF(P231="PUBLICA(1)",1,IF(P231="USO INTERNO(2)",2,IF(P231="RESTRINGIDO(3)",3,3))))+(IF(Q231="BAJA(1)",1,IF(Q231="MEDIA(2)",2,IF(Q231="ALTA(3)",3,3))))+(IF(R231="BAJA(1)",1,IF(R231="MEDIA(2)",2,IF(R231="ALTA(3)",3,3))))</f>
        <v/>
      </c>
      <c r="T231" s="10">
        <f>+IF(S231&lt;6,"BAJA",IF(S231&lt;8,"MEDIA","ALTA"))</f>
        <v/>
      </c>
      <c r="U231" s="10" t="inlineStr">
        <is>
          <t>-</t>
        </is>
      </c>
      <c r="V231" s="24" t="n">
        <v>45595</v>
      </c>
      <c r="W231" s="19" t="inlineStr">
        <is>
          <t>N/A</t>
        </is>
      </c>
      <c r="X231" s="10">
        <f>+IFERROR(IF(VLOOKUP(Tabla2[[#This Row],[ID]],'EVALUACION DE RIESGO'!A:A,1,FALSE)=Tabla2[[#This Row],[ID]],"SI","NO"),"NO")</f>
        <v/>
      </c>
    </row>
    <row r="232">
      <c r="A232" s="91" t="inlineStr">
        <is>
          <t>51-GCA</t>
        </is>
      </c>
      <c r="B232" s="10" t="inlineStr">
        <is>
          <t>PRODUCTIVO</t>
        </is>
      </c>
      <c r="C232" s="10" t="inlineStr">
        <is>
          <t>Gestión de Captaciones</t>
        </is>
      </c>
      <c r="D232" s="10" t="inlineStr">
        <is>
          <t>GCA</t>
        </is>
      </c>
      <c r="E232" s="10" t="inlineStr">
        <is>
          <t xml:space="preserve">Ahorros a la Vista </t>
        </is>
      </c>
      <c r="F232" s="10" t="inlineStr">
        <is>
          <t xml:space="preserve">Gestión  de Ahorro Programado </t>
        </is>
      </c>
      <c r="G232" s="10" t="inlineStr">
        <is>
          <t xml:space="preserve">Renovación de ahorro programado               </t>
        </is>
      </c>
      <c r="H232" s="10" t="inlineStr">
        <is>
          <t>Contrato de Apertura de Cuentas de Ahorro</t>
        </is>
      </c>
      <c r="I232" s="10" t="inlineStr">
        <is>
          <t>Documento de contrato que contiene información del socio y términos y condiciones del contrato, contiene firmas de validación</t>
        </is>
      </c>
      <c r="J232" s="10" t="inlineStr">
        <is>
          <t xml:space="preserve">Jefe de Captaciones </t>
        </is>
      </c>
      <c r="K232" s="10" t="inlineStr">
        <is>
          <t>Asesor de Servicio</t>
        </is>
      </c>
      <c r="L232" s="10" t="inlineStr">
        <is>
          <t>DOCUMENTOS FISICOS-ARCHIVOS DE LA OFICINA</t>
        </is>
      </c>
      <c r="M232" s="10" t="inlineStr">
        <is>
          <t>DOCUMENTO DE ARCHIVO-FÍSICO</t>
        </is>
      </c>
      <c r="N232" s="10" t="inlineStr">
        <is>
          <t>PRIMARIOS</t>
        </is>
      </c>
      <c r="O232" s="10" t="inlineStr">
        <is>
          <t>DOCUMENTOS HABILITANTES</t>
        </is>
      </c>
      <c r="P232" s="10" t="inlineStr">
        <is>
          <t>USO INTERNO(2)</t>
        </is>
      </c>
      <c r="Q232" s="10" t="inlineStr">
        <is>
          <t>MEDIA(2)</t>
        </is>
      </c>
      <c r="R232" s="10" t="inlineStr">
        <is>
          <t>MEDIA(2)</t>
        </is>
      </c>
      <c r="S232" s="10">
        <f>+(IF(P232="PUBLICA(1)",1,IF(P232="USO INTERNO(2)",2,IF(P232="RESTRINGIDO(3)",3,3))))+(IF(Q232="BAJA(1)",1,IF(Q232="MEDIA(2)",2,IF(Q232="ALTA(3)",3,3))))+(IF(R232="BAJA(1)",1,IF(R232="MEDIA(2)",2,IF(R232="ALTA(3)",3,3))))</f>
        <v/>
      </c>
      <c r="T232" s="10">
        <f>+IF(S232&lt;6,"BAJA",IF(S232&lt;8,"MEDIA","ALTA"))</f>
        <v/>
      </c>
      <c r="U232" s="10" t="inlineStr">
        <is>
          <t>-</t>
        </is>
      </c>
      <c r="V232" s="24" t="n">
        <v>45595</v>
      </c>
      <c r="W232" s="19" t="inlineStr">
        <is>
          <t>N/A</t>
        </is>
      </c>
      <c r="X232" s="10">
        <f>+IFERROR(IF(VLOOKUP(Tabla2[[#This Row],[ID]],'EVALUACION DE RIESGO'!A:A,1,FALSE)=Tabla2[[#This Row],[ID]],"SI","NO"),"NO")</f>
        <v/>
      </c>
    </row>
    <row r="233">
      <c r="A233" s="91" t="inlineStr">
        <is>
          <t>52-GCA</t>
        </is>
      </c>
      <c r="B233" s="10" t="inlineStr">
        <is>
          <t>PRODUCTIVO</t>
        </is>
      </c>
      <c r="C233" s="10" t="inlineStr">
        <is>
          <t>Gestión de Captaciones</t>
        </is>
      </c>
      <c r="D233" s="10" t="inlineStr">
        <is>
          <t>GCA</t>
        </is>
      </c>
      <c r="E233" s="10" t="inlineStr">
        <is>
          <t xml:space="preserve">Ahorros a la Vista </t>
        </is>
      </c>
      <c r="F233" s="10" t="inlineStr">
        <is>
          <t xml:space="preserve">Gestión  de Ahorro Programado </t>
        </is>
      </c>
      <c r="G233" s="10" t="inlineStr">
        <is>
          <t xml:space="preserve">Cancelación de ahorro programado            </t>
        </is>
      </c>
      <c r="H233" s="10" t="inlineStr">
        <is>
          <t>Autorización de cierre de cuenta</t>
        </is>
      </c>
      <c r="I233" s="10" t="inlineStr">
        <is>
          <t>Autorización obtenida del sistema FIT donde detalla el lugar y la fecha, información del socio, y firma de autorización del cierre de la cuenta</t>
        </is>
      </c>
      <c r="J233" s="10" t="inlineStr">
        <is>
          <t xml:space="preserve">Jefe de Captaciones </t>
        </is>
      </c>
      <c r="K233" s="10" t="inlineStr">
        <is>
          <t>Asesor de Servicio</t>
        </is>
      </c>
      <c r="L233" s="10" t="inlineStr">
        <is>
          <t>UBICACIÓN DIGITAL-EQUIPO DEL CUSTODIO</t>
        </is>
      </c>
      <c r="M233" s="10" t="inlineStr">
        <is>
          <t>DISCOS DUROS, SERVIDORES, DISCOS O MEDIOS PORTÁTILES, CINTAS O MEDIOS DE VIDEO Y AUDIO, ETC.</t>
        </is>
      </c>
      <c r="N233" s="10" t="inlineStr">
        <is>
          <t>PRIMARIOS</t>
        </is>
      </c>
      <c r="O233" s="10" t="inlineStr">
        <is>
          <t>DOCUMENTOS HABILITANTES</t>
        </is>
      </c>
      <c r="P233" s="10" t="inlineStr">
        <is>
          <t>PUBLICA(1)</t>
        </is>
      </c>
      <c r="Q233" s="10" t="inlineStr">
        <is>
          <t>MEDIA(2)</t>
        </is>
      </c>
      <c r="R233" s="10" t="inlineStr">
        <is>
          <t>MEDIA(2)</t>
        </is>
      </c>
      <c r="S233" s="10">
        <f>+(IF(P233="PUBLICA(1)",1,IF(P233="USO INTERNO(2)",2,IF(P233="RESTRINGIDO(3)",3,3))))+(IF(Q233="BAJA(1)",1,IF(Q233="MEDIA(2)",2,IF(Q233="ALTA(3)",3,3))))+(IF(R233="BAJA(1)",1,IF(R233="MEDIA(2)",2,IF(R233="ALTA(3)",3,3))))</f>
        <v/>
      </c>
      <c r="T233" s="10">
        <f>+IF(S233&lt;6,"BAJA",IF(S233&lt;8,"MEDIA","ALTA"))</f>
        <v/>
      </c>
      <c r="U233" s="10" t="inlineStr">
        <is>
          <t>-</t>
        </is>
      </c>
      <c r="V233" s="24" t="n">
        <v>45595</v>
      </c>
      <c r="W233" s="19" t="inlineStr">
        <is>
          <t>N/A</t>
        </is>
      </c>
      <c r="X233" s="10">
        <f>+IFERROR(IF(VLOOKUP(Tabla2[[#This Row],[ID]],'EVALUACION DE RIESGO'!A:A,1,FALSE)=Tabla2[[#This Row],[ID]],"SI","NO"),"NO")</f>
        <v/>
      </c>
    </row>
    <row r="234">
      <c r="A234" s="91" t="inlineStr">
        <is>
          <t>53-GCA</t>
        </is>
      </c>
      <c r="B234" s="10" t="inlineStr">
        <is>
          <t>PRODUCTIVO</t>
        </is>
      </c>
      <c r="C234" s="10" t="inlineStr">
        <is>
          <t>Gestión de Captaciones</t>
        </is>
      </c>
      <c r="D234" s="10" t="inlineStr">
        <is>
          <t>GCA</t>
        </is>
      </c>
      <c r="E234" s="10" t="inlineStr">
        <is>
          <t xml:space="preserve">Ahorros a la Vista </t>
        </is>
      </c>
      <c r="F234" s="10" t="inlineStr">
        <is>
          <t xml:space="preserve">Gestión  de Ahorro Programado </t>
        </is>
      </c>
      <c r="G234" s="10" t="inlineStr">
        <is>
          <t xml:space="preserve">Cancelación de ahorro programado            </t>
        </is>
      </c>
      <c r="H234" s="10" t="inlineStr">
        <is>
          <t>Solicitud de liquidación por cancelación de ahorro programado</t>
        </is>
      </c>
      <c r="I234" s="10" t="inlineStr">
        <is>
          <t>Solicitud que el socio realiza para realizar la operación</t>
        </is>
      </c>
      <c r="J234" s="10" t="inlineStr">
        <is>
          <t xml:space="preserve">Jefe de Captaciones </t>
        </is>
      </c>
      <c r="K234" s="10" t="inlineStr">
        <is>
          <t>Asesor de Servicio</t>
        </is>
      </c>
      <c r="L234" s="10" t="inlineStr">
        <is>
          <t>DOCUMENTOS FISICOS-ARCHIVOS DE LA OFICINA</t>
        </is>
      </c>
      <c r="M234" s="10" t="inlineStr">
        <is>
          <t>DOCUMENTO DE ARCHIVO-FÍSICO</t>
        </is>
      </c>
      <c r="N234" s="10" t="inlineStr">
        <is>
          <t>PRIMARIOS</t>
        </is>
      </c>
      <c r="O234" s="10" t="inlineStr">
        <is>
          <t>DOCUMENTOS HABILITANTES</t>
        </is>
      </c>
      <c r="P234" s="10" t="inlineStr">
        <is>
          <t>PUBLICA(1)</t>
        </is>
      </c>
      <c r="Q234" s="10" t="inlineStr">
        <is>
          <t>MEDIA(2)</t>
        </is>
      </c>
      <c r="R234" s="10" t="inlineStr">
        <is>
          <t>MEDIA(2)</t>
        </is>
      </c>
      <c r="S234" s="10">
        <f>+(IF(P234="PUBLICA(1)",1,IF(P234="USO INTERNO(2)",2,IF(P234="RESTRINGIDO(3)",3,3))))+(IF(Q234="BAJA(1)",1,IF(Q234="MEDIA(2)",2,IF(Q234="ALTA(3)",3,3))))+(IF(R234="BAJA(1)",1,IF(R234="MEDIA(2)",2,IF(R234="ALTA(3)",3,3))))</f>
        <v/>
      </c>
      <c r="T234" s="10">
        <f>+IF(S234&lt;6,"BAJA",IF(S234&lt;8,"MEDIA","ALTA"))</f>
        <v/>
      </c>
      <c r="U234" s="10" t="inlineStr">
        <is>
          <t>-</t>
        </is>
      </c>
      <c r="V234" s="24" t="n">
        <v>45595</v>
      </c>
      <c r="W234" s="19" t="inlineStr">
        <is>
          <t>N/A</t>
        </is>
      </c>
      <c r="X234" s="10">
        <f>+IFERROR(IF(VLOOKUP(Tabla2[[#This Row],[ID]],'EVALUACION DE RIESGO'!A:A,1,FALSE)=Tabla2[[#This Row],[ID]],"SI","NO"),"NO")</f>
        <v/>
      </c>
    </row>
    <row r="235">
      <c r="A235" s="91" t="inlineStr">
        <is>
          <t>54-GCA</t>
        </is>
      </c>
      <c r="B235" s="10" t="inlineStr">
        <is>
          <t>PRODUCTIVO</t>
        </is>
      </c>
      <c r="C235" s="10" t="inlineStr">
        <is>
          <t>Gestión de Captaciones</t>
        </is>
      </c>
      <c r="D235" s="10" t="inlineStr">
        <is>
          <t>GCA</t>
        </is>
      </c>
      <c r="E235" s="10" t="inlineStr">
        <is>
          <t xml:space="preserve">Ahorros a la Vista </t>
        </is>
      </c>
      <c r="F235" s="10" t="inlineStr">
        <is>
          <t xml:space="preserve">Gestión de Servicios Cooperativos </t>
        </is>
      </c>
      <c r="G235" s="10" t="inlineStr">
        <is>
          <t>Desbloqueo de usuarios de Cooperativa Virtual y reseteo de contraseña o preguntas de seguridad.</t>
        </is>
      </c>
      <c r="H235" s="10" t="inlineStr">
        <is>
          <t>Formulario de mantenimiento usuario web transaccional</t>
        </is>
      </c>
      <c r="I235" s="10" t="inlineStr">
        <is>
          <t>Formulario obtenido del sistema FIT que detalla la actividad realizada de activación o reseteo de claves, contiene firma del socio</t>
        </is>
      </c>
      <c r="J235" s="10" t="inlineStr">
        <is>
          <t xml:space="preserve">Jefe de Captaciones </t>
        </is>
      </c>
      <c r="K235" s="10" t="inlineStr">
        <is>
          <t>Asesor de Servicio</t>
        </is>
      </c>
      <c r="L235" s="10" t="inlineStr">
        <is>
          <t>DOCUMENTOS FISICOS-ARCHIVOS DE LA OFICINA</t>
        </is>
      </c>
      <c r="M235" s="10" t="inlineStr">
        <is>
          <t>DOCUMENTO DE ARCHIVO-FÍSICO</t>
        </is>
      </c>
      <c r="N235" s="10" t="inlineStr">
        <is>
          <t>PRIMARIOS</t>
        </is>
      </c>
      <c r="O235" s="10" t="inlineStr">
        <is>
          <t>DOCUMENTOS HABILITANTES</t>
        </is>
      </c>
      <c r="P235" s="10" t="inlineStr">
        <is>
          <t>USO INTERNO(2)</t>
        </is>
      </c>
      <c r="Q235" s="10" t="inlineStr">
        <is>
          <t>MEDIA(2)</t>
        </is>
      </c>
      <c r="R235" s="10" t="inlineStr">
        <is>
          <t>MEDIA(2)</t>
        </is>
      </c>
      <c r="S235" s="10">
        <f>+(IF(P235="PUBLICA(1)",1,IF(P235="USO INTERNO(2)",2,IF(P235="RESTRINGIDO(3)",3,3))))+(IF(Q235="BAJA(1)",1,IF(Q235="MEDIA(2)",2,IF(Q235="ALTA(3)",3,3))))+(IF(R235="BAJA(1)",1,IF(R235="MEDIA(2)",2,IF(R235="ALTA(3)",3,3))))</f>
        <v/>
      </c>
      <c r="T235" s="10">
        <f>+IF(S235&lt;6,"BAJA",IF(S235&lt;8,"MEDIA","ALTA"))</f>
        <v/>
      </c>
      <c r="U235" s="10" t="inlineStr">
        <is>
          <t>-</t>
        </is>
      </c>
      <c r="V235" s="24" t="n">
        <v>45595</v>
      </c>
      <c r="W235" s="19" t="inlineStr">
        <is>
          <t>N/A</t>
        </is>
      </c>
      <c r="X235" s="10">
        <f>+IFERROR(IF(VLOOKUP(Tabla2[[#This Row],[ID]],'EVALUACION DE RIESGO'!A:A,1,FALSE)=Tabla2[[#This Row],[ID]],"SI","NO"),"NO")</f>
        <v/>
      </c>
    </row>
    <row r="236">
      <c r="A236" s="91" t="inlineStr">
        <is>
          <t>55-GCA</t>
        </is>
      </c>
      <c r="B236" s="10" t="inlineStr">
        <is>
          <t>PRODUCTIVO</t>
        </is>
      </c>
      <c r="C236" s="10" t="inlineStr">
        <is>
          <t>Gestión de Captaciones</t>
        </is>
      </c>
      <c r="D236" s="10" t="inlineStr">
        <is>
          <t>GCA</t>
        </is>
      </c>
      <c r="E236" s="10" t="inlineStr">
        <is>
          <t xml:space="preserve">Ahorros a la Vista </t>
        </is>
      </c>
      <c r="F236" s="10" t="inlineStr">
        <is>
          <t xml:space="preserve">Gestión de Servicios Cooperativos </t>
        </is>
      </c>
      <c r="G236" s="10" t="inlineStr">
        <is>
          <t>Emisión de referencias financieras y estados de cuenta</t>
        </is>
      </c>
      <c r="H236" s="10" t="inlineStr">
        <is>
          <t>Solicitud de pedido de certificación/Autorización de débito servicios corporativos</t>
        </is>
      </c>
      <c r="I236" s="10" t="inlineStr">
        <is>
          <t>Formato firmado por el cliente donde se detallan los débitos realizados y motivos</t>
        </is>
      </c>
      <c r="J236" s="10" t="inlineStr">
        <is>
          <t xml:space="preserve">Jefe de Captaciones </t>
        </is>
      </c>
      <c r="K236" s="10" t="inlineStr">
        <is>
          <t>Asesor de Servicio</t>
        </is>
      </c>
      <c r="L236" s="10" t="inlineStr">
        <is>
          <t>DOCUMENTOS FISICOS-ARCHIVOS DE LA OFICINA</t>
        </is>
      </c>
      <c r="M236" s="10" t="inlineStr">
        <is>
          <t>DOCUMENTO DE ARCHIVO-FÍSICO</t>
        </is>
      </c>
      <c r="N236" s="10" t="inlineStr">
        <is>
          <t>PRIMARIOS</t>
        </is>
      </c>
      <c r="O236" s="10" t="inlineStr">
        <is>
          <t>DOCUMENTOS HABILITANTES</t>
        </is>
      </c>
      <c r="P236" s="10" t="inlineStr">
        <is>
          <t>PUBLICA(1)</t>
        </is>
      </c>
      <c r="Q236" s="10" t="inlineStr">
        <is>
          <t>MEDIA(2)</t>
        </is>
      </c>
      <c r="R236" s="10" t="inlineStr">
        <is>
          <t>MEDIA(2)</t>
        </is>
      </c>
      <c r="S236" s="10">
        <f>+(IF(P236="PUBLICA(1)",1,IF(P236="USO INTERNO(2)",2,IF(P236="RESTRINGIDO(3)",3,3))))+(IF(Q236="BAJA(1)",1,IF(Q236="MEDIA(2)",2,IF(Q236="ALTA(3)",3,3))))+(IF(R236="BAJA(1)",1,IF(R236="MEDIA(2)",2,IF(R236="ALTA(3)",3,3))))</f>
        <v/>
      </c>
      <c r="T236" s="10">
        <f>+IF(S236&lt;6,"BAJA",IF(S236&lt;8,"MEDIA","ALTA"))</f>
        <v/>
      </c>
      <c r="U236" s="10" t="inlineStr">
        <is>
          <t>-</t>
        </is>
      </c>
      <c r="V236" s="24" t="n">
        <v>45595</v>
      </c>
      <c r="W236" s="19" t="inlineStr">
        <is>
          <t>N/A</t>
        </is>
      </c>
      <c r="X236" s="10">
        <f>+IFERROR(IF(VLOOKUP(Tabla2[[#This Row],[ID]],'EVALUACION DE RIESGO'!A:A,1,FALSE)=Tabla2[[#This Row],[ID]],"SI","NO"),"NO")</f>
        <v/>
      </c>
    </row>
    <row r="237">
      <c r="A237" s="91" t="inlineStr">
        <is>
          <t>56-GCA</t>
        </is>
      </c>
      <c r="B237" s="10" t="inlineStr">
        <is>
          <t>PRODUCTIVO</t>
        </is>
      </c>
      <c r="C237" s="10" t="inlineStr">
        <is>
          <t>Gestión de Captaciones</t>
        </is>
      </c>
      <c r="D237" s="10" t="inlineStr">
        <is>
          <t>GCA</t>
        </is>
      </c>
      <c r="E237" s="10" t="inlineStr">
        <is>
          <t xml:space="preserve">Ahorros a la Vista </t>
        </is>
      </c>
      <c r="F237" s="10" t="inlineStr">
        <is>
          <t>Actualización de datos</t>
        </is>
      </c>
      <c r="G237" s="10" t="inlineStr">
        <is>
          <t xml:space="preserve">Actualización de datos en forma presencial </t>
        </is>
      </c>
      <c r="H237" s="10" t="inlineStr">
        <is>
          <t>Registro de información del socio</t>
        </is>
      </c>
      <c r="I237" s="10" t="inlineStr">
        <is>
          <t>Registro de información actualizada del socio en el Core financiero</t>
        </is>
      </c>
      <c r="J237" s="10" t="inlineStr">
        <is>
          <t xml:space="preserve">Jefe de Captaciones </t>
        </is>
      </c>
      <c r="K237" s="10" t="inlineStr">
        <is>
          <t>FT</t>
        </is>
      </c>
      <c r="L237" s="10" t="inlineStr">
        <is>
          <t>UBICACIÓN DIGITAL-CORE FINANCIERO</t>
        </is>
      </c>
      <c r="M237" s="10" t="inlineStr">
        <is>
          <t>SISTEMAS DE INFORMACIÓN CORPORATIVOS</t>
        </is>
      </c>
      <c r="N237" s="10" t="inlineStr">
        <is>
          <t>PRIMARIOS</t>
        </is>
      </c>
      <c r="O237" s="10" t="inlineStr">
        <is>
          <t>INFORMACIÓN DE SOCIOS Y CLIENTES</t>
        </is>
      </c>
      <c r="P237" s="10" t="inlineStr">
        <is>
          <t>PUBLICA(1)</t>
        </is>
      </c>
      <c r="Q237" s="10" t="inlineStr">
        <is>
          <t>MEDIA(2)</t>
        </is>
      </c>
      <c r="R237" s="10" t="inlineStr">
        <is>
          <t>MEDIA(2)</t>
        </is>
      </c>
      <c r="S237" s="10">
        <f>+(IF(P237="PUBLICA(1)",1,IF(P237="USO INTERNO(2)",2,IF(P237="RESTRINGIDO(3)",3,3))))+(IF(Q237="BAJA(1)",1,IF(Q237="MEDIA(2)",2,IF(Q237="ALTA(3)",3,3))))+(IF(R237="BAJA(1)",1,IF(R237="MEDIA(2)",2,IF(R237="ALTA(3)",3,3))))</f>
        <v/>
      </c>
      <c r="T237" s="10">
        <f>+IF(S237&lt;6,"BAJA",IF(S237&lt;8,"MEDIA","ALTA"))</f>
        <v/>
      </c>
      <c r="U237" s="10" t="inlineStr">
        <is>
          <t>-</t>
        </is>
      </c>
      <c r="V237" s="24" t="n">
        <v>45595</v>
      </c>
      <c r="W237" s="19" t="inlineStr">
        <is>
          <t>N/A</t>
        </is>
      </c>
      <c r="X237" s="10">
        <f>+IFERROR(IF(VLOOKUP(Tabla2[[#This Row],[ID]],'EVALUACION DE RIESGO'!A:A,1,FALSE)=Tabla2[[#This Row],[ID]],"SI","NO"),"NO")</f>
        <v/>
      </c>
    </row>
    <row r="238">
      <c r="A238" s="91" t="inlineStr">
        <is>
          <t>57-GCA</t>
        </is>
      </c>
      <c r="B238" s="10" t="inlineStr">
        <is>
          <t>PRODUCTIVO</t>
        </is>
      </c>
      <c r="C238" s="10" t="inlineStr">
        <is>
          <t>Gestión de Captaciones</t>
        </is>
      </c>
      <c r="D238" s="10" t="inlineStr">
        <is>
          <t>GCA</t>
        </is>
      </c>
      <c r="E238" s="10" t="inlineStr">
        <is>
          <t xml:space="preserve">Ahorros a la Vista </t>
        </is>
      </c>
      <c r="F238" s="10" t="inlineStr">
        <is>
          <t>Actualización de datos</t>
        </is>
      </c>
      <c r="G238" s="10" t="inlineStr">
        <is>
          <t xml:space="preserve">Actualización de datos en forma presencial </t>
        </is>
      </c>
      <c r="H238" s="10" t="inlineStr">
        <is>
          <t>Certificación de información</t>
        </is>
      </c>
      <c r="I238" s="10" t="inlineStr">
        <is>
          <t>Certificado de la entrega de información personal del cliente entregado al asesor de servicio</t>
        </is>
      </c>
      <c r="J238" s="10" t="inlineStr">
        <is>
          <t xml:space="preserve">Jefe de Captaciones </t>
        </is>
      </c>
      <c r="K238" s="10" t="inlineStr">
        <is>
          <t>Asesor de Servicio</t>
        </is>
      </c>
      <c r="L238" s="10" t="inlineStr">
        <is>
          <t>DOCUMENTOS FISICOS-ARCHIVOS DE LA OFICINA</t>
        </is>
      </c>
      <c r="M238" s="10" t="inlineStr">
        <is>
          <t>DOCUMENTO DE ARCHIVO-FÍSICO</t>
        </is>
      </c>
      <c r="N238" s="10" t="inlineStr">
        <is>
          <t>PRIMARIOS</t>
        </is>
      </c>
      <c r="O238" s="10" t="inlineStr">
        <is>
          <t>DOCUMENTOS HABILITANTES</t>
        </is>
      </c>
      <c r="P238" s="10" t="inlineStr">
        <is>
          <t>USO INTERNO(2)</t>
        </is>
      </c>
      <c r="Q238" s="10" t="inlineStr">
        <is>
          <t>MEDIA(2)</t>
        </is>
      </c>
      <c r="R238" s="10" t="inlineStr">
        <is>
          <t>MEDIA(2)</t>
        </is>
      </c>
      <c r="S238" s="10">
        <f>+(IF(P238="PUBLICA(1)",1,IF(P238="USO INTERNO(2)",2,IF(P238="RESTRINGIDO(3)",3,3))))+(IF(Q238="BAJA(1)",1,IF(Q238="MEDIA(2)",2,IF(Q238="ALTA(3)",3,3))))+(IF(R238="BAJA(1)",1,IF(R238="MEDIA(2)",2,IF(R238="ALTA(3)",3,3))))</f>
        <v/>
      </c>
      <c r="T238" s="10">
        <f>+IF(S238&lt;6,"BAJA",IF(S238&lt;8,"MEDIA","ALTA"))</f>
        <v/>
      </c>
      <c r="U238" s="10" t="inlineStr">
        <is>
          <t>-</t>
        </is>
      </c>
      <c r="V238" s="24" t="n">
        <v>45595</v>
      </c>
      <c r="W238" s="19" t="inlineStr">
        <is>
          <t>N/A</t>
        </is>
      </c>
      <c r="X238" s="10">
        <f>+IFERROR(IF(VLOOKUP(Tabla2[[#This Row],[ID]],'EVALUACION DE RIESGO'!A:A,1,FALSE)=Tabla2[[#This Row],[ID]],"SI","NO"),"NO")</f>
        <v/>
      </c>
    </row>
    <row r="239">
      <c r="A239" s="91" t="inlineStr">
        <is>
          <t>58-GCA</t>
        </is>
      </c>
      <c r="B239" s="10" t="inlineStr">
        <is>
          <t>PRODUCTIVO</t>
        </is>
      </c>
      <c r="C239" s="10" t="inlineStr">
        <is>
          <t>Gestión de Captaciones</t>
        </is>
      </c>
      <c r="D239" s="10" t="inlineStr">
        <is>
          <t>GCA</t>
        </is>
      </c>
      <c r="E239" s="10" t="inlineStr">
        <is>
          <t xml:space="preserve">Ahorros a la Vista </t>
        </is>
      </c>
      <c r="F239" s="10" t="inlineStr">
        <is>
          <t>Actualización de datos</t>
        </is>
      </c>
      <c r="G239" s="10" t="inlineStr">
        <is>
          <t xml:space="preserve">Actualización de datos en forma presencial </t>
        </is>
      </c>
      <c r="H239" s="10" t="inlineStr">
        <is>
          <t>File digitalizado socio/cuenta ahorrista/cliente.</t>
        </is>
      </c>
      <c r="I239" s="10" t="inlineStr">
        <is>
          <t>File digital de la información consolidad del cliente una vez actualizada</t>
        </is>
      </c>
      <c r="J239" s="10" t="inlineStr">
        <is>
          <t xml:space="preserve">Jefe de Captaciones </t>
        </is>
      </c>
      <c r="K239" s="10" t="inlineStr">
        <is>
          <t>FIT</t>
        </is>
      </c>
      <c r="L239" s="10" t="inlineStr">
        <is>
          <t>UBICACIÓN DIGITAL-CORE FINANCIERO</t>
        </is>
      </c>
      <c r="M239" s="10" t="inlineStr">
        <is>
          <t>SISTEMAS DE INFORMACIÓN CORPORATIVOS</t>
        </is>
      </c>
      <c r="N239" s="10" t="inlineStr">
        <is>
          <t>PRIMARIOS</t>
        </is>
      </c>
      <c r="O239" s="10" t="inlineStr">
        <is>
          <t>INFORMACIÓN DE SOCIOS Y CLIENTES</t>
        </is>
      </c>
      <c r="P239" s="10" t="inlineStr">
        <is>
          <t>USO INTERNO(2)</t>
        </is>
      </c>
      <c r="Q239" s="10" t="inlineStr">
        <is>
          <t>MEDIA(2)</t>
        </is>
      </c>
      <c r="R239" s="10" t="inlineStr">
        <is>
          <t>MEDIA(2)</t>
        </is>
      </c>
      <c r="S239" s="10">
        <f>+(IF(P239="PUBLICA(1)",1,IF(P239="USO INTERNO(2)",2,IF(P239="RESTRINGIDO(3)",3,3))))+(IF(Q239="BAJA(1)",1,IF(Q239="MEDIA(2)",2,IF(Q239="ALTA(3)",3,3))))+(IF(R239="BAJA(1)",1,IF(R239="MEDIA(2)",2,IF(R239="ALTA(3)",3,3))))</f>
        <v/>
      </c>
      <c r="T239" s="10">
        <f>+IF(S239&lt;6,"BAJA",IF(S239&lt;8,"MEDIA","ALTA"))</f>
        <v/>
      </c>
      <c r="U239" s="10" t="inlineStr">
        <is>
          <t>-</t>
        </is>
      </c>
      <c r="V239" s="24" t="n">
        <v>45595</v>
      </c>
      <c r="W239" s="19" t="inlineStr">
        <is>
          <t>N/A</t>
        </is>
      </c>
      <c r="X239" s="10">
        <f>+IFERROR(IF(VLOOKUP(Tabla2[[#This Row],[ID]],'EVALUACION DE RIESGO'!A:A,1,FALSE)=Tabla2[[#This Row],[ID]],"SI","NO"),"NO")</f>
        <v/>
      </c>
    </row>
    <row r="240">
      <c r="A240" s="91" t="inlineStr">
        <is>
          <t>65-GCA</t>
        </is>
      </c>
      <c r="B240" s="10" t="inlineStr">
        <is>
          <t>PRODUCTIVO</t>
        </is>
      </c>
      <c r="C240" s="10" t="inlineStr">
        <is>
          <t>Gestión de Captaciones</t>
        </is>
      </c>
      <c r="D240" s="10" t="inlineStr">
        <is>
          <t>GCA</t>
        </is>
      </c>
      <c r="E240" s="10" t="inlineStr">
        <is>
          <t>N/A</t>
        </is>
      </c>
      <c r="F240" s="10" t="inlineStr">
        <is>
          <t>-</t>
        </is>
      </c>
      <c r="G240" s="10" t="inlineStr">
        <is>
          <t>N/A</t>
        </is>
      </c>
      <c r="H240" s="10" t="inlineStr">
        <is>
          <t xml:space="preserve">Equipos de computación </t>
        </is>
      </c>
      <c r="I240" s="10" t="inlineStr">
        <is>
          <t>Equipos de computación donde se realiza la gestión del área</t>
        </is>
      </c>
      <c r="J240" s="10" t="inlineStr">
        <is>
          <t xml:space="preserve">Jefe de Captaciones </t>
        </is>
      </c>
      <c r="K240" s="10" t="inlineStr">
        <is>
          <t xml:space="preserve">Jefe de Captaciones </t>
        </is>
      </c>
      <c r="L240" s="10" t="inlineStr">
        <is>
          <t>UBICACIÓN FISICA-MATRIZ ATUNTAQUI</t>
        </is>
      </c>
      <c r="M240" s="10" t="inlineStr">
        <is>
          <t>DISCOS DUROS, SERVIDORES, DISCOS O MEDIOS PORTÁTILES, CINTAS O MEDIOS DE VIDEO Y AUDIO, ETC.</t>
        </is>
      </c>
      <c r="N240" s="10" t="inlineStr">
        <is>
          <t>APOYO</t>
        </is>
      </c>
      <c r="O240" s="10" t="inlineStr">
        <is>
          <t>HARDWARE</t>
        </is>
      </c>
      <c r="P240" s="10" t="inlineStr">
        <is>
          <t>RESTRINGIDO(3)</t>
        </is>
      </c>
      <c r="Q240" s="10" t="inlineStr">
        <is>
          <t>MEDIA(2)</t>
        </is>
      </c>
      <c r="R240" s="10" t="inlineStr">
        <is>
          <t>MEDIA(2)</t>
        </is>
      </c>
      <c r="S240" s="10">
        <f>+(IF(P240="PUBLICA(1)",1,IF(P240="USO INTERNO(2)",2,IF(P240="RESTRINGIDO(3)",3,3))))+(IF(Q240="BAJA(1)",1,IF(Q240="MEDIA(2)",2,IF(Q240="ALTA(3)",3,3))))+(IF(R240="BAJA(1)",1,IF(R240="MEDIA(2)",2,IF(R240="ALTA(3)",3,3))))</f>
        <v/>
      </c>
      <c r="T240" s="10">
        <f>+IF(S240&lt;6,"BAJA",IF(S240&lt;8,"MEDIA","ALTA"))</f>
        <v/>
      </c>
      <c r="U240" s="10" t="inlineStr">
        <is>
          <t>-</t>
        </is>
      </c>
      <c r="V240" s="24" t="n">
        <v>45712</v>
      </c>
      <c r="W240" s="19" t="inlineStr">
        <is>
          <t>N/A</t>
        </is>
      </c>
      <c r="X240" s="10">
        <f>+IFERROR(IF(VLOOKUP(Tabla2[[#This Row],[ID]],'EVALUACION DE RIESGO'!A:A,1,FALSE)=Tabla2[[#This Row],[ID]],"SI","NO"),"NO")</f>
        <v/>
      </c>
    </row>
    <row r="241">
      <c r="A241" s="91" t="inlineStr">
        <is>
          <t>66-GCA</t>
        </is>
      </c>
      <c r="B241" s="10" t="inlineStr">
        <is>
          <t>PRODUCTIVO</t>
        </is>
      </c>
      <c r="C241" s="10" t="inlineStr">
        <is>
          <t>Gestión de Captaciones</t>
        </is>
      </c>
      <c r="D241" s="10" t="inlineStr">
        <is>
          <t>GCA</t>
        </is>
      </c>
      <c r="E241" s="10" t="inlineStr">
        <is>
          <t>N/A</t>
        </is>
      </c>
      <c r="F241" s="10" t="inlineStr">
        <is>
          <t>-</t>
        </is>
      </c>
      <c r="G241" s="10" t="inlineStr">
        <is>
          <t>N/A</t>
        </is>
      </c>
      <c r="H241" s="10" t="inlineStr">
        <is>
          <t>Jefe de Captaciones</t>
        </is>
      </c>
      <c r="I241" s="10" t="inlineStr">
        <is>
          <t>N/A</t>
        </is>
      </c>
      <c r="J241" s="10" t="inlineStr">
        <is>
          <t xml:space="preserve">Jefe de Captaciones </t>
        </is>
      </c>
      <c r="K241" s="10" t="inlineStr">
        <is>
          <t>N/A</t>
        </is>
      </c>
      <c r="L241" s="10" t="inlineStr">
        <is>
          <t>N/A</t>
        </is>
      </c>
      <c r="M241" s="10" t="inlineStr">
        <is>
          <t>N/A</t>
        </is>
      </c>
      <c r="N241" s="10" t="inlineStr">
        <is>
          <t>APOYO</t>
        </is>
      </c>
      <c r="O241" s="10" t="inlineStr">
        <is>
          <t>RECURSO HUMANO</t>
        </is>
      </c>
      <c r="P241" s="10" t="inlineStr">
        <is>
          <t>USO INTERNO(2)</t>
        </is>
      </c>
      <c r="Q241" s="10" t="inlineStr">
        <is>
          <t>MEDIA(2)</t>
        </is>
      </c>
      <c r="R241" s="10" t="inlineStr">
        <is>
          <t>MEDIA(2)</t>
        </is>
      </c>
      <c r="S241" s="10">
        <f>+(IF(P241="PUBLICA(1)",1,IF(P241="USO INTERNO(2)",2,IF(P241="RESTRINGIDO(3)",3,3))))+(IF(Q241="BAJA(1)",1,IF(Q241="MEDIA(2)",2,IF(Q241="ALTA(3)",3,3))))+(IF(R241="BAJA(1)",1,IF(R241="MEDIA(2)",2,IF(R241="ALTA(3)",3,3))))</f>
        <v/>
      </c>
      <c r="T241" s="10">
        <f>+IF(S241&lt;6,"BAJA",IF(S241&lt;8,"MEDIA","ALTA"))</f>
        <v/>
      </c>
      <c r="U241" s="10" t="inlineStr">
        <is>
          <t>-</t>
        </is>
      </c>
      <c r="V241" s="24" t="n">
        <v>45712</v>
      </c>
      <c r="W241" s="19" t="inlineStr">
        <is>
          <t>N/A</t>
        </is>
      </c>
      <c r="X241" s="10">
        <f>+IFERROR(IF(VLOOKUP(Tabla2[[#This Row],[ID]],'EVALUACION DE RIESGO'!A:A,1,FALSE)=Tabla2[[#This Row],[ID]],"SI","NO"),"NO")</f>
        <v/>
      </c>
    </row>
    <row r="242">
      <c r="A242" s="91" t="inlineStr">
        <is>
          <t>1-GCO</t>
        </is>
      </c>
      <c r="B242" s="10" t="inlineStr">
        <is>
          <t>PRODUCTIVO</t>
        </is>
      </c>
      <c r="C242" s="10" t="inlineStr">
        <is>
          <t>Gestión de Colocaciones</t>
        </is>
      </c>
      <c r="D242" s="10" t="inlineStr">
        <is>
          <t>GCO</t>
        </is>
      </c>
      <c r="E242" s="10" t="inlineStr">
        <is>
          <t>Gestión de Crédito de Consumo</t>
        </is>
      </c>
      <c r="F242" s="10" t="inlineStr">
        <is>
          <t>-</t>
        </is>
      </c>
      <c r="G242" s="10" t="inlineStr">
        <is>
          <t>Solicitud de crédito</t>
        </is>
      </c>
      <c r="H242" s="10" t="inlineStr">
        <is>
          <t>File de crédito</t>
        </is>
      </c>
      <c r="I242" s="10" t="inlineStr">
        <is>
          <t>File digital que contiene toda la documentación referente a los lineamientos del tipo de crédito</t>
        </is>
      </c>
      <c r="J242" s="10" t="inlineStr">
        <is>
          <t>Jefe de Negocios</t>
        </is>
      </c>
      <c r="K242" s="10" t="inlineStr">
        <is>
          <t>FIT</t>
        </is>
      </c>
      <c r="L242" s="10" t="inlineStr">
        <is>
          <t>UBICACIÓN DIGITAL-CORE FINANCIERO</t>
        </is>
      </c>
      <c r="M242" s="10" t="inlineStr">
        <is>
          <t>DOCUMENTO DE ARCHIVO-ELECTRÓNICO</t>
        </is>
      </c>
      <c r="N242" s="10" t="inlineStr">
        <is>
          <t>PRIMARIOS</t>
        </is>
      </c>
      <c r="O242" s="10" t="inlineStr">
        <is>
          <t>INFORMACIÓN DE SOCIOS Y CLIENTES</t>
        </is>
      </c>
      <c r="P242" s="10" t="inlineStr">
        <is>
          <t>RESTRINGIDO(3)</t>
        </is>
      </c>
      <c r="Q242" s="10" t="inlineStr">
        <is>
          <t>MEDIA(2)</t>
        </is>
      </c>
      <c r="R242" s="10" t="inlineStr">
        <is>
          <t>MEDIA(2)</t>
        </is>
      </c>
      <c r="S242" s="10">
        <f>+(IF(P242="PUBLICA(1)",1,IF(P242="USO INTERNO(2)",2,IF(P242="RESTRINGIDO(3)",3,3))))+(IF(Q242="BAJA(1)",1,IF(Q242="MEDIA(2)",2,IF(Q242="ALTA(3)",3,3))))+(IF(R242="BAJA(1)",1,IF(R242="MEDIA(2)",2,IF(R242="ALTA(3)",3,3))))</f>
        <v/>
      </c>
      <c r="T242" s="10">
        <f>+IF(S242&lt;6,"BAJA",IF(S242&lt;8,"MEDIA","ALTA"))</f>
        <v/>
      </c>
      <c r="U242" s="10" t="inlineStr">
        <is>
          <t>-</t>
        </is>
      </c>
      <c r="V242" s="24" t="inlineStr">
        <is>
          <t>8/02/225</t>
        </is>
      </c>
      <c r="W242" s="19" t="inlineStr">
        <is>
          <t>N/A</t>
        </is>
      </c>
      <c r="X242" s="10">
        <f>+IFERROR(IF(VLOOKUP(Tabla2[[#This Row],[ID]],'EVALUACION DE RIESGO'!A:A,1,FALSE)=Tabla2[[#This Row],[ID]],"SI","NO"),"NO")</f>
        <v/>
      </c>
    </row>
    <row r="243">
      <c r="A243" s="91" t="inlineStr">
        <is>
          <t>2-GCO</t>
        </is>
      </c>
      <c r="B243" s="10" t="inlineStr">
        <is>
          <t>PRODUCTIVO</t>
        </is>
      </c>
      <c r="C243" s="10" t="inlineStr">
        <is>
          <t>Gestión de Colocaciones</t>
        </is>
      </c>
      <c r="D243" s="10" t="inlineStr">
        <is>
          <t>GCO</t>
        </is>
      </c>
      <c r="E243" s="10" t="inlineStr">
        <is>
          <t>Gestión de Crédito de Consumo</t>
        </is>
      </c>
      <c r="F243" s="10" t="inlineStr">
        <is>
          <t>-</t>
        </is>
      </c>
      <c r="G243" s="10" t="inlineStr">
        <is>
          <t>Solicitud de créditos con garantía de plazo fijo</t>
        </is>
      </c>
      <c r="H243" s="10" t="inlineStr">
        <is>
          <t>File de crédito / Certificado del DPF</t>
        </is>
      </c>
      <c r="I243" s="10" t="inlineStr">
        <is>
          <t>File digital que contiene toda la documentación referente a los lineamientos del tipo de crédito, de adjunta la copia del DPF</t>
        </is>
      </c>
      <c r="J243" s="10" t="inlineStr">
        <is>
          <t>Jefe de Negocios</t>
        </is>
      </c>
      <c r="K243" s="10" t="inlineStr">
        <is>
          <t>FIT</t>
        </is>
      </c>
      <c r="L243" s="10" t="inlineStr">
        <is>
          <t>UBICACIÓN DIGITAL-CORE FINANCIERO</t>
        </is>
      </c>
      <c r="M243" s="10" t="inlineStr">
        <is>
          <t>DOCUMENTO DE ARCHIVO-ELECTRÓNICO</t>
        </is>
      </c>
      <c r="N243" s="10" t="inlineStr">
        <is>
          <t>PRIMARIOS</t>
        </is>
      </c>
      <c r="O243" s="10" t="inlineStr">
        <is>
          <t>INFORMACIÓN DE SOCIOS Y CLIENTES</t>
        </is>
      </c>
      <c r="P243" s="10" t="inlineStr">
        <is>
          <t>RESTRINGIDO(3)</t>
        </is>
      </c>
      <c r="Q243" s="10" t="inlineStr">
        <is>
          <t>MEDIA(2)</t>
        </is>
      </c>
      <c r="R243" s="10" t="inlineStr">
        <is>
          <t>MEDIA(2)</t>
        </is>
      </c>
      <c r="S243" s="10">
        <f>+(IF(P243="PUBLICA(1)",1,IF(P243="USO INTERNO(2)",2,IF(P243="RESTRINGIDO(3)",3,3))))+(IF(Q243="BAJA(1)",1,IF(Q243="MEDIA(2)",2,IF(Q243="ALTA(3)",3,3))))+(IF(R243="BAJA(1)",1,IF(R243="MEDIA(2)",2,IF(R243="ALTA(3)",3,3))))</f>
        <v/>
      </c>
      <c r="T243" s="10">
        <f>+IF(S243&lt;6,"BAJA",IF(S243&lt;8,"MEDIA","ALTA"))</f>
        <v/>
      </c>
      <c r="U243" s="10" t="inlineStr">
        <is>
          <t>-</t>
        </is>
      </c>
      <c r="V243" s="24" t="inlineStr">
        <is>
          <t>8/02/225</t>
        </is>
      </c>
      <c r="W243" s="19" t="inlineStr">
        <is>
          <t>N/A</t>
        </is>
      </c>
      <c r="X243" s="10">
        <f>+IFERROR(IF(VLOOKUP(Tabla2[[#This Row],[ID]],'EVALUACION DE RIESGO'!A:A,1,FALSE)=Tabla2[[#This Row],[ID]],"SI","NO"),"NO")</f>
        <v/>
      </c>
    </row>
    <row r="244">
      <c r="A244" s="91" t="inlineStr">
        <is>
          <t>3-GCO</t>
        </is>
      </c>
      <c r="B244" s="10" t="inlineStr">
        <is>
          <t>PRODUCTIVO</t>
        </is>
      </c>
      <c r="C244" s="10" t="inlineStr">
        <is>
          <t>Gestión de Colocaciones</t>
        </is>
      </c>
      <c r="D244" s="10" t="inlineStr">
        <is>
          <t>GCO</t>
        </is>
      </c>
      <c r="E244" s="10" t="inlineStr">
        <is>
          <t>Gestión de Crédito de Consumo</t>
        </is>
      </c>
      <c r="F244" s="10" t="inlineStr">
        <is>
          <t>-</t>
        </is>
      </c>
      <c r="G244" s="10" t="inlineStr">
        <is>
          <t>Solicitud de créditos con garantía prendaria de Oro</t>
        </is>
      </c>
      <c r="H244" s="10" t="inlineStr">
        <is>
          <t>File de crédito</t>
        </is>
      </c>
      <c r="I244" s="10" t="inlineStr">
        <is>
          <t>File digital que contiene toda la documentación referente a los lineamientos del tipo de crédito</t>
        </is>
      </c>
      <c r="J244" s="10" t="inlineStr">
        <is>
          <t>Jefe de Negocios</t>
        </is>
      </c>
      <c r="K244" s="10" t="inlineStr">
        <is>
          <t>FIT</t>
        </is>
      </c>
      <c r="L244" s="10" t="inlineStr">
        <is>
          <t>UBICACIÓN DIGITAL-CORE FINANCIERO</t>
        </is>
      </c>
      <c r="M244" s="10" t="inlineStr">
        <is>
          <t>DOCUMENTO DE ARCHIVO-ELECTRÓNICO</t>
        </is>
      </c>
      <c r="N244" s="10" t="inlineStr">
        <is>
          <t>PRIMARIOS</t>
        </is>
      </c>
      <c r="O244" s="10" t="inlineStr">
        <is>
          <t>INFORMACIÓN DE SOCIOS Y CLIENTES</t>
        </is>
      </c>
      <c r="P244" s="10" t="inlineStr">
        <is>
          <t>USO INTERNO(2)</t>
        </is>
      </c>
      <c r="Q244" s="10" t="inlineStr">
        <is>
          <t>MEDIA(2)</t>
        </is>
      </c>
      <c r="R244" s="10" t="inlineStr">
        <is>
          <t>MEDIA(2)</t>
        </is>
      </c>
      <c r="S244" s="10">
        <f>+(IF(P244="PUBLICA(1)",1,IF(P244="USO INTERNO(2)",2,IF(P244="RESTRINGIDO(3)",3,3))))+(IF(Q244="BAJA(1)",1,IF(Q244="MEDIA(2)",2,IF(Q244="ALTA(3)",3,3))))+(IF(R244="BAJA(1)",1,IF(R244="MEDIA(2)",2,IF(R244="ALTA(3)",3,3))))</f>
        <v/>
      </c>
      <c r="T244" s="10">
        <f>+IF(S244&lt;6,"BAJA",IF(S244&lt;8,"MEDIA","ALTA"))</f>
        <v/>
      </c>
      <c r="U244" s="10" t="inlineStr">
        <is>
          <t>-</t>
        </is>
      </c>
      <c r="V244" s="24" t="inlineStr">
        <is>
          <t>8/02/225</t>
        </is>
      </c>
      <c r="W244" s="19" t="inlineStr">
        <is>
          <t>N/A</t>
        </is>
      </c>
      <c r="X244" s="10">
        <f>+IFERROR(IF(VLOOKUP(Tabla2[[#This Row],[ID]],'EVALUACION DE RIESGO'!A:A,1,FALSE)=Tabla2[[#This Row],[ID]],"SI","NO"),"NO")</f>
        <v/>
      </c>
    </row>
    <row r="245">
      <c r="A245" s="91" t="inlineStr">
        <is>
          <t>4-GCO</t>
        </is>
      </c>
      <c r="B245" s="10" t="inlineStr">
        <is>
          <t>PRODUCTIVO</t>
        </is>
      </c>
      <c r="C245" s="10" t="inlineStr">
        <is>
          <t>Gestión de Colocaciones</t>
        </is>
      </c>
      <c r="D245" s="10" t="inlineStr">
        <is>
          <t>GCO</t>
        </is>
      </c>
      <c r="E245" s="10" t="inlineStr">
        <is>
          <t>Gestión de Crédito de Consumo</t>
        </is>
      </c>
      <c r="F245" s="10" t="inlineStr">
        <is>
          <t>-</t>
        </is>
      </c>
      <c r="G245" s="10" t="inlineStr">
        <is>
          <t>Solicitud de créditos con garantía prendaria de Oro</t>
        </is>
      </c>
      <c r="H245" s="10" t="inlineStr">
        <is>
          <t>Prenda de oro</t>
        </is>
      </c>
      <c r="I245" s="10" t="inlineStr">
        <is>
          <t>Prenda de garantía que se recibe para otorgar el crédito</t>
        </is>
      </c>
      <c r="J245" s="10" t="inlineStr">
        <is>
          <t>Jefe de Negocios</t>
        </is>
      </c>
      <c r="K245" s="10" t="inlineStr">
        <is>
          <t>Supervisor Operativo</t>
        </is>
      </c>
      <c r="L245" s="10" t="inlineStr">
        <is>
          <t>DOCUMENTOS FISICOS-ARCHIVOS DE LA OFICINA</t>
        </is>
      </c>
      <c r="M245" s="10" t="inlineStr">
        <is>
          <t>DOCUMENTO DE ARCHIVO-FÍSICO</t>
        </is>
      </c>
      <c r="N245" s="10" t="inlineStr">
        <is>
          <t>PRIMARIOS</t>
        </is>
      </c>
      <c r="O245" s="10" t="inlineStr">
        <is>
          <t>INFORMACIÓN DE SOCIOS Y CLIENTES</t>
        </is>
      </c>
      <c r="P245" s="10" t="inlineStr">
        <is>
          <t>USO INTERNO(2)</t>
        </is>
      </c>
      <c r="Q245" s="10" t="inlineStr">
        <is>
          <t>MEDIA(2)</t>
        </is>
      </c>
      <c r="R245" s="10" t="inlineStr">
        <is>
          <t>MEDIA(2)</t>
        </is>
      </c>
      <c r="S245" s="10">
        <f>+(IF(P245="PUBLICA(1)",1,IF(P245="USO INTERNO(2)",2,IF(P245="RESTRINGIDO(3)",3,3))))+(IF(Q245="BAJA(1)",1,IF(Q245="MEDIA(2)",2,IF(Q245="ALTA(3)",3,3))))+(IF(R245="BAJA(1)",1,IF(R245="MEDIA(2)",2,IF(R245="ALTA(3)",3,3))))</f>
        <v/>
      </c>
      <c r="T245" s="10">
        <f>+IF(S245&lt;6,"BAJA",IF(S245&lt;8,"MEDIA","ALTA"))</f>
        <v/>
      </c>
      <c r="U245" s="10" t="inlineStr">
        <is>
          <t>-</t>
        </is>
      </c>
      <c r="V245" s="24" t="inlineStr">
        <is>
          <t>8/02/225</t>
        </is>
      </c>
      <c r="W245" s="19" t="inlineStr">
        <is>
          <t>N/A</t>
        </is>
      </c>
      <c r="X245" s="10">
        <f>+IFERROR(IF(VLOOKUP(Tabla2[[#This Row],[ID]],'EVALUACION DE RIESGO'!A:A,1,FALSE)=Tabla2[[#This Row],[ID]],"SI","NO"),"NO")</f>
        <v/>
      </c>
    </row>
    <row r="246">
      <c r="A246" s="91" t="inlineStr">
        <is>
          <t>5-GCO</t>
        </is>
      </c>
      <c r="B246" s="10" t="inlineStr">
        <is>
          <t>PRODUCTIVO</t>
        </is>
      </c>
      <c r="C246" s="10" t="inlineStr">
        <is>
          <t>Gestión de Colocaciones</t>
        </is>
      </c>
      <c r="D246" s="10" t="inlineStr">
        <is>
          <t>GCO</t>
        </is>
      </c>
      <c r="E246" s="10" t="inlineStr">
        <is>
          <t>Gestión de Crédito de Consumo</t>
        </is>
      </c>
      <c r="F246" s="10" t="inlineStr">
        <is>
          <t>-</t>
        </is>
      </c>
      <c r="G246" s="10" t="inlineStr">
        <is>
          <t>Solicitud de créditos con garantía prendaria de Oro</t>
        </is>
      </c>
      <c r="H246" s="10" t="inlineStr">
        <is>
          <t>Formulario y foro de la prenda para custodia</t>
        </is>
      </c>
      <c r="I246" s="10" t="inlineStr">
        <is>
          <t>Acta entrega que se realiza para la recepción de la prenda</t>
        </is>
      </c>
      <c r="J246" s="10" t="inlineStr">
        <is>
          <t>Jefe de Negocios</t>
        </is>
      </c>
      <c r="K246" s="10" t="inlineStr">
        <is>
          <t>FIT</t>
        </is>
      </c>
      <c r="L246" s="10" t="inlineStr">
        <is>
          <t>UBICACIÓN DIGITAL-CORE FINANCIERO</t>
        </is>
      </c>
      <c r="M246" s="10" t="inlineStr">
        <is>
          <t>DOCUMENTO DE ARCHIVO-ELECTRÓNICO</t>
        </is>
      </c>
      <c r="N246" s="10" t="inlineStr">
        <is>
          <t>PRIMARIOS</t>
        </is>
      </c>
      <c r="O246" s="10" t="inlineStr">
        <is>
          <t>DOCUMENTOS HABILITANTES</t>
        </is>
      </c>
      <c r="P246" s="10" t="inlineStr">
        <is>
          <t>USO INTERNO(2)</t>
        </is>
      </c>
      <c r="Q246" s="10" t="inlineStr">
        <is>
          <t>MEDIA(2)</t>
        </is>
      </c>
      <c r="R246" s="10" t="inlineStr">
        <is>
          <t>MEDIA(2)</t>
        </is>
      </c>
      <c r="S246" s="10">
        <f>+(IF(P246="PUBLICA(1)",1,IF(P246="USO INTERNO(2)",2,IF(P246="RESTRINGIDO(3)",3,3))))+(IF(Q246="BAJA(1)",1,IF(Q246="MEDIA(2)",2,IF(Q246="ALTA(3)",3,3))))+(IF(R246="BAJA(1)",1,IF(R246="MEDIA(2)",2,IF(R246="ALTA(3)",3,3))))</f>
        <v/>
      </c>
      <c r="T246" s="10">
        <f>+IF(S246&lt;6,"BAJA",IF(S246&lt;8,"MEDIA","ALTA"))</f>
        <v/>
      </c>
      <c r="U246" s="10" t="inlineStr">
        <is>
          <t>-</t>
        </is>
      </c>
      <c r="V246" s="24" t="inlineStr">
        <is>
          <t>8/02/225</t>
        </is>
      </c>
      <c r="W246" s="19" t="inlineStr">
        <is>
          <t>N/A</t>
        </is>
      </c>
      <c r="X246" s="10">
        <f>+IFERROR(IF(VLOOKUP(Tabla2[[#This Row],[ID]],'EVALUACION DE RIESGO'!A:A,1,FALSE)=Tabla2[[#This Row],[ID]],"SI","NO"),"NO")</f>
        <v/>
      </c>
    </row>
    <row r="247">
      <c r="A247" s="91" t="inlineStr">
        <is>
          <t>6-GCO</t>
        </is>
      </c>
      <c r="B247" s="10" t="inlineStr">
        <is>
          <t>PRODUCTIVO</t>
        </is>
      </c>
      <c r="C247" s="10" t="inlineStr">
        <is>
          <t>Gestión de Colocaciones</t>
        </is>
      </c>
      <c r="D247" s="10" t="inlineStr">
        <is>
          <t>GCO</t>
        </is>
      </c>
      <c r="E247" s="10" t="inlineStr">
        <is>
          <t>Gestión de Crédito de Consumo</t>
        </is>
      </c>
      <c r="F247" s="10" t="inlineStr">
        <is>
          <t>-</t>
        </is>
      </c>
      <c r="G247" s="10" t="inlineStr">
        <is>
          <t>Solicitud de novación, refinanciamiento, o reestructuración de créditos</t>
        </is>
      </c>
      <c r="H247" s="10" t="inlineStr">
        <is>
          <t>File de crédito / Informe de análisis de novación, refinanciamiento y restructuración</t>
        </is>
      </c>
      <c r="I247" s="10" t="inlineStr">
        <is>
          <t>File digital que contiene toda la documentación referente a los lineamientos del tipo de crédito /  el informe de análisis se adjunta al file del crédito</t>
        </is>
      </c>
      <c r="J247" s="10" t="inlineStr">
        <is>
          <t>Jefe de Negocios</t>
        </is>
      </c>
      <c r="K247" s="10" t="inlineStr">
        <is>
          <t>FIT</t>
        </is>
      </c>
      <c r="L247" s="10" t="inlineStr">
        <is>
          <t>UBICACIÓN DIGITAL-CORE FINANCIERO</t>
        </is>
      </c>
      <c r="M247" s="10" t="inlineStr">
        <is>
          <t>DOCUMENTO DE ARCHIVO-ELECTRÓNICO</t>
        </is>
      </c>
      <c r="N247" s="10" t="inlineStr">
        <is>
          <t>PRIMARIOS</t>
        </is>
      </c>
      <c r="O247" s="10" t="inlineStr">
        <is>
          <t>INFORMACIÓN DE SOCIOS Y CLIENTES</t>
        </is>
      </c>
      <c r="P247" s="10" t="inlineStr">
        <is>
          <t>RESTRINGIDO(3)</t>
        </is>
      </c>
      <c r="Q247" s="10" t="inlineStr">
        <is>
          <t>MEDIA(2)</t>
        </is>
      </c>
      <c r="R247" s="10" t="inlineStr">
        <is>
          <t>MEDIA(2)</t>
        </is>
      </c>
      <c r="S247" s="10">
        <f>+(IF(P247="PUBLICA(1)",1,IF(P247="USO INTERNO(2)",2,IF(P247="RESTRINGIDO(3)",3,3))))+(IF(Q247="BAJA(1)",1,IF(Q247="MEDIA(2)",2,IF(Q247="ALTA(3)",3,3))))+(IF(R247="BAJA(1)",1,IF(R247="MEDIA(2)",2,IF(R247="ALTA(3)",3,3))))</f>
        <v/>
      </c>
      <c r="T247" s="10">
        <f>+IF(S247&lt;6,"BAJA",IF(S247&lt;8,"MEDIA","ALTA"))</f>
        <v/>
      </c>
      <c r="U247" s="10" t="inlineStr">
        <is>
          <t>-</t>
        </is>
      </c>
      <c r="V247" s="24" t="inlineStr">
        <is>
          <t>8/02/225</t>
        </is>
      </c>
      <c r="W247" s="19" t="inlineStr">
        <is>
          <t>N/A</t>
        </is>
      </c>
      <c r="X247" s="10">
        <f>+IFERROR(IF(VLOOKUP(Tabla2[[#This Row],[ID]],'EVALUACION DE RIESGO'!A:A,1,FALSE)=Tabla2[[#This Row],[ID]],"SI","NO"),"NO")</f>
        <v/>
      </c>
    </row>
    <row r="248">
      <c r="A248" s="91" t="inlineStr">
        <is>
          <t>7-GCO</t>
        </is>
      </c>
      <c r="B248" s="10" t="inlineStr">
        <is>
          <t>PRODUCTIVO</t>
        </is>
      </c>
      <c r="C248" s="10" t="inlineStr">
        <is>
          <t>Gestión de Colocaciones</t>
        </is>
      </c>
      <c r="D248" s="10" t="inlineStr">
        <is>
          <t>GCO</t>
        </is>
      </c>
      <c r="E248" s="10" t="inlineStr">
        <is>
          <t>Gestión de Crédito de Consumo</t>
        </is>
      </c>
      <c r="F248" s="10" t="inlineStr">
        <is>
          <t>-</t>
        </is>
      </c>
      <c r="G248" s="10" t="inlineStr">
        <is>
          <t xml:space="preserve">Seguimiento al destino del crédito    </t>
        </is>
      </c>
      <c r="H248" s="10" t="inlineStr">
        <is>
          <t>Formulario de destino del crédito</t>
        </is>
      </c>
      <c r="I248" s="10" t="inlineStr">
        <is>
          <t>Formulario de detalle del destino de la solicitud del crédito</t>
        </is>
      </c>
      <c r="J248" s="10" t="inlineStr">
        <is>
          <t>Jefe de Negocios</t>
        </is>
      </c>
      <c r="K248" s="10" t="inlineStr">
        <is>
          <t>FIT</t>
        </is>
      </c>
      <c r="L248" s="10" t="inlineStr">
        <is>
          <t>UBICACIÓN DIGITAL-CORE FINANCIERO</t>
        </is>
      </c>
      <c r="M248" s="10" t="inlineStr">
        <is>
          <t>DOCUMENTO DE ARCHIVO-ELECTRÓNICO</t>
        </is>
      </c>
      <c r="N248" s="10" t="inlineStr">
        <is>
          <t>PRIMARIOS</t>
        </is>
      </c>
      <c r="O248" s="10" t="inlineStr">
        <is>
          <t>INFORMACIÓN DE SOCIOS Y CLIENTES</t>
        </is>
      </c>
      <c r="P248" s="10" t="inlineStr">
        <is>
          <t>USO INTERNO(2)</t>
        </is>
      </c>
      <c r="Q248" s="10" t="inlineStr">
        <is>
          <t>MEDIA(2)</t>
        </is>
      </c>
      <c r="R248" s="10" t="inlineStr">
        <is>
          <t>MEDIA(2)</t>
        </is>
      </c>
      <c r="S248" s="10">
        <f>+(IF(P248="PUBLICA(1)",1,IF(P248="USO INTERNO(2)",2,IF(P248="RESTRINGIDO(3)",3,3))))+(IF(Q248="BAJA(1)",1,IF(Q248="MEDIA(2)",2,IF(Q248="ALTA(3)",3,3))))+(IF(R248="BAJA(1)",1,IF(R248="MEDIA(2)",2,IF(R248="ALTA(3)",3,3))))</f>
        <v/>
      </c>
      <c r="T248" s="10">
        <f>+IF(S248&lt;6,"BAJA",IF(S248&lt;8,"MEDIA","ALTA"))</f>
        <v/>
      </c>
      <c r="U248" s="10" t="inlineStr">
        <is>
          <t>-</t>
        </is>
      </c>
      <c r="V248" s="24" t="inlineStr">
        <is>
          <t>8/02/225</t>
        </is>
      </c>
      <c r="W248" s="19" t="inlineStr">
        <is>
          <t>N/A</t>
        </is>
      </c>
      <c r="X248" s="10">
        <f>+IFERROR(IF(VLOOKUP(Tabla2[[#This Row],[ID]],'EVALUACION DE RIESGO'!A:A,1,FALSE)=Tabla2[[#This Row],[ID]],"SI","NO"),"NO")</f>
        <v/>
      </c>
    </row>
    <row r="249">
      <c r="A249" s="91" t="inlineStr">
        <is>
          <t>8-GCO</t>
        </is>
      </c>
      <c r="B249" s="10" t="inlineStr">
        <is>
          <t>PRODUCTIVO</t>
        </is>
      </c>
      <c r="C249" s="10" t="inlineStr">
        <is>
          <t>Gestión de Colocaciones</t>
        </is>
      </c>
      <c r="D249" s="10" t="inlineStr">
        <is>
          <t>GCO</t>
        </is>
      </c>
      <c r="E249" s="10" t="inlineStr">
        <is>
          <t>Gestión de PYMES</t>
        </is>
      </c>
      <c r="F249" s="10" t="inlineStr">
        <is>
          <t>-</t>
        </is>
      </c>
      <c r="G249" s="10" t="inlineStr">
        <is>
          <t xml:space="preserve">Solicitud de crédito PYME </t>
        </is>
      </c>
      <c r="H249" s="10" t="inlineStr">
        <is>
          <t>File de crédito / Formulario previo al otorgamiento del crédito</t>
        </is>
      </c>
      <c r="I249" s="10" t="inlineStr">
        <is>
          <t>File digital que contiene toda la documentación referente a los lineamientos del tipo de crédito / el formulario previo se adjunta al otorgamiento del crédito</t>
        </is>
      </c>
      <c r="J249" s="10" t="inlineStr">
        <is>
          <t>Gerente de Negocios</t>
        </is>
      </c>
      <c r="K249" s="10" t="inlineStr">
        <is>
          <t>FIT</t>
        </is>
      </c>
      <c r="L249" s="10" t="inlineStr">
        <is>
          <t>UBICACIÓN DIGITAL-CORE FINANCIERO</t>
        </is>
      </c>
      <c r="M249" s="10" t="inlineStr">
        <is>
          <t>DOCUMENTO DE ARCHIVO-ELECTRÓNICO</t>
        </is>
      </c>
      <c r="N249" s="10" t="inlineStr">
        <is>
          <t>PRIMARIOS</t>
        </is>
      </c>
      <c r="O249" s="10" t="inlineStr">
        <is>
          <t>INFORMACIÓN DE SOCIOS Y CLIENTES</t>
        </is>
      </c>
      <c r="P249" s="10" t="inlineStr">
        <is>
          <t>RESTRINGIDO(3)</t>
        </is>
      </c>
      <c r="Q249" s="10" t="inlineStr">
        <is>
          <t>MEDIA(2)</t>
        </is>
      </c>
      <c r="R249" s="10" t="inlineStr">
        <is>
          <t>MEDIA(2)</t>
        </is>
      </c>
      <c r="S249" s="10">
        <f>+(IF(P249="PUBLICA(1)",1,IF(P249="USO INTERNO(2)",2,IF(P249="RESTRINGIDO(3)",3,3))))+(IF(Q249="BAJA(1)",1,IF(Q249="MEDIA(2)",2,IF(Q249="ALTA(3)",3,3))))+(IF(R249="BAJA(1)",1,IF(R249="MEDIA(2)",2,IF(R249="ALTA(3)",3,3))))</f>
        <v/>
      </c>
      <c r="T249" s="10">
        <f>+IF(S249&lt;6,"BAJA",IF(S249&lt;8,"MEDIA","ALTA"))</f>
        <v/>
      </c>
      <c r="U249" s="10" t="inlineStr">
        <is>
          <t>-</t>
        </is>
      </c>
      <c r="V249" s="24" t="inlineStr">
        <is>
          <t>8/02/225</t>
        </is>
      </c>
      <c r="W249" s="19" t="inlineStr">
        <is>
          <t>N/A</t>
        </is>
      </c>
      <c r="X249" s="10">
        <f>+IFERROR(IF(VLOOKUP(Tabla2[[#This Row],[ID]],'EVALUACION DE RIESGO'!A:A,1,FALSE)=Tabla2[[#This Row],[ID]],"SI","NO"),"NO")</f>
        <v/>
      </c>
    </row>
    <row r="250">
      <c r="A250" s="91" t="inlineStr">
        <is>
          <t>9-GCO</t>
        </is>
      </c>
      <c r="B250" s="10" t="inlineStr">
        <is>
          <t>PRODUCTIVO</t>
        </is>
      </c>
      <c r="C250" s="10" t="inlineStr">
        <is>
          <t>Gestión de Colocaciones</t>
        </is>
      </c>
      <c r="D250" s="10" t="inlineStr">
        <is>
          <t>GCO</t>
        </is>
      </c>
      <c r="E250" s="10" t="inlineStr">
        <is>
          <t>Gestión de PYMES</t>
        </is>
      </c>
      <c r="F250" s="10" t="inlineStr">
        <is>
          <t>-</t>
        </is>
      </c>
      <c r="G250" s="10" t="inlineStr">
        <is>
          <t>Solicitud de novación, refinanciamiento, o reestructuración de créditos PYME</t>
        </is>
      </c>
      <c r="H250" s="10" t="inlineStr">
        <is>
          <t>File de crédito / Informe de análisis de novación, refinanciamiento y restructuración</t>
        </is>
      </c>
      <c r="I250" s="10" t="inlineStr">
        <is>
          <t>File digital que contiene toda la documentación referente a los lineamientos del tipo de crédito / el Informe de análisis de novación, refinanciamiento y restructuración se adjunta al file del crédito</t>
        </is>
      </c>
      <c r="J250" s="10" t="inlineStr">
        <is>
          <t>Gerente de Negocios</t>
        </is>
      </c>
      <c r="K250" s="10" t="inlineStr">
        <is>
          <t>FIT</t>
        </is>
      </c>
      <c r="L250" s="10" t="inlineStr">
        <is>
          <t>UBICACIÓN DIGITAL-CORE FINANCIERO</t>
        </is>
      </c>
      <c r="M250" s="10" t="inlineStr">
        <is>
          <t>DOCUMENTO DE ARCHIVO-ELECTRÓNICO</t>
        </is>
      </c>
      <c r="N250" s="10" t="inlineStr">
        <is>
          <t>PRIMARIOS</t>
        </is>
      </c>
      <c r="O250" s="10" t="inlineStr">
        <is>
          <t>INFORMACIÓN DE SOCIOS Y CLIENTES</t>
        </is>
      </c>
      <c r="P250" s="10" t="inlineStr">
        <is>
          <t>RESTRINGIDO(3)</t>
        </is>
      </c>
      <c r="Q250" s="10" t="inlineStr">
        <is>
          <t>MEDIA(2)</t>
        </is>
      </c>
      <c r="R250" s="10" t="inlineStr">
        <is>
          <t>MEDIA(2)</t>
        </is>
      </c>
      <c r="S250" s="10">
        <f>+(IF(P250="PUBLICA(1)",1,IF(P250="USO INTERNO(2)",2,IF(P250="RESTRINGIDO(3)",3,3))))+(IF(Q250="BAJA(1)",1,IF(Q250="MEDIA(2)",2,IF(Q250="ALTA(3)",3,3))))+(IF(R250="BAJA(1)",1,IF(R250="MEDIA(2)",2,IF(R250="ALTA(3)",3,3))))</f>
        <v/>
      </c>
      <c r="T250" s="10">
        <f>+IF(S250&lt;6,"BAJA",IF(S250&lt;8,"MEDIA","ALTA"))</f>
        <v/>
      </c>
      <c r="U250" s="10" t="inlineStr">
        <is>
          <t>-</t>
        </is>
      </c>
      <c r="V250" s="24" t="inlineStr">
        <is>
          <t>8/02/225</t>
        </is>
      </c>
      <c r="W250" s="19" t="inlineStr">
        <is>
          <t>N/A</t>
        </is>
      </c>
      <c r="X250" s="10">
        <f>+IFERROR(IF(VLOOKUP(Tabla2[[#This Row],[ID]],'EVALUACION DE RIESGO'!A:A,1,FALSE)=Tabla2[[#This Row],[ID]],"SI","NO"),"NO")</f>
        <v/>
      </c>
    </row>
    <row r="251">
      <c r="A251" s="91" t="inlineStr">
        <is>
          <t>10-GCO</t>
        </is>
      </c>
      <c r="B251" s="10" t="inlineStr">
        <is>
          <t>PRODUCTIVO</t>
        </is>
      </c>
      <c r="C251" s="10" t="inlineStr">
        <is>
          <t>Gestión de Colocaciones</t>
        </is>
      </c>
      <c r="D251" s="10" t="inlineStr">
        <is>
          <t>GCO</t>
        </is>
      </c>
      <c r="E251" s="10" t="inlineStr">
        <is>
          <t>Gestión de PYMES</t>
        </is>
      </c>
      <c r="F251" s="10" t="inlineStr">
        <is>
          <t>-</t>
        </is>
      </c>
      <c r="G251" s="10" t="inlineStr">
        <is>
          <t>Destino y control a los créditos PYME</t>
        </is>
      </c>
      <c r="H251" s="10" t="inlineStr">
        <is>
          <t>Formulario de destino del crédito</t>
        </is>
      </c>
      <c r="I251" s="10" t="inlineStr">
        <is>
          <t>Formulario adjunto al file del crédito</t>
        </is>
      </c>
      <c r="J251" s="10" t="inlineStr">
        <is>
          <t>Gerente de Negocios</t>
        </is>
      </c>
      <c r="K251" s="10" t="inlineStr">
        <is>
          <t>FIT</t>
        </is>
      </c>
      <c r="L251" s="10" t="inlineStr">
        <is>
          <t>UBICACIÓN DIGITAL-CORE FINANCIERO</t>
        </is>
      </c>
      <c r="M251" s="10" t="inlineStr">
        <is>
          <t>DOCUMENTO DE ARCHIVO-ELECTRÓNICO</t>
        </is>
      </c>
      <c r="N251" s="10" t="inlineStr">
        <is>
          <t>PRIMARIOS</t>
        </is>
      </c>
      <c r="O251" s="10" t="inlineStr">
        <is>
          <t>INFORMACIÓN DE SOCIOS Y CLIENTES</t>
        </is>
      </c>
      <c r="P251" s="10" t="inlineStr">
        <is>
          <t>USO INTERNO(2)</t>
        </is>
      </c>
      <c r="Q251" s="10" t="inlineStr">
        <is>
          <t>MEDIA(2)</t>
        </is>
      </c>
      <c r="R251" s="10" t="inlineStr">
        <is>
          <t>MEDIA(2)</t>
        </is>
      </c>
      <c r="S251" s="10">
        <f>+(IF(P251="PUBLICA(1)",1,IF(P251="USO INTERNO(2)",2,IF(P251="RESTRINGIDO(3)",3,3))))+(IF(Q251="BAJA(1)",1,IF(Q251="MEDIA(2)",2,IF(Q251="ALTA(3)",3,3))))+(IF(R251="BAJA(1)",1,IF(R251="MEDIA(2)",2,IF(R251="ALTA(3)",3,3))))</f>
        <v/>
      </c>
      <c r="T251" s="10">
        <f>+IF(S251&lt;6,"BAJA",IF(S251&lt;8,"MEDIA","ALTA"))</f>
        <v/>
      </c>
      <c r="U251" s="10" t="inlineStr">
        <is>
          <t>-</t>
        </is>
      </c>
      <c r="V251" s="24" t="inlineStr">
        <is>
          <t>8/02/225</t>
        </is>
      </c>
      <c r="W251" s="19" t="inlineStr">
        <is>
          <t>N/A</t>
        </is>
      </c>
      <c r="X251" s="10">
        <f>+IFERROR(IF(VLOOKUP(Tabla2[[#This Row],[ID]],'EVALUACION DE RIESGO'!A:A,1,FALSE)=Tabla2[[#This Row],[ID]],"SI","NO"),"NO")</f>
        <v/>
      </c>
    </row>
    <row r="252">
      <c r="A252" s="91" t="inlineStr">
        <is>
          <t>11-GCO</t>
        </is>
      </c>
      <c r="B252" s="10" t="inlineStr">
        <is>
          <t>PRODUCTIVO</t>
        </is>
      </c>
      <c r="C252" s="10" t="inlineStr">
        <is>
          <t>Gestión de Colocaciones</t>
        </is>
      </c>
      <c r="D252" s="10" t="inlineStr">
        <is>
          <t>GCO</t>
        </is>
      </c>
      <c r="E252" s="10" t="inlineStr">
        <is>
          <t>Procesamiento de Crédito</t>
        </is>
      </c>
      <c r="F252" s="10" t="inlineStr">
        <is>
          <t>-</t>
        </is>
      </c>
      <c r="G252" s="10" t="inlineStr">
        <is>
          <t>Predespacho de solicitudes de crédito</t>
        </is>
      </c>
      <c r="H252" s="10" t="inlineStr">
        <is>
          <t>Registro del sistema</t>
        </is>
      </c>
      <c r="I252" s="10" t="inlineStr">
        <is>
          <t>Registro realizado en el sistema como una etapa de la revisión y aprobación del crédito</t>
        </is>
      </c>
      <c r="J252" s="10" t="inlineStr">
        <is>
          <t>Jefe de Negocios</t>
        </is>
      </c>
      <c r="K252" s="10" t="inlineStr">
        <is>
          <t>FIT</t>
        </is>
      </c>
      <c r="L252" s="10" t="inlineStr">
        <is>
          <t>UBICACIÓN DIGITAL-CORE FINANCIERO</t>
        </is>
      </c>
      <c r="M252" s="10" t="inlineStr">
        <is>
          <t>DOCUMENTO DE ARCHIVO-ELECTRÓNICO</t>
        </is>
      </c>
      <c r="N252" s="10" t="inlineStr">
        <is>
          <t>PRIMARIOS</t>
        </is>
      </c>
      <c r="O252" s="10" t="inlineStr">
        <is>
          <t>INFORMACIÓN DE SOCIOS Y CLIENTES</t>
        </is>
      </c>
      <c r="P252" s="10" t="inlineStr">
        <is>
          <t>USO INTERNO(2)</t>
        </is>
      </c>
      <c r="Q252" s="10" t="inlineStr">
        <is>
          <t>BAJA(1)</t>
        </is>
      </c>
      <c r="R252" s="10" t="inlineStr">
        <is>
          <t>MEDIA(2)</t>
        </is>
      </c>
      <c r="S252" s="10">
        <f>+(IF(P252="PUBLICA(1)",1,IF(P252="USO INTERNO(2)",2,IF(P252="RESTRINGIDO(3)",3,3))))+(IF(Q252="BAJA(1)",1,IF(Q252="MEDIA(2)",2,IF(Q252="ALTA(3)",3,3))))+(IF(R252="BAJA(1)",1,IF(R252="MEDIA(2)",2,IF(R252="ALTA(3)",3,3))))</f>
        <v/>
      </c>
      <c r="T252" s="10">
        <f>+IF(S252&lt;6,"BAJA",IF(S252&lt;8,"MEDIA","ALTA"))</f>
        <v/>
      </c>
      <c r="U252" s="10" t="inlineStr">
        <is>
          <t>-</t>
        </is>
      </c>
      <c r="V252" s="24" t="inlineStr">
        <is>
          <t>8/02/225</t>
        </is>
      </c>
      <c r="W252" s="19" t="inlineStr">
        <is>
          <t>N/A</t>
        </is>
      </c>
      <c r="X252" s="10">
        <f>+IFERROR(IF(VLOOKUP(Tabla2[[#This Row],[ID]],'EVALUACION DE RIESGO'!A:A,1,FALSE)=Tabla2[[#This Row],[ID]],"SI","NO"),"NO")</f>
        <v/>
      </c>
    </row>
    <row r="253">
      <c r="A253" s="91" t="inlineStr">
        <is>
          <t>12-GCO</t>
        </is>
      </c>
      <c r="B253" s="10" t="inlineStr">
        <is>
          <t>PRODUCTIVO</t>
        </is>
      </c>
      <c r="C253" s="10" t="inlineStr">
        <is>
          <t>Gestión de Colocaciones</t>
        </is>
      </c>
      <c r="D253" s="10" t="inlineStr">
        <is>
          <t>GCO</t>
        </is>
      </c>
      <c r="E253" s="10" t="inlineStr">
        <is>
          <t>Procesamiento de Crédito</t>
        </is>
      </c>
      <c r="F253" s="10" t="inlineStr">
        <is>
          <t>-</t>
        </is>
      </c>
      <c r="G253" s="10" t="inlineStr">
        <is>
          <t>Verificación de Información de la Solicitud de Crédito</t>
        </is>
      </c>
      <c r="H253" s="10" t="inlineStr">
        <is>
          <t>File de crédito</t>
        </is>
      </c>
      <c r="I253" s="10" t="inlineStr">
        <is>
          <t>File digital que contiene toda la documentación referente a los lineamientos del tipo de crédito</t>
        </is>
      </c>
      <c r="J253" s="10" t="inlineStr">
        <is>
          <t>Jefe de Negocios</t>
        </is>
      </c>
      <c r="K253" s="10" t="inlineStr">
        <is>
          <t>FIT</t>
        </is>
      </c>
      <c r="L253" s="10" t="inlineStr">
        <is>
          <t>UBICACIÓN DIGITAL-CORE FINANCIERO</t>
        </is>
      </c>
      <c r="M253" s="10" t="inlineStr">
        <is>
          <t>DOCUMENTO DE ARCHIVO-ELECTRÓNICO</t>
        </is>
      </c>
      <c r="N253" s="10" t="inlineStr">
        <is>
          <t>PRIMARIOS</t>
        </is>
      </c>
      <c r="O253" s="10" t="inlineStr">
        <is>
          <t>INFORMACIÓN DE SOCIOS Y CLIENTES</t>
        </is>
      </c>
      <c r="P253" s="10" t="inlineStr">
        <is>
          <t>RESTRINGIDO(3)</t>
        </is>
      </c>
      <c r="Q253" s="10" t="inlineStr">
        <is>
          <t>MEDIA(2)</t>
        </is>
      </c>
      <c r="R253" s="10" t="inlineStr">
        <is>
          <t>MEDIA(2)</t>
        </is>
      </c>
      <c r="S253" s="10">
        <f>+(IF(P253="PUBLICA(1)",1,IF(P253="USO INTERNO(2)",2,IF(P253="RESTRINGIDO(3)",3,3))))+(IF(Q253="BAJA(1)",1,IF(Q253="MEDIA(2)",2,IF(Q253="ALTA(3)",3,3))))+(IF(R253="BAJA(1)",1,IF(R253="MEDIA(2)",2,IF(R253="ALTA(3)",3,3))))</f>
        <v/>
      </c>
      <c r="T253" s="10">
        <f>+IF(S253&lt;6,"BAJA",IF(S253&lt;8,"MEDIA","ALTA"))</f>
        <v/>
      </c>
      <c r="U253" s="10" t="inlineStr">
        <is>
          <t>-</t>
        </is>
      </c>
      <c r="V253" s="24" t="inlineStr">
        <is>
          <t>8/02/225</t>
        </is>
      </c>
      <c r="W253" s="19" t="inlineStr">
        <is>
          <t>N/A</t>
        </is>
      </c>
      <c r="X253" s="10">
        <f>+IFERROR(IF(VLOOKUP(Tabla2[[#This Row],[ID]],'EVALUACION DE RIESGO'!A:A,1,FALSE)=Tabla2[[#This Row],[ID]],"SI","NO"),"NO")</f>
        <v/>
      </c>
    </row>
    <row r="254">
      <c r="A254" s="91" t="inlineStr">
        <is>
          <t>13-GCO</t>
        </is>
      </c>
      <c r="B254" s="10" t="inlineStr">
        <is>
          <t>PRODUCTIVO</t>
        </is>
      </c>
      <c r="C254" s="10" t="inlineStr">
        <is>
          <t>Gestión de Colocaciones</t>
        </is>
      </c>
      <c r="D254" s="10" t="inlineStr">
        <is>
          <t>GCO</t>
        </is>
      </c>
      <c r="E254" s="10" t="inlineStr">
        <is>
          <t>Procesamiento de Crédito</t>
        </is>
      </c>
      <c r="F254" s="10" t="inlineStr">
        <is>
          <t>-</t>
        </is>
      </c>
      <c r="G254" s="10" t="inlineStr">
        <is>
          <t>Verificación de Información de la Solicitud de Crédito</t>
        </is>
      </c>
      <c r="H254" s="10" t="inlineStr">
        <is>
          <t>Certificación de garantía</t>
        </is>
      </c>
      <c r="I254" s="10" t="inlineStr">
        <is>
          <t>Certificación realizada con el socio para validar la garantía, se adjunta al file del crédito</t>
        </is>
      </c>
      <c r="J254" s="10" t="inlineStr">
        <is>
          <t>Jefe de Negocios</t>
        </is>
      </c>
      <c r="K254" s="10" t="inlineStr">
        <is>
          <t>FIT</t>
        </is>
      </c>
      <c r="L254" s="10" t="inlineStr">
        <is>
          <t>UBICACIÓN DIGITAL-CORE FINANCIERO</t>
        </is>
      </c>
      <c r="M254" s="10" t="inlineStr">
        <is>
          <t>DOCUMENTO DE ARCHIVO-ELECTRÓNICO</t>
        </is>
      </c>
      <c r="N254" s="10" t="inlineStr">
        <is>
          <t>PRIMARIOS</t>
        </is>
      </c>
      <c r="O254" s="10" t="inlineStr">
        <is>
          <t>INFORMACIÓN DE SOCIOS Y CLIENTES</t>
        </is>
      </c>
      <c r="P254" s="10" t="inlineStr">
        <is>
          <t>RESTRINGIDO(3)</t>
        </is>
      </c>
      <c r="Q254" s="10" t="inlineStr">
        <is>
          <t>MEDIA(2)</t>
        </is>
      </c>
      <c r="R254" s="10" t="inlineStr">
        <is>
          <t>MEDIA(2)</t>
        </is>
      </c>
      <c r="S254" s="10">
        <f>+(IF(P254="PUBLICA(1)",1,IF(P254="USO INTERNO(2)",2,IF(P254="RESTRINGIDO(3)",3,3))))+(IF(Q254="BAJA(1)",1,IF(Q254="MEDIA(2)",2,IF(Q254="ALTA(3)",3,3))))+(IF(R254="BAJA(1)",1,IF(R254="MEDIA(2)",2,IF(R254="ALTA(3)",3,3))))</f>
        <v/>
      </c>
      <c r="T254" s="10">
        <f>+IF(S254&lt;6,"BAJA",IF(S254&lt;8,"MEDIA","ALTA"))</f>
        <v/>
      </c>
      <c r="U254" s="10" t="inlineStr">
        <is>
          <t>-</t>
        </is>
      </c>
      <c r="V254" s="24" t="inlineStr">
        <is>
          <t>8/02/225</t>
        </is>
      </c>
      <c r="W254" s="19" t="inlineStr">
        <is>
          <t>N/A</t>
        </is>
      </c>
      <c r="X254" s="10">
        <f>+IFERROR(IF(VLOOKUP(Tabla2[[#This Row],[ID]],'EVALUACION DE RIESGO'!A:A,1,FALSE)=Tabla2[[#This Row],[ID]],"SI","NO"),"NO")</f>
        <v/>
      </c>
    </row>
    <row r="255">
      <c r="A255" s="91" t="inlineStr">
        <is>
          <t>14-GCO</t>
        </is>
      </c>
      <c r="B255" s="10" t="inlineStr">
        <is>
          <t>PRODUCTIVO</t>
        </is>
      </c>
      <c r="C255" s="10" t="inlineStr">
        <is>
          <t>Gestión de Colocaciones</t>
        </is>
      </c>
      <c r="D255" s="10" t="inlineStr">
        <is>
          <t>GCO</t>
        </is>
      </c>
      <c r="E255" s="10" t="inlineStr">
        <is>
          <t>Procesamiento de Crédito</t>
        </is>
      </c>
      <c r="F255" s="10" t="inlineStr">
        <is>
          <t>-</t>
        </is>
      </c>
      <c r="G255" s="10" t="inlineStr">
        <is>
          <t>Verificación de Información de la Solicitud de Crédito</t>
        </is>
      </c>
      <c r="H255" s="10" t="inlineStr">
        <is>
          <t>Ticket de aprobación</t>
        </is>
      </c>
      <c r="I255" s="10" t="inlineStr">
        <is>
          <t>Registro que se realiza en el sistema como una etapa de la revisión y aprobación del crédito</t>
        </is>
      </c>
      <c r="J255" s="10" t="inlineStr">
        <is>
          <t>Jefe de Negocios</t>
        </is>
      </c>
      <c r="K255" s="10" t="inlineStr">
        <is>
          <t>FIT</t>
        </is>
      </c>
      <c r="L255" s="10" t="inlineStr">
        <is>
          <t>UBICACIÓN DIGITAL-CORE FINANCIERO</t>
        </is>
      </c>
      <c r="M255" s="10" t="inlineStr">
        <is>
          <t>DOCUMENTO DE ARCHIVO-ELECTRÓNICO</t>
        </is>
      </c>
      <c r="N255" s="10" t="inlineStr">
        <is>
          <t>PRIMARIOS</t>
        </is>
      </c>
      <c r="O255" s="10" t="inlineStr">
        <is>
          <t>INFORMACIÓN DE SOCIOS Y CLIENTES</t>
        </is>
      </c>
      <c r="P255" s="10" t="inlineStr">
        <is>
          <t>USO INTERNO(2)</t>
        </is>
      </c>
      <c r="Q255" s="10" t="inlineStr">
        <is>
          <t>BAJA(1)</t>
        </is>
      </c>
      <c r="R255" s="10" t="inlineStr">
        <is>
          <t>MEDIA(2)</t>
        </is>
      </c>
      <c r="S255" s="10">
        <f>+(IF(P255="PUBLICA(1)",1,IF(P255="USO INTERNO(2)",2,IF(P255="RESTRINGIDO(3)",3,3))))+(IF(Q255="BAJA(1)",1,IF(Q255="MEDIA(2)",2,IF(Q255="ALTA(3)",3,3))))+(IF(R255="BAJA(1)",1,IF(R255="MEDIA(2)",2,IF(R255="ALTA(3)",3,3))))</f>
        <v/>
      </c>
      <c r="T255" s="10">
        <f>+IF(S255&lt;6,"BAJA",IF(S255&lt;8,"MEDIA","ALTA"))</f>
        <v/>
      </c>
      <c r="U255" s="10" t="inlineStr">
        <is>
          <t>-</t>
        </is>
      </c>
      <c r="V255" s="24" t="inlineStr">
        <is>
          <t>8/02/225</t>
        </is>
      </c>
      <c r="W255" s="19" t="inlineStr">
        <is>
          <t>N/A</t>
        </is>
      </c>
      <c r="X255" s="10">
        <f>+IFERROR(IF(VLOOKUP(Tabla2[[#This Row],[ID]],'EVALUACION DE RIESGO'!A:A,1,FALSE)=Tabla2[[#This Row],[ID]],"SI","NO"),"NO")</f>
        <v/>
      </c>
    </row>
    <row r="256">
      <c r="A256" s="91" t="inlineStr">
        <is>
          <t>15-GCO</t>
        </is>
      </c>
      <c r="B256" s="10" t="inlineStr">
        <is>
          <t>PRODUCTIVO</t>
        </is>
      </c>
      <c r="C256" s="10" t="inlineStr">
        <is>
          <t>Gestión de Colocaciones</t>
        </is>
      </c>
      <c r="D256" s="10" t="inlineStr">
        <is>
          <t>GCO</t>
        </is>
      </c>
      <c r="E256" s="10" t="inlineStr">
        <is>
          <t>Procesamiento de Crédito</t>
        </is>
      </c>
      <c r="F256" s="10" t="inlineStr">
        <is>
          <t>-</t>
        </is>
      </c>
      <c r="G256" s="10" t="inlineStr">
        <is>
          <t xml:space="preserve">Aprobación de la solicitud de crédito                </t>
        </is>
      </c>
      <c r="H256" s="10" t="inlineStr">
        <is>
          <t>Registro del sistema de fábrica de crédito</t>
        </is>
      </c>
      <c r="I256" s="10" t="inlineStr">
        <is>
          <t>Registro final que se realiza en el sistema FIT para aprobar el crédito</t>
        </is>
      </c>
      <c r="J256" s="10" t="inlineStr">
        <is>
          <t>Jefe de Negocios</t>
        </is>
      </c>
      <c r="K256" s="10" t="inlineStr">
        <is>
          <t>FIT</t>
        </is>
      </c>
      <c r="L256" s="10" t="inlineStr">
        <is>
          <t>UBICACIÓN DIGITAL-CORE FINANCIERO</t>
        </is>
      </c>
      <c r="M256" s="10" t="inlineStr">
        <is>
          <t>DOCUMENTO DE ARCHIVO-ELECTRÓNICO</t>
        </is>
      </c>
      <c r="N256" s="10" t="inlineStr">
        <is>
          <t>PRIMARIOS</t>
        </is>
      </c>
      <c r="O256" s="10" t="inlineStr">
        <is>
          <t>COMUNICACIÓN INTERNA</t>
        </is>
      </c>
      <c r="P256" s="10" t="inlineStr">
        <is>
          <t>USO INTERNO(2)</t>
        </is>
      </c>
      <c r="Q256" s="10" t="inlineStr">
        <is>
          <t>MEDIA(2)</t>
        </is>
      </c>
      <c r="R256" s="10" t="inlineStr">
        <is>
          <t>MEDIA(2)</t>
        </is>
      </c>
      <c r="S256" s="10">
        <f>+(IF(P256="PUBLICA(1)",1,IF(P256="USO INTERNO(2)",2,IF(P256="RESTRINGIDO(3)",3,3))))+(IF(Q256="BAJA(1)",1,IF(Q256="MEDIA(2)",2,IF(Q256="ALTA(3)",3,3))))+(IF(R256="BAJA(1)",1,IF(R256="MEDIA(2)",2,IF(R256="ALTA(3)",3,3))))</f>
        <v/>
      </c>
      <c r="T256" s="10">
        <f>+IF(S256&lt;6,"BAJA",IF(S256&lt;8,"MEDIA","ALTA"))</f>
        <v/>
      </c>
      <c r="U256" s="10" t="inlineStr">
        <is>
          <t>-</t>
        </is>
      </c>
      <c r="V256" s="24" t="inlineStr">
        <is>
          <t>8/02/225</t>
        </is>
      </c>
      <c r="W256" s="19" t="inlineStr">
        <is>
          <t>N/A</t>
        </is>
      </c>
      <c r="X256" s="10">
        <f>+IFERROR(IF(VLOOKUP(Tabla2[[#This Row],[ID]],'EVALUACION DE RIESGO'!A:A,1,FALSE)=Tabla2[[#This Row],[ID]],"SI","NO"),"NO")</f>
        <v/>
      </c>
    </row>
    <row r="257">
      <c r="A257" s="91" t="inlineStr">
        <is>
          <t>16-GCO</t>
        </is>
      </c>
      <c r="B257" s="10" t="inlineStr">
        <is>
          <t>PRODUCTIVO</t>
        </is>
      </c>
      <c r="C257" s="10" t="inlineStr">
        <is>
          <t>Gestión de Colocaciones</t>
        </is>
      </c>
      <c r="D257" s="10" t="inlineStr">
        <is>
          <t>GCO</t>
        </is>
      </c>
      <c r="E257" s="10" t="inlineStr">
        <is>
          <t>Procesamiento de Crédito</t>
        </is>
      </c>
      <c r="F257" s="10" t="inlineStr">
        <is>
          <t>-</t>
        </is>
      </c>
      <c r="G257" s="10" t="inlineStr">
        <is>
          <t xml:space="preserve">Desembolso del crédito   </t>
        </is>
      </c>
      <c r="H257" s="10" t="inlineStr">
        <is>
          <t>File de crédito</t>
        </is>
      </c>
      <c r="I257" s="10" t="inlineStr">
        <is>
          <t>File digital que contiene toda la documentación referente a los lineamientos del tipo de crédito</t>
        </is>
      </c>
      <c r="J257" s="10" t="inlineStr">
        <is>
          <t>Jefe de Negocios</t>
        </is>
      </c>
      <c r="K257" s="10" t="inlineStr">
        <is>
          <t>FIT</t>
        </is>
      </c>
      <c r="L257" s="10" t="inlineStr">
        <is>
          <t>UBICACIÓN DIGITAL-CORE FINANCIERO</t>
        </is>
      </c>
      <c r="M257" s="10" t="inlineStr">
        <is>
          <t>DOCUMENTO DE ARCHIVO-ELECTRÓNICO</t>
        </is>
      </c>
      <c r="N257" s="10" t="inlineStr">
        <is>
          <t>PRIMARIOS</t>
        </is>
      </c>
      <c r="O257" s="10" t="inlineStr">
        <is>
          <t>INFORMACIÓN DE SOCIOS Y CLIENTES</t>
        </is>
      </c>
      <c r="P257" s="10" t="inlineStr">
        <is>
          <t>RESTRINGIDO(3)</t>
        </is>
      </c>
      <c r="Q257" s="10" t="inlineStr">
        <is>
          <t>MEDIA(2)</t>
        </is>
      </c>
      <c r="R257" s="10" t="inlineStr">
        <is>
          <t>MEDIA(2)</t>
        </is>
      </c>
      <c r="S257" s="10">
        <f>+(IF(P257="PUBLICA(1)",1,IF(P257="USO INTERNO(2)",2,IF(P257="RESTRINGIDO(3)",3,3))))+(IF(Q257="BAJA(1)",1,IF(Q257="MEDIA(2)",2,IF(Q257="ALTA(3)",3,3))))+(IF(R257="BAJA(1)",1,IF(R257="MEDIA(2)",2,IF(R257="ALTA(3)",3,3))))</f>
        <v/>
      </c>
      <c r="T257" s="10">
        <f>+IF(S257&lt;6,"BAJA",IF(S257&lt;8,"MEDIA","ALTA"))</f>
        <v/>
      </c>
      <c r="U257" s="10" t="inlineStr">
        <is>
          <t>-</t>
        </is>
      </c>
      <c r="V257" s="24" t="inlineStr">
        <is>
          <t>8/02/225</t>
        </is>
      </c>
      <c r="W257" s="19" t="inlineStr">
        <is>
          <t>N/A</t>
        </is>
      </c>
      <c r="X257" s="10">
        <f>+IFERROR(IF(VLOOKUP(Tabla2[[#This Row],[ID]],'EVALUACION DE RIESGO'!A:A,1,FALSE)=Tabla2[[#This Row],[ID]],"SI","NO"),"NO")</f>
        <v/>
      </c>
    </row>
    <row r="258">
      <c r="A258" s="91" t="inlineStr">
        <is>
          <t>17-GCO</t>
        </is>
      </c>
      <c r="B258" s="10" t="inlineStr">
        <is>
          <t>PRODUCTIVO</t>
        </is>
      </c>
      <c r="C258" s="10" t="inlineStr">
        <is>
          <t>Gestión de Colocaciones</t>
        </is>
      </c>
      <c r="D258" s="10" t="inlineStr">
        <is>
          <t>GCO</t>
        </is>
      </c>
      <c r="E258" s="10" t="inlineStr">
        <is>
          <t>Procesamiento de Crédito</t>
        </is>
      </c>
      <c r="F258" s="10" t="inlineStr">
        <is>
          <t>-</t>
        </is>
      </c>
      <c r="G258" s="10" t="inlineStr">
        <is>
          <t xml:space="preserve">Desembolso del crédito   </t>
        </is>
      </c>
      <c r="H258" s="10" t="inlineStr">
        <is>
          <t>Formulario de licitud de fondos</t>
        </is>
      </c>
      <c r="I258" s="10" t="inlineStr">
        <is>
          <t xml:space="preserve">Formulario firmado que se carga en FIT como registro de validación </t>
        </is>
      </c>
      <c r="J258" s="10" t="inlineStr">
        <is>
          <t>Jefe de Negocios</t>
        </is>
      </c>
      <c r="K258" s="10" t="inlineStr">
        <is>
          <t>FIT</t>
        </is>
      </c>
      <c r="L258" s="10" t="inlineStr">
        <is>
          <t>UBICACIÓN DIGITAL-CORE FINANCIERO</t>
        </is>
      </c>
      <c r="M258" s="10" t="inlineStr">
        <is>
          <t>DOCUMENTO DE ARCHIVO-ELECTRÓNICO</t>
        </is>
      </c>
      <c r="N258" s="10" t="inlineStr">
        <is>
          <t>PRIMARIOS</t>
        </is>
      </c>
      <c r="O258" s="10" t="inlineStr">
        <is>
          <t>INFORMACIÓN DE SOCIOS Y CLIENTES</t>
        </is>
      </c>
      <c r="P258" s="10" t="inlineStr">
        <is>
          <t>RESTRINGIDO(3)</t>
        </is>
      </c>
      <c r="Q258" s="10" t="inlineStr">
        <is>
          <t>MEDIA(2)</t>
        </is>
      </c>
      <c r="R258" s="10" t="inlineStr">
        <is>
          <t>MEDIA(2)</t>
        </is>
      </c>
      <c r="S258" s="10">
        <f>+(IF(P258="PUBLICA(1)",1,IF(P258="USO INTERNO(2)",2,IF(P258="RESTRINGIDO(3)",3,3))))+(IF(Q258="BAJA(1)",1,IF(Q258="MEDIA(2)",2,IF(Q258="ALTA(3)",3,3))))+(IF(R258="BAJA(1)",1,IF(R258="MEDIA(2)",2,IF(R258="ALTA(3)",3,3))))</f>
        <v/>
      </c>
      <c r="T258" s="10">
        <f>+IF(S258&lt;6,"BAJA",IF(S258&lt;8,"MEDIA","ALTA"))</f>
        <v/>
      </c>
      <c r="U258" s="10" t="inlineStr">
        <is>
          <t>-</t>
        </is>
      </c>
      <c r="V258" s="24" t="inlineStr">
        <is>
          <t>8/02/225</t>
        </is>
      </c>
      <c r="W258" s="19" t="inlineStr">
        <is>
          <t>N/A</t>
        </is>
      </c>
      <c r="X258" s="10">
        <f>+IFERROR(IF(VLOOKUP(Tabla2[[#This Row],[ID]],'EVALUACION DE RIESGO'!A:A,1,FALSE)=Tabla2[[#This Row],[ID]],"SI","NO"),"NO")</f>
        <v/>
      </c>
    </row>
    <row r="259">
      <c r="A259" s="91" t="inlineStr">
        <is>
          <t>18-GCO</t>
        </is>
      </c>
      <c r="B259" s="10" t="inlineStr">
        <is>
          <t>PRODUCTIVO</t>
        </is>
      </c>
      <c r="C259" s="10" t="inlineStr">
        <is>
          <t>Gestión de Colocaciones</t>
        </is>
      </c>
      <c r="D259" s="10" t="inlineStr">
        <is>
          <t>GCO</t>
        </is>
      </c>
      <c r="E259" s="10" t="inlineStr">
        <is>
          <t>Administración de Cartera</t>
        </is>
      </c>
      <c r="F259" s="10" t="inlineStr">
        <is>
          <t>-</t>
        </is>
      </c>
      <c r="G259" s="10" t="inlineStr">
        <is>
          <t>Re-avalúos de bienes</t>
        </is>
      </c>
      <c r="H259" s="10" t="inlineStr">
        <is>
          <t>Avalúo de los bienes</t>
        </is>
      </c>
      <c r="I259" s="10" t="inlineStr">
        <is>
          <t>Requisito del desembolso que se agrega al registro del crédito en el sistema FIT</t>
        </is>
      </c>
      <c r="J259" s="10" t="inlineStr">
        <is>
          <t>Jefe de Negocios</t>
        </is>
      </c>
      <c r="K259" s="10" t="inlineStr">
        <is>
          <t>FIT</t>
        </is>
      </c>
      <c r="L259" s="10" t="inlineStr">
        <is>
          <t>UBICACIÓN DIGITAL-CORE FINANCIERO</t>
        </is>
      </c>
      <c r="M259" s="10" t="inlineStr">
        <is>
          <t>DOCUMENTO DE ARCHIVO-ELECTRÓNICO</t>
        </is>
      </c>
      <c r="N259" s="10" t="inlineStr">
        <is>
          <t>PRIMARIOS</t>
        </is>
      </c>
      <c r="O259" s="10" t="inlineStr">
        <is>
          <t>INFORMACIÓN DE SOCIOS Y CLIENTES</t>
        </is>
      </c>
      <c r="P259" s="10" t="inlineStr">
        <is>
          <t>RESTRINGIDO(3)</t>
        </is>
      </c>
      <c r="Q259" s="10" t="inlineStr">
        <is>
          <t>MEDIA(2)</t>
        </is>
      </c>
      <c r="R259" s="10" t="inlineStr">
        <is>
          <t>MEDIA(2)</t>
        </is>
      </c>
      <c r="S259" s="10">
        <f>+(IF(P259="PUBLICA(1)",1,IF(P259="USO INTERNO(2)",2,IF(P259="RESTRINGIDO(3)",3,3))))+(IF(Q259="BAJA(1)",1,IF(Q259="MEDIA(2)",2,IF(Q259="ALTA(3)",3,3))))+(IF(R259="BAJA(1)",1,IF(R259="MEDIA(2)",2,IF(R259="ALTA(3)",3,3))))</f>
        <v/>
      </c>
      <c r="T259" s="10">
        <f>+IF(S259&lt;6,"BAJA",IF(S259&lt;8,"MEDIA","ALTA"))</f>
        <v/>
      </c>
      <c r="U259" s="10" t="inlineStr">
        <is>
          <t>-</t>
        </is>
      </c>
      <c r="V259" s="24" t="inlineStr">
        <is>
          <t>8/02/225</t>
        </is>
      </c>
      <c r="W259" s="19" t="inlineStr">
        <is>
          <t>N/A</t>
        </is>
      </c>
      <c r="X259" s="10">
        <f>+IFERROR(IF(VLOOKUP(Tabla2[[#This Row],[ID]],'EVALUACION DE RIESGO'!A:A,1,FALSE)=Tabla2[[#This Row],[ID]],"SI","NO"),"NO")</f>
        <v/>
      </c>
    </row>
    <row r="260">
      <c r="A260" s="91" t="inlineStr">
        <is>
          <t>19-GCO</t>
        </is>
      </c>
      <c r="B260" s="10" t="inlineStr">
        <is>
          <t>PRODUCTIVO</t>
        </is>
      </c>
      <c r="C260" s="10" t="inlineStr">
        <is>
          <t>Gestión de Colocaciones</t>
        </is>
      </c>
      <c r="D260" s="10" t="inlineStr">
        <is>
          <t>GCO</t>
        </is>
      </c>
      <c r="E260" s="10" t="inlineStr">
        <is>
          <t>Administración de Cartera</t>
        </is>
      </c>
      <c r="F260" s="10" t="inlineStr">
        <is>
          <t>-</t>
        </is>
      </c>
      <c r="G260" s="10" t="inlineStr">
        <is>
          <t>Re-avalúos de bienes</t>
        </is>
      </c>
      <c r="H260" s="10" t="inlineStr">
        <is>
          <t>Factura del servicio de avalúo/Anexo de los socios debitados</t>
        </is>
      </c>
      <c r="I260" s="10" t="inlineStr">
        <is>
          <t xml:space="preserve">Factura de avalúo que el cliente presenta, no es requirente ya que el se sube al sistema el Avalúo </t>
        </is>
      </c>
      <c r="J260" s="10" t="inlineStr">
        <is>
          <t>Jefe de Negocios</t>
        </is>
      </c>
      <c r="K260" s="10" t="inlineStr">
        <is>
          <t>FIT</t>
        </is>
      </c>
      <c r="L260" s="10" t="inlineStr">
        <is>
          <t>UBICACIÓN DIGITAL-CORE FINANCIERO</t>
        </is>
      </c>
      <c r="M260" s="10" t="inlineStr">
        <is>
          <t>DOCUMENTO DE ARCHIVO-ELECTRÓNICO</t>
        </is>
      </c>
      <c r="N260" s="10" t="inlineStr">
        <is>
          <t>PRIMARIOS</t>
        </is>
      </c>
      <c r="O260" s="10" t="inlineStr">
        <is>
          <t>INFORMACIÓN DE SOCIOS Y CLIENTES</t>
        </is>
      </c>
      <c r="P260" s="10" t="inlineStr">
        <is>
          <t>USO INTERNO(2)</t>
        </is>
      </c>
      <c r="Q260" s="10" t="inlineStr">
        <is>
          <t>MEDIA(2)</t>
        </is>
      </c>
      <c r="R260" s="10" t="inlineStr">
        <is>
          <t>MEDIA(2)</t>
        </is>
      </c>
      <c r="S260" s="10">
        <f>+(IF(P260="PUBLICA(1)",1,IF(P260="USO INTERNO(2)",2,IF(P260="RESTRINGIDO(3)",3,3))))+(IF(Q260="BAJA(1)",1,IF(Q260="MEDIA(2)",2,IF(Q260="ALTA(3)",3,3))))+(IF(R260="BAJA(1)",1,IF(R260="MEDIA(2)",2,IF(R260="ALTA(3)",3,3))))</f>
        <v/>
      </c>
      <c r="T260" s="10">
        <f>+IF(S260&lt;6,"BAJA",IF(S260&lt;8,"MEDIA","ALTA"))</f>
        <v/>
      </c>
      <c r="U260" s="10" t="inlineStr">
        <is>
          <t>-</t>
        </is>
      </c>
      <c r="V260" s="24" t="inlineStr">
        <is>
          <t>8/02/225</t>
        </is>
      </c>
      <c r="W260" s="19" t="inlineStr">
        <is>
          <t>N/A</t>
        </is>
      </c>
      <c r="X260" s="10">
        <f>+IFERROR(IF(VLOOKUP(Tabla2[[#This Row],[ID]],'EVALUACION DE RIESGO'!A:A,1,FALSE)=Tabla2[[#This Row],[ID]],"SI","NO"),"NO")</f>
        <v/>
      </c>
    </row>
    <row r="261">
      <c r="A261" s="91" t="inlineStr">
        <is>
          <t>20-GCO</t>
        </is>
      </c>
      <c r="B261" s="10" t="inlineStr">
        <is>
          <t>PRODUCTIVO</t>
        </is>
      </c>
      <c r="C261" s="10" t="inlineStr">
        <is>
          <t>Gestión de Colocaciones</t>
        </is>
      </c>
      <c r="D261" s="10" t="inlineStr">
        <is>
          <t>GCO</t>
        </is>
      </c>
      <c r="E261" s="10" t="inlineStr">
        <is>
          <t>Administración de Cartera</t>
        </is>
      </c>
      <c r="F261" s="10" t="inlineStr">
        <is>
          <t>-</t>
        </is>
      </c>
      <c r="G261" s="10" t="inlineStr">
        <is>
          <t>Gestión de Vinculados y de Créditos con Cupo</t>
        </is>
      </c>
      <c r="H261" s="10" t="inlineStr">
        <is>
          <t>Formulario de créditos con cupo</t>
        </is>
      </c>
      <c r="I261" s="10" t="inlineStr">
        <is>
          <t>Formulario de crédito con cupo adjunto al file del crédito</t>
        </is>
      </c>
      <c r="J261" s="10" t="inlineStr">
        <is>
          <t>Jefe de Negocios</t>
        </is>
      </c>
      <c r="K261" s="10" t="inlineStr">
        <is>
          <t>Jefe de Negocios</t>
        </is>
      </c>
      <c r="L261" s="10" t="inlineStr">
        <is>
          <t>UBICACIÓN DIGITAL-EQUIPO DEL RESPONSABLE</t>
        </is>
      </c>
      <c r="M261" s="10" t="inlineStr">
        <is>
          <t>DISCOS DUROS, SERVIDORES, DISCOS O MEDIOS PORTÁTILES, CINTAS O MEDIOS DE VIDEO Y AUDIO, ETC.</t>
        </is>
      </c>
      <c r="N261" s="10" t="inlineStr">
        <is>
          <t>PRIMARIOS</t>
        </is>
      </c>
      <c r="O261" s="10" t="inlineStr">
        <is>
          <t>DOCUMENTOS TÉCNICOS</t>
        </is>
      </c>
      <c r="P261" s="10" t="inlineStr">
        <is>
          <t>USO INTERNO(2)</t>
        </is>
      </c>
      <c r="Q261" s="10" t="inlineStr">
        <is>
          <t>BAJA(1)</t>
        </is>
      </c>
      <c r="R261" s="10" t="inlineStr">
        <is>
          <t>BAJA(1)</t>
        </is>
      </c>
      <c r="S261" s="10">
        <f>+(IF(P261="PUBLICA(1)",1,IF(P261="USO INTERNO(2)",2,IF(P261="RESTRINGIDO(3)",3,3))))+(IF(Q261="BAJA(1)",1,IF(Q261="MEDIA(2)",2,IF(Q261="ALTA(3)",3,3))))+(IF(R261="BAJA(1)",1,IF(R261="MEDIA(2)",2,IF(R261="ALTA(3)",3,3))))</f>
        <v/>
      </c>
      <c r="T261" s="10">
        <f>+IF(S261&lt;6,"BAJA",IF(S261&lt;8,"MEDIA","ALTA"))</f>
        <v/>
      </c>
      <c r="U261" s="10" t="inlineStr">
        <is>
          <t>-</t>
        </is>
      </c>
      <c r="V261" s="24" t="inlineStr">
        <is>
          <t>8/02/225</t>
        </is>
      </c>
      <c r="W261" s="19" t="inlineStr">
        <is>
          <t>N/A</t>
        </is>
      </c>
      <c r="X261" s="10">
        <f>+IFERROR(IF(VLOOKUP(Tabla2[[#This Row],[ID]],'EVALUACION DE RIESGO'!A:A,1,FALSE)=Tabla2[[#This Row],[ID]],"SI","NO"),"NO")</f>
        <v/>
      </c>
    </row>
    <row r="262">
      <c r="A262" s="91" t="inlineStr">
        <is>
          <t>21-GCO</t>
        </is>
      </c>
      <c r="B262" s="10" t="inlineStr">
        <is>
          <t>PRODUCTIVO</t>
        </is>
      </c>
      <c r="C262" s="10" t="inlineStr">
        <is>
          <t>Gestión de Colocaciones</t>
        </is>
      </c>
      <c r="D262" s="10" t="inlineStr">
        <is>
          <t>GCO</t>
        </is>
      </c>
      <c r="E262" s="10" t="inlineStr">
        <is>
          <t>Administración de Cartera</t>
        </is>
      </c>
      <c r="F262" s="10" t="inlineStr">
        <is>
          <t>-</t>
        </is>
      </c>
      <c r="G262" s="10" t="inlineStr">
        <is>
          <t>Gestión de Vinculados y de Créditos con Cupo</t>
        </is>
      </c>
      <c r="H262" s="10" t="inlineStr">
        <is>
          <t>Reporte recovinculados</t>
        </is>
      </c>
      <c r="I262" s="10" t="inlineStr">
        <is>
          <t>Reporte de recovinculados con información de empleados que se presenta a Consejo de Administración</t>
        </is>
      </c>
      <c r="J262" s="10" t="inlineStr">
        <is>
          <t>Jefe de Negocios</t>
        </is>
      </c>
      <c r="K262" s="10" t="inlineStr">
        <is>
          <t>Jefe de Negocios</t>
        </is>
      </c>
      <c r="L262" s="10" t="inlineStr">
        <is>
          <t>UBICACIÓN DIGITAL-EQUIPO DEL RESPONSABLE</t>
        </is>
      </c>
      <c r="M262" s="10" t="inlineStr">
        <is>
          <t>DISCOS DUROS, SERVIDORES, DISCOS O MEDIOS PORTÁTILES, CINTAS O MEDIOS DE VIDEO Y AUDIO, ETC.</t>
        </is>
      </c>
      <c r="N262" s="10" t="inlineStr">
        <is>
          <t>PRIMARIOS</t>
        </is>
      </c>
      <c r="O262" s="10" t="inlineStr">
        <is>
          <t>DOCUMENTOS TÉCNICOS</t>
        </is>
      </c>
      <c r="P262" s="10" t="inlineStr">
        <is>
          <t>USO INTERNO(2)</t>
        </is>
      </c>
      <c r="Q262" s="10" t="inlineStr">
        <is>
          <t>BAJA(1)</t>
        </is>
      </c>
      <c r="R262" s="10" t="inlineStr">
        <is>
          <t>BAJA(1)</t>
        </is>
      </c>
      <c r="S262" s="10">
        <f>+(IF(P262="PUBLICA(1)",1,IF(P262="USO INTERNO(2)",2,IF(P262="RESTRINGIDO(3)",3,3))))+(IF(Q262="BAJA(1)",1,IF(Q262="MEDIA(2)",2,IF(Q262="ALTA(3)",3,3))))+(IF(R262="BAJA(1)",1,IF(R262="MEDIA(2)",2,IF(R262="ALTA(3)",3,3))))</f>
        <v/>
      </c>
      <c r="T262" s="10">
        <f>+IF(S262&lt;6,"BAJA",IF(S262&lt;8,"MEDIA","ALTA"))</f>
        <v/>
      </c>
      <c r="U262" s="10" t="inlineStr">
        <is>
          <t>-</t>
        </is>
      </c>
      <c r="V262" s="24" t="inlineStr">
        <is>
          <t>8/02/225</t>
        </is>
      </c>
      <c r="W262" s="19" t="inlineStr">
        <is>
          <t>N/A</t>
        </is>
      </c>
      <c r="X262" s="10">
        <f>+IFERROR(IF(VLOOKUP(Tabla2[[#This Row],[ID]],'EVALUACION DE RIESGO'!A:A,1,FALSE)=Tabla2[[#This Row],[ID]],"SI","NO"),"NO")</f>
        <v/>
      </c>
    </row>
    <row r="263">
      <c r="A263" s="91" t="inlineStr">
        <is>
          <t>22-GCO</t>
        </is>
      </c>
      <c r="B263" s="10" t="inlineStr">
        <is>
          <t>PRODUCTIVO</t>
        </is>
      </c>
      <c r="C263" s="10" t="inlineStr">
        <is>
          <t>Gestión de Colocaciones</t>
        </is>
      </c>
      <c r="D263" s="10" t="inlineStr">
        <is>
          <t>GCO</t>
        </is>
      </c>
      <c r="E263" s="10" t="inlineStr">
        <is>
          <t>Administración de Cartera</t>
        </is>
      </c>
      <c r="F263" s="10" t="inlineStr">
        <is>
          <t>-</t>
        </is>
      </c>
      <c r="G263" s="10" t="inlineStr">
        <is>
          <t>Gestión de Vinculados y de Créditos con Cupo</t>
        </is>
      </c>
      <c r="H263" s="10" t="inlineStr">
        <is>
          <t>Reporte de créditos aprobados</t>
        </is>
      </c>
      <c r="I263" s="10" t="inlineStr">
        <is>
          <t>Reporte de créditos aprobados con información de empleados que se envía a consejo de Vigilancia</t>
        </is>
      </c>
      <c r="J263" s="10" t="inlineStr">
        <is>
          <t>Jefe de Negocios</t>
        </is>
      </c>
      <c r="K263" s="10" t="inlineStr">
        <is>
          <t>Jefe de Negocios</t>
        </is>
      </c>
      <c r="L263" s="10" t="inlineStr">
        <is>
          <t>UBICACIÓN DIGITAL-EQUIPO DEL RESPONSABLE</t>
        </is>
      </c>
      <c r="M263" s="10" t="inlineStr">
        <is>
          <t>DISCOS DUROS, SERVIDORES, DISCOS O MEDIOS PORTÁTILES, CINTAS O MEDIOS DE VIDEO Y AUDIO, ETC.</t>
        </is>
      </c>
      <c r="N263" s="10" t="inlineStr">
        <is>
          <t>PRIMARIOS</t>
        </is>
      </c>
      <c r="O263" s="10" t="inlineStr">
        <is>
          <t>DOCUMENTOS TÉCNICOS</t>
        </is>
      </c>
      <c r="P263" s="10" t="inlineStr">
        <is>
          <t>USO INTERNO(2)</t>
        </is>
      </c>
      <c r="Q263" s="10" t="inlineStr">
        <is>
          <t>MEDIA(2)</t>
        </is>
      </c>
      <c r="R263" s="10" t="inlineStr">
        <is>
          <t>BAJA(1)</t>
        </is>
      </c>
      <c r="S263" s="10">
        <f>+(IF(P263="PUBLICA(1)",1,IF(P263="USO INTERNO(2)",2,IF(P263="RESTRINGIDO(3)",3,3))))+(IF(Q263="BAJA(1)",1,IF(Q263="MEDIA(2)",2,IF(Q263="ALTA(3)",3,3))))+(IF(R263="BAJA(1)",1,IF(R263="MEDIA(2)",2,IF(R263="ALTA(3)",3,3))))</f>
        <v/>
      </c>
      <c r="T263" s="10">
        <f>+IF(S263&lt;6,"BAJA",IF(S263&lt;8,"MEDIA","ALTA"))</f>
        <v/>
      </c>
      <c r="U263" s="10" t="inlineStr">
        <is>
          <t>-</t>
        </is>
      </c>
      <c r="V263" s="24" t="inlineStr">
        <is>
          <t>8/02/225</t>
        </is>
      </c>
      <c r="W263" s="19" t="inlineStr">
        <is>
          <t>N/A</t>
        </is>
      </c>
      <c r="X263" s="10">
        <f>+IFERROR(IF(VLOOKUP(Tabla2[[#This Row],[ID]],'EVALUACION DE RIESGO'!A:A,1,FALSE)=Tabla2[[#This Row],[ID]],"SI","NO"),"NO")</f>
        <v/>
      </c>
    </row>
    <row r="264" ht="20.5" customHeight="1" s="98">
      <c r="A264" s="91" t="inlineStr">
        <is>
          <t>23-GCO</t>
        </is>
      </c>
      <c r="B264" s="10" t="inlineStr">
        <is>
          <t>PRODUCTIVO</t>
        </is>
      </c>
      <c r="C264" s="10" t="inlineStr">
        <is>
          <t>Gestión de Colocaciones</t>
        </is>
      </c>
      <c r="D264" s="10" t="inlineStr">
        <is>
          <t>GCO</t>
        </is>
      </c>
      <c r="E264" s="10" t="inlineStr">
        <is>
          <t>Administración de Cartera</t>
        </is>
      </c>
      <c r="F264" s="10" t="inlineStr">
        <is>
          <t>-</t>
        </is>
      </c>
      <c r="G264" s="10" t="inlineStr">
        <is>
          <t>Transferencia de cartera a Asesores de Negocio</t>
        </is>
      </c>
      <c r="H264" s="17" t="inlineStr">
        <is>
          <t>Cartera transferida</t>
        </is>
      </c>
      <c r="I264" s="17" t="inlineStr">
        <is>
          <t>Archivo de registro que cuenta con el detalle de la cartera a transferir</t>
        </is>
      </c>
      <c r="J264" s="10" t="inlineStr">
        <is>
          <t>Jefe de Negocios</t>
        </is>
      </c>
      <c r="K264" s="10" t="inlineStr">
        <is>
          <t>Jefe de Negocios</t>
        </is>
      </c>
      <c r="L264" s="10" t="inlineStr">
        <is>
          <t>UBICACIÓN DIGITAL-EQUIPO DEL RESPONSABLE</t>
        </is>
      </c>
      <c r="M264" s="10" t="inlineStr">
        <is>
          <t>DISCOS DUROS, SERVIDORES, DISCOS O MEDIOS PORTÁTILES, CINTAS O MEDIOS DE VIDEO Y AUDIO, ETC.</t>
        </is>
      </c>
      <c r="N264" s="10" t="inlineStr">
        <is>
          <t>PRIMARIOS</t>
        </is>
      </c>
      <c r="O264" s="10" t="inlineStr">
        <is>
          <t>DOCUMENTOS TÉCNICOS</t>
        </is>
      </c>
      <c r="P264" s="10" t="inlineStr">
        <is>
          <t>RESTRINGIDO(3)</t>
        </is>
      </c>
      <c r="Q264" s="10" t="inlineStr">
        <is>
          <t>ALTA(3)</t>
        </is>
      </c>
      <c r="R264" s="10" t="inlineStr">
        <is>
          <t>MEDIA(2)</t>
        </is>
      </c>
      <c r="S264" s="10">
        <f>+(IF(P264="PUBLICA(1)",1,IF(P264="USO INTERNO(2)",2,IF(P264="RESTRINGIDO(3)",3,3))))+(IF(Q264="BAJA(1)",1,IF(Q264="MEDIA(2)",2,IF(Q264="ALTA(3)",3,3))))+(IF(R264="BAJA(1)",1,IF(R264="MEDIA(2)",2,IF(R264="ALTA(3)",3,3))))</f>
        <v/>
      </c>
      <c r="T264" s="10">
        <f>+IF(S264&lt;6,"BAJA",IF(S264&lt;8,"MEDIA","ALTA"))</f>
        <v/>
      </c>
      <c r="U264" s="10" t="inlineStr">
        <is>
          <t>-</t>
        </is>
      </c>
      <c r="V264" s="24" t="inlineStr">
        <is>
          <t>8/02/225</t>
        </is>
      </c>
      <c r="W264" s="19" t="inlineStr">
        <is>
          <t>N/A</t>
        </is>
      </c>
      <c r="X264" s="10">
        <f>+IFERROR(IF(VLOOKUP(Tabla2[[#This Row],[ID]],'EVALUACION DE RIESGO'!A:A,1,FALSE)=Tabla2[[#This Row],[ID]],"SI","NO"),"NO")</f>
        <v/>
      </c>
    </row>
    <row r="265">
      <c r="A265" s="91" t="inlineStr">
        <is>
          <t>24-GCO</t>
        </is>
      </c>
      <c r="B265" s="10" t="inlineStr">
        <is>
          <t>PRODUCTIVO</t>
        </is>
      </c>
      <c r="C265" s="10" t="inlineStr">
        <is>
          <t>Gestión de Colocaciones</t>
        </is>
      </c>
      <c r="D265" s="10" t="inlineStr">
        <is>
          <t>GCO</t>
        </is>
      </c>
      <c r="E265" s="10" t="inlineStr">
        <is>
          <t>Administración de Cartera</t>
        </is>
      </c>
      <c r="F265" s="10" t="inlineStr">
        <is>
          <t>-</t>
        </is>
      </c>
      <c r="G265" s="10" t="inlineStr">
        <is>
          <t>Calificación de cartera</t>
        </is>
      </c>
      <c r="H265" s="10" t="inlineStr">
        <is>
          <t>Informe de los resultados de la calificación de cartera</t>
        </is>
      </c>
      <c r="I265" s="10" t="inlineStr">
        <is>
          <t>Informe de calificación que se comparte mensualmente a Riesgos.</t>
        </is>
      </c>
      <c r="J265" s="10" t="inlineStr">
        <is>
          <t>Jefe de Negocios</t>
        </is>
      </c>
      <c r="K265" s="10" t="inlineStr">
        <is>
          <t>Jefe de Negocios</t>
        </is>
      </c>
      <c r="L265" s="10" t="inlineStr">
        <is>
          <t>UBICACIÓN DIGITAL-EQUIPO DEL RESPONSABLE</t>
        </is>
      </c>
      <c r="M265" s="10" t="inlineStr">
        <is>
          <t>DISCOS DUROS, SERVIDORES, DISCOS O MEDIOS PORTÁTILES, CINTAS O MEDIOS DE VIDEO Y AUDIO, ETC.</t>
        </is>
      </c>
      <c r="N265" s="10" t="inlineStr">
        <is>
          <t>PRIMARIOS</t>
        </is>
      </c>
      <c r="O265" s="10" t="inlineStr">
        <is>
          <t>DOCUMENTOS TÉCNICOS</t>
        </is>
      </c>
      <c r="P265" s="10" t="inlineStr">
        <is>
          <t>USO INTERNO(2)</t>
        </is>
      </c>
      <c r="Q265" s="10" t="inlineStr">
        <is>
          <t>MEDIA(2)</t>
        </is>
      </c>
      <c r="R265" s="10" t="inlineStr">
        <is>
          <t>BAJA(1)</t>
        </is>
      </c>
      <c r="S265" s="10">
        <f>+(IF(P265="PUBLICA(1)",1,IF(P265="USO INTERNO(2)",2,IF(P265="RESTRINGIDO(3)",3,3))))+(IF(Q265="BAJA(1)",1,IF(Q265="MEDIA(2)",2,IF(Q265="ALTA(3)",3,3))))+(IF(R265="BAJA(1)",1,IF(R265="MEDIA(2)",2,IF(R265="ALTA(3)",3,3))))</f>
        <v/>
      </c>
      <c r="T265" s="10">
        <f>+IF(S265&lt;6,"BAJA",IF(S265&lt;8,"MEDIA","ALTA"))</f>
        <v/>
      </c>
      <c r="U265" s="10" t="inlineStr">
        <is>
          <t>-</t>
        </is>
      </c>
      <c r="V265" s="24" t="inlineStr">
        <is>
          <t>8/02/225</t>
        </is>
      </c>
      <c r="W265" s="19" t="inlineStr">
        <is>
          <t>N/A</t>
        </is>
      </c>
      <c r="X265" s="10">
        <f>+IFERROR(IF(VLOOKUP(Tabla2[[#This Row],[ID]],'EVALUACION DE RIESGO'!A:A,1,FALSE)=Tabla2[[#This Row],[ID]],"SI","NO"),"NO")</f>
        <v/>
      </c>
    </row>
    <row r="266">
      <c r="A266" s="91" t="inlineStr">
        <is>
          <t>25-GCO</t>
        </is>
      </c>
      <c r="B266" s="10" t="inlineStr">
        <is>
          <t>PRODUCTIVO</t>
        </is>
      </c>
      <c r="C266" s="10" t="inlineStr">
        <is>
          <t>Gestión de Colocaciones</t>
        </is>
      </c>
      <c r="D266" s="10" t="inlineStr">
        <is>
          <t>GCO</t>
        </is>
      </c>
      <c r="E266" s="10" t="inlineStr">
        <is>
          <t>Administración de Cartera</t>
        </is>
      </c>
      <c r="F266" s="10" t="inlineStr">
        <is>
          <t>-</t>
        </is>
      </c>
      <c r="G266" s="10" t="inlineStr">
        <is>
          <t>Calificación de cartera</t>
        </is>
      </c>
      <c r="H266" s="10" t="inlineStr">
        <is>
          <t>Reportes de provisión de cartera</t>
        </is>
      </c>
      <c r="I266" s="10" t="inlineStr">
        <is>
          <t>Reporte que contiene oficina, monto calificado, cartera según valancie, provisión requerida, totales, detalle de provisiones, cartera en riesgo</t>
        </is>
      </c>
      <c r="J266" s="10" t="inlineStr">
        <is>
          <t>Jefe de Negocios</t>
        </is>
      </c>
      <c r="K266" s="10" t="inlineStr">
        <is>
          <t>Jefe de Negocios</t>
        </is>
      </c>
      <c r="L266" s="10" t="inlineStr">
        <is>
          <t>UBICACIÓN DIGITAL-EQUIPO DEL RESPONSABLE</t>
        </is>
      </c>
      <c r="M266" s="10" t="inlineStr">
        <is>
          <t>DISCOS DUROS, SERVIDORES, DISCOS O MEDIOS PORTÁTILES, CINTAS O MEDIOS DE VIDEO Y AUDIO, ETC.</t>
        </is>
      </c>
      <c r="N266" s="10" t="inlineStr">
        <is>
          <t>PRIMARIOS</t>
        </is>
      </c>
      <c r="O266" s="10" t="inlineStr">
        <is>
          <t>DOCUMENTOS TÉCNICOS</t>
        </is>
      </c>
      <c r="P266" s="10" t="inlineStr">
        <is>
          <t>RESTRINGIDO(3)</t>
        </is>
      </c>
      <c r="Q266" s="10" t="inlineStr">
        <is>
          <t>MEDIA(2)</t>
        </is>
      </c>
      <c r="R266" s="10" t="inlineStr">
        <is>
          <t>MEDIA(2)</t>
        </is>
      </c>
      <c r="S266" s="10">
        <f>+(IF(P266="PUBLICA(1)",1,IF(P266="USO INTERNO(2)",2,IF(P266="RESTRINGIDO(3)",3,3))))+(IF(Q266="BAJA(1)",1,IF(Q266="MEDIA(2)",2,IF(Q266="ALTA(3)",3,3))))+(IF(R266="BAJA(1)",1,IF(R266="MEDIA(2)",2,IF(R266="ALTA(3)",3,3))))</f>
        <v/>
      </c>
      <c r="T266" s="10">
        <f>+IF(S266&lt;6,"BAJA",IF(S266&lt;8,"MEDIA","ALTA"))</f>
        <v/>
      </c>
      <c r="U266" s="10" t="inlineStr">
        <is>
          <t>-</t>
        </is>
      </c>
      <c r="V266" s="24" t="inlineStr">
        <is>
          <t>8/02/225</t>
        </is>
      </c>
      <c r="W266" s="19" t="inlineStr">
        <is>
          <t>N/A</t>
        </is>
      </c>
      <c r="X266" s="10">
        <f>+IFERROR(IF(VLOOKUP(Tabla2[[#This Row],[ID]],'EVALUACION DE RIESGO'!A:A,1,FALSE)=Tabla2[[#This Row],[ID]],"SI","NO"),"NO")</f>
        <v/>
      </c>
    </row>
    <row r="267">
      <c r="A267" s="91" t="inlineStr">
        <is>
          <t>26-GCO</t>
        </is>
      </c>
      <c r="B267" s="10" t="inlineStr">
        <is>
          <t>PRODUCTIVO</t>
        </is>
      </c>
      <c r="C267" s="10" t="inlineStr">
        <is>
          <t>Gestión de Colocaciones</t>
        </is>
      </c>
      <c r="D267" s="10" t="inlineStr">
        <is>
          <t>GCO</t>
        </is>
      </c>
      <c r="E267" s="10" t="inlineStr">
        <is>
          <t>Administración de Cartera</t>
        </is>
      </c>
      <c r="F267" s="10" t="inlineStr">
        <is>
          <t>-</t>
        </is>
      </c>
      <c r="G267" s="10" t="inlineStr">
        <is>
          <t xml:space="preserve">Depuración de garantías reales y pagarés </t>
        </is>
      </c>
      <c r="H267" s="10" t="inlineStr">
        <is>
          <t>Registro de entrega de pagarés cancelados</t>
        </is>
      </c>
      <c r="I267" s="10" t="inlineStr">
        <is>
          <t>Supervisor operativo y asesor de desembolso</t>
        </is>
      </c>
      <c r="J267" s="10" t="inlineStr">
        <is>
          <t>Jefe de Negocios</t>
        </is>
      </c>
      <c r="K267" s="10" t="inlineStr">
        <is>
          <t>Supervisor operativo / asesor de desembolso</t>
        </is>
      </c>
      <c r="L267" s="10" t="inlineStr">
        <is>
          <t>UBICACIÓN DIGITAL-EQUIPO DEL RESPONSABLE</t>
        </is>
      </c>
      <c r="M267" s="10" t="inlineStr">
        <is>
          <t>DISCOS DUROS, SERVIDORES, DISCOS O MEDIOS PORTÁTILES, CINTAS O MEDIOS DE VIDEO Y AUDIO, ETC.</t>
        </is>
      </c>
      <c r="N267" s="10" t="inlineStr">
        <is>
          <t>PRIMARIOS</t>
        </is>
      </c>
      <c r="O267" s="10" t="inlineStr">
        <is>
          <t>COMUNICACIÓN INTERNA</t>
        </is>
      </c>
      <c r="P267" s="10" t="inlineStr">
        <is>
          <t>USO INTERNO(2)</t>
        </is>
      </c>
      <c r="Q267" s="10" t="inlineStr">
        <is>
          <t>MEDIA(2)</t>
        </is>
      </c>
      <c r="R267" s="10" t="inlineStr">
        <is>
          <t>MEDIA(2)</t>
        </is>
      </c>
      <c r="S267" s="10">
        <f>+(IF(P267="PUBLICA(1)",1,IF(P267="USO INTERNO(2)",2,IF(P267="RESTRINGIDO(3)",3,3))))+(IF(Q267="BAJA(1)",1,IF(Q267="MEDIA(2)",2,IF(Q267="ALTA(3)",3,3))))+(IF(R267="BAJA(1)",1,IF(R267="MEDIA(2)",2,IF(R267="ALTA(3)",3,3))))</f>
        <v/>
      </c>
      <c r="T267" s="10">
        <f>+IF(S267&lt;6,"BAJA",IF(S267&lt;8,"MEDIA","ALTA"))</f>
        <v/>
      </c>
      <c r="U267" s="10" t="inlineStr">
        <is>
          <t>-</t>
        </is>
      </c>
      <c r="V267" s="24" t="inlineStr">
        <is>
          <t>8/02/225</t>
        </is>
      </c>
      <c r="W267" s="19" t="inlineStr">
        <is>
          <t>N/A</t>
        </is>
      </c>
      <c r="X267" s="10">
        <f>+IFERROR(IF(VLOOKUP(Tabla2[[#This Row],[ID]],'EVALUACION DE RIESGO'!A:A,1,FALSE)=Tabla2[[#This Row],[ID]],"SI","NO"),"NO")</f>
        <v/>
      </c>
    </row>
    <row r="268">
      <c r="A268" s="91" t="inlineStr">
        <is>
          <t>27-GCO</t>
        </is>
      </c>
      <c r="B268" s="10" t="inlineStr">
        <is>
          <t>PRODUCTIVO</t>
        </is>
      </c>
      <c r="C268" s="10" t="inlineStr">
        <is>
          <t>Gestión de Colocaciones</t>
        </is>
      </c>
      <c r="D268" s="10" t="inlineStr">
        <is>
          <t>GCO</t>
        </is>
      </c>
      <c r="E268" s="10" t="inlineStr">
        <is>
          <t>Administración de Cartera</t>
        </is>
      </c>
      <c r="F268" s="10" t="inlineStr">
        <is>
          <t>-</t>
        </is>
      </c>
      <c r="G268" s="10" t="inlineStr">
        <is>
          <t xml:space="preserve">Depuración de garantías reales y pagarés </t>
        </is>
      </c>
      <c r="H268" s="10" t="inlineStr">
        <is>
          <t>Contratos de Prenda, Escrituras de hipoteca, escritura o el contrato de prenda industrial o de reserva de dominio</t>
        </is>
      </c>
      <c r="I268" s="10" t="inlineStr">
        <is>
          <t>Supervisor operativo y asesor de desembolso</t>
        </is>
      </c>
      <c r="J268" s="10" t="inlineStr">
        <is>
          <t>Jefe de Negocios</t>
        </is>
      </c>
      <c r="K268" s="10" t="inlineStr">
        <is>
          <t>Supervisor operativo / asesor de desembolso</t>
        </is>
      </c>
      <c r="L268" s="10" t="inlineStr">
        <is>
          <t>DOCUMENTOS FISICOS-ARCHIVOS DE LA OFICINA</t>
        </is>
      </c>
      <c r="M268" s="10" t="inlineStr">
        <is>
          <t>DOCUMENTO DE ARCHIVO-FÍSICO</t>
        </is>
      </c>
      <c r="N268" s="10" t="inlineStr">
        <is>
          <t>PRIMARIOS</t>
        </is>
      </c>
      <c r="O268" s="10" t="inlineStr">
        <is>
          <t>DOCUMENTOS HABILITANTES</t>
        </is>
      </c>
      <c r="P268" s="10" t="inlineStr">
        <is>
          <t>USO INTERNO(2)</t>
        </is>
      </c>
      <c r="Q268" s="10" t="inlineStr">
        <is>
          <t>MEDIA(2)</t>
        </is>
      </c>
      <c r="R268" s="10" t="inlineStr">
        <is>
          <t>MEDIA(2)</t>
        </is>
      </c>
      <c r="S268" s="10">
        <f>+(IF(P268="PUBLICA(1)",1,IF(P268="USO INTERNO(2)",2,IF(P268="RESTRINGIDO(3)",3,3))))+(IF(Q268="BAJA(1)",1,IF(Q268="MEDIA(2)",2,IF(Q268="ALTA(3)",3,3))))+(IF(R268="BAJA(1)",1,IF(R268="MEDIA(2)",2,IF(R268="ALTA(3)",3,3))))</f>
        <v/>
      </c>
      <c r="T268" s="10">
        <f>+IF(S268&lt;6,"BAJA",IF(S268&lt;8,"MEDIA","ALTA"))</f>
        <v/>
      </c>
      <c r="U268" s="10" t="inlineStr">
        <is>
          <t>-</t>
        </is>
      </c>
      <c r="V268" s="24" t="inlineStr">
        <is>
          <t>8/02/225</t>
        </is>
      </c>
      <c r="W268" s="19" t="inlineStr">
        <is>
          <t>N/A</t>
        </is>
      </c>
      <c r="X268" s="10">
        <f>+IFERROR(IF(VLOOKUP(Tabla2[[#This Row],[ID]],'EVALUACION DE RIESGO'!A:A,1,FALSE)=Tabla2[[#This Row],[ID]],"SI","NO"),"NO")</f>
        <v/>
      </c>
    </row>
    <row r="269" ht="20.5" customHeight="1" s="98">
      <c r="A269" s="91" t="inlineStr">
        <is>
          <t>28-GCO</t>
        </is>
      </c>
      <c r="B269" s="10" t="inlineStr">
        <is>
          <t>PRODUCTIVO</t>
        </is>
      </c>
      <c r="C269" s="10" t="inlineStr">
        <is>
          <t>Gestión de Colocaciones</t>
        </is>
      </c>
      <c r="D269" s="10" t="inlineStr">
        <is>
          <t>GCO</t>
        </is>
      </c>
      <c r="E269" s="10" t="inlineStr">
        <is>
          <t>Administración de Cartera</t>
        </is>
      </c>
      <c r="F269" s="10" t="inlineStr">
        <is>
          <t>-</t>
        </is>
      </c>
      <c r="G269" s="10" t="inlineStr">
        <is>
          <t>Levantamiento de garantía hipotecaria y cancelación de prenda o reserva de dominio.</t>
        </is>
      </c>
      <c r="H269" s="17" t="inlineStr">
        <is>
          <t>Minuta de levantamiento de hipoteca o prenda</t>
        </is>
      </c>
      <c r="I269" s="17" t="inlineStr">
        <is>
          <t>Escritura de hipoteca que realiza el socio y se recepta el físico</t>
        </is>
      </c>
      <c r="J269" s="10" t="inlineStr">
        <is>
          <t>Jefe de Negocios</t>
        </is>
      </c>
      <c r="K269" s="10" t="inlineStr">
        <is>
          <t>Jefe de Negocios</t>
        </is>
      </c>
      <c r="L269" s="10" t="inlineStr">
        <is>
          <t>DOCUMENTOS FISICOS-ARCHIVOS DE LA OFICINA</t>
        </is>
      </c>
      <c r="M269" s="10" t="inlineStr">
        <is>
          <t>DOCUMENTO DE ARCHIVO-FÍSICO</t>
        </is>
      </c>
      <c r="N269" s="10" t="inlineStr">
        <is>
          <t>PRIMARIOS</t>
        </is>
      </c>
      <c r="O269" s="10" t="inlineStr">
        <is>
          <t>DOCUMENTOS HABILITANTES</t>
        </is>
      </c>
      <c r="P269" s="10" t="inlineStr">
        <is>
          <t>RESTRINGIDO(3)</t>
        </is>
      </c>
      <c r="Q269" s="10" t="inlineStr">
        <is>
          <t>MEDIA(2)</t>
        </is>
      </c>
      <c r="R269" s="10" t="inlineStr">
        <is>
          <t>ALTA(3)</t>
        </is>
      </c>
      <c r="S269" s="10">
        <f>+(IF(P269="PUBLICA(1)",1,IF(P269="USO INTERNO(2)",2,IF(P269="RESTRINGIDO(3)",3,3))))+(IF(Q269="BAJA(1)",1,IF(Q269="MEDIA(2)",2,IF(Q269="ALTA(3)",3,3))))+(IF(R269="BAJA(1)",1,IF(R269="MEDIA(2)",2,IF(R269="ALTA(3)",3,3))))</f>
        <v/>
      </c>
      <c r="T269" s="10">
        <f>+IF(S269&lt;6,"BAJA",IF(S269&lt;8,"MEDIA","ALTA"))</f>
        <v/>
      </c>
      <c r="U269" s="10" t="inlineStr">
        <is>
          <t>-</t>
        </is>
      </c>
      <c r="V269" s="24" t="inlineStr">
        <is>
          <t>8/02/225</t>
        </is>
      </c>
      <c r="W269" s="19" t="inlineStr">
        <is>
          <t>N/A</t>
        </is>
      </c>
      <c r="X269" s="10">
        <f>+IFERROR(IF(VLOOKUP(Tabla2[[#This Row],[ID]],'EVALUACION DE RIESGO'!A:A,1,FALSE)=Tabla2[[#This Row],[ID]],"SI","NO"),"NO")</f>
        <v/>
      </c>
    </row>
    <row r="270">
      <c r="A270" s="91" t="inlineStr">
        <is>
          <t>29-GCO</t>
        </is>
      </c>
      <c r="B270" s="10" t="inlineStr">
        <is>
          <t>PRODUCTIVO</t>
        </is>
      </c>
      <c r="C270" s="10" t="inlineStr">
        <is>
          <t>Gestión de Colocaciones</t>
        </is>
      </c>
      <c r="D270" s="10" t="inlineStr">
        <is>
          <t>GCO</t>
        </is>
      </c>
      <c r="E270" s="10" t="inlineStr">
        <is>
          <t>Gestión de Microcrédito</t>
        </is>
      </c>
      <c r="F270" s="10" t="inlineStr">
        <is>
          <t>-</t>
        </is>
      </c>
      <c r="G270" s="10" t="inlineStr">
        <is>
          <t>Solicitud de crédito</t>
        </is>
      </c>
      <c r="H270" s="10" t="inlineStr">
        <is>
          <t>File de crédito / formulario previo al otorgamiento del crédito</t>
        </is>
      </c>
      <c r="I270" s="10" t="inlineStr">
        <is>
          <t>Documentos adjuntos de justificación de la solicitud del crédito, cada file depende del tipo de crédito check list de requisitos</t>
        </is>
      </c>
      <c r="J270" s="10" t="inlineStr">
        <is>
          <t>Jefe de Negocios</t>
        </is>
      </c>
      <c r="K270" s="10" t="inlineStr">
        <is>
          <t>Asedor de Negocios</t>
        </is>
      </c>
      <c r="L270" s="10" t="inlineStr">
        <is>
          <t>DOCUMENTOS FISICOS-ARCHIVOS DE LA OFICINA</t>
        </is>
      </c>
      <c r="M270" s="10" t="inlineStr">
        <is>
          <t>DOCUMENTO DE ARCHIVO-FÍSICO</t>
        </is>
      </c>
      <c r="N270" s="10" t="inlineStr">
        <is>
          <t>PRIMARIOS</t>
        </is>
      </c>
      <c r="O270" s="10" t="inlineStr">
        <is>
          <t>INFORMACIÓN DE SOCIOS Y CLIENTES</t>
        </is>
      </c>
      <c r="P270" s="10" t="inlineStr">
        <is>
          <t>RESTRINGIDO(3)</t>
        </is>
      </c>
      <c r="Q270" s="10" t="inlineStr">
        <is>
          <t>MEDIA(2)</t>
        </is>
      </c>
      <c r="R270" s="10" t="inlineStr">
        <is>
          <t>MEDIA(2)</t>
        </is>
      </c>
      <c r="S270" s="10">
        <f>+(IF(P270="PUBLICA(1)",1,IF(P270="USO INTERNO(2)",2,IF(P270="RESTRINGIDO(3)",3,3))))+(IF(Q270="BAJA(1)",1,IF(Q270="MEDIA(2)",2,IF(Q270="ALTA(3)",3,3))))+(IF(R270="BAJA(1)",1,IF(R270="MEDIA(2)",2,IF(R270="ALTA(3)",3,3))))</f>
        <v/>
      </c>
      <c r="T270" s="10">
        <f>+IF(S270&lt;6,"BAJA",IF(S270&lt;8,"MEDIA","ALTA"))</f>
        <v/>
      </c>
      <c r="U270" s="10" t="inlineStr">
        <is>
          <t>-</t>
        </is>
      </c>
      <c r="V270" s="24" t="inlineStr">
        <is>
          <t>8/02/225</t>
        </is>
      </c>
      <c r="W270" s="19" t="inlineStr">
        <is>
          <t>N/A</t>
        </is>
      </c>
      <c r="X270" s="10">
        <f>+IFERROR(IF(VLOOKUP(Tabla2[[#This Row],[ID]],'EVALUACION DE RIESGO'!A:A,1,FALSE)=Tabla2[[#This Row],[ID]],"SI","NO"),"NO")</f>
        <v/>
      </c>
    </row>
    <row r="271">
      <c r="A271" s="91" t="inlineStr">
        <is>
          <t>30-GCO</t>
        </is>
      </c>
      <c r="B271" s="10" t="inlineStr">
        <is>
          <t>PRODUCTIVO</t>
        </is>
      </c>
      <c r="C271" s="10" t="inlineStr">
        <is>
          <t>Gestión de Colocaciones</t>
        </is>
      </c>
      <c r="D271" s="10" t="inlineStr">
        <is>
          <t>GCO</t>
        </is>
      </c>
      <c r="E271" s="10" t="inlineStr">
        <is>
          <t>Gestión de Microcrédito</t>
        </is>
      </c>
      <c r="F271" s="10" t="inlineStr">
        <is>
          <t>-</t>
        </is>
      </c>
      <c r="G271" s="10" t="inlineStr">
        <is>
          <t>Solicitud de novación, refinanciamiento, o reestructuración de créditos</t>
        </is>
      </c>
      <c r="H271" s="10" t="inlineStr">
        <is>
          <t>File de crédito / Informe de análisis de novación, refinanciamiento y restructuración</t>
        </is>
      </c>
      <c r="I271" s="10" t="inlineStr">
        <is>
          <t>Documentos adjuntos de justificación de la solicitud de  novación del crédito, cada file depende del tipo de crédito check list de requisitos</t>
        </is>
      </c>
      <c r="J271" s="10" t="inlineStr">
        <is>
          <t>Jefe de Negocios</t>
        </is>
      </c>
      <c r="K271" s="10" t="inlineStr">
        <is>
          <t>Asedor de Negocios</t>
        </is>
      </c>
      <c r="L271" s="10" t="inlineStr">
        <is>
          <t>DOCUMENTOS FISICOS-ARCHIVOS DE LA OFICINA</t>
        </is>
      </c>
      <c r="M271" s="10" t="inlineStr">
        <is>
          <t>DOCUMENTO DE ARCHIVO-FÍSICO</t>
        </is>
      </c>
      <c r="N271" s="10" t="inlineStr">
        <is>
          <t>PRIMARIOS</t>
        </is>
      </c>
      <c r="O271" s="10" t="inlineStr">
        <is>
          <t>INFORMACIÓN DE SOCIOS Y CLIENTES</t>
        </is>
      </c>
      <c r="P271" s="10" t="inlineStr">
        <is>
          <t>RESTRINGIDO(3)</t>
        </is>
      </c>
      <c r="Q271" s="10" t="inlineStr">
        <is>
          <t>MEDIA(2)</t>
        </is>
      </c>
      <c r="R271" s="10" t="inlineStr">
        <is>
          <t>MEDIA(2)</t>
        </is>
      </c>
      <c r="S271" s="10">
        <f>+(IF(P271="PUBLICA(1)",1,IF(P271="USO INTERNO(2)",2,IF(P271="RESTRINGIDO(3)",3,3))))+(IF(Q271="BAJA(1)",1,IF(Q271="MEDIA(2)",2,IF(Q271="ALTA(3)",3,3))))+(IF(R271="BAJA(1)",1,IF(R271="MEDIA(2)",2,IF(R271="ALTA(3)",3,3))))</f>
        <v/>
      </c>
      <c r="T271" s="10">
        <f>+IF(S271&lt;6,"BAJA",IF(S271&lt;8,"MEDIA","ALTA"))</f>
        <v/>
      </c>
      <c r="U271" s="10" t="inlineStr">
        <is>
          <t>-</t>
        </is>
      </c>
      <c r="V271" s="24" t="inlineStr">
        <is>
          <t>8/02/225</t>
        </is>
      </c>
      <c r="W271" s="19" t="inlineStr">
        <is>
          <t>N/A</t>
        </is>
      </c>
      <c r="X271" s="10">
        <f>+IFERROR(IF(VLOOKUP(Tabla2[[#This Row],[ID]],'EVALUACION DE RIESGO'!A:A,1,FALSE)=Tabla2[[#This Row],[ID]],"SI","NO"),"NO")</f>
        <v/>
      </c>
    </row>
    <row r="272">
      <c r="A272" s="91" t="inlineStr">
        <is>
          <t>31-GCO</t>
        </is>
      </c>
      <c r="B272" s="10" t="inlineStr">
        <is>
          <t>PRODUCTIVO</t>
        </is>
      </c>
      <c r="C272" s="10" t="inlineStr">
        <is>
          <t>Gestión de Colocaciones</t>
        </is>
      </c>
      <c r="D272" s="10" t="inlineStr">
        <is>
          <t>GCO</t>
        </is>
      </c>
      <c r="E272" s="10" t="inlineStr">
        <is>
          <t>Gestión de Microcrédito</t>
        </is>
      </c>
      <c r="F272" s="10" t="inlineStr">
        <is>
          <t>-</t>
        </is>
      </c>
      <c r="G272" s="10" t="inlineStr">
        <is>
          <t xml:space="preserve">Seguimiento al destino del crédito </t>
        </is>
      </c>
      <c r="H272" s="10" t="inlineStr">
        <is>
          <t>Formulario de destino del crédito</t>
        </is>
      </c>
      <c r="I272" s="10" t="inlineStr">
        <is>
          <t>Formulario de verificación en sitio y observaciones necesarias del destino de los créditos</t>
        </is>
      </c>
      <c r="J272" s="10" t="inlineStr">
        <is>
          <t>Jefe de Negocios</t>
        </is>
      </c>
      <c r="K272" s="10" t="inlineStr">
        <is>
          <t>Asedor de Negocios</t>
        </is>
      </c>
      <c r="L272" s="10" t="inlineStr">
        <is>
          <t>DOCUMENTOS FISICOS-ARCHIVOS DE LA OFICINA</t>
        </is>
      </c>
      <c r="M272" s="10" t="inlineStr">
        <is>
          <t>DOCUMENTO DE ARCHIVO-FÍSICO</t>
        </is>
      </c>
      <c r="N272" s="10" t="inlineStr">
        <is>
          <t>PRIMARIOS</t>
        </is>
      </c>
      <c r="O272" s="10" t="inlineStr">
        <is>
          <t>INFORMACIÓN DE SOCIOS Y CLIENTES</t>
        </is>
      </c>
      <c r="P272" s="10" t="inlineStr">
        <is>
          <t>RESTRINGIDO(3)</t>
        </is>
      </c>
      <c r="Q272" s="10" t="inlineStr">
        <is>
          <t>MEDIA(2)</t>
        </is>
      </c>
      <c r="R272" s="10" t="inlineStr">
        <is>
          <t>MEDIA(2)</t>
        </is>
      </c>
      <c r="S272" s="10">
        <f>+(IF(P272="PUBLICA(1)",1,IF(P272="USO INTERNO(2)",2,IF(P272="RESTRINGIDO(3)",3,3))))+(IF(Q272="BAJA(1)",1,IF(Q272="MEDIA(2)",2,IF(Q272="ALTA(3)",3,3))))+(IF(R272="BAJA(1)",1,IF(R272="MEDIA(2)",2,IF(R272="ALTA(3)",3,3))))</f>
        <v/>
      </c>
      <c r="T272" s="10">
        <f>+IF(S272&lt;6,"BAJA",IF(S272&lt;8,"MEDIA","ALTA"))</f>
        <v/>
      </c>
      <c r="U272" s="10" t="inlineStr">
        <is>
          <t>-</t>
        </is>
      </c>
      <c r="V272" s="24" t="inlineStr">
        <is>
          <t>8/02/225</t>
        </is>
      </c>
      <c r="W272" s="19" t="inlineStr">
        <is>
          <t>N/A</t>
        </is>
      </c>
      <c r="X272" s="10">
        <f>+IFERROR(IF(VLOOKUP(Tabla2[[#This Row],[ID]],'EVALUACION DE RIESGO'!A:A,1,FALSE)=Tabla2[[#This Row],[ID]],"SI","NO"),"NO")</f>
        <v/>
      </c>
    </row>
    <row r="273" ht="20.5" customHeight="1" s="98">
      <c r="A273" s="91" t="inlineStr">
        <is>
          <t>32-GCO</t>
        </is>
      </c>
      <c r="B273" s="10" t="inlineStr">
        <is>
          <t>PRODUCTIVO</t>
        </is>
      </c>
      <c r="C273" s="10" t="inlineStr">
        <is>
          <t>Gestión de Colocaciones</t>
        </is>
      </c>
      <c r="D273" s="10" t="inlineStr">
        <is>
          <t>GCO</t>
        </is>
      </c>
      <c r="E273" s="10" t="inlineStr">
        <is>
          <t>Gestión de Compra y Venta de Cartera</t>
        </is>
      </c>
      <c r="F273" s="10" t="inlineStr">
        <is>
          <t>-</t>
        </is>
      </c>
      <c r="G273" s="10" t="inlineStr">
        <is>
          <t xml:space="preserve">Calificación de Empresas Originadoras e Instituciones Financieras que venden cartera </t>
        </is>
      </c>
      <c r="H273" s="17" t="inlineStr">
        <is>
          <t>Convenio de compra de cartera</t>
        </is>
      </c>
      <c r="I273" s="17" t="inlineStr">
        <is>
          <t>Convenio de compra de cartera aprobado por GG y certificado por el CAD</t>
        </is>
      </c>
      <c r="J273" s="10" t="inlineStr">
        <is>
          <t>Gerente de Negocios</t>
        </is>
      </c>
      <c r="K273" s="10" t="inlineStr">
        <is>
          <t>Gerente de Negocios</t>
        </is>
      </c>
      <c r="L273" s="10" t="inlineStr">
        <is>
          <t>DOCUMENTOS FISICOS-ARCHIVOS DE LA OFICINA</t>
        </is>
      </c>
      <c r="M273" s="10" t="inlineStr">
        <is>
          <t>DOCUMENTO DE ARCHIVO-FÍSICO</t>
        </is>
      </c>
      <c r="N273" s="10" t="inlineStr">
        <is>
          <t>PRIMARIOS</t>
        </is>
      </c>
      <c r="O273" s="10" t="inlineStr">
        <is>
          <t>DOCUMENTOS HABILITANTES</t>
        </is>
      </c>
      <c r="P273" s="10" t="inlineStr">
        <is>
          <t>RESTRINGIDO(3)</t>
        </is>
      </c>
      <c r="Q273" s="10" t="inlineStr">
        <is>
          <t>ALTA(3)</t>
        </is>
      </c>
      <c r="R273" s="10" t="inlineStr">
        <is>
          <t>ALTA(3)</t>
        </is>
      </c>
      <c r="S273" s="10">
        <f>+(IF(P273="PUBLICA(1)",1,IF(P273="USO INTERNO(2)",2,IF(P273="RESTRINGIDO(3)",3,3))))+(IF(Q273="BAJA(1)",1,IF(Q273="MEDIA(2)",2,IF(Q273="ALTA(3)",3,3))))+(IF(R273="BAJA(1)",1,IF(R273="MEDIA(2)",2,IF(R273="ALTA(3)",3,3))))</f>
        <v/>
      </c>
      <c r="T273" s="10">
        <f>+IF(S273&lt;6,"BAJA",IF(S273&lt;8,"MEDIA","ALTA"))</f>
        <v/>
      </c>
      <c r="U273" s="10" t="inlineStr">
        <is>
          <t>-</t>
        </is>
      </c>
      <c r="V273" s="24" t="inlineStr">
        <is>
          <t>8/02/225</t>
        </is>
      </c>
      <c r="W273" s="19" t="inlineStr">
        <is>
          <t>N/A</t>
        </is>
      </c>
      <c r="X273" s="10">
        <f>+IFERROR(IF(VLOOKUP(Tabla2[[#This Row],[ID]],'EVALUACION DE RIESGO'!A:A,1,FALSE)=Tabla2[[#This Row],[ID]],"SI","NO"),"NO")</f>
        <v/>
      </c>
    </row>
    <row r="274">
      <c r="A274" s="91" t="inlineStr">
        <is>
          <t>33-GCO</t>
        </is>
      </c>
      <c r="B274" s="10" t="inlineStr">
        <is>
          <t>PRODUCTIVO</t>
        </is>
      </c>
      <c r="C274" s="10" t="inlineStr">
        <is>
          <t>Gestión de Colocaciones</t>
        </is>
      </c>
      <c r="D274" s="10" t="inlineStr">
        <is>
          <t>GCO</t>
        </is>
      </c>
      <c r="E274" s="10" t="inlineStr">
        <is>
          <t>Gestión de Compra y Venta de Cartera</t>
        </is>
      </c>
      <c r="F274" s="10" t="inlineStr">
        <is>
          <t>-</t>
        </is>
      </c>
      <c r="G274" s="10" t="inlineStr">
        <is>
          <t xml:space="preserve">Calificación de Empresas Originadoras e Instituciones Financieras que venden cartera </t>
        </is>
      </c>
      <c r="H274" s="10" t="inlineStr">
        <is>
          <t>Informe de riesgos del proveedor</t>
        </is>
      </c>
      <c r="I274" s="10" t="inlineStr">
        <is>
          <t>Informe del análisis de riesgos del proveedor</t>
        </is>
      </c>
      <c r="J274" s="10" t="inlineStr">
        <is>
          <t>Gerente de Negocios</t>
        </is>
      </c>
      <c r="K274" s="10" t="inlineStr">
        <is>
          <t>Gerente de Negocios</t>
        </is>
      </c>
      <c r="L274" s="10" t="inlineStr">
        <is>
          <t>UBICACIÓN DIGITAL-EQUIPO DEL RESPONSABLE</t>
        </is>
      </c>
      <c r="M274" s="10" t="inlineStr">
        <is>
          <t>DISCOS DUROS, SERVIDORES, DISCOS O MEDIOS PORTÁTILES, CINTAS O MEDIOS DE VIDEO Y AUDIO, ETC.</t>
        </is>
      </c>
      <c r="N274" s="10" t="inlineStr">
        <is>
          <t>PRIMARIOS</t>
        </is>
      </c>
      <c r="O274" s="10" t="inlineStr">
        <is>
          <t>DOCUMENTOS TÉCNICOS</t>
        </is>
      </c>
      <c r="P274" s="10" t="inlineStr">
        <is>
          <t>USO INTERNO(2)</t>
        </is>
      </c>
      <c r="Q274" s="10" t="inlineStr">
        <is>
          <t>MEDIA(2)</t>
        </is>
      </c>
      <c r="R274" s="10" t="inlineStr">
        <is>
          <t>MEDIA(2)</t>
        </is>
      </c>
      <c r="S274" s="10">
        <f>+(IF(P274="PUBLICA(1)",1,IF(P274="USO INTERNO(2)",2,IF(P274="RESTRINGIDO(3)",3,3))))+(IF(Q274="BAJA(1)",1,IF(Q274="MEDIA(2)",2,IF(Q274="ALTA(3)",3,3))))+(IF(R274="BAJA(1)",1,IF(R274="MEDIA(2)",2,IF(R274="ALTA(3)",3,3))))</f>
        <v/>
      </c>
      <c r="T274" s="10">
        <f>+IF(S274&lt;6,"BAJA",IF(S274&lt;8,"MEDIA","ALTA"))</f>
        <v/>
      </c>
      <c r="U274" s="10" t="inlineStr">
        <is>
          <t>-</t>
        </is>
      </c>
      <c r="V274" s="24" t="inlineStr">
        <is>
          <t>8/02/225</t>
        </is>
      </c>
      <c r="W274" s="19" t="inlineStr">
        <is>
          <t>N/A</t>
        </is>
      </c>
      <c r="X274" s="10">
        <f>+IFERROR(IF(VLOOKUP(Tabla2[[#This Row],[ID]],'EVALUACION DE RIESGO'!A:A,1,FALSE)=Tabla2[[#This Row],[ID]],"SI","NO"),"NO")</f>
        <v/>
      </c>
    </row>
    <row r="275">
      <c r="A275" s="91" t="inlineStr">
        <is>
          <t>34-GCO</t>
        </is>
      </c>
      <c r="B275" s="10" t="inlineStr">
        <is>
          <t>PRODUCTIVO</t>
        </is>
      </c>
      <c r="C275" s="10" t="inlineStr">
        <is>
          <t>Gestión de Colocaciones</t>
        </is>
      </c>
      <c r="D275" s="10" t="inlineStr">
        <is>
          <t>GCO</t>
        </is>
      </c>
      <c r="E275" s="10" t="inlineStr">
        <is>
          <t>Gestión de Compra y Venta de Cartera</t>
        </is>
      </c>
      <c r="F275" s="10" t="inlineStr">
        <is>
          <t>-</t>
        </is>
      </c>
      <c r="G275" s="10" t="inlineStr">
        <is>
          <t xml:space="preserve">Compra de cartera a Empresas Originadoras / Instituciones Financieras </t>
        </is>
      </c>
      <c r="H275" s="10" t="inlineStr">
        <is>
          <t>Informe de análisis de costo beneficio de la inversión</t>
        </is>
      </c>
      <c r="I275" s="10" t="inlineStr">
        <is>
          <t>Informe de análisis de liquidez y análisis de costo beneficio respectivamente para proponer la compra de cartera</t>
        </is>
      </c>
      <c r="J275" s="10" t="inlineStr">
        <is>
          <t>Gerente de Negocios</t>
        </is>
      </c>
      <c r="K275" s="10" t="inlineStr">
        <is>
          <t>Gerente de Negocios</t>
        </is>
      </c>
      <c r="L275" s="10" t="inlineStr">
        <is>
          <t>DOCUMENTOS FISICOS-ARCHIVOS DE LA OFICINA</t>
        </is>
      </c>
      <c r="M275" s="10" t="inlineStr">
        <is>
          <t>DOCUMENTO DE ARCHIVO-FÍSICO</t>
        </is>
      </c>
      <c r="N275" s="10" t="inlineStr">
        <is>
          <t>PRIMARIOS</t>
        </is>
      </c>
      <c r="O275" s="10" t="inlineStr">
        <is>
          <t>DOCUMENTOS TÉCNICOS</t>
        </is>
      </c>
      <c r="P275" s="10" t="inlineStr">
        <is>
          <t>USO INTERNO(2)</t>
        </is>
      </c>
      <c r="Q275" s="10" t="inlineStr">
        <is>
          <t>MEDIA(2)</t>
        </is>
      </c>
      <c r="R275" s="10" t="inlineStr">
        <is>
          <t>MEDIA(2)</t>
        </is>
      </c>
      <c r="S275" s="10">
        <f>+(IF(P275="PUBLICA(1)",1,IF(P275="USO INTERNO(2)",2,IF(P275="RESTRINGIDO(3)",3,3))))+(IF(Q275="BAJA(1)",1,IF(Q275="MEDIA(2)",2,IF(Q275="ALTA(3)",3,3))))+(IF(R275="BAJA(1)",1,IF(R275="MEDIA(2)",2,IF(R275="ALTA(3)",3,3))))</f>
        <v/>
      </c>
      <c r="T275" s="10">
        <f>+IF(S275&lt;6,"BAJA",IF(S275&lt;8,"MEDIA","ALTA"))</f>
        <v/>
      </c>
      <c r="U275" s="10" t="inlineStr">
        <is>
          <t>-</t>
        </is>
      </c>
      <c r="V275" s="24" t="inlineStr">
        <is>
          <t>8/02/225</t>
        </is>
      </c>
      <c r="W275" s="19" t="inlineStr">
        <is>
          <t>N/A</t>
        </is>
      </c>
      <c r="X275" s="10">
        <f>+IFERROR(IF(VLOOKUP(Tabla2[[#This Row],[ID]],'EVALUACION DE RIESGO'!A:A,1,FALSE)=Tabla2[[#This Row],[ID]],"SI","NO"),"NO")</f>
        <v/>
      </c>
    </row>
    <row r="276">
      <c r="A276" s="91" t="inlineStr">
        <is>
          <t>35-GCO</t>
        </is>
      </c>
      <c r="B276" s="10" t="inlineStr">
        <is>
          <t>PRODUCTIVO</t>
        </is>
      </c>
      <c r="C276" s="10" t="inlineStr">
        <is>
          <t>Gestión de Colocaciones</t>
        </is>
      </c>
      <c r="D276" s="10" t="inlineStr">
        <is>
          <t>GCO</t>
        </is>
      </c>
      <c r="E276" s="10" t="inlineStr">
        <is>
          <t>Gestión de Compra y Venta de Cartera</t>
        </is>
      </c>
      <c r="F276" s="10" t="inlineStr">
        <is>
          <t>-</t>
        </is>
      </c>
      <c r="G276" s="10" t="inlineStr">
        <is>
          <t xml:space="preserve">Compra de cartera a Empresas Originadoras </t>
        </is>
      </c>
      <c r="H276" s="10" t="inlineStr">
        <is>
          <t>Informe de riesgos</t>
        </is>
      </c>
      <c r="I276" s="10" t="inlineStr">
        <is>
          <t>Informe adjunto al informe de compra de cartera con el monto estimado</t>
        </is>
      </c>
      <c r="J276" s="10" t="inlineStr">
        <is>
          <t>Gerente de Negocios</t>
        </is>
      </c>
      <c r="K276" s="10" t="inlineStr">
        <is>
          <t>Gerente de Negocios</t>
        </is>
      </c>
      <c r="L276" s="10" t="inlineStr">
        <is>
          <t>DOCUMENTOS FISICOS-ARCHIVOS DE LA OFICINA</t>
        </is>
      </c>
      <c r="M276" s="10" t="inlineStr">
        <is>
          <t>DOCUMENTO DE ARCHIVO-FÍSICO</t>
        </is>
      </c>
      <c r="N276" s="10" t="inlineStr">
        <is>
          <t>PRIMARIOS</t>
        </is>
      </c>
      <c r="O276" s="10" t="inlineStr">
        <is>
          <t>DOCUMENTOS TÉCNICOS</t>
        </is>
      </c>
      <c r="P276" s="10" t="inlineStr">
        <is>
          <t>USO INTERNO(2)</t>
        </is>
      </c>
      <c r="Q276" s="10" t="inlineStr">
        <is>
          <t>MEDIA(2)</t>
        </is>
      </c>
      <c r="R276" s="10" t="inlineStr">
        <is>
          <t>MEDIA(2)</t>
        </is>
      </c>
      <c r="S276" s="10">
        <f>+(IF(P276="PUBLICA(1)",1,IF(P276="USO INTERNO(2)",2,IF(P276="RESTRINGIDO(3)",3,3))))+(IF(Q276="BAJA(1)",1,IF(Q276="MEDIA(2)",2,IF(Q276="ALTA(3)",3,3))))+(IF(R276="BAJA(1)",1,IF(R276="MEDIA(2)",2,IF(R276="ALTA(3)",3,3))))</f>
        <v/>
      </c>
      <c r="T276" s="10">
        <f>+IF(S276&lt;6,"BAJA",IF(S276&lt;8,"MEDIA","ALTA"))</f>
        <v/>
      </c>
      <c r="U276" s="10" t="inlineStr">
        <is>
          <t>-</t>
        </is>
      </c>
      <c r="V276" s="24" t="inlineStr">
        <is>
          <t>8/02/225</t>
        </is>
      </c>
      <c r="W276" s="19" t="inlineStr">
        <is>
          <t>N/A</t>
        </is>
      </c>
      <c r="X276" s="10">
        <f>+IFERROR(IF(VLOOKUP(Tabla2[[#This Row],[ID]],'EVALUACION DE RIESGO'!A:A,1,FALSE)=Tabla2[[#This Row],[ID]],"SI","NO"),"NO")</f>
        <v/>
      </c>
    </row>
    <row r="277">
      <c r="A277" s="91" t="inlineStr">
        <is>
          <t>36-GCO</t>
        </is>
      </c>
      <c r="B277" s="10" t="inlineStr">
        <is>
          <t>PRODUCTIVO</t>
        </is>
      </c>
      <c r="C277" s="10" t="inlineStr">
        <is>
          <t>Gestión de Colocaciones</t>
        </is>
      </c>
      <c r="D277" s="10" t="inlineStr">
        <is>
          <t>GCO</t>
        </is>
      </c>
      <c r="E277" s="10" t="inlineStr">
        <is>
          <t>Gestión de Compra y Venta de Cartera</t>
        </is>
      </c>
      <c r="F277" s="10" t="inlineStr">
        <is>
          <t>-</t>
        </is>
      </c>
      <c r="G277" s="10" t="inlineStr">
        <is>
          <t xml:space="preserve">Compra de cartera a Empresas Originadoras </t>
        </is>
      </c>
      <c r="H277" s="10" t="inlineStr">
        <is>
          <t>Informes de las áreas</t>
        </is>
      </c>
      <c r="I277" s="10" t="inlineStr">
        <is>
          <t>Informes de sustento de la compra de cartera Informe de Negocios, Informe de Riesgos, Informe de Cumplimiento, Informe Jurídico</t>
        </is>
      </c>
      <c r="J277" s="10" t="inlineStr">
        <is>
          <t>Gerente de Negocios</t>
        </is>
      </c>
      <c r="K277" s="10" t="inlineStr">
        <is>
          <t>Gerente de Negocios</t>
        </is>
      </c>
      <c r="L277" s="10" t="inlineStr">
        <is>
          <t>DOCUMENTOS FISICOS-ARCHIVOS DE LA OFICINA</t>
        </is>
      </c>
      <c r="M277" s="10" t="inlineStr">
        <is>
          <t>DOCUMENTO DE ARCHIVO-FÍSICO</t>
        </is>
      </c>
      <c r="N277" s="10" t="inlineStr">
        <is>
          <t>PRIMARIOS</t>
        </is>
      </c>
      <c r="O277" s="10" t="inlineStr">
        <is>
          <t>DOCUMENTOS TÉCNICOS</t>
        </is>
      </c>
      <c r="P277" s="10" t="inlineStr">
        <is>
          <t>USO INTERNO(2)</t>
        </is>
      </c>
      <c r="Q277" s="10" t="inlineStr">
        <is>
          <t>MEDIA(2)</t>
        </is>
      </c>
      <c r="R277" s="10" t="inlineStr">
        <is>
          <t>MEDIA(2)</t>
        </is>
      </c>
      <c r="S277" s="10">
        <f>+(IF(P277="PUBLICA(1)",1,IF(P277="USO INTERNO(2)",2,IF(P277="RESTRINGIDO(3)",3,3))))+(IF(Q277="BAJA(1)",1,IF(Q277="MEDIA(2)",2,IF(Q277="ALTA(3)",3,3))))+(IF(R277="BAJA(1)",1,IF(R277="MEDIA(2)",2,IF(R277="ALTA(3)",3,3))))</f>
        <v/>
      </c>
      <c r="T277" s="10">
        <f>+IF(S277&lt;6,"BAJA",IF(S277&lt;8,"MEDIA","ALTA"))</f>
        <v/>
      </c>
      <c r="U277" s="10" t="inlineStr">
        <is>
          <t>-</t>
        </is>
      </c>
      <c r="V277" s="24" t="inlineStr">
        <is>
          <t>8/02/225</t>
        </is>
      </c>
      <c r="W277" s="19" t="inlineStr">
        <is>
          <t>N/A</t>
        </is>
      </c>
      <c r="X277" s="10">
        <f>+IFERROR(IF(VLOOKUP(Tabla2[[#This Row],[ID]],'EVALUACION DE RIESGO'!A:A,1,FALSE)=Tabla2[[#This Row],[ID]],"SI","NO"),"NO")</f>
        <v/>
      </c>
    </row>
    <row r="278">
      <c r="A278" s="91" t="inlineStr">
        <is>
          <t>37-GCO</t>
        </is>
      </c>
      <c r="B278" s="10" t="inlineStr">
        <is>
          <t>PRODUCTIVO</t>
        </is>
      </c>
      <c r="C278" s="10" t="inlineStr">
        <is>
          <t>Gestión de Colocaciones</t>
        </is>
      </c>
      <c r="D278" s="10" t="inlineStr">
        <is>
          <t>GCO</t>
        </is>
      </c>
      <c r="E278" s="10" t="inlineStr">
        <is>
          <t>Gestión de Compra y Venta de Cartera</t>
        </is>
      </c>
      <c r="F278" s="10" t="inlineStr">
        <is>
          <t>-</t>
        </is>
      </c>
      <c r="G278" s="10" t="inlineStr">
        <is>
          <t xml:space="preserve">Compra de cartera a Empresas Originadoras </t>
        </is>
      </c>
      <c r="H278" s="10" t="inlineStr">
        <is>
          <t>Informe de compra de cartera</t>
        </is>
      </c>
      <c r="I278" s="10" t="inlineStr">
        <is>
          <t>Informe consolidado de compra de cartera a instituciones financieras remitido al CAD</t>
        </is>
      </c>
      <c r="J278" s="10" t="inlineStr">
        <is>
          <t>Gerente de Negocios</t>
        </is>
      </c>
      <c r="K278" s="10" t="inlineStr">
        <is>
          <t>Gerente de Negocios</t>
        </is>
      </c>
      <c r="L278" s="10" t="inlineStr">
        <is>
          <t>DOCUMENTOS FISICOS-ARCHIVOS DE LA OFICINA</t>
        </is>
      </c>
      <c r="M278" s="10" t="inlineStr">
        <is>
          <t>DOCUMENTO DE ARCHIVO-FÍSICO</t>
        </is>
      </c>
      <c r="N278" s="10" t="inlineStr">
        <is>
          <t>PRIMARIOS</t>
        </is>
      </c>
      <c r="O278" s="10" t="inlineStr">
        <is>
          <t>DOCUMENTOS TÉCNICOS</t>
        </is>
      </c>
      <c r="P278" s="10" t="inlineStr">
        <is>
          <t>USO INTERNO(2)</t>
        </is>
      </c>
      <c r="Q278" s="10" t="inlineStr">
        <is>
          <t>MEDIA(2)</t>
        </is>
      </c>
      <c r="R278" s="10" t="inlineStr">
        <is>
          <t>MEDIA(2)</t>
        </is>
      </c>
      <c r="S278" s="10">
        <f>+(IF(P278="PUBLICA(1)",1,IF(P278="USO INTERNO(2)",2,IF(P278="RESTRINGIDO(3)",3,3))))+(IF(Q278="BAJA(1)",1,IF(Q278="MEDIA(2)",2,IF(Q278="ALTA(3)",3,3))))+(IF(R278="BAJA(1)",1,IF(R278="MEDIA(2)",2,IF(R278="ALTA(3)",3,3))))</f>
        <v/>
      </c>
      <c r="T278" s="10">
        <f>+IF(S278&lt;6,"BAJA",IF(S278&lt;8,"MEDIA","ALTA"))</f>
        <v/>
      </c>
      <c r="U278" s="10" t="inlineStr">
        <is>
          <t>-</t>
        </is>
      </c>
      <c r="V278" s="24" t="inlineStr">
        <is>
          <t>8/02/225</t>
        </is>
      </c>
      <c r="W278" s="19" t="inlineStr">
        <is>
          <t>N/A</t>
        </is>
      </c>
      <c r="X278" s="10">
        <f>+IFERROR(IF(VLOOKUP(Tabla2[[#This Row],[ID]],'EVALUACION DE RIESGO'!A:A,1,FALSE)=Tabla2[[#This Row],[ID]],"SI","NO"),"NO")</f>
        <v/>
      </c>
    </row>
    <row r="279">
      <c r="A279" s="91" t="inlineStr">
        <is>
          <t>38-GCO</t>
        </is>
      </c>
      <c r="B279" s="10" t="inlineStr">
        <is>
          <t>PRODUCTIVO</t>
        </is>
      </c>
      <c r="C279" s="10" t="inlineStr">
        <is>
          <t>Gestión de Colocaciones</t>
        </is>
      </c>
      <c r="D279" s="10" t="inlineStr">
        <is>
          <t>GCO</t>
        </is>
      </c>
      <c r="E279" s="10" t="inlineStr">
        <is>
          <t>Gestión de Compra y Venta de Cartera</t>
        </is>
      </c>
      <c r="F279" s="10" t="inlineStr">
        <is>
          <t>-</t>
        </is>
      </c>
      <c r="G279" s="10" t="inlineStr">
        <is>
          <t xml:space="preserve">Compra de cartera a Empresas Originadoras </t>
        </is>
      </c>
      <c r="H279" s="10" t="inlineStr">
        <is>
          <t>Resolución de consejo de administración</t>
        </is>
      </c>
      <c r="I279" s="10" t="inlineStr">
        <is>
          <t>Resolución de compra de cartera y el pago de la misma</t>
        </is>
      </c>
      <c r="J279" s="10" t="inlineStr">
        <is>
          <t>Gerente de Negocios</t>
        </is>
      </c>
      <c r="K279" s="10" t="inlineStr">
        <is>
          <t>Gerente de Negocios</t>
        </is>
      </c>
      <c r="L279" s="10" t="inlineStr">
        <is>
          <t>DOCUMENTOS FISICOS-ARCHIVOS DE LA OFICINA</t>
        </is>
      </c>
      <c r="M279" s="10" t="inlineStr">
        <is>
          <t>DOCUMENTO DE ARCHIVO-FÍSICO</t>
        </is>
      </c>
      <c r="N279" s="10" t="inlineStr">
        <is>
          <t>PRIMARIOS</t>
        </is>
      </c>
      <c r="O279" s="10" t="inlineStr">
        <is>
          <t>COMUNICACIÓN INTERNA</t>
        </is>
      </c>
      <c r="P279" s="10" t="inlineStr">
        <is>
          <t>USO INTERNO(2)</t>
        </is>
      </c>
      <c r="Q279" s="10" t="inlineStr">
        <is>
          <t>MEDIA(2)</t>
        </is>
      </c>
      <c r="R279" s="10" t="inlineStr">
        <is>
          <t>MEDIA(2)</t>
        </is>
      </c>
      <c r="S279" s="10">
        <f>+(IF(P279="PUBLICA(1)",1,IF(P279="USO INTERNO(2)",2,IF(P279="RESTRINGIDO(3)",3,3))))+(IF(Q279="BAJA(1)",1,IF(Q279="MEDIA(2)",2,IF(Q279="ALTA(3)",3,3))))+(IF(R279="BAJA(1)",1,IF(R279="MEDIA(2)",2,IF(R279="ALTA(3)",3,3))))</f>
        <v/>
      </c>
      <c r="T279" s="10">
        <f>+IF(S279&lt;6,"BAJA",IF(S279&lt;8,"MEDIA","ALTA"))</f>
        <v/>
      </c>
      <c r="U279" s="10" t="inlineStr">
        <is>
          <t>-</t>
        </is>
      </c>
      <c r="V279" s="24" t="inlineStr">
        <is>
          <t>8/02/225</t>
        </is>
      </c>
      <c r="W279" s="19" t="inlineStr">
        <is>
          <t>N/A</t>
        </is>
      </c>
      <c r="X279" s="10">
        <f>+IFERROR(IF(VLOOKUP(Tabla2[[#This Row],[ID]],'EVALUACION DE RIESGO'!A:A,1,FALSE)=Tabla2[[#This Row],[ID]],"SI","NO"),"NO")</f>
        <v/>
      </c>
    </row>
    <row r="280" ht="20.5" customHeight="1" s="98">
      <c r="A280" s="91" t="inlineStr">
        <is>
          <t>39-GCO</t>
        </is>
      </c>
      <c r="B280" s="10" t="inlineStr">
        <is>
          <t>PRODUCTIVO</t>
        </is>
      </c>
      <c r="C280" s="10" t="inlineStr">
        <is>
          <t>Gestión de Colocaciones</t>
        </is>
      </c>
      <c r="D280" s="10" t="inlineStr">
        <is>
          <t>GCO</t>
        </is>
      </c>
      <c r="E280" s="10" t="inlineStr">
        <is>
          <t>Gestión de Compra y Venta de Cartera</t>
        </is>
      </c>
      <c r="F280" s="10" t="inlineStr">
        <is>
          <t>-</t>
        </is>
      </c>
      <c r="G280" s="10" t="inlineStr">
        <is>
          <t xml:space="preserve">Compra de cartera a Empresas Originadoras </t>
        </is>
      </c>
      <c r="H280" s="17" t="inlineStr">
        <is>
          <t>Expedientes físicos</t>
        </is>
      </c>
      <c r="I280" s="17" t="inlineStr">
        <is>
          <t xml:space="preserve">Documentación física resultante del proceso de compra de cartera </t>
        </is>
      </c>
      <c r="J280" s="10" t="inlineStr">
        <is>
          <t>Gerente de Negocios</t>
        </is>
      </c>
      <c r="K280" s="10" t="inlineStr">
        <is>
          <t>Gerente de Negocios</t>
        </is>
      </c>
      <c r="L280" s="10" t="inlineStr">
        <is>
          <t>DOCUMENTOS FISICOS-ARCHIVOS DE LA OFICINA</t>
        </is>
      </c>
      <c r="M280" s="10" t="inlineStr">
        <is>
          <t>DOCUMENTO DE ARCHIVO-FÍSICO</t>
        </is>
      </c>
      <c r="N280" s="10" t="inlineStr">
        <is>
          <t>PRIMARIOS</t>
        </is>
      </c>
      <c r="O280" s="10" t="inlineStr">
        <is>
          <t>DOCUMENTOS TÉCNICOS</t>
        </is>
      </c>
      <c r="P280" s="10" t="inlineStr">
        <is>
          <t>RESTRINGIDO(3)</t>
        </is>
      </c>
      <c r="Q280" s="10" t="inlineStr">
        <is>
          <t>MEDIA(2)</t>
        </is>
      </c>
      <c r="R280" s="10" t="inlineStr">
        <is>
          <t>ALTA(3)</t>
        </is>
      </c>
      <c r="S280" s="10">
        <f>+(IF(P280="PUBLICA(1)",1,IF(P280="USO INTERNO(2)",2,IF(P280="RESTRINGIDO(3)",3,3))))+(IF(Q280="BAJA(1)",1,IF(Q280="MEDIA(2)",2,IF(Q280="ALTA(3)",3,3))))+(IF(R280="BAJA(1)",1,IF(R280="MEDIA(2)",2,IF(R280="ALTA(3)",3,3))))</f>
        <v/>
      </c>
      <c r="T280" s="10">
        <f>+IF(S280&lt;6,"BAJA",IF(S280&lt;8,"MEDIA","ALTA"))</f>
        <v/>
      </c>
      <c r="U280" s="10" t="inlineStr">
        <is>
          <t>-</t>
        </is>
      </c>
      <c r="V280" s="24" t="inlineStr">
        <is>
          <t>8/02/225</t>
        </is>
      </c>
      <c r="W280" s="19" t="inlineStr">
        <is>
          <t>N/A</t>
        </is>
      </c>
      <c r="X280" s="10">
        <f>+IFERROR(IF(VLOOKUP(Tabla2[[#This Row],[ID]],'EVALUACION DE RIESGO'!A:A,1,FALSE)=Tabla2[[#This Row],[ID]],"SI","NO"),"NO")</f>
        <v/>
      </c>
    </row>
    <row r="281" ht="20.5" customHeight="1" s="98">
      <c r="A281" s="91" t="inlineStr">
        <is>
          <t>40-GCO</t>
        </is>
      </c>
      <c r="B281" s="10" t="inlineStr">
        <is>
          <t>PRODUCTIVO</t>
        </is>
      </c>
      <c r="C281" s="10" t="inlineStr">
        <is>
          <t>Gestión de Colocaciones</t>
        </is>
      </c>
      <c r="D281" s="10" t="inlineStr">
        <is>
          <t>GCO</t>
        </is>
      </c>
      <c r="E281" s="10" t="inlineStr">
        <is>
          <t>Gestión de Compra y Venta de Cartera</t>
        </is>
      </c>
      <c r="F281" s="10" t="inlineStr">
        <is>
          <t>-</t>
        </is>
      </c>
      <c r="G281" s="10" t="inlineStr">
        <is>
          <t xml:space="preserve">Compra de cartera a Empresas Originadoras </t>
        </is>
      </c>
      <c r="H281" s="17" t="inlineStr">
        <is>
          <t>Expedientes digitales</t>
        </is>
      </c>
      <c r="I281" s="17" t="inlineStr">
        <is>
          <t xml:space="preserve">Documentación digital resultante del proceso de compra de cartera </t>
        </is>
      </c>
      <c r="J281" s="10" t="inlineStr">
        <is>
          <t>Gerente de Negocios</t>
        </is>
      </c>
      <c r="K281" s="10" t="inlineStr">
        <is>
          <t>Gerente de Negocios</t>
        </is>
      </c>
      <c r="L281" s="10" t="inlineStr">
        <is>
          <t>UBICACIÓN DIGITAL-EQUIPO DEL RESPONSABLE</t>
        </is>
      </c>
      <c r="M281" s="10" t="inlineStr">
        <is>
          <t>DISCOS DUROS, SERVIDORES, DISCOS O MEDIOS PORTÁTILES, CINTAS O MEDIOS DE VIDEO Y AUDIO, ETC.</t>
        </is>
      </c>
      <c r="N281" s="10" t="inlineStr">
        <is>
          <t>PRIMARIOS</t>
        </is>
      </c>
      <c r="O281" s="10" t="inlineStr">
        <is>
          <t>DOCUMENTOS TÉCNICOS</t>
        </is>
      </c>
      <c r="P281" s="10" t="inlineStr">
        <is>
          <t>RESTRINGIDO(3)</t>
        </is>
      </c>
      <c r="Q281" s="10" t="inlineStr">
        <is>
          <t>MEDIA(2)</t>
        </is>
      </c>
      <c r="R281" s="10" t="inlineStr">
        <is>
          <t>ALTA(3)</t>
        </is>
      </c>
      <c r="S281" s="10">
        <f>+(IF(P281="PUBLICA(1)",1,IF(P281="USO INTERNO(2)",2,IF(P281="RESTRINGIDO(3)",3,3))))+(IF(Q281="BAJA(1)",1,IF(Q281="MEDIA(2)",2,IF(Q281="ALTA(3)",3,3))))+(IF(R281="BAJA(1)",1,IF(R281="MEDIA(2)",2,IF(R281="ALTA(3)",3,3))))</f>
        <v/>
      </c>
      <c r="T281" s="10">
        <f>+IF(S281&lt;6,"BAJA",IF(S281&lt;8,"MEDIA","ALTA"))</f>
        <v/>
      </c>
      <c r="U281" s="10" t="inlineStr">
        <is>
          <t>-</t>
        </is>
      </c>
      <c r="V281" s="24" t="inlineStr">
        <is>
          <t>8/02/225</t>
        </is>
      </c>
      <c r="W281" s="19" t="inlineStr">
        <is>
          <t>N/A</t>
        </is>
      </c>
      <c r="X281" s="10">
        <f>+IFERROR(IF(VLOOKUP(Tabla2[[#This Row],[ID]],'EVALUACION DE RIESGO'!A:A,1,FALSE)=Tabla2[[#This Row],[ID]],"SI","NO"),"NO")</f>
        <v/>
      </c>
    </row>
    <row r="282">
      <c r="A282" s="91" t="inlineStr">
        <is>
          <t>41-GCO</t>
        </is>
      </c>
      <c r="B282" s="10" t="inlineStr">
        <is>
          <t>PRODUCTIVO</t>
        </is>
      </c>
      <c r="C282" s="10" t="inlineStr">
        <is>
          <t>Gestión de Colocaciones</t>
        </is>
      </c>
      <c r="D282" s="10" t="inlineStr">
        <is>
          <t>GCO</t>
        </is>
      </c>
      <c r="E282" s="10" t="inlineStr">
        <is>
          <t>Gestión de Compra y Venta de Cartera</t>
        </is>
      </c>
      <c r="F282" s="10" t="inlineStr">
        <is>
          <t>-</t>
        </is>
      </c>
      <c r="G282" s="10" t="inlineStr">
        <is>
          <t xml:space="preserve">Migración de datos y pago de compra </t>
        </is>
      </c>
      <c r="H282" s="10" t="inlineStr">
        <is>
          <t>Operaciones de crédito</t>
        </is>
      </c>
      <c r="I282" s="10" t="inlineStr">
        <is>
          <t>Archivos de operaciones de crédito adquiridas</t>
        </is>
      </c>
      <c r="J282" s="10" t="inlineStr">
        <is>
          <t>Gerente de Negocios</t>
        </is>
      </c>
      <c r="K282" s="10" t="inlineStr">
        <is>
          <t>Gerente de Negocios</t>
        </is>
      </c>
      <c r="L282" s="10" t="inlineStr">
        <is>
          <t>UBICACIÓN DIGITAL-EQUIPO DEL RESPONSABLE</t>
        </is>
      </c>
      <c r="M282" s="10" t="inlineStr">
        <is>
          <t>DISCOS DUROS, SERVIDORES, DISCOS O MEDIOS PORTÁTILES, CINTAS O MEDIOS DE VIDEO Y AUDIO, ETC.</t>
        </is>
      </c>
      <c r="N282" s="10" t="inlineStr">
        <is>
          <t>PRIMARIOS</t>
        </is>
      </c>
      <c r="O282" s="10" t="inlineStr">
        <is>
          <t>DOCUMENTOS TÉCNICOS</t>
        </is>
      </c>
      <c r="P282" s="10" t="inlineStr">
        <is>
          <t>RESTRINGIDO(3)</t>
        </is>
      </c>
      <c r="Q282" s="10" t="inlineStr">
        <is>
          <t>MEDIA(2)</t>
        </is>
      </c>
      <c r="R282" s="10" t="inlineStr">
        <is>
          <t>MEDIA(2)</t>
        </is>
      </c>
      <c r="S282" s="10">
        <f>+(IF(P282="PUBLICA(1)",1,IF(P282="USO INTERNO(2)",2,IF(P282="RESTRINGIDO(3)",3,3))))+(IF(Q282="BAJA(1)",1,IF(Q282="MEDIA(2)",2,IF(Q282="ALTA(3)",3,3))))+(IF(R282="BAJA(1)",1,IF(R282="MEDIA(2)",2,IF(R282="ALTA(3)",3,3))))</f>
        <v/>
      </c>
      <c r="T282" s="10">
        <f>+IF(S282&lt;6,"BAJA",IF(S282&lt;8,"MEDIA","ALTA"))</f>
        <v/>
      </c>
      <c r="U282" s="10" t="inlineStr">
        <is>
          <t>-</t>
        </is>
      </c>
      <c r="V282" s="24" t="inlineStr">
        <is>
          <t>8/02/225</t>
        </is>
      </c>
      <c r="W282" s="19" t="inlineStr">
        <is>
          <t>N/A</t>
        </is>
      </c>
      <c r="X282" s="10">
        <f>+IFERROR(IF(VLOOKUP(Tabla2[[#This Row],[ID]],'EVALUACION DE RIESGO'!A:A,1,FALSE)=Tabla2[[#This Row],[ID]],"SI","NO"),"NO")</f>
        <v/>
      </c>
    </row>
    <row r="283" ht="12" customHeight="1" s="98">
      <c r="A283" s="91" t="inlineStr">
        <is>
          <t>42-GCO</t>
        </is>
      </c>
      <c r="B283" s="10" t="inlineStr">
        <is>
          <t>PRODUCTIVO</t>
        </is>
      </c>
      <c r="C283" s="10" t="inlineStr">
        <is>
          <t>Gestión de Colocaciones</t>
        </is>
      </c>
      <c r="D283" s="10" t="inlineStr">
        <is>
          <t>GCO</t>
        </is>
      </c>
      <c r="E283" s="10" t="inlineStr">
        <is>
          <t>Gestión de Compra y Venta de Cartera</t>
        </is>
      </c>
      <c r="F283" s="10" t="inlineStr">
        <is>
          <t>-</t>
        </is>
      </c>
      <c r="G283" s="10" t="inlineStr">
        <is>
          <t xml:space="preserve">Migración de datos y pago de compra </t>
        </is>
      </c>
      <c r="H283" s="17" t="inlineStr">
        <is>
          <t>Pagarés endosados</t>
        </is>
      </c>
      <c r="I283" s="17" t="inlineStr">
        <is>
          <t>Garantías de pagarés recibidas por el proveedor</t>
        </is>
      </c>
      <c r="J283" s="10" t="inlineStr">
        <is>
          <t>Gerente de Negocios</t>
        </is>
      </c>
      <c r="K283" s="10" t="inlineStr">
        <is>
          <t>Tesorero</t>
        </is>
      </c>
      <c r="L283" s="10" t="inlineStr">
        <is>
          <t>DOCUMENTOS FISICOS-ARCHIVOS DE LA OFICINA</t>
        </is>
      </c>
      <c r="M283" s="10" t="inlineStr">
        <is>
          <t>DOCUMENTO DE ARCHIVO-FÍSICO</t>
        </is>
      </c>
      <c r="N283" s="10" t="inlineStr">
        <is>
          <t>PRIMARIOS</t>
        </is>
      </c>
      <c r="O283" s="10" t="inlineStr">
        <is>
          <t>DOCUMENTOS HABILITANTES</t>
        </is>
      </c>
      <c r="P283" s="10" t="inlineStr">
        <is>
          <t>RESTRINGIDO(3)</t>
        </is>
      </c>
      <c r="Q283" s="10" t="inlineStr">
        <is>
          <t>ALTA(3)</t>
        </is>
      </c>
      <c r="R283" s="10" t="inlineStr">
        <is>
          <t>MEDIA(2)</t>
        </is>
      </c>
      <c r="S283" s="10">
        <f>+(IF(P283="PUBLICA(1)",1,IF(P283="USO INTERNO(2)",2,IF(P283="RESTRINGIDO(3)",3,3))))+(IF(Q283="BAJA(1)",1,IF(Q283="MEDIA(2)",2,IF(Q283="ALTA(3)",3,3))))+(IF(R283="BAJA(1)",1,IF(R283="MEDIA(2)",2,IF(R283="ALTA(3)",3,3))))</f>
        <v/>
      </c>
      <c r="T283" s="10">
        <f>+IF(S283&lt;6,"BAJA",IF(S283&lt;8,"MEDIA","ALTA"))</f>
        <v/>
      </c>
      <c r="U283" s="10" t="inlineStr">
        <is>
          <t>-</t>
        </is>
      </c>
      <c r="V283" s="24" t="inlineStr">
        <is>
          <t>8/02/225</t>
        </is>
      </c>
      <c r="W283" s="19" t="inlineStr">
        <is>
          <t>N/A</t>
        </is>
      </c>
      <c r="X283" s="10">
        <f>+IFERROR(IF(VLOOKUP(Tabla2[[#This Row],[ID]],'EVALUACION DE RIESGO'!A:A,1,FALSE)=Tabla2[[#This Row],[ID]],"SI","NO"),"NO")</f>
        <v/>
      </c>
    </row>
    <row r="284">
      <c r="A284" s="91" t="inlineStr">
        <is>
          <t>43-GCO</t>
        </is>
      </c>
      <c r="B284" s="10" t="inlineStr">
        <is>
          <t>PRODUCTIVO</t>
        </is>
      </c>
      <c r="C284" s="10" t="inlineStr">
        <is>
          <t>Gestión de Colocaciones</t>
        </is>
      </c>
      <c r="D284" s="10" t="inlineStr">
        <is>
          <t>GCO</t>
        </is>
      </c>
      <c r="E284" s="10" t="inlineStr">
        <is>
          <t>Gestión de Compra y Venta de Cartera</t>
        </is>
      </c>
      <c r="F284" s="10" t="inlineStr">
        <is>
          <t>-</t>
        </is>
      </c>
      <c r="G284" s="10" t="inlineStr">
        <is>
          <t xml:space="preserve">Migración de datos y pago de compra </t>
        </is>
      </c>
      <c r="H284" s="10" t="inlineStr">
        <is>
          <t>Contratos de reserva de dominio</t>
        </is>
      </c>
      <c r="I284" s="10" t="inlineStr">
        <is>
          <t>Contratos de reserva de dominio registrados a favor de la Cooperativa</t>
        </is>
      </c>
      <c r="J284" s="10" t="inlineStr">
        <is>
          <t>Gerente de Negocios</t>
        </is>
      </c>
      <c r="K284" s="10" t="inlineStr">
        <is>
          <t>Tesorero</t>
        </is>
      </c>
      <c r="L284" s="10" t="inlineStr">
        <is>
          <t>DOCUMENTOS FISICOS-ARCHIVOS DE LA OFICINA</t>
        </is>
      </c>
      <c r="M284" s="10" t="inlineStr">
        <is>
          <t>DOCUMENTO DE ARCHIVO-FÍSICO</t>
        </is>
      </c>
      <c r="N284" s="10" t="inlineStr">
        <is>
          <t>PRIMARIOS</t>
        </is>
      </c>
      <c r="O284" s="10" t="inlineStr">
        <is>
          <t>DOCUMENTOS HABILITANTES</t>
        </is>
      </c>
      <c r="P284" s="10" t="inlineStr">
        <is>
          <t>USO INTERNO(2)</t>
        </is>
      </c>
      <c r="Q284" s="10" t="inlineStr">
        <is>
          <t>MEDIA(2)</t>
        </is>
      </c>
      <c r="R284" s="10" t="inlineStr">
        <is>
          <t>MEDIA(2)</t>
        </is>
      </c>
      <c r="S284" s="10">
        <f>+(IF(P284="PUBLICA(1)",1,IF(P284="USO INTERNO(2)",2,IF(P284="RESTRINGIDO(3)",3,3))))+(IF(Q284="BAJA(1)",1,IF(Q284="MEDIA(2)",2,IF(Q284="ALTA(3)",3,3))))+(IF(R284="BAJA(1)",1,IF(R284="MEDIA(2)",2,IF(R284="ALTA(3)",3,3))))</f>
        <v/>
      </c>
      <c r="T284" s="10">
        <f>+IF(S284&lt;6,"BAJA",IF(S284&lt;8,"MEDIA","ALTA"))</f>
        <v/>
      </c>
      <c r="U284" s="10" t="inlineStr">
        <is>
          <t>-</t>
        </is>
      </c>
      <c r="V284" s="24" t="inlineStr">
        <is>
          <t>8/02/225</t>
        </is>
      </c>
      <c r="W284" s="19" t="inlineStr">
        <is>
          <t>N/A</t>
        </is>
      </c>
      <c r="X284" s="10">
        <f>+IFERROR(IF(VLOOKUP(Tabla2[[#This Row],[ID]],'EVALUACION DE RIESGO'!A:A,1,FALSE)=Tabla2[[#This Row],[ID]],"SI","NO"),"NO")</f>
        <v/>
      </c>
    </row>
    <row r="285" ht="30.5" customHeight="1" s="98">
      <c r="A285" s="91" t="inlineStr">
        <is>
          <t>44-GCO</t>
        </is>
      </c>
      <c r="B285" s="10" t="inlineStr">
        <is>
          <t>PRODUCTIVO</t>
        </is>
      </c>
      <c r="C285" s="10" t="inlineStr">
        <is>
          <t>Gestión de Colocaciones</t>
        </is>
      </c>
      <c r="D285" s="10" t="inlineStr">
        <is>
          <t>GCO</t>
        </is>
      </c>
      <c r="E285" s="10" t="inlineStr">
        <is>
          <t>Gestión de Compra y Venta de Cartera</t>
        </is>
      </c>
      <c r="F285" s="10" t="inlineStr">
        <is>
          <t>-</t>
        </is>
      </c>
      <c r="G285" s="10" t="inlineStr">
        <is>
          <t xml:space="preserve">Migración de datos y pago de compra </t>
        </is>
      </c>
      <c r="H285" s="17" t="inlineStr">
        <is>
          <t>Pólizas de seguro endosadas</t>
        </is>
      </c>
      <c r="I285" s="17" t="inlineStr">
        <is>
          <t>Documentos de pólizas enviadas a Tesorería,   así como los pagares endosados hipotecas y pólizas de seguro para el archivo bajo custodio</t>
        </is>
      </c>
      <c r="J285" s="10" t="inlineStr">
        <is>
          <t>Gerente de Negocios</t>
        </is>
      </c>
      <c r="K285" s="10" t="inlineStr">
        <is>
          <t>Tesorero</t>
        </is>
      </c>
      <c r="L285" s="10" t="inlineStr">
        <is>
          <t>DOCUMENTOS FISICOS-ARCHIVOS DE LA OFICINA</t>
        </is>
      </c>
      <c r="M285" s="10" t="inlineStr">
        <is>
          <t>DOCUMENTO DE ARCHIVO-FÍSICO</t>
        </is>
      </c>
      <c r="N285" s="10" t="inlineStr">
        <is>
          <t>PRIMARIOS</t>
        </is>
      </c>
      <c r="O285" s="10" t="inlineStr">
        <is>
          <t>DOCUMENTOS HABILITANTES</t>
        </is>
      </c>
      <c r="P285" s="10" t="inlineStr">
        <is>
          <t>RESTRINGIDO(3)</t>
        </is>
      </c>
      <c r="Q285" s="10" t="inlineStr">
        <is>
          <t>ALTA(3)</t>
        </is>
      </c>
      <c r="R285" s="10" t="inlineStr">
        <is>
          <t>MEDIA(2)</t>
        </is>
      </c>
      <c r="S285" s="10">
        <f>+(IF(P285="PUBLICA(1)",1,IF(P285="USO INTERNO(2)",2,IF(P285="RESTRINGIDO(3)",3,3))))+(IF(Q285="BAJA(1)",1,IF(Q285="MEDIA(2)",2,IF(Q285="ALTA(3)",3,3))))+(IF(R285="BAJA(1)",1,IF(R285="MEDIA(2)",2,IF(R285="ALTA(3)",3,3))))</f>
        <v/>
      </c>
      <c r="T285" s="10">
        <f>+IF(S285&lt;6,"BAJA",IF(S285&lt;8,"MEDIA","ALTA"))</f>
        <v/>
      </c>
      <c r="U285" s="10" t="inlineStr">
        <is>
          <t>-</t>
        </is>
      </c>
      <c r="V285" s="24" t="inlineStr">
        <is>
          <t>8/02/225</t>
        </is>
      </c>
      <c r="W285" s="19" t="inlineStr">
        <is>
          <t>N/A</t>
        </is>
      </c>
      <c r="X285" s="10">
        <f>+IFERROR(IF(VLOOKUP(Tabla2[[#This Row],[ID]],'EVALUACION DE RIESGO'!A:A,1,FALSE)=Tabla2[[#This Row],[ID]],"SI","NO"),"NO")</f>
        <v/>
      </c>
    </row>
    <row r="286" ht="12" customHeight="1" s="98">
      <c r="A286" s="91" t="inlineStr">
        <is>
          <t>45-GCO</t>
        </is>
      </c>
      <c r="B286" s="10" t="inlineStr">
        <is>
          <t>PRODUCTIVO</t>
        </is>
      </c>
      <c r="C286" s="10" t="inlineStr">
        <is>
          <t>Gestión de Colocaciones</t>
        </is>
      </c>
      <c r="D286" s="10" t="inlineStr">
        <is>
          <t>GCO</t>
        </is>
      </c>
      <c r="E286" s="10" t="inlineStr">
        <is>
          <t>Gestión de Compra y Venta de Cartera</t>
        </is>
      </c>
      <c r="F286" s="10" t="inlineStr">
        <is>
          <t>-</t>
        </is>
      </c>
      <c r="G286" s="10" t="inlineStr">
        <is>
          <t xml:space="preserve">Cancelación de operaciones compradas a Empresas Originadoras </t>
        </is>
      </c>
      <c r="H286" s="17" t="inlineStr">
        <is>
          <t>Pagaré</t>
        </is>
      </c>
      <c r="I286" s="17" t="inlineStr">
        <is>
          <t>Pagaré otorgado por el proveedor</t>
        </is>
      </c>
      <c r="J286" s="10" t="inlineStr">
        <is>
          <t>Gerente de Negocios</t>
        </is>
      </c>
      <c r="K286" s="10" t="inlineStr">
        <is>
          <t>Tesorero</t>
        </is>
      </c>
      <c r="L286" s="10" t="inlineStr">
        <is>
          <t>DOCUMENTOS FISICOS-ARCHIVOS DE LA OFICINA</t>
        </is>
      </c>
      <c r="M286" s="10" t="inlineStr">
        <is>
          <t>DOCUMENTO DE ARCHIVO-FÍSICO</t>
        </is>
      </c>
      <c r="N286" s="10" t="inlineStr">
        <is>
          <t>PRIMARIOS</t>
        </is>
      </c>
      <c r="O286" s="10" t="inlineStr">
        <is>
          <t>DOCUMENTOS HABILITANTES</t>
        </is>
      </c>
      <c r="P286" s="10" t="inlineStr">
        <is>
          <t>RESTRINGIDO(3)</t>
        </is>
      </c>
      <c r="Q286" s="10" t="inlineStr">
        <is>
          <t>ALTA(3)</t>
        </is>
      </c>
      <c r="R286" s="10" t="inlineStr">
        <is>
          <t>MEDIA(2)</t>
        </is>
      </c>
      <c r="S286" s="10">
        <f>+(IF(P286="PUBLICA(1)",1,IF(P286="USO INTERNO(2)",2,IF(P286="RESTRINGIDO(3)",3,3))))+(IF(Q286="BAJA(1)",1,IF(Q286="MEDIA(2)",2,IF(Q286="ALTA(3)",3,3))))+(IF(R286="BAJA(1)",1,IF(R286="MEDIA(2)",2,IF(R286="ALTA(3)",3,3))))</f>
        <v/>
      </c>
      <c r="T286" s="10">
        <f>+IF(S286&lt;6,"BAJA",IF(S286&lt;8,"MEDIA","ALTA"))</f>
        <v/>
      </c>
      <c r="U286" s="10" t="inlineStr">
        <is>
          <t>-</t>
        </is>
      </c>
      <c r="V286" s="24" t="inlineStr">
        <is>
          <t>8/02/225</t>
        </is>
      </c>
      <c r="W286" s="19" t="inlineStr">
        <is>
          <t>N/A</t>
        </is>
      </c>
      <c r="X286" s="10">
        <f>+IFERROR(IF(VLOOKUP(Tabla2[[#This Row],[ID]],'EVALUACION DE RIESGO'!A:A,1,FALSE)=Tabla2[[#This Row],[ID]],"SI","NO"),"NO")</f>
        <v/>
      </c>
    </row>
    <row r="287" ht="20.5" customHeight="1" s="98">
      <c r="A287" s="91" t="inlineStr">
        <is>
          <t>46-GCO</t>
        </is>
      </c>
      <c r="B287" s="10" t="inlineStr">
        <is>
          <t>PRODUCTIVO</t>
        </is>
      </c>
      <c r="C287" s="10" t="inlineStr">
        <is>
          <t>Gestión de Colocaciones</t>
        </is>
      </c>
      <c r="D287" s="10" t="inlineStr">
        <is>
          <t>GCO</t>
        </is>
      </c>
      <c r="E287" s="10" t="inlineStr">
        <is>
          <t>Gestión de Compra y Venta de Cartera</t>
        </is>
      </c>
      <c r="F287" s="10" t="inlineStr">
        <is>
          <t>-</t>
        </is>
      </c>
      <c r="G287" s="10" t="inlineStr">
        <is>
          <t xml:space="preserve">Cancelación de operaciones compradas a Empresas Originadoras </t>
        </is>
      </c>
      <c r="H287" s="17" t="inlineStr">
        <is>
          <t>Póliza de seguro vehicular</t>
        </is>
      </c>
      <c r="I287" s="17" t="inlineStr">
        <is>
          <t>Póliza de seguro vehicular de las operaciones canceladas</t>
        </is>
      </c>
      <c r="J287" s="10" t="inlineStr">
        <is>
          <t>Gerente de Negocios</t>
        </is>
      </c>
      <c r="K287" s="10" t="inlineStr">
        <is>
          <t>Tesorero</t>
        </is>
      </c>
      <c r="L287" s="10" t="inlineStr">
        <is>
          <t>DOCUMENTOS FISICOS-ARCHIVOS DE LA OFICINA</t>
        </is>
      </c>
      <c r="M287" s="10" t="inlineStr">
        <is>
          <t>DOCUMENTO DE ARCHIVO-FÍSICO</t>
        </is>
      </c>
      <c r="N287" s="10" t="inlineStr">
        <is>
          <t>PRIMARIOS</t>
        </is>
      </c>
      <c r="O287" s="10" t="inlineStr">
        <is>
          <t>DOCUMENTOS HABILITANTES</t>
        </is>
      </c>
      <c r="P287" s="10" t="inlineStr">
        <is>
          <t>RESTRINGIDO(3)</t>
        </is>
      </c>
      <c r="Q287" s="10" t="inlineStr">
        <is>
          <t>ALTA(3)</t>
        </is>
      </c>
      <c r="R287" s="10" t="inlineStr">
        <is>
          <t>MEDIA(2)</t>
        </is>
      </c>
      <c r="S287" s="10">
        <f>+(IF(P287="PUBLICA(1)",1,IF(P287="USO INTERNO(2)",2,IF(P287="RESTRINGIDO(3)",3,3))))+(IF(Q287="BAJA(1)",1,IF(Q287="MEDIA(2)",2,IF(Q287="ALTA(3)",3,3))))+(IF(R287="BAJA(1)",1,IF(R287="MEDIA(2)",2,IF(R287="ALTA(3)",3,3))))</f>
        <v/>
      </c>
      <c r="T287" s="10">
        <f>+IF(S287&lt;6,"BAJA",IF(S287&lt;8,"MEDIA","ALTA"))</f>
        <v/>
      </c>
      <c r="U287" s="10" t="inlineStr">
        <is>
          <t>-</t>
        </is>
      </c>
      <c r="V287" s="24" t="inlineStr">
        <is>
          <t>8/02/225</t>
        </is>
      </c>
      <c r="W287" s="19" t="inlineStr">
        <is>
          <t>N/A</t>
        </is>
      </c>
      <c r="X287" s="10">
        <f>+IFERROR(IF(VLOOKUP(Tabla2[[#This Row],[ID]],'EVALUACION DE RIESGO'!A:A,1,FALSE)=Tabla2[[#This Row],[ID]],"SI","NO"),"NO")</f>
        <v/>
      </c>
    </row>
    <row r="288">
      <c r="A288" s="91" t="inlineStr">
        <is>
          <t>47-GCO</t>
        </is>
      </c>
      <c r="B288" s="10" t="inlineStr">
        <is>
          <t>PRODUCTIVO</t>
        </is>
      </c>
      <c r="C288" s="10" t="inlineStr">
        <is>
          <t>Gestión de Colocaciones</t>
        </is>
      </c>
      <c r="D288" s="10" t="inlineStr">
        <is>
          <t>GCO</t>
        </is>
      </c>
      <c r="E288" s="10" t="inlineStr">
        <is>
          <t>Gestión de Compra y Venta de Cartera</t>
        </is>
      </c>
      <c r="F288" s="10" t="inlineStr">
        <is>
          <t>-</t>
        </is>
      </c>
      <c r="G288" s="10" t="inlineStr">
        <is>
          <t xml:space="preserve">Cancelación de operaciones compradas a Empresas Originadoras </t>
        </is>
      </c>
      <c r="H288" s="10" t="inlineStr">
        <is>
          <t>Cesión de Derechos de los contratos de reserva de dominio</t>
        </is>
      </c>
      <c r="I288" s="10" t="inlineStr">
        <is>
          <t>Reservas de dominios de las operaciones canceladas</t>
        </is>
      </c>
      <c r="J288" s="10" t="inlineStr">
        <is>
          <t>Gerente de Negocios</t>
        </is>
      </c>
      <c r="K288" s="10" t="inlineStr">
        <is>
          <t>Tesorero</t>
        </is>
      </c>
      <c r="L288" s="10" t="inlineStr">
        <is>
          <t>DOCUMENTOS FISICOS-ARCHIVOS DE LA OFICINA</t>
        </is>
      </c>
      <c r="M288" s="10" t="inlineStr">
        <is>
          <t>DOCUMENTO DE ARCHIVO-FÍSICO</t>
        </is>
      </c>
      <c r="N288" s="10" t="inlineStr">
        <is>
          <t>PRIMARIOS</t>
        </is>
      </c>
      <c r="O288" s="10" t="inlineStr">
        <is>
          <t>DOCUMENTOS HABILITANTES</t>
        </is>
      </c>
      <c r="P288" s="10" t="inlineStr">
        <is>
          <t>USO INTERNO(2)</t>
        </is>
      </c>
      <c r="Q288" s="10" t="inlineStr">
        <is>
          <t>MEDIA(2)</t>
        </is>
      </c>
      <c r="R288" s="10" t="inlineStr">
        <is>
          <t>MEDIA(2)</t>
        </is>
      </c>
      <c r="S288" s="10">
        <f>+(IF(P288="PUBLICA(1)",1,IF(P288="USO INTERNO(2)",2,IF(P288="RESTRINGIDO(3)",3,3))))+(IF(Q288="BAJA(1)",1,IF(Q288="MEDIA(2)",2,IF(Q288="ALTA(3)",3,3))))+(IF(R288="BAJA(1)",1,IF(R288="MEDIA(2)",2,IF(R288="ALTA(3)",3,3))))</f>
        <v/>
      </c>
      <c r="T288" s="10">
        <f>+IF(S288&lt;6,"BAJA",IF(S288&lt;8,"MEDIA","ALTA"))</f>
        <v/>
      </c>
      <c r="U288" s="10" t="inlineStr">
        <is>
          <t>-</t>
        </is>
      </c>
      <c r="V288" s="24" t="inlineStr">
        <is>
          <t>8/02/225</t>
        </is>
      </c>
      <c r="W288" s="19" t="inlineStr">
        <is>
          <t>N/A</t>
        </is>
      </c>
      <c r="X288" s="10">
        <f>+IFERROR(IF(VLOOKUP(Tabla2[[#This Row],[ID]],'EVALUACION DE RIESGO'!A:A,1,FALSE)=Tabla2[[#This Row],[ID]],"SI","NO"),"NO")</f>
        <v/>
      </c>
    </row>
    <row r="289">
      <c r="A289" s="91" t="inlineStr">
        <is>
          <t>48-GCO</t>
        </is>
      </c>
      <c r="B289" s="10" t="inlineStr">
        <is>
          <t>PRODUCTIVO</t>
        </is>
      </c>
      <c r="C289" s="10" t="inlineStr">
        <is>
          <t>Gestión de Colocaciones</t>
        </is>
      </c>
      <c r="D289" s="10" t="inlineStr">
        <is>
          <t>GCO</t>
        </is>
      </c>
      <c r="E289" s="10" t="inlineStr">
        <is>
          <t>Gestión de Compra y Venta de Cartera</t>
        </is>
      </c>
      <c r="F289" s="10" t="inlineStr">
        <is>
          <t>-</t>
        </is>
      </c>
      <c r="G289" s="10" t="inlineStr">
        <is>
          <t xml:space="preserve">Venta de cartera </t>
        </is>
      </c>
      <c r="H289" s="10" t="inlineStr">
        <is>
          <t>Reporte de cartera disponible para la venta</t>
        </is>
      </c>
      <c r="I289" s="10" t="inlineStr">
        <is>
          <t>Reporte de cartera legal y castigada disponible para la venta</t>
        </is>
      </c>
      <c r="J289" s="10" t="inlineStr">
        <is>
          <t>Gerente de Negocios</t>
        </is>
      </c>
      <c r="K289" s="10" t="inlineStr">
        <is>
          <t>Gerente de Negocios</t>
        </is>
      </c>
      <c r="L289" s="10" t="inlineStr">
        <is>
          <t>UBICACIÓN DIGITAL-EQUIPO DEL RESPONSABLE</t>
        </is>
      </c>
      <c r="M289" s="10" t="inlineStr">
        <is>
          <t>DISCOS DUROS, SERVIDORES, DISCOS O MEDIOS PORTÁTILES, CINTAS O MEDIOS DE VIDEO Y AUDIO, ETC.</t>
        </is>
      </c>
      <c r="N289" s="10" t="inlineStr">
        <is>
          <t>PRIMARIOS</t>
        </is>
      </c>
      <c r="O289" s="10" t="inlineStr">
        <is>
          <t>DOCUMENTOS TÉCNICOS</t>
        </is>
      </c>
      <c r="P289" s="10" t="inlineStr">
        <is>
          <t>RESTRINGIDO(3)</t>
        </is>
      </c>
      <c r="Q289" s="10" t="inlineStr">
        <is>
          <t>MEDIA(2)</t>
        </is>
      </c>
      <c r="R289" s="10" t="inlineStr">
        <is>
          <t>MEDIA(2)</t>
        </is>
      </c>
      <c r="S289" s="10">
        <f>+(IF(P289="PUBLICA(1)",1,IF(P289="USO INTERNO(2)",2,IF(P289="RESTRINGIDO(3)",3,3))))+(IF(Q289="BAJA(1)",1,IF(Q289="MEDIA(2)",2,IF(Q289="ALTA(3)",3,3))))+(IF(R289="BAJA(1)",1,IF(R289="MEDIA(2)",2,IF(R289="ALTA(3)",3,3))))</f>
        <v/>
      </c>
      <c r="T289" s="10">
        <f>+IF(S289&lt;6,"BAJA",IF(S289&lt;8,"MEDIA","ALTA"))</f>
        <v/>
      </c>
      <c r="U289" s="10" t="inlineStr">
        <is>
          <t>-</t>
        </is>
      </c>
      <c r="V289" s="24" t="inlineStr">
        <is>
          <t>8/02/225</t>
        </is>
      </c>
      <c r="W289" s="19" t="inlineStr">
        <is>
          <t>N/A</t>
        </is>
      </c>
      <c r="X289" s="10">
        <f>+IFERROR(IF(VLOOKUP(Tabla2[[#This Row],[ID]],'EVALUACION DE RIESGO'!A:A,1,FALSE)=Tabla2[[#This Row],[ID]],"SI","NO"),"NO")</f>
        <v/>
      </c>
    </row>
    <row r="290">
      <c r="A290" s="91" t="inlineStr">
        <is>
          <t>49-GCO</t>
        </is>
      </c>
      <c r="B290" s="10" t="inlineStr">
        <is>
          <t>PRODUCTIVO</t>
        </is>
      </c>
      <c r="C290" s="10" t="inlineStr">
        <is>
          <t>Gestión de Colocaciones</t>
        </is>
      </c>
      <c r="D290" s="10" t="inlineStr">
        <is>
          <t>GCO</t>
        </is>
      </c>
      <c r="E290" s="10" t="inlineStr">
        <is>
          <t>Gestión de Compra y Venta de Cartera</t>
        </is>
      </c>
      <c r="F290" s="10" t="inlineStr">
        <is>
          <t>-</t>
        </is>
      </c>
      <c r="G290" s="10" t="inlineStr">
        <is>
          <t xml:space="preserve">Venta de cartera </t>
        </is>
      </c>
      <c r="H290" s="10" t="inlineStr">
        <is>
          <t>Informe de riesgos, financiero y de negocios para la venta de cartera</t>
        </is>
      </c>
      <c r="I290" s="10" t="inlineStr">
        <is>
          <t>Informes de costo beneficio y de riesgos del reporte disponible para la venta</t>
        </is>
      </c>
      <c r="J290" s="10" t="inlineStr">
        <is>
          <t>Gerente de Negocios</t>
        </is>
      </c>
      <c r="K290" s="10" t="inlineStr">
        <is>
          <t>Gerente de Negocios</t>
        </is>
      </c>
      <c r="L290" s="10" t="inlineStr">
        <is>
          <t>DOCUMENTOS FISICOS-ARCHIVOS DE LA OFICINA</t>
        </is>
      </c>
      <c r="M290" s="10" t="inlineStr">
        <is>
          <t>DOCUMENTO DE ARCHIVO-FÍSICO</t>
        </is>
      </c>
      <c r="N290" s="10" t="inlineStr">
        <is>
          <t>PRIMARIOS</t>
        </is>
      </c>
      <c r="O290" s="10" t="inlineStr">
        <is>
          <t>DOCUMENTOS TÉCNICOS</t>
        </is>
      </c>
      <c r="P290" s="10" t="inlineStr">
        <is>
          <t>USO INTERNO(2)</t>
        </is>
      </c>
      <c r="Q290" s="10" t="inlineStr">
        <is>
          <t>MEDIA(2)</t>
        </is>
      </c>
      <c r="R290" s="10" t="inlineStr">
        <is>
          <t>MEDIA(2)</t>
        </is>
      </c>
      <c r="S290" s="10">
        <f>+(IF(P290="PUBLICA(1)",1,IF(P290="USO INTERNO(2)",2,IF(P290="RESTRINGIDO(3)",3,3))))+(IF(Q290="BAJA(1)",1,IF(Q290="MEDIA(2)",2,IF(Q290="ALTA(3)",3,3))))+(IF(R290="BAJA(1)",1,IF(R290="MEDIA(2)",2,IF(R290="ALTA(3)",3,3))))</f>
        <v/>
      </c>
      <c r="T290" s="10">
        <f>+IF(S290&lt;6,"BAJA",IF(S290&lt;8,"MEDIA","ALTA"))</f>
        <v/>
      </c>
      <c r="U290" s="10" t="inlineStr">
        <is>
          <t>-</t>
        </is>
      </c>
      <c r="V290" s="24" t="inlineStr">
        <is>
          <t>8/02/225</t>
        </is>
      </c>
      <c r="W290" s="19" t="inlineStr">
        <is>
          <t>N/A</t>
        </is>
      </c>
      <c r="X290" s="10">
        <f>+IFERROR(IF(VLOOKUP(Tabla2[[#This Row],[ID]],'EVALUACION DE RIESGO'!A:A,1,FALSE)=Tabla2[[#This Row],[ID]],"SI","NO"),"NO")</f>
        <v/>
      </c>
    </row>
    <row r="291">
      <c r="A291" s="91" t="inlineStr">
        <is>
          <t>50-GCO</t>
        </is>
      </c>
      <c r="B291" s="10" t="inlineStr">
        <is>
          <t>PRODUCTIVO</t>
        </is>
      </c>
      <c r="C291" s="10" t="inlineStr">
        <is>
          <t>Gestión de Colocaciones</t>
        </is>
      </c>
      <c r="D291" s="10" t="inlineStr">
        <is>
          <t>GCO</t>
        </is>
      </c>
      <c r="E291" s="10" t="inlineStr">
        <is>
          <t>Gestión de Compra y Venta de Cartera</t>
        </is>
      </c>
      <c r="F291" s="10" t="inlineStr">
        <is>
          <t>-</t>
        </is>
      </c>
      <c r="G291" s="10" t="inlineStr">
        <is>
          <t xml:space="preserve">Venta de cartera </t>
        </is>
      </c>
      <c r="H291" s="10" t="inlineStr">
        <is>
          <t>Certificación del consejo de Administración para la venta de cartera</t>
        </is>
      </c>
      <c r="I291" s="10" t="inlineStr">
        <is>
          <t>Validación del informe final para la venta de cartera para su aprobación</t>
        </is>
      </c>
      <c r="J291" s="10" t="inlineStr">
        <is>
          <t>Gerente de Negocios</t>
        </is>
      </c>
      <c r="K291" s="10" t="inlineStr">
        <is>
          <t>Gerente de Negocios</t>
        </is>
      </c>
      <c r="L291" s="10" t="inlineStr">
        <is>
          <t>UBICACIÓN DIGITAL-EQUIPO DEL RESPONSABLE</t>
        </is>
      </c>
      <c r="M291" s="10" t="inlineStr">
        <is>
          <t>DISCOS DUROS, SERVIDORES, DISCOS O MEDIOS PORTÁTILES, CINTAS O MEDIOS DE VIDEO Y AUDIO, ETC.</t>
        </is>
      </c>
      <c r="N291" s="10" t="inlineStr">
        <is>
          <t>PRIMARIOS</t>
        </is>
      </c>
      <c r="O291" s="10" t="inlineStr">
        <is>
          <t>COMUNICACIÓN INTERNA</t>
        </is>
      </c>
      <c r="P291" s="10" t="inlineStr">
        <is>
          <t>USO INTERNO(2)</t>
        </is>
      </c>
      <c r="Q291" s="10" t="inlineStr">
        <is>
          <t>MEDIA(2)</t>
        </is>
      </c>
      <c r="R291" s="10" t="inlineStr">
        <is>
          <t>MEDIA(2)</t>
        </is>
      </c>
      <c r="S291" s="10">
        <f>+(IF(P291="PUBLICA(1)",1,IF(P291="USO INTERNO(2)",2,IF(P291="RESTRINGIDO(3)",3,3))))+(IF(Q291="BAJA(1)",1,IF(Q291="MEDIA(2)",2,IF(Q291="ALTA(3)",3,3))))+(IF(R291="BAJA(1)",1,IF(R291="MEDIA(2)",2,IF(R291="ALTA(3)",3,3))))</f>
        <v/>
      </c>
      <c r="T291" s="10">
        <f>+IF(S291&lt;6,"BAJA",IF(S291&lt;8,"MEDIA","ALTA"))</f>
        <v/>
      </c>
      <c r="U291" s="10" t="inlineStr">
        <is>
          <t>-</t>
        </is>
      </c>
      <c r="V291" s="24" t="inlineStr">
        <is>
          <t>8/02/225</t>
        </is>
      </c>
      <c r="W291" s="19" t="inlineStr">
        <is>
          <t>N/A</t>
        </is>
      </c>
      <c r="X291" s="10">
        <f>+IFERROR(IF(VLOOKUP(Tabla2[[#This Row],[ID]],'EVALUACION DE RIESGO'!A:A,1,FALSE)=Tabla2[[#This Row],[ID]],"SI","NO"),"NO")</f>
        <v/>
      </c>
    </row>
    <row r="292">
      <c r="A292" s="91" t="inlineStr">
        <is>
          <t>51-GCO</t>
        </is>
      </c>
      <c r="B292" s="10" t="inlineStr">
        <is>
          <t>PRODUCTIVO</t>
        </is>
      </c>
      <c r="C292" s="10" t="inlineStr">
        <is>
          <t>Gestión de Colocaciones</t>
        </is>
      </c>
      <c r="D292" s="10" t="inlineStr">
        <is>
          <t>GCO</t>
        </is>
      </c>
      <c r="E292" s="10" t="inlineStr">
        <is>
          <t>Gestión de Compra y Venta de Cartera</t>
        </is>
      </c>
      <c r="F292" s="10" t="inlineStr">
        <is>
          <t>-</t>
        </is>
      </c>
      <c r="G292" s="10" t="inlineStr">
        <is>
          <t xml:space="preserve">Venta de cartera </t>
        </is>
      </c>
      <c r="H292" s="10" t="inlineStr">
        <is>
          <t>Solicitud de Elaboración de Contrato</t>
        </is>
      </c>
      <c r="I292" s="10" t="inlineStr">
        <is>
          <t xml:space="preserve">Solicitud realizada a Jurídico para la elaboración del contrato de venta de cartera </t>
        </is>
      </c>
      <c r="J292" s="10" t="inlineStr">
        <is>
          <t>Gerente de Negocios</t>
        </is>
      </c>
      <c r="K292" s="10" t="inlineStr">
        <is>
          <t>Gerente de Negocios</t>
        </is>
      </c>
      <c r="L292" s="10" t="inlineStr">
        <is>
          <t>UBICACIÓN DIGITAL-EQUIPO DEL RESPONSABLE</t>
        </is>
      </c>
      <c r="M292" s="10" t="inlineStr">
        <is>
          <t>DISCOS DUROS, SERVIDORES, DISCOS O MEDIOS PORTÁTILES, CINTAS O MEDIOS DE VIDEO Y AUDIO, ETC.</t>
        </is>
      </c>
      <c r="N292" s="10" t="inlineStr">
        <is>
          <t>PRIMARIOS</t>
        </is>
      </c>
      <c r="O292" s="10" t="inlineStr">
        <is>
          <t>COMUNICACIÓN INTERNA</t>
        </is>
      </c>
      <c r="P292" s="10" t="inlineStr">
        <is>
          <t>USO INTERNO(2)</t>
        </is>
      </c>
      <c r="Q292" s="10" t="inlineStr">
        <is>
          <t>MEDIA(2)</t>
        </is>
      </c>
      <c r="R292" s="10" t="inlineStr">
        <is>
          <t>BAJA(1)</t>
        </is>
      </c>
      <c r="S292" s="10">
        <f>+(IF(P292="PUBLICA(1)",1,IF(P292="USO INTERNO(2)",2,IF(P292="RESTRINGIDO(3)",3,3))))+(IF(Q292="BAJA(1)",1,IF(Q292="MEDIA(2)",2,IF(Q292="ALTA(3)",3,3))))+(IF(R292="BAJA(1)",1,IF(R292="MEDIA(2)",2,IF(R292="ALTA(3)",3,3))))</f>
        <v/>
      </c>
      <c r="T292" s="10">
        <f>+IF(S292&lt;6,"BAJA",IF(S292&lt;8,"MEDIA","ALTA"))</f>
        <v/>
      </c>
      <c r="U292" s="10" t="inlineStr">
        <is>
          <t>-</t>
        </is>
      </c>
      <c r="V292" s="24" t="inlineStr">
        <is>
          <t>8/02/225</t>
        </is>
      </c>
      <c r="W292" s="19" t="inlineStr">
        <is>
          <t>N/A</t>
        </is>
      </c>
      <c r="X292" s="10">
        <f>+IFERROR(IF(VLOOKUP(Tabla2[[#This Row],[ID]],'EVALUACION DE RIESGO'!A:A,1,FALSE)=Tabla2[[#This Row],[ID]],"SI","NO"),"NO")</f>
        <v/>
      </c>
    </row>
    <row r="293" ht="20.5" customHeight="1" s="98">
      <c r="A293" s="91" t="inlineStr">
        <is>
          <t>52-GCO</t>
        </is>
      </c>
      <c r="B293" s="10" t="inlineStr">
        <is>
          <t>PRODUCTIVO</t>
        </is>
      </c>
      <c r="C293" s="10" t="inlineStr">
        <is>
          <t>Gestión de Colocaciones</t>
        </is>
      </c>
      <c r="D293" s="10" t="inlineStr">
        <is>
          <t>GCO</t>
        </is>
      </c>
      <c r="E293" s="10" t="inlineStr">
        <is>
          <t>Gestión de Compra y Venta de Cartera</t>
        </is>
      </c>
      <c r="F293" s="10" t="inlineStr">
        <is>
          <t>-</t>
        </is>
      </c>
      <c r="G293" s="10" t="inlineStr">
        <is>
          <t xml:space="preserve">Entrega de datos y cobro de la venta </t>
        </is>
      </c>
      <c r="H293" s="17" t="inlineStr">
        <is>
          <t>Operaciones de crédito vendidas</t>
        </is>
      </c>
      <c r="I293" s="17" t="inlineStr">
        <is>
          <t>Reporte de cartera a venderse de acuerdo con los requerimientos del proveedor</t>
        </is>
      </c>
      <c r="J293" s="10" t="inlineStr">
        <is>
          <t>Gerente de Negocios</t>
        </is>
      </c>
      <c r="K293" s="10" t="inlineStr">
        <is>
          <t>Gerente de Negocios</t>
        </is>
      </c>
      <c r="L293" s="10" t="inlineStr">
        <is>
          <t>UBICACIÓN DIGITAL-EQUIPO DEL RESPONSABLE</t>
        </is>
      </c>
      <c r="M293" s="10" t="inlineStr">
        <is>
          <t>DISCOS DUROS, SERVIDORES, DISCOS O MEDIOS PORTÁTILES, CINTAS O MEDIOS DE VIDEO Y AUDIO, ETC.</t>
        </is>
      </c>
      <c r="N293" s="10" t="inlineStr">
        <is>
          <t>PRIMARIOS</t>
        </is>
      </c>
      <c r="O293" s="10" t="inlineStr">
        <is>
          <t>DOCUMENTOS TÉCNICOS</t>
        </is>
      </c>
      <c r="P293" s="10" t="inlineStr">
        <is>
          <t>RESTRINGIDO(3)</t>
        </is>
      </c>
      <c r="Q293" s="10" t="inlineStr">
        <is>
          <t>ALTA(3)</t>
        </is>
      </c>
      <c r="R293" s="10" t="inlineStr">
        <is>
          <t>MEDIA(2)</t>
        </is>
      </c>
      <c r="S293" s="10">
        <f>+(IF(P293="PUBLICA(1)",1,IF(P293="USO INTERNO(2)",2,IF(P293="RESTRINGIDO(3)",3,3))))+(IF(Q293="BAJA(1)",1,IF(Q293="MEDIA(2)",2,IF(Q293="ALTA(3)",3,3))))+(IF(R293="BAJA(1)",1,IF(R293="MEDIA(2)",2,IF(R293="ALTA(3)",3,3))))</f>
        <v/>
      </c>
      <c r="T293" s="10">
        <f>+IF(S293&lt;6,"BAJA",IF(S293&lt;8,"MEDIA","ALTA"))</f>
        <v/>
      </c>
      <c r="U293" s="10" t="inlineStr">
        <is>
          <t>-</t>
        </is>
      </c>
      <c r="V293" s="24" t="inlineStr">
        <is>
          <t>8/02/225</t>
        </is>
      </c>
      <c r="W293" s="19" t="inlineStr">
        <is>
          <t>N/A</t>
        </is>
      </c>
      <c r="X293" s="10">
        <f>+IFERROR(IF(VLOOKUP(Tabla2[[#This Row],[ID]],'EVALUACION DE RIESGO'!A:A,1,FALSE)=Tabla2[[#This Row],[ID]],"SI","NO"),"NO")</f>
        <v/>
      </c>
    </row>
    <row r="294">
      <c r="A294" s="91" t="inlineStr">
        <is>
          <t>53-GCO</t>
        </is>
      </c>
      <c r="B294" s="10" t="inlineStr">
        <is>
          <t>PRODUCTIVO</t>
        </is>
      </c>
      <c r="C294" s="10" t="inlineStr">
        <is>
          <t>Gestión de Colocaciones</t>
        </is>
      </c>
      <c r="D294" s="10" t="inlineStr">
        <is>
          <t>GCO</t>
        </is>
      </c>
      <c r="E294" s="10" t="inlineStr">
        <is>
          <t>Gestión de Compra y Venta de Cartera</t>
        </is>
      </c>
      <c r="F294" s="10" t="inlineStr">
        <is>
          <t>-</t>
        </is>
      </c>
      <c r="G294" s="10" t="inlineStr">
        <is>
          <t xml:space="preserve">Entrega de datos y cobro de la venta </t>
        </is>
      </c>
      <c r="H294" s="10" t="inlineStr">
        <is>
          <t>Pagarés endosados para la venta</t>
        </is>
      </c>
      <c r="I294" s="10" t="inlineStr">
        <is>
          <t>Endoso de los pagares de la cartera a vender</t>
        </is>
      </c>
      <c r="J294" s="10" t="inlineStr">
        <is>
          <t>Gerente de Negocios</t>
        </is>
      </c>
      <c r="K294" s="10" t="inlineStr">
        <is>
          <t>Gerente de Negocios</t>
        </is>
      </c>
      <c r="L294" s="10" t="inlineStr">
        <is>
          <t>UBICACIÓN DIGITAL-EQUIPO DEL RESPONSABLE</t>
        </is>
      </c>
      <c r="M294" s="10" t="inlineStr">
        <is>
          <t>DISCOS DUROS, SERVIDORES, DISCOS O MEDIOS PORTÁTILES, CINTAS O MEDIOS DE VIDEO Y AUDIO, ETC.</t>
        </is>
      </c>
      <c r="N294" s="10" t="inlineStr">
        <is>
          <t>PRIMARIOS</t>
        </is>
      </c>
      <c r="O294" s="10" t="inlineStr">
        <is>
          <t>DOCUMENTOS HABILITANTES</t>
        </is>
      </c>
      <c r="P294" s="10" t="inlineStr">
        <is>
          <t>RESTRINGIDO(3)</t>
        </is>
      </c>
      <c r="Q294" s="10" t="inlineStr">
        <is>
          <t>MEDIA(2)</t>
        </is>
      </c>
      <c r="R294" s="10" t="inlineStr">
        <is>
          <t>MEDIA(2)</t>
        </is>
      </c>
      <c r="S294" s="10">
        <f>+(IF(P294="PUBLICA(1)",1,IF(P294="USO INTERNO(2)",2,IF(P294="RESTRINGIDO(3)",3,3))))+(IF(Q294="BAJA(1)",1,IF(Q294="MEDIA(2)",2,IF(Q294="ALTA(3)",3,3))))+(IF(R294="BAJA(1)",1,IF(R294="MEDIA(2)",2,IF(R294="ALTA(3)",3,3))))</f>
        <v/>
      </c>
      <c r="T294" s="10">
        <f>+IF(S294&lt;6,"BAJA",IF(S294&lt;8,"MEDIA","ALTA"))</f>
        <v/>
      </c>
      <c r="U294" s="10" t="inlineStr">
        <is>
          <t>-</t>
        </is>
      </c>
      <c r="V294" s="24" t="inlineStr">
        <is>
          <t>8/02/225</t>
        </is>
      </c>
      <c r="W294" s="19" t="inlineStr">
        <is>
          <t>N/A</t>
        </is>
      </c>
      <c r="X294" s="10">
        <f>+IFERROR(IF(VLOOKUP(Tabla2[[#This Row],[ID]],'EVALUACION DE RIESGO'!A:A,1,FALSE)=Tabla2[[#This Row],[ID]],"SI","NO"),"NO")</f>
        <v/>
      </c>
    </row>
    <row r="295">
      <c r="A295" s="91" t="inlineStr">
        <is>
          <t>54-GCO</t>
        </is>
      </c>
      <c r="B295" s="10" t="inlineStr">
        <is>
          <t>PRODUCTIVO</t>
        </is>
      </c>
      <c r="C295" s="10" t="inlineStr">
        <is>
          <t>Gestión de Colocaciones</t>
        </is>
      </c>
      <c r="D295" s="10" t="inlineStr">
        <is>
          <t>GCO</t>
        </is>
      </c>
      <c r="E295" s="10" t="inlineStr">
        <is>
          <t>Gestión de Compra y Venta de Cartera</t>
        </is>
      </c>
      <c r="F295" s="10" t="inlineStr">
        <is>
          <t>-</t>
        </is>
      </c>
      <c r="G295" s="10" t="inlineStr">
        <is>
          <t xml:space="preserve">Entrega de datos y cobro de la venta </t>
        </is>
      </c>
      <c r="H295" s="10" t="inlineStr">
        <is>
          <t>Reporte de Cartera Vendida</t>
        </is>
      </c>
      <c r="I295" s="10" t="inlineStr">
        <is>
          <t>Reporte procesado por Operaciones para el registro en el Core Financiero</t>
        </is>
      </c>
      <c r="J295" s="10" t="inlineStr">
        <is>
          <t>Gerente de Negocios</t>
        </is>
      </c>
      <c r="K295" s="10" t="inlineStr">
        <is>
          <t>Gerente de Negocios</t>
        </is>
      </c>
      <c r="L295" s="10" t="inlineStr">
        <is>
          <t>UBICACIÓN DIGITAL-EQUIPO DEL RESPONSABLE</t>
        </is>
      </c>
      <c r="M295" s="10" t="inlineStr">
        <is>
          <t>DISCOS DUROS, SERVIDORES, DISCOS O MEDIOS PORTÁTILES, CINTAS O MEDIOS DE VIDEO Y AUDIO, ETC.</t>
        </is>
      </c>
      <c r="N295" s="10" t="inlineStr">
        <is>
          <t>PRIMARIOS</t>
        </is>
      </c>
      <c r="O295" s="10" t="inlineStr">
        <is>
          <t>DOCUMENTOS TÉCNICOS</t>
        </is>
      </c>
      <c r="P295" s="10" t="inlineStr">
        <is>
          <t>RESTRINGIDO(3)</t>
        </is>
      </c>
      <c r="Q295" s="10" t="inlineStr">
        <is>
          <t>MEDIA(2)</t>
        </is>
      </c>
      <c r="R295" s="10" t="inlineStr">
        <is>
          <t>MEDIA(2)</t>
        </is>
      </c>
      <c r="S295" s="10">
        <f>+(IF(P295="PUBLICA(1)",1,IF(P295="USO INTERNO(2)",2,IF(P295="RESTRINGIDO(3)",3,3))))+(IF(Q295="BAJA(1)",1,IF(Q295="MEDIA(2)",2,IF(Q295="ALTA(3)",3,3))))+(IF(R295="BAJA(1)",1,IF(R295="MEDIA(2)",2,IF(R295="ALTA(3)",3,3))))</f>
        <v/>
      </c>
      <c r="T295" s="10">
        <f>+IF(S295&lt;6,"BAJA",IF(S295&lt;8,"MEDIA","ALTA"))</f>
        <v/>
      </c>
      <c r="U295" s="10" t="inlineStr">
        <is>
          <t>-</t>
        </is>
      </c>
      <c r="V295" s="24" t="inlineStr">
        <is>
          <t>8/02/225</t>
        </is>
      </c>
      <c r="W295" s="19" t="inlineStr">
        <is>
          <t>N/A</t>
        </is>
      </c>
      <c r="X295" s="10">
        <f>+IFERROR(IF(VLOOKUP(Tabla2[[#This Row],[ID]],'EVALUACION DE RIESGO'!A:A,1,FALSE)=Tabla2[[#This Row],[ID]],"SI","NO"),"NO")</f>
        <v/>
      </c>
    </row>
    <row r="296">
      <c r="A296" s="91" t="inlineStr">
        <is>
          <t>55-GCO</t>
        </is>
      </c>
      <c r="B296" s="10" t="inlineStr">
        <is>
          <t>PRODUCTIVO</t>
        </is>
      </c>
      <c r="C296" s="10" t="inlineStr">
        <is>
          <t>Gestión de Colocaciones</t>
        </is>
      </c>
      <c r="D296" s="10" t="inlineStr">
        <is>
          <t>GCO</t>
        </is>
      </c>
      <c r="E296" s="10" t="inlineStr">
        <is>
          <t>N/A</t>
        </is>
      </c>
      <c r="F296" s="10" t="inlineStr">
        <is>
          <t>-</t>
        </is>
      </c>
      <c r="G296" s="10" t="inlineStr">
        <is>
          <t>N/A</t>
        </is>
      </c>
      <c r="H296" s="10" t="inlineStr">
        <is>
          <t xml:space="preserve">Equipos de computación </t>
        </is>
      </c>
      <c r="I296" s="10" t="inlineStr">
        <is>
          <t>Equipos de computación donde se realiza la gestión del área</t>
        </is>
      </c>
      <c r="J296" s="10" t="inlineStr">
        <is>
          <t>Gerente de Negocios</t>
        </is>
      </c>
      <c r="K296" s="10" t="inlineStr">
        <is>
          <t>Gerente de Negocios</t>
        </is>
      </c>
      <c r="L296" s="10" t="inlineStr">
        <is>
          <t>UBICACIÓN FISICA-MATRIZ ATUNTAQUI</t>
        </is>
      </c>
      <c r="M296" s="10" t="inlineStr">
        <is>
          <t>DISCOS DUROS, SERVIDORES, DISCOS O MEDIOS PORTÁTILES, CINTAS O MEDIOS DE VIDEO Y AUDIO, ETC.</t>
        </is>
      </c>
      <c r="N296" s="10" t="inlineStr">
        <is>
          <t>APOYO</t>
        </is>
      </c>
      <c r="O296" s="10" t="inlineStr">
        <is>
          <t>HARDWARE</t>
        </is>
      </c>
      <c r="P296" s="10" t="inlineStr">
        <is>
          <t>RESTRINGIDO(3)</t>
        </is>
      </c>
      <c r="Q296" s="10" t="inlineStr">
        <is>
          <t>MEDIA(2)</t>
        </is>
      </c>
      <c r="R296" s="10" t="inlineStr">
        <is>
          <t>MEDIA(2)</t>
        </is>
      </c>
      <c r="S296" s="10">
        <f>+(IF(P296="PUBLICA(1)",1,IF(P296="USO INTERNO(2)",2,IF(P296="RESTRINGIDO(3)",3,3))))+(IF(Q296="BAJA(1)",1,IF(Q296="MEDIA(2)",2,IF(Q296="ALTA(3)",3,3))))+(IF(R296="BAJA(1)",1,IF(R296="MEDIA(2)",2,IF(R296="ALTA(3)",3,3))))</f>
        <v/>
      </c>
      <c r="T296" s="10">
        <f>+IF(S296&lt;6,"BAJA",IF(S296&lt;8,"MEDIA","ALTA"))</f>
        <v/>
      </c>
      <c r="U296" s="10" t="inlineStr">
        <is>
          <t>-</t>
        </is>
      </c>
      <c r="V296" s="24" t="n">
        <v>45712</v>
      </c>
      <c r="W296" s="19" t="inlineStr">
        <is>
          <t>N/A</t>
        </is>
      </c>
      <c r="X296" s="10">
        <f>+IFERROR(IF(VLOOKUP(Tabla2[[#This Row],[ID]],'EVALUACION DE RIESGO'!A:A,1,FALSE)=Tabla2[[#This Row],[ID]],"SI","NO"),"NO")</f>
        <v/>
      </c>
    </row>
    <row r="297">
      <c r="A297" s="91" t="inlineStr">
        <is>
          <t>56-GCO</t>
        </is>
      </c>
      <c r="B297" s="10" t="inlineStr">
        <is>
          <t>PRODUCTIVO</t>
        </is>
      </c>
      <c r="C297" s="10" t="inlineStr">
        <is>
          <t>Gestión de Colocaciones</t>
        </is>
      </c>
      <c r="D297" s="10" t="inlineStr">
        <is>
          <t>GCO</t>
        </is>
      </c>
      <c r="E297" s="10" t="inlineStr">
        <is>
          <t>N/A</t>
        </is>
      </c>
      <c r="F297" s="10" t="inlineStr">
        <is>
          <t>-</t>
        </is>
      </c>
      <c r="G297" s="10" t="inlineStr">
        <is>
          <t>N/A</t>
        </is>
      </c>
      <c r="H297" s="10" t="inlineStr">
        <is>
          <t>Gerente de Negocios</t>
        </is>
      </c>
      <c r="I297" s="10" t="inlineStr">
        <is>
          <t>N/A</t>
        </is>
      </c>
      <c r="J297" s="10" t="inlineStr">
        <is>
          <t>Gerente de Negocios</t>
        </is>
      </c>
      <c r="K297" s="10" t="inlineStr">
        <is>
          <t>N/A</t>
        </is>
      </c>
      <c r="L297" s="10" t="inlineStr">
        <is>
          <t>N/A</t>
        </is>
      </c>
      <c r="M297" s="10" t="inlineStr">
        <is>
          <t>N/A</t>
        </is>
      </c>
      <c r="N297" s="10" t="inlineStr">
        <is>
          <t>APOYO</t>
        </is>
      </c>
      <c r="O297" s="10" t="inlineStr">
        <is>
          <t>RECURSO HUMANO</t>
        </is>
      </c>
      <c r="P297" s="10" t="inlineStr">
        <is>
          <t>USO INTERNO(2)</t>
        </is>
      </c>
      <c r="Q297" s="10" t="inlineStr">
        <is>
          <t>MEDIA(2)</t>
        </is>
      </c>
      <c r="R297" s="10" t="inlineStr">
        <is>
          <t>MEDIA(2)</t>
        </is>
      </c>
      <c r="S297" s="10">
        <f>+(IF(P297="PUBLICA(1)",1,IF(P297="USO INTERNO(2)",2,IF(P297="RESTRINGIDO(3)",3,3))))+(IF(Q297="BAJA(1)",1,IF(Q297="MEDIA(2)",2,IF(Q297="ALTA(3)",3,3))))+(IF(R297="BAJA(1)",1,IF(R297="MEDIA(2)",2,IF(R297="ALTA(3)",3,3))))</f>
        <v/>
      </c>
      <c r="T297" s="10">
        <f>+IF(S297&lt;6,"BAJA",IF(S297&lt;8,"MEDIA","ALTA"))</f>
        <v/>
      </c>
      <c r="U297" s="10" t="inlineStr">
        <is>
          <t>-</t>
        </is>
      </c>
      <c r="V297" s="24" t="n">
        <v>45712</v>
      </c>
      <c r="W297" s="19" t="inlineStr">
        <is>
          <t>N/A</t>
        </is>
      </c>
      <c r="X297" s="10">
        <f>+IFERROR(IF(VLOOKUP(Tabla2[[#This Row],[ID]],'EVALUACION DE RIESGO'!A:A,1,FALSE)=Tabla2[[#This Row],[ID]],"SI","NO"),"NO")</f>
        <v/>
      </c>
    </row>
    <row r="298">
      <c r="A298" s="91" t="inlineStr">
        <is>
          <t>57-GCO</t>
        </is>
      </c>
      <c r="B298" s="10" t="inlineStr">
        <is>
          <t>PRODUCTIVO</t>
        </is>
      </c>
      <c r="C298" s="10" t="inlineStr">
        <is>
          <t>Gestión de Colocaciones</t>
        </is>
      </c>
      <c r="D298" s="10" t="inlineStr">
        <is>
          <t>GCO</t>
        </is>
      </c>
      <c r="E298" s="10" t="inlineStr">
        <is>
          <t>N/A</t>
        </is>
      </c>
      <c r="F298" s="10" t="inlineStr">
        <is>
          <t>-</t>
        </is>
      </c>
      <c r="G298" s="10" t="inlineStr">
        <is>
          <t>N/A</t>
        </is>
      </c>
      <c r="H298" s="10" t="inlineStr">
        <is>
          <t>Jefe de Negocios</t>
        </is>
      </c>
      <c r="I298" s="10" t="inlineStr">
        <is>
          <t>N/A</t>
        </is>
      </c>
      <c r="J298" s="10" t="inlineStr">
        <is>
          <t>Jefe de Negocios</t>
        </is>
      </c>
      <c r="K298" s="10" t="inlineStr">
        <is>
          <t>N/A</t>
        </is>
      </c>
      <c r="L298" s="10" t="inlineStr">
        <is>
          <t>N/A</t>
        </is>
      </c>
      <c r="M298" s="10" t="inlineStr">
        <is>
          <t>N/A</t>
        </is>
      </c>
      <c r="N298" s="10" t="inlineStr">
        <is>
          <t>APOYO</t>
        </is>
      </c>
      <c r="O298" s="10" t="inlineStr">
        <is>
          <t>RECURSO HUMANO</t>
        </is>
      </c>
      <c r="P298" s="10" t="inlineStr">
        <is>
          <t>USO INTERNO(2)</t>
        </is>
      </c>
      <c r="Q298" s="10" t="inlineStr">
        <is>
          <t>MEDIA(2)</t>
        </is>
      </c>
      <c r="R298" s="10" t="inlineStr">
        <is>
          <t>MEDIA(2)</t>
        </is>
      </c>
      <c r="S298" s="10">
        <f>+(IF(P298="PUBLICA(1)",1,IF(P298="USO INTERNO(2)",2,IF(P298="RESTRINGIDO(3)",3,3))))+(IF(Q298="BAJA(1)",1,IF(Q298="MEDIA(2)",2,IF(Q298="ALTA(3)",3,3))))+(IF(R298="BAJA(1)",1,IF(R298="MEDIA(2)",2,IF(R298="ALTA(3)",3,3))))</f>
        <v/>
      </c>
      <c r="T298" s="10">
        <f>+IF(S298&lt;6,"BAJA",IF(S298&lt;8,"MEDIA","ALTA"))</f>
        <v/>
      </c>
      <c r="U298" s="10" t="inlineStr">
        <is>
          <t>-</t>
        </is>
      </c>
      <c r="V298" s="24" t="n">
        <v>45712</v>
      </c>
      <c r="W298" s="19" t="inlineStr">
        <is>
          <t>N/A</t>
        </is>
      </c>
      <c r="X298" s="10">
        <f>+IFERROR(IF(VLOOKUP(Tabla2[[#This Row],[ID]],'EVALUACION DE RIESGO'!A:A,1,FALSE)=Tabla2[[#This Row],[ID]],"SI","NO"),"NO")</f>
        <v/>
      </c>
    </row>
    <row r="299">
      <c r="A299" s="91" t="inlineStr">
        <is>
          <t>1-GNE</t>
        </is>
      </c>
      <c r="B299" s="10" t="inlineStr">
        <is>
          <t>PRODUCTIVO</t>
        </is>
      </c>
      <c r="C299" s="10" t="inlineStr">
        <is>
          <t>Gestión de Negocios</t>
        </is>
      </c>
      <c r="D299" s="10" t="inlineStr">
        <is>
          <t>GNE</t>
        </is>
      </c>
      <c r="E299" s="10" t="inlineStr">
        <is>
          <t>Gestión de Marketing</t>
        </is>
      </c>
      <c r="F299" s="10" t="inlineStr">
        <is>
          <t>-</t>
        </is>
      </c>
      <c r="G299" s="10" t="inlineStr">
        <is>
          <t>Elaboración del Plan de Medios</t>
        </is>
      </c>
      <c r="H299" s="10" t="inlineStr">
        <is>
          <t>Plan de Medios</t>
        </is>
      </c>
      <c r="I299" s="10" t="inlineStr">
        <is>
          <t>Estrategia detallada que describe los canales y recursos utilizados para la difusión de las campañas de marketing.</t>
        </is>
      </c>
      <c r="J299" s="10" t="inlineStr">
        <is>
          <t xml:space="preserve">Jefe de Marketing </t>
        </is>
      </c>
      <c r="K299" s="10" t="inlineStr">
        <is>
          <t>Jefe de Marketing</t>
        </is>
      </c>
      <c r="L299" s="10" t="inlineStr">
        <is>
          <t>UBICACIÓN DIGITAL-EQUIPO DEL RESPONSABLE</t>
        </is>
      </c>
      <c r="M299" s="10" t="inlineStr">
        <is>
          <t>DISCOS DUROS, SERVIDORES, DISCOS O MEDIOS PORTÁTILES, CINTAS O MEDIOS DE VIDEO Y AUDIO, ETC.</t>
        </is>
      </c>
      <c r="N299" s="10" t="inlineStr">
        <is>
          <t>PRIMARIOS</t>
        </is>
      </c>
      <c r="O299" s="10" t="inlineStr">
        <is>
          <t>DOCUMENTOS TÉCNICOS</t>
        </is>
      </c>
      <c r="P299" s="10" t="inlineStr">
        <is>
          <t>USO INTERNO(2)</t>
        </is>
      </c>
      <c r="Q299" s="10" t="inlineStr">
        <is>
          <t>MEDIA(2)</t>
        </is>
      </c>
      <c r="R299" s="10" t="inlineStr">
        <is>
          <t>BAJA(1)</t>
        </is>
      </c>
      <c r="S299" s="10">
        <f>+(IF(P299="PUBLICA(1)",1,IF(P299="USO INTERNO(2)",2,IF(P299="RESTRINGIDO(3)",3,3))))+(IF(Q299="BAJA(1)",1,IF(Q299="MEDIA(2)",2,IF(Q299="ALTA(3)",3,3))))+(IF(R299="BAJA(1)",1,IF(R299="MEDIA(2)",2,IF(R299="ALTA(3)",3,3))))</f>
        <v/>
      </c>
      <c r="T299" s="10">
        <f>+IF(S299&lt;6,"BAJA",IF(S299&lt;8,"MEDIA","ALTA"))</f>
        <v/>
      </c>
      <c r="U299" s="10" t="inlineStr">
        <is>
          <t>-</t>
        </is>
      </c>
      <c r="V299" s="24" t="n">
        <v>45580</v>
      </c>
      <c r="W299" s="19" t="inlineStr">
        <is>
          <t>N/A</t>
        </is>
      </c>
      <c r="X299" s="10">
        <f>+IFERROR(IF(VLOOKUP(Tabla2[[#This Row],[ID]],'EVALUACION DE RIESGO'!A:A,1,FALSE)=Tabla2[[#This Row],[ID]],"SI","NO"),"NO")</f>
        <v/>
      </c>
    </row>
    <row r="300">
      <c r="A300" s="91" t="inlineStr">
        <is>
          <t>2-GNE</t>
        </is>
      </c>
      <c r="B300" s="10" t="inlineStr">
        <is>
          <t>PRODUCTIVO</t>
        </is>
      </c>
      <c r="C300" s="10" t="inlineStr">
        <is>
          <t>Gestión de Negocios</t>
        </is>
      </c>
      <c r="D300" s="10" t="inlineStr">
        <is>
          <t>GNE</t>
        </is>
      </c>
      <c r="E300" s="10" t="inlineStr">
        <is>
          <t>Gestión de Marketing</t>
        </is>
      </c>
      <c r="F300" s="10" t="inlineStr">
        <is>
          <t>-</t>
        </is>
      </c>
      <c r="G300" s="10" t="inlineStr">
        <is>
          <t>Elaboración del Plan de Marketing</t>
        </is>
      </c>
      <c r="H300" s="10" t="inlineStr">
        <is>
          <t>Plan de Marketing</t>
        </is>
      </c>
      <c r="I300" s="10" t="inlineStr">
        <is>
          <t>Documento integral que incluye las estrategias, objetivos y tácticas para promocionar los productos o servicios de la cooperativa.</t>
        </is>
      </c>
      <c r="J300" s="10" t="inlineStr">
        <is>
          <t xml:space="preserve">Jefe de Marketing </t>
        </is>
      </c>
      <c r="K300" s="10" t="inlineStr">
        <is>
          <t>Jefe de Marketing</t>
        </is>
      </c>
      <c r="L300" s="10" t="inlineStr">
        <is>
          <t>UBICACIÓN DIGITAL-EQUIPO DEL RESPONSABLE</t>
        </is>
      </c>
      <c r="M300" s="10" t="inlineStr">
        <is>
          <t>DISCOS DUROS, SERVIDORES, DISCOS O MEDIOS PORTÁTILES, CINTAS O MEDIOS DE VIDEO Y AUDIO, ETC.</t>
        </is>
      </c>
      <c r="N300" s="10" t="inlineStr">
        <is>
          <t>PRIMARIOS</t>
        </is>
      </c>
      <c r="O300" s="10" t="inlineStr">
        <is>
          <t>DOCUMENTOS TÉCNICOS</t>
        </is>
      </c>
      <c r="P300" s="10" t="inlineStr">
        <is>
          <t>USO INTERNO(2)</t>
        </is>
      </c>
      <c r="Q300" s="10" t="inlineStr">
        <is>
          <t>BAJA(1)</t>
        </is>
      </c>
      <c r="R300" s="10" t="inlineStr">
        <is>
          <t>MEDIA(2)</t>
        </is>
      </c>
      <c r="S300" s="10">
        <f>+(IF(P300="PUBLICA(1)",1,IF(P300="USO INTERNO(2)",2,IF(P300="RESTRINGIDO(3)",3,3))))+(IF(Q300="BAJA(1)",1,IF(Q300="MEDIA(2)",2,IF(Q300="ALTA(3)",3,3))))+(IF(R300="BAJA(1)",1,IF(R300="MEDIA(2)",2,IF(R300="ALTA(3)",3,3))))</f>
        <v/>
      </c>
      <c r="T300" s="10">
        <f>+IF(S300&lt;6,"BAJA",IF(S300&lt;8,"MEDIA","ALTA"))</f>
        <v/>
      </c>
      <c r="U300" s="10" t="inlineStr">
        <is>
          <t>-</t>
        </is>
      </c>
      <c r="V300" s="24" t="n">
        <v>45580</v>
      </c>
      <c r="W300" s="19" t="inlineStr">
        <is>
          <t>N/A</t>
        </is>
      </c>
      <c r="X300" s="10">
        <f>+IFERROR(IF(VLOOKUP(Tabla2[[#This Row],[ID]],'EVALUACION DE RIESGO'!A:A,1,FALSE)=Tabla2[[#This Row],[ID]],"SI","NO"),"NO")</f>
        <v/>
      </c>
    </row>
    <row r="301">
      <c r="A301" s="91" t="inlineStr">
        <is>
          <t>3-GNE</t>
        </is>
      </c>
      <c r="B301" s="10" t="inlineStr">
        <is>
          <t>PRODUCTIVO</t>
        </is>
      </c>
      <c r="C301" s="10" t="inlineStr">
        <is>
          <t>Gestión de Negocios</t>
        </is>
      </c>
      <c r="D301" s="10" t="inlineStr">
        <is>
          <t>GNE</t>
        </is>
      </c>
      <c r="E301" s="10" t="inlineStr">
        <is>
          <t>Gestión de Marketing</t>
        </is>
      </c>
      <c r="F301" s="10" t="inlineStr">
        <is>
          <t>-</t>
        </is>
      </c>
      <c r="G301" s="10" t="inlineStr">
        <is>
          <t>Diseño y ejecución de campañas publicitarias</t>
        </is>
      </c>
      <c r="H301" s="10" t="inlineStr">
        <is>
          <t>Brief (Síntesis) de la campaña
publicitaria integral.</t>
        </is>
      </c>
      <c r="I301" s="10" t="inlineStr">
        <is>
          <t>Resumen conciso de la campaña publicitaria, incluyendo los objetivos, el público objetivo, los mensajes clave y los canales de comunicación.</t>
        </is>
      </c>
      <c r="J301" s="10" t="inlineStr">
        <is>
          <t xml:space="preserve">Jefe de Marketing </t>
        </is>
      </c>
      <c r="K301" s="10" t="inlineStr">
        <is>
          <t>Jefe de Marketing</t>
        </is>
      </c>
      <c r="L301" s="10" t="inlineStr">
        <is>
          <t>UBICACIÓN DIGITAL-EQUIPO DEL RESPONSABLE</t>
        </is>
      </c>
      <c r="M301" s="10" t="inlineStr">
        <is>
          <t>DISCOS DUROS, SERVIDORES, DISCOS O MEDIOS PORTÁTILES, CINTAS O MEDIOS DE VIDEO Y AUDIO, ETC.</t>
        </is>
      </c>
      <c r="N301" s="10" t="inlineStr">
        <is>
          <t>PRIMARIOS</t>
        </is>
      </c>
      <c r="O301" s="10" t="inlineStr">
        <is>
          <t>DOCUMENTOS TÉCNICOS</t>
        </is>
      </c>
      <c r="P301" s="10" t="inlineStr">
        <is>
          <t>USO INTERNO(2)</t>
        </is>
      </c>
      <c r="Q301" s="10" t="inlineStr">
        <is>
          <t>BAJA(1)</t>
        </is>
      </c>
      <c r="R301" s="10" t="inlineStr">
        <is>
          <t>BAJA(1)</t>
        </is>
      </c>
      <c r="S301" s="10">
        <f>+(IF(P301="PUBLICA(1)",1,IF(P301="USO INTERNO(2)",2,IF(P301="RESTRINGIDO(3)",3,3))))+(IF(Q301="BAJA(1)",1,IF(Q301="MEDIA(2)",2,IF(Q301="ALTA(3)",3,3))))+(IF(R301="BAJA(1)",1,IF(R301="MEDIA(2)",2,IF(R301="ALTA(3)",3,3))))</f>
        <v/>
      </c>
      <c r="T301" s="10">
        <f>+IF(S301&lt;6,"BAJA",IF(S301&lt;8,"MEDIA","ALTA"))</f>
        <v/>
      </c>
      <c r="U301" s="10" t="inlineStr">
        <is>
          <t>-</t>
        </is>
      </c>
      <c r="V301" s="24" t="n">
        <v>45580</v>
      </c>
      <c r="W301" s="19" t="inlineStr">
        <is>
          <t>N/A</t>
        </is>
      </c>
      <c r="X301" s="10">
        <f>+IFERROR(IF(VLOOKUP(Tabla2[[#This Row],[ID]],'EVALUACION DE RIESGO'!A:A,1,FALSE)=Tabla2[[#This Row],[ID]],"SI","NO"),"NO")</f>
        <v/>
      </c>
    </row>
    <row r="302">
      <c r="A302" s="91" t="inlineStr">
        <is>
          <t>4-GNE</t>
        </is>
      </c>
      <c r="B302" s="10" t="inlineStr">
        <is>
          <t>PRODUCTIVO</t>
        </is>
      </c>
      <c r="C302" s="10" t="inlineStr">
        <is>
          <t>Gestión de Negocios</t>
        </is>
      </c>
      <c r="D302" s="10" t="inlineStr">
        <is>
          <t>GNE</t>
        </is>
      </c>
      <c r="E302" s="10" t="inlineStr">
        <is>
          <t>Gestión de Marketing</t>
        </is>
      </c>
      <c r="F302" s="10" t="inlineStr">
        <is>
          <t>-</t>
        </is>
      </c>
      <c r="G302" s="10" t="inlineStr">
        <is>
          <t>Diseño y ejecución de campañas publicitarias</t>
        </is>
      </c>
      <c r="H302" s="10" t="inlineStr">
        <is>
          <t>Campaña publicitaria integral o
específica</t>
        </is>
      </c>
      <c r="I302" s="10" t="inlineStr">
        <is>
          <t>Actividad promocional que puede ser general (integral) o centrada en un producto o servicio específico, con estrategias y tácticas detalladas.</t>
        </is>
      </c>
      <c r="J302" s="10" t="inlineStr">
        <is>
          <t xml:space="preserve">Jefe de Marketing </t>
        </is>
      </c>
      <c r="K302" s="10" t="inlineStr">
        <is>
          <t>Jefe de Marketing</t>
        </is>
      </c>
      <c r="L302" s="10" t="inlineStr">
        <is>
          <t>UBICACIÓN DIGITAL-EQUIPO DEL RESPONSABLE</t>
        </is>
      </c>
      <c r="M302" s="10" t="inlineStr">
        <is>
          <t>DISCOS DUROS, SERVIDORES, DISCOS O MEDIOS PORTÁTILES, CINTAS O MEDIOS DE VIDEO Y AUDIO, ETC.</t>
        </is>
      </c>
      <c r="N302" s="10" t="inlineStr">
        <is>
          <t>PRIMARIOS</t>
        </is>
      </c>
      <c r="O302" s="10" t="inlineStr">
        <is>
          <t>DOCUMENTOS TÉCNICOS</t>
        </is>
      </c>
      <c r="P302" s="10" t="inlineStr">
        <is>
          <t>USO INTERNO(2)</t>
        </is>
      </c>
      <c r="Q302" s="10" t="inlineStr">
        <is>
          <t>BAJA(1)</t>
        </is>
      </c>
      <c r="R302" s="10" t="inlineStr">
        <is>
          <t>BAJA(1)</t>
        </is>
      </c>
      <c r="S302" s="10">
        <f>+(IF(P302="PUBLICA(1)",1,IF(P302="USO INTERNO(2)",2,IF(P302="RESTRINGIDO(3)",3,3))))+(IF(Q302="BAJA(1)",1,IF(Q302="MEDIA(2)",2,IF(Q302="ALTA(3)",3,3))))+(IF(R302="BAJA(1)",1,IF(R302="MEDIA(2)",2,IF(R302="ALTA(3)",3,3))))</f>
        <v/>
      </c>
      <c r="T302" s="10">
        <f>+IF(S302&lt;6,"BAJA",IF(S302&lt;8,"MEDIA","ALTA"))</f>
        <v/>
      </c>
      <c r="U302" s="10" t="inlineStr">
        <is>
          <t>-</t>
        </is>
      </c>
      <c r="V302" s="24" t="n">
        <v>45580</v>
      </c>
      <c r="W302" s="19" t="inlineStr">
        <is>
          <t>N/A</t>
        </is>
      </c>
      <c r="X302" s="10">
        <f>+IFERROR(IF(VLOOKUP(Tabla2[[#This Row],[ID]],'EVALUACION DE RIESGO'!A:A,1,FALSE)=Tabla2[[#This Row],[ID]],"SI","NO"),"NO")</f>
        <v/>
      </c>
    </row>
    <row r="303">
      <c r="A303" s="91" t="inlineStr">
        <is>
          <t>5-GNE</t>
        </is>
      </c>
      <c r="B303" s="10" t="inlineStr">
        <is>
          <t>PRODUCTIVO</t>
        </is>
      </c>
      <c r="C303" s="10" t="inlineStr">
        <is>
          <t>Gestión de Negocios</t>
        </is>
      </c>
      <c r="D303" s="10" t="inlineStr">
        <is>
          <t>GNE</t>
        </is>
      </c>
      <c r="E303" s="10" t="inlineStr">
        <is>
          <t>Gestión de Marketing</t>
        </is>
      </c>
      <c r="F303" s="10" t="inlineStr">
        <is>
          <t>-</t>
        </is>
      </c>
      <c r="G303" s="10" t="inlineStr">
        <is>
          <t>Diseño y ejecución de campañas publicitarias</t>
        </is>
      </c>
      <c r="H303" s="10" t="inlineStr">
        <is>
          <t>Certificaciones de Pautaje.</t>
        </is>
      </c>
      <c r="I303" s="10" t="inlineStr">
        <is>
          <t>Documentos que certifican el tiempo, el espacio o los medios utilizados para la difusión de una campaña publicitaria.</t>
        </is>
      </c>
      <c r="J303" s="10" t="inlineStr">
        <is>
          <t xml:space="preserve">Jefe de Marketing </t>
        </is>
      </c>
      <c r="K303" s="10" t="inlineStr">
        <is>
          <t>Jefe de Marketing</t>
        </is>
      </c>
      <c r="L303" s="10" t="inlineStr">
        <is>
          <t>UBICACIÓN DIGITAL-EQUIPO DEL RESPONSABLE</t>
        </is>
      </c>
      <c r="M303" s="10" t="inlineStr">
        <is>
          <t>DISCOS DUROS, SERVIDORES, DISCOS O MEDIOS PORTÁTILES, CINTAS O MEDIOS DE VIDEO Y AUDIO, ETC.</t>
        </is>
      </c>
      <c r="N303" s="10" t="inlineStr">
        <is>
          <t>PRIMARIOS</t>
        </is>
      </c>
      <c r="O303" s="10" t="inlineStr">
        <is>
          <t>DOCUMENTOS TÉCNICOS</t>
        </is>
      </c>
      <c r="P303" s="10" t="inlineStr">
        <is>
          <t>USO INTERNO(2)</t>
        </is>
      </c>
      <c r="Q303" s="10" t="inlineStr">
        <is>
          <t>MEDIA(2)</t>
        </is>
      </c>
      <c r="R303" s="10" t="inlineStr">
        <is>
          <t>BAJA(1)</t>
        </is>
      </c>
      <c r="S303" s="10">
        <f>+(IF(P303="PUBLICA(1)",1,IF(P303="USO INTERNO(2)",2,IF(P303="RESTRINGIDO(3)",3,3))))+(IF(Q303="BAJA(1)",1,IF(Q303="MEDIA(2)",2,IF(Q303="ALTA(3)",3,3))))+(IF(R303="BAJA(1)",1,IF(R303="MEDIA(2)",2,IF(R303="ALTA(3)",3,3))))</f>
        <v/>
      </c>
      <c r="T303" s="10">
        <f>+IF(S303&lt;6,"BAJA",IF(S303&lt;8,"MEDIA","ALTA"))</f>
        <v/>
      </c>
      <c r="U303" s="10" t="inlineStr">
        <is>
          <t>-</t>
        </is>
      </c>
      <c r="V303" s="24" t="n">
        <v>45580</v>
      </c>
      <c r="W303" s="19" t="inlineStr">
        <is>
          <t>N/A</t>
        </is>
      </c>
      <c r="X303" s="10">
        <f>+IFERROR(IF(VLOOKUP(Tabla2[[#This Row],[ID]],'EVALUACION DE RIESGO'!A:A,1,FALSE)=Tabla2[[#This Row],[ID]],"SI","NO"),"NO")</f>
        <v/>
      </c>
    </row>
    <row r="304">
      <c r="A304" s="91" t="inlineStr">
        <is>
          <t>6-GNE</t>
        </is>
      </c>
      <c r="B304" s="10" t="inlineStr">
        <is>
          <t>PRODUCTIVO</t>
        </is>
      </c>
      <c r="C304" s="10" t="inlineStr">
        <is>
          <t>Gestión de Negocios</t>
        </is>
      </c>
      <c r="D304" s="10" t="inlineStr">
        <is>
          <t>GNE</t>
        </is>
      </c>
      <c r="E304" s="10" t="inlineStr">
        <is>
          <t>Gestión de Marketing</t>
        </is>
      </c>
      <c r="F304" s="10" t="inlineStr">
        <is>
          <t>-</t>
        </is>
      </c>
      <c r="G304" s="10" t="inlineStr">
        <is>
          <t>Diseño y ejecución de campañas publicitarias</t>
        </is>
      </c>
      <c r="H304" s="10" t="inlineStr">
        <is>
          <t>Análisis de resultados de
campañas publicitarias.</t>
        </is>
      </c>
      <c r="I304" s="10" t="inlineStr">
        <is>
          <t>Evaluación del impacto y el rendimiento de las campañas de marketing y publicidad, con indicadores clave de rendimiento (KPI).</t>
        </is>
      </c>
      <c r="J304" s="10" t="inlineStr">
        <is>
          <t xml:space="preserve">Jefe de Marketing </t>
        </is>
      </c>
      <c r="K304" s="10" t="inlineStr">
        <is>
          <t>Jefe de Marketing</t>
        </is>
      </c>
      <c r="L304" s="10" t="inlineStr">
        <is>
          <t>UBICACIÓN DIGITAL-EQUIPO DEL RESPONSABLE</t>
        </is>
      </c>
      <c r="M304" s="10" t="inlineStr">
        <is>
          <t>DISCOS DUROS, SERVIDORES, DISCOS O MEDIOS PORTÁTILES, CINTAS O MEDIOS DE VIDEO Y AUDIO, ETC.</t>
        </is>
      </c>
      <c r="N304" s="10" t="inlineStr">
        <is>
          <t>PRIMARIOS</t>
        </is>
      </c>
      <c r="O304" s="10" t="inlineStr">
        <is>
          <t>DOCUMENTOS TÉCNICOS</t>
        </is>
      </c>
      <c r="P304" s="10" t="inlineStr">
        <is>
          <t>USO INTERNO(2)</t>
        </is>
      </c>
      <c r="Q304" s="10" t="inlineStr">
        <is>
          <t>MEDIA(2)</t>
        </is>
      </c>
      <c r="R304" s="10" t="inlineStr">
        <is>
          <t>MEDIA(2)</t>
        </is>
      </c>
      <c r="S304" s="10">
        <f>+(IF(P304="PUBLICA(1)",1,IF(P304="USO INTERNO(2)",2,IF(P304="RESTRINGIDO(3)",3,3))))+(IF(Q304="BAJA(1)",1,IF(Q304="MEDIA(2)",2,IF(Q304="ALTA(3)",3,3))))+(IF(R304="BAJA(1)",1,IF(R304="MEDIA(2)",2,IF(R304="ALTA(3)",3,3))))</f>
        <v/>
      </c>
      <c r="T304" s="10">
        <f>+IF(S304&lt;6,"BAJA",IF(S304&lt;8,"MEDIA","ALTA"))</f>
        <v/>
      </c>
      <c r="U304" s="10" t="inlineStr">
        <is>
          <t>-</t>
        </is>
      </c>
      <c r="V304" s="24" t="n">
        <v>45580</v>
      </c>
      <c r="W304" s="19" t="inlineStr">
        <is>
          <t>N/A</t>
        </is>
      </c>
      <c r="X304" s="10">
        <f>+IFERROR(IF(VLOOKUP(Tabla2[[#This Row],[ID]],'EVALUACION DE RIESGO'!A:A,1,FALSE)=Tabla2[[#This Row],[ID]],"SI","NO"),"NO")</f>
        <v/>
      </c>
    </row>
    <row r="305">
      <c r="A305" s="91" t="inlineStr">
        <is>
          <t>7-GNE</t>
        </is>
      </c>
      <c r="B305" s="10" t="inlineStr">
        <is>
          <t>PRODUCTIVO</t>
        </is>
      </c>
      <c r="C305" s="10" t="inlineStr">
        <is>
          <t>Gestión de Negocios</t>
        </is>
      </c>
      <c r="D305" s="10" t="inlineStr">
        <is>
          <t>GNE</t>
        </is>
      </c>
      <c r="E305" s="10" t="inlineStr">
        <is>
          <t>Gestión de Marketing</t>
        </is>
      </c>
      <c r="F305" s="10" t="inlineStr">
        <is>
          <t>-</t>
        </is>
      </c>
      <c r="G305" s="10" t="inlineStr">
        <is>
          <t>Diseño y ejecución de campañas publicitarias</t>
        </is>
      </c>
      <c r="H305" s="10" t="inlineStr">
        <is>
          <t>Matriz de revisión de la
publicidad.</t>
        </is>
      </c>
      <c r="I305" s="10" t="inlineStr">
        <is>
          <t>Herramienta que permite hacer un seguimiento y revisión de los distintos elementos de la campaña publicitaria, para asegurar la alineación con los objetivos.</t>
        </is>
      </c>
      <c r="J305" s="10" t="inlineStr">
        <is>
          <t xml:space="preserve">Jefe de Marketing </t>
        </is>
      </c>
      <c r="K305" s="10" t="inlineStr">
        <is>
          <t>Jefe de Marketing</t>
        </is>
      </c>
      <c r="L305" s="10" t="inlineStr">
        <is>
          <t>UBICACIÓN DIGITAL-EQUIPO DEL RESPONSABLE</t>
        </is>
      </c>
      <c r="M305" s="10" t="inlineStr">
        <is>
          <t>DISCOS DUROS, SERVIDORES, DISCOS O MEDIOS PORTÁTILES, CINTAS O MEDIOS DE VIDEO Y AUDIO, ETC.</t>
        </is>
      </c>
      <c r="N305" s="10" t="inlineStr">
        <is>
          <t>PRIMARIOS</t>
        </is>
      </c>
      <c r="O305" s="10" t="inlineStr">
        <is>
          <t>DOCUMENTOS TÉCNICOS</t>
        </is>
      </c>
      <c r="P305" s="10" t="inlineStr">
        <is>
          <t>USO INTERNO(2)</t>
        </is>
      </c>
      <c r="Q305" s="10" t="inlineStr">
        <is>
          <t>BAJA(1)</t>
        </is>
      </c>
      <c r="R305" s="10" t="inlineStr">
        <is>
          <t>BAJA(1)</t>
        </is>
      </c>
      <c r="S305" s="10">
        <f>+(IF(P305="PUBLICA(1)",1,IF(P305="USO INTERNO(2)",2,IF(P305="RESTRINGIDO(3)",3,3))))+(IF(Q305="BAJA(1)",1,IF(Q305="MEDIA(2)",2,IF(Q305="ALTA(3)",3,3))))+(IF(R305="BAJA(1)",1,IF(R305="MEDIA(2)",2,IF(R305="ALTA(3)",3,3))))</f>
        <v/>
      </c>
      <c r="T305" s="10">
        <f>+IF(S305&lt;6,"BAJA",IF(S305&lt;8,"MEDIA","ALTA"))</f>
        <v/>
      </c>
      <c r="U305" s="10" t="inlineStr">
        <is>
          <t>-</t>
        </is>
      </c>
      <c r="V305" s="24" t="n">
        <v>45580</v>
      </c>
      <c r="W305" s="19" t="inlineStr">
        <is>
          <t>N/A</t>
        </is>
      </c>
      <c r="X305" s="10">
        <f>+IFERROR(IF(VLOOKUP(Tabla2[[#This Row],[ID]],'EVALUACION DE RIESGO'!A:A,1,FALSE)=Tabla2[[#This Row],[ID]],"SI","NO"),"NO")</f>
        <v/>
      </c>
    </row>
    <row r="306">
      <c r="A306" s="91" t="inlineStr">
        <is>
          <t>8-GNE</t>
        </is>
      </c>
      <c r="B306" s="10" t="inlineStr">
        <is>
          <t>PRODUCTIVO</t>
        </is>
      </c>
      <c r="C306" s="10" t="inlineStr">
        <is>
          <t>Gestión de Negocios</t>
        </is>
      </c>
      <c r="D306" s="10" t="inlineStr">
        <is>
          <t>GNE</t>
        </is>
      </c>
      <c r="E306" s="10" t="inlineStr">
        <is>
          <t>Gestión de Marketing</t>
        </is>
      </c>
      <c r="F306" s="10" t="inlineStr">
        <is>
          <t>-</t>
        </is>
      </c>
      <c r="G306" s="10" t="inlineStr">
        <is>
          <t>Diseño y elaboración de promocionales y merchandising</t>
        </is>
      </c>
      <c r="H306" s="10" t="inlineStr">
        <is>
          <t>Acta entrega de material
promocional a oficinas.</t>
        </is>
      </c>
      <c r="I306" s="10" t="inlineStr">
        <is>
          <t>documento que certifica la entrega formal del material de marketing a las oficinas para su distribución.</t>
        </is>
      </c>
      <c r="J306" s="10" t="inlineStr">
        <is>
          <t xml:space="preserve">Jefe de Marketing </t>
        </is>
      </c>
      <c r="K306" s="10" t="inlineStr">
        <is>
          <t>Jefe de Marketing</t>
        </is>
      </c>
      <c r="L306" s="10" t="inlineStr">
        <is>
          <t>UBICACIÓN DIGITAL-EQUIPO DEL RESPONSABLE</t>
        </is>
      </c>
      <c r="M306" s="10" t="inlineStr">
        <is>
          <t>DISCOS DUROS, SERVIDORES, DISCOS O MEDIOS PORTÁTILES, CINTAS O MEDIOS DE VIDEO Y AUDIO, ETC.</t>
        </is>
      </c>
      <c r="N306" s="10" t="inlineStr">
        <is>
          <t>PRIMARIOS</t>
        </is>
      </c>
      <c r="O306" s="10" t="inlineStr">
        <is>
          <t>DOCUMENTOS TÉCNICOS</t>
        </is>
      </c>
      <c r="P306" s="10" t="inlineStr">
        <is>
          <t>USO INTERNO(2)</t>
        </is>
      </c>
      <c r="Q306" s="10" t="inlineStr">
        <is>
          <t>MEDIA(2)</t>
        </is>
      </c>
      <c r="R306" s="10" t="inlineStr">
        <is>
          <t>MEDIA(2)</t>
        </is>
      </c>
      <c r="S306" s="10">
        <f>+(IF(P306="PUBLICA(1)",1,IF(P306="USO INTERNO(2)",2,IF(P306="RESTRINGIDO(3)",3,3))))+(IF(Q306="BAJA(1)",1,IF(Q306="MEDIA(2)",2,IF(Q306="ALTA(3)",3,3))))+(IF(R306="BAJA(1)",1,IF(R306="MEDIA(2)",2,IF(R306="ALTA(3)",3,3))))</f>
        <v/>
      </c>
      <c r="T306" s="10">
        <f>+IF(S306&lt;6,"BAJA",IF(S306&lt;8,"MEDIA","ALTA"))</f>
        <v/>
      </c>
      <c r="U306" s="10" t="inlineStr">
        <is>
          <t>-</t>
        </is>
      </c>
      <c r="V306" s="24" t="n">
        <v>45580</v>
      </c>
      <c r="W306" s="19" t="inlineStr">
        <is>
          <t>N/A</t>
        </is>
      </c>
      <c r="X306" s="10">
        <f>+IFERROR(IF(VLOOKUP(Tabla2[[#This Row],[ID]],'EVALUACION DE RIESGO'!A:A,1,FALSE)=Tabla2[[#This Row],[ID]],"SI","NO"),"NO")</f>
        <v/>
      </c>
    </row>
    <row r="307">
      <c r="A307" s="91" t="inlineStr">
        <is>
          <t>9-GNE</t>
        </is>
      </c>
      <c r="B307" s="10" t="inlineStr">
        <is>
          <t>PRODUCTIVO</t>
        </is>
      </c>
      <c r="C307" s="10" t="inlineStr">
        <is>
          <t>Gestión de Negocios</t>
        </is>
      </c>
      <c r="D307" s="10" t="inlineStr">
        <is>
          <t>GNE</t>
        </is>
      </c>
      <c r="E307" s="10" t="inlineStr">
        <is>
          <t>Gestión de Marketing</t>
        </is>
      </c>
      <c r="F307" s="10" t="inlineStr">
        <is>
          <t>-</t>
        </is>
      </c>
      <c r="G307" s="10" t="inlineStr">
        <is>
          <t>Diseño y elaboración de promocionales y merchandising</t>
        </is>
      </c>
      <c r="H307" s="10" t="inlineStr">
        <is>
          <t>Registro
de entrega de promocionales.</t>
        </is>
      </c>
      <c r="I307" s="10" t="inlineStr">
        <is>
          <t>Base de datos o listado que lleva el control de la entrega de materiales promocionales, como folletos, flyers y otros productos.</t>
        </is>
      </c>
      <c r="J307" s="10" t="inlineStr">
        <is>
          <t xml:space="preserve">Jefe de Marketing </t>
        </is>
      </c>
      <c r="K307" s="10" t="inlineStr">
        <is>
          <t>Jefe de Marketing</t>
        </is>
      </c>
      <c r="L307" s="10" t="inlineStr">
        <is>
          <t>UBICACIÓN DIGITAL-EQUIPO DEL RESPONSABLE</t>
        </is>
      </c>
      <c r="M307" s="10" t="inlineStr">
        <is>
          <t>DISCOS DUROS, SERVIDORES, DISCOS O MEDIOS PORTÁTILES, CINTAS O MEDIOS DE VIDEO Y AUDIO, ETC.</t>
        </is>
      </c>
      <c r="N307" s="10" t="inlineStr">
        <is>
          <t>PRIMARIOS</t>
        </is>
      </c>
      <c r="O307" s="10" t="inlineStr">
        <is>
          <t>DOCUMENTOS TÉCNICOS</t>
        </is>
      </c>
      <c r="P307" s="10" t="inlineStr">
        <is>
          <t>USO INTERNO(2)</t>
        </is>
      </c>
      <c r="Q307" s="10" t="inlineStr">
        <is>
          <t>MEDIA(2)</t>
        </is>
      </c>
      <c r="R307" s="10" t="inlineStr">
        <is>
          <t>MEDIA(2)</t>
        </is>
      </c>
      <c r="S307" s="10">
        <f>+(IF(P307="PUBLICA(1)",1,IF(P307="USO INTERNO(2)",2,IF(P307="RESTRINGIDO(3)",3,3))))+(IF(Q307="BAJA(1)",1,IF(Q307="MEDIA(2)",2,IF(Q307="ALTA(3)",3,3))))+(IF(R307="BAJA(1)",1,IF(R307="MEDIA(2)",2,IF(R307="ALTA(3)",3,3))))</f>
        <v/>
      </c>
      <c r="T307" s="10">
        <f>+IF(S307&lt;6,"BAJA",IF(S307&lt;8,"MEDIA","ALTA"))</f>
        <v/>
      </c>
      <c r="U307" s="10" t="inlineStr">
        <is>
          <t>-</t>
        </is>
      </c>
      <c r="V307" s="24" t="n">
        <v>45580</v>
      </c>
      <c r="W307" s="19" t="inlineStr">
        <is>
          <t>N/A</t>
        </is>
      </c>
      <c r="X307" s="10">
        <f>+IFERROR(IF(VLOOKUP(Tabla2[[#This Row],[ID]],'EVALUACION DE RIESGO'!A:A,1,FALSE)=Tabla2[[#This Row],[ID]],"SI","NO"),"NO")</f>
        <v/>
      </c>
    </row>
    <row r="308">
      <c r="A308" s="91" t="inlineStr">
        <is>
          <t>10-GNE</t>
        </is>
      </c>
      <c r="B308" s="10" t="inlineStr">
        <is>
          <t>PRODUCTIVO</t>
        </is>
      </c>
      <c r="C308" s="10" t="inlineStr">
        <is>
          <t>Gestión de Negocios</t>
        </is>
      </c>
      <c r="D308" s="10" t="inlineStr">
        <is>
          <t>GNE</t>
        </is>
      </c>
      <c r="E308" s="10" t="inlineStr">
        <is>
          <t>Gestión de Marketing</t>
        </is>
      </c>
      <c r="F308" s="10" t="inlineStr">
        <is>
          <t>-</t>
        </is>
      </c>
      <c r="G308" s="10" t="inlineStr">
        <is>
          <t>Diseño y elaboración de promocionales y merchandising</t>
        </is>
      </c>
      <c r="H308" s="10" t="inlineStr">
        <is>
          <t>Kardex del material</t>
        </is>
      </c>
      <c r="I308" s="10" t="inlineStr">
        <is>
          <t>Sistema de control y registro de existencias y movimientos del material promocional, para asegurar su disponibilidad y uso adecuado.</t>
        </is>
      </c>
      <c r="J308" s="10" t="inlineStr">
        <is>
          <t xml:space="preserve">Jefe de Marketing </t>
        </is>
      </c>
      <c r="K308" s="10" t="inlineStr">
        <is>
          <t>Jefe de Marketing</t>
        </is>
      </c>
      <c r="L308" s="10" t="inlineStr">
        <is>
          <t>UBICACIÓN DIGITAL-EQUIPO DEL RESPONSABLE</t>
        </is>
      </c>
      <c r="M308" s="10" t="inlineStr">
        <is>
          <t>DISCOS DUROS, SERVIDORES, DISCOS O MEDIOS PORTÁTILES, CINTAS O MEDIOS DE VIDEO Y AUDIO, ETC.</t>
        </is>
      </c>
      <c r="N308" s="10" t="inlineStr">
        <is>
          <t>PRIMARIOS</t>
        </is>
      </c>
      <c r="O308" s="10" t="inlineStr">
        <is>
          <t>DOCUMENTOS TÉCNICOS</t>
        </is>
      </c>
      <c r="P308" s="10" t="inlineStr">
        <is>
          <t>USO INTERNO(2)</t>
        </is>
      </c>
      <c r="Q308" s="10" t="inlineStr">
        <is>
          <t>BAJA(1)</t>
        </is>
      </c>
      <c r="R308" s="10" t="inlineStr">
        <is>
          <t>MEDIA(2)</t>
        </is>
      </c>
      <c r="S308" s="10">
        <f>+(IF(P308="PUBLICA(1)",1,IF(P308="USO INTERNO(2)",2,IF(P308="RESTRINGIDO(3)",3,3))))+(IF(Q308="BAJA(1)",1,IF(Q308="MEDIA(2)",2,IF(Q308="ALTA(3)",3,3))))+(IF(R308="BAJA(1)",1,IF(R308="MEDIA(2)",2,IF(R308="ALTA(3)",3,3))))</f>
        <v/>
      </c>
      <c r="T308" s="10">
        <f>+IF(S308&lt;6,"BAJA",IF(S308&lt;8,"MEDIA","ALTA"))</f>
        <v/>
      </c>
      <c r="U308" s="10" t="inlineStr">
        <is>
          <t>-</t>
        </is>
      </c>
      <c r="V308" s="24" t="n">
        <v>45580</v>
      </c>
      <c r="W308" s="19" t="inlineStr">
        <is>
          <t>N/A</t>
        </is>
      </c>
      <c r="X308" s="10">
        <f>+IFERROR(IF(VLOOKUP(Tabla2[[#This Row],[ID]],'EVALUACION DE RIESGO'!A:A,1,FALSE)=Tabla2[[#This Row],[ID]],"SI","NO"),"NO")</f>
        <v/>
      </c>
    </row>
    <row r="309">
      <c r="A309" s="91" t="inlineStr">
        <is>
          <t>11-GNE</t>
        </is>
      </c>
      <c r="B309" s="10" t="inlineStr">
        <is>
          <t>PRODUCTIVO</t>
        </is>
      </c>
      <c r="C309" s="10" t="inlineStr">
        <is>
          <t>Gestión de Negocios</t>
        </is>
      </c>
      <c r="D309" s="10" t="inlineStr">
        <is>
          <t>GNE</t>
        </is>
      </c>
      <c r="E309" s="10" t="inlineStr">
        <is>
          <t>Gestión de Marketing</t>
        </is>
      </c>
      <c r="F309" s="10" t="inlineStr">
        <is>
          <t>-</t>
        </is>
      </c>
      <c r="G309" s="10" t="inlineStr">
        <is>
          <t>Calificación y ejecución de auspicios publicitarios</t>
        </is>
      </c>
      <c r="H309" s="10" t="inlineStr">
        <is>
          <t>Formulario de solicitud de
auspicios.</t>
        </is>
      </c>
      <c r="I309" s="10" t="inlineStr">
        <is>
          <t>Documento que se utiliza para solicitar el apoyo de patrocinadores o empresas para eventos o actividades de marketing.</t>
        </is>
      </c>
      <c r="J309" s="10" t="inlineStr">
        <is>
          <t xml:space="preserve">Jefe de Marketing </t>
        </is>
      </c>
      <c r="K309" s="10" t="inlineStr">
        <is>
          <t>Jefe de Marketing</t>
        </is>
      </c>
      <c r="L309" s="10" t="inlineStr">
        <is>
          <t>UBICACIÓN DIGITAL-EQUIPO DEL RESPONSABLE</t>
        </is>
      </c>
      <c r="M309" s="10" t="inlineStr">
        <is>
          <t>DISCOS DUROS, SERVIDORES, DISCOS O MEDIOS PORTÁTILES, CINTAS O MEDIOS DE VIDEO Y AUDIO, ETC.</t>
        </is>
      </c>
      <c r="N309" s="10" t="inlineStr">
        <is>
          <t>PRIMARIOS</t>
        </is>
      </c>
      <c r="O309" s="10" t="inlineStr">
        <is>
          <t>DOCUMENTOS TÉCNICOS</t>
        </is>
      </c>
      <c r="P309" s="10" t="inlineStr">
        <is>
          <t>USO INTERNO(2)</t>
        </is>
      </c>
      <c r="Q309" s="10" t="inlineStr">
        <is>
          <t>BAJA(1)</t>
        </is>
      </c>
      <c r="R309" s="10" t="inlineStr">
        <is>
          <t>MEDIA(2)</t>
        </is>
      </c>
      <c r="S309" s="10">
        <f>+(IF(P309="PUBLICA(1)",1,IF(P309="USO INTERNO(2)",2,IF(P309="RESTRINGIDO(3)",3,3))))+(IF(Q309="BAJA(1)",1,IF(Q309="MEDIA(2)",2,IF(Q309="ALTA(3)",3,3))))+(IF(R309="BAJA(1)",1,IF(R309="MEDIA(2)",2,IF(R309="ALTA(3)",3,3))))</f>
        <v/>
      </c>
      <c r="T309" s="10">
        <f>+IF(S309&lt;6,"BAJA",IF(S309&lt;8,"MEDIA","ALTA"))</f>
        <v/>
      </c>
      <c r="U309" s="10" t="inlineStr">
        <is>
          <t>-</t>
        </is>
      </c>
      <c r="V309" s="24" t="n">
        <v>45580</v>
      </c>
      <c r="W309" s="19" t="inlineStr">
        <is>
          <t>N/A</t>
        </is>
      </c>
      <c r="X309" s="10">
        <f>+IFERROR(IF(VLOOKUP(Tabla2[[#This Row],[ID]],'EVALUACION DE RIESGO'!A:A,1,FALSE)=Tabla2[[#This Row],[ID]],"SI","NO"),"NO")</f>
        <v/>
      </c>
    </row>
    <row r="310">
      <c r="A310" s="91" t="inlineStr">
        <is>
          <t>12-GNE</t>
        </is>
      </c>
      <c r="B310" s="10" t="inlineStr">
        <is>
          <t>PRODUCTIVO</t>
        </is>
      </c>
      <c r="C310" s="10" t="inlineStr">
        <is>
          <t>Gestión de Negocios</t>
        </is>
      </c>
      <c r="D310" s="10" t="inlineStr">
        <is>
          <t>GNE</t>
        </is>
      </c>
      <c r="E310" s="10" t="inlineStr">
        <is>
          <t>Gestión de Marketing</t>
        </is>
      </c>
      <c r="F310" s="10" t="inlineStr">
        <is>
          <t>-</t>
        </is>
      </c>
      <c r="G310" s="10" t="inlineStr">
        <is>
          <t>Calificación y ejecución de auspicios publicitarios</t>
        </is>
      </c>
      <c r="H310" s="10" t="inlineStr">
        <is>
          <t>Formato de Solicitud de
auspicios</t>
        </is>
      </c>
      <c r="I310" s="10" t="inlineStr">
        <is>
          <t>Formato estándar para realizar la solicitud formal de auspicio a posibles patrocinadores o colaboradores.</t>
        </is>
      </c>
      <c r="J310" s="10" t="inlineStr">
        <is>
          <t xml:space="preserve">Jefe de Marketing </t>
        </is>
      </c>
      <c r="K310" s="10" t="inlineStr">
        <is>
          <t>Jefe de Marketing</t>
        </is>
      </c>
      <c r="L310" s="10" t="inlineStr">
        <is>
          <t>UBICACIÓN DIGITAL-EQUIPO DEL RESPONSABLE</t>
        </is>
      </c>
      <c r="M310" s="10" t="inlineStr">
        <is>
          <t>DISCOS DUROS, SERVIDORES, DISCOS O MEDIOS PORTÁTILES, CINTAS O MEDIOS DE VIDEO Y AUDIO, ETC.</t>
        </is>
      </c>
      <c r="N310" s="10" t="inlineStr">
        <is>
          <t>PRIMARIOS</t>
        </is>
      </c>
      <c r="O310" s="10" t="inlineStr">
        <is>
          <t>DOCUMENTOS TÉCNICOS</t>
        </is>
      </c>
      <c r="P310" s="10" t="inlineStr">
        <is>
          <t>USO INTERNO(2)</t>
        </is>
      </c>
      <c r="Q310" s="10" t="inlineStr">
        <is>
          <t>BAJA(1)</t>
        </is>
      </c>
      <c r="R310" s="10" t="inlineStr">
        <is>
          <t>MEDIA(2)</t>
        </is>
      </c>
      <c r="S310" s="10">
        <f>+(IF(P310="PUBLICA(1)",1,IF(P310="USO INTERNO(2)",2,IF(P310="RESTRINGIDO(3)",3,3))))+(IF(Q310="BAJA(1)",1,IF(Q310="MEDIA(2)",2,IF(Q310="ALTA(3)",3,3))))+(IF(R310="BAJA(1)",1,IF(R310="MEDIA(2)",2,IF(R310="ALTA(3)",3,3))))</f>
        <v/>
      </c>
      <c r="T310" s="10">
        <f>+IF(S310&lt;6,"BAJA",IF(S310&lt;8,"MEDIA","ALTA"))</f>
        <v/>
      </c>
      <c r="U310" s="10" t="inlineStr">
        <is>
          <t>-</t>
        </is>
      </c>
      <c r="V310" s="24" t="n">
        <v>45580</v>
      </c>
      <c r="W310" s="19" t="inlineStr">
        <is>
          <t>N/A</t>
        </is>
      </c>
      <c r="X310" s="10">
        <f>+IFERROR(IF(VLOOKUP(Tabla2[[#This Row],[ID]],'EVALUACION DE RIESGO'!A:A,1,FALSE)=Tabla2[[#This Row],[ID]],"SI","NO"),"NO")</f>
        <v/>
      </c>
    </row>
    <row r="311">
      <c r="A311" s="91" t="inlineStr">
        <is>
          <t>13-GNE</t>
        </is>
      </c>
      <c r="B311" s="10" t="inlineStr">
        <is>
          <t>PRODUCTIVO</t>
        </is>
      </c>
      <c r="C311" s="10" t="inlineStr">
        <is>
          <t>Gestión de Negocios</t>
        </is>
      </c>
      <c r="D311" s="10" t="inlineStr">
        <is>
          <t>GNE</t>
        </is>
      </c>
      <c r="E311" s="10" t="inlineStr">
        <is>
          <t>Gestión de Marketing</t>
        </is>
      </c>
      <c r="F311" s="10" t="inlineStr">
        <is>
          <t>-</t>
        </is>
      </c>
      <c r="G311" s="10" t="inlineStr">
        <is>
          <t>Calificación y ejecución de auspicios publicitarios</t>
        </is>
      </c>
      <c r="H311" s="10" t="inlineStr">
        <is>
          <t>Formato de Análisis de 
Solicitud de Auspicio.</t>
        </is>
      </c>
      <c r="I311" s="10" t="inlineStr">
        <is>
          <t>Herramienta utilizada para evaluar las solicitudes de auspicio recibidas, analizando su viabilidad y los beneficios asociados.</t>
        </is>
      </c>
      <c r="J311" s="10" t="inlineStr">
        <is>
          <t xml:space="preserve">Jefe de Marketing </t>
        </is>
      </c>
      <c r="K311" s="10" t="inlineStr">
        <is>
          <t>Jefe de Marketing</t>
        </is>
      </c>
      <c r="L311" s="10" t="inlineStr">
        <is>
          <t>UBICACIÓN DIGITAL-EQUIPO DEL RESPONSABLE</t>
        </is>
      </c>
      <c r="M311" s="10" t="inlineStr">
        <is>
          <t>DISCOS DUROS, SERVIDORES, DISCOS O MEDIOS PORTÁTILES, CINTAS O MEDIOS DE VIDEO Y AUDIO, ETC.</t>
        </is>
      </c>
      <c r="N311" s="10" t="inlineStr">
        <is>
          <t>PRIMARIOS</t>
        </is>
      </c>
      <c r="O311" s="10" t="inlineStr">
        <is>
          <t>DOCUMENTOS TÉCNICOS</t>
        </is>
      </c>
      <c r="P311" s="10" t="inlineStr">
        <is>
          <t>USO INTERNO(2)</t>
        </is>
      </c>
      <c r="Q311" s="10" t="inlineStr">
        <is>
          <t>BAJA(1)</t>
        </is>
      </c>
      <c r="R311" s="10" t="inlineStr">
        <is>
          <t>MEDIA(2)</t>
        </is>
      </c>
      <c r="S311" s="10">
        <f>+(IF(P311="PUBLICA(1)",1,IF(P311="USO INTERNO(2)",2,IF(P311="RESTRINGIDO(3)",3,3))))+(IF(Q311="BAJA(1)",1,IF(Q311="MEDIA(2)",2,IF(Q311="ALTA(3)",3,3))))+(IF(R311="BAJA(1)",1,IF(R311="MEDIA(2)",2,IF(R311="ALTA(3)",3,3))))</f>
        <v/>
      </c>
      <c r="T311" s="10">
        <f>+IF(S311&lt;6,"BAJA",IF(S311&lt;8,"MEDIA","ALTA"))</f>
        <v/>
      </c>
      <c r="U311" s="10" t="inlineStr">
        <is>
          <t>-</t>
        </is>
      </c>
      <c r="V311" s="24" t="n">
        <v>45580</v>
      </c>
      <c r="W311" s="19" t="inlineStr">
        <is>
          <t>N/A</t>
        </is>
      </c>
      <c r="X311" s="10">
        <f>+IFERROR(IF(VLOOKUP(Tabla2[[#This Row],[ID]],'EVALUACION DE RIESGO'!A:A,1,FALSE)=Tabla2[[#This Row],[ID]],"SI","NO"),"NO")</f>
        <v/>
      </c>
    </row>
    <row r="312">
      <c r="A312" s="91" t="inlineStr">
        <is>
          <t>14-GNE</t>
        </is>
      </c>
      <c r="B312" s="10" t="inlineStr">
        <is>
          <t>PRODUCTIVO</t>
        </is>
      </c>
      <c r="C312" s="10" t="inlineStr">
        <is>
          <t>Gestión de Negocios</t>
        </is>
      </c>
      <c r="D312" s="10" t="inlineStr">
        <is>
          <t>GNE</t>
        </is>
      </c>
      <c r="E312" s="10" t="inlineStr">
        <is>
          <t>Gestión de Marketing</t>
        </is>
      </c>
      <c r="F312" s="10" t="inlineStr">
        <is>
          <t>-</t>
        </is>
      </c>
      <c r="G312" s="10" t="inlineStr">
        <is>
          <t>Calificación y ejecución de auspicios publicitarios</t>
        </is>
      </c>
      <c r="H312" s="10" t="inlineStr">
        <is>
          <t>Acta entrega recepción del auspicio</t>
        </is>
      </c>
      <c r="I312" s="10" t="inlineStr">
        <is>
          <t>Documento que valida la entrega del auspicio, confirmando que los materiales o recursos solicitados han sido recibidos correctamente.</t>
        </is>
      </c>
      <c r="J312" s="10" t="inlineStr">
        <is>
          <t xml:space="preserve">Jefe de Marketing </t>
        </is>
      </c>
      <c r="K312" s="10" t="inlineStr">
        <is>
          <t>Jefe de Marketing</t>
        </is>
      </c>
      <c r="L312" s="10" t="inlineStr">
        <is>
          <t>UBICACIÓN DIGITAL-EQUIPO DEL RESPONSABLE</t>
        </is>
      </c>
      <c r="M312" s="10" t="inlineStr">
        <is>
          <t>DISCOS DUROS, SERVIDORES, DISCOS O MEDIOS PORTÁTILES, CINTAS O MEDIOS DE VIDEO Y AUDIO, ETC.</t>
        </is>
      </c>
      <c r="N312" s="10" t="inlineStr">
        <is>
          <t>PRIMARIOS</t>
        </is>
      </c>
      <c r="O312" s="10" t="inlineStr">
        <is>
          <t>DOCUMENTOS TÉCNICOS</t>
        </is>
      </c>
      <c r="P312" s="10" t="inlineStr">
        <is>
          <t>USO INTERNO(2)</t>
        </is>
      </c>
      <c r="Q312" s="10" t="inlineStr">
        <is>
          <t>MEDIA(2)</t>
        </is>
      </c>
      <c r="R312" s="10" t="inlineStr">
        <is>
          <t>MEDIA(2)</t>
        </is>
      </c>
      <c r="S312" s="10">
        <f>+(IF(P312="PUBLICA(1)",1,IF(P312="USO INTERNO(2)",2,IF(P312="RESTRINGIDO(3)",3,3))))+(IF(Q312="BAJA(1)",1,IF(Q312="MEDIA(2)",2,IF(Q312="ALTA(3)",3,3))))+(IF(R312="BAJA(1)",1,IF(R312="MEDIA(2)",2,IF(R312="ALTA(3)",3,3))))</f>
        <v/>
      </c>
      <c r="T312" s="10">
        <f>+IF(S312&lt;6,"BAJA",IF(S312&lt;8,"MEDIA","ALTA"))</f>
        <v/>
      </c>
      <c r="U312" s="10" t="inlineStr">
        <is>
          <t>-</t>
        </is>
      </c>
      <c r="V312" s="24" t="n">
        <v>45580</v>
      </c>
      <c r="W312" s="19" t="inlineStr">
        <is>
          <t>N/A</t>
        </is>
      </c>
      <c r="X312" s="10">
        <f>+IFERROR(IF(VLOOKUP(Tabla2[[#This Row],[ID]],'EVALUACION DE RIESGO'!A:A,1,FALSE)=Tabla2[[#This Row],[ID]],"SI","NO"),"NO")</f>
        <v/>
      </c>
    </row>
    <row r="313">
      <c r="A313" s="91" t="inlineStr">
        <is>
          <t>15-GNE</t>
        </is>
      </c>
      <c r="B313" s="10" t="inlineStr">
        <is>
          <t>PRODUCTIVO</t>
        </is>
      </c>
      <c r="C313" s="10" t="inlineStr">
        <is>
          <t>Gestión de Negocios</t>
        </is>
      </c>
      <c r="D313" s="10" t="inlineStr">
        <is>
          <t>GNE</t>
        </is>
      </c>
      <c r="E313" s="10" t="inlineStr">
        <is>
          <t>Gestión de Marketing</t>
        </is>
      </c>
      <c r="F313" s="10" t="inlineStr">
        <is>
          <t>-</t>
        </is>
      </c>
      <c r="G313" s="10" t="inlineStr">
        <is>
          <t xml:space="preserve">Ejecución de sorteos                              </t>
        </is>
      </c>
      <c r="H313" s="10" t="inlineStr">
        <is>
          <t>Registro
de números
participantes entregados.</t>
        </is>
      </c>
      <c r="I313" s="10" t="inlineStr">
        <is>
          <t>Control de los números asignados a los participantes en promociones, sorteos o eventos de marketing.</t>
        </is>
      </c>
      <c r="J313" s="10" t="inlineStr">
        <is>
          <t xml:space="preserve">Jefe de Marketing </t>
        </is>
      </c>
      <c r="K313" s="10" t="inlineStr">
        <is>
          <t>Jefe de Marketing</t>
        </is>
      </c>
      <c r="L313" s="10" t="inlineStr">
        <is>
          <t>UBICACIÓN DIGITAL-EQUIPO DEL RESPONSABLE</t>
        </is>
      </c>
      <c r="M313" s="10" t="inlineStr">
        <is>
          <t>DISCOS DUROS, SERVIDORES, DISCOS O MEDIOS PORTÁTILES, CINTAS O MEDIOS DE VIDEO Y AUDIO, ETC.</t>
        </is>
      </c>
      <c r="N313" s="10" t="inlineStr">
        <is>
          <t>PRIMARIOS</t>
        </is>
      </c>
      <c r="O313" s="10" t="inlineStr">
        <is>
          <t>DOCUMENTOS TÉCNICOS</t>
        </is>
      </c>
      <c r="P313" s="10" t="inlineStr">
        <is>
          <t>USO INTERNO(2)</t>
        </is>
      </c>
      <c r="Q313" s="10" t="inlineStr">
        <is>
          <t>MEDIA(2)</t>
        </is>
      </c>
      <c r="R313" s="10" t="inlineStr">
        <is>
          <t>BAJA(1)</t>
        </is>
      </c>
      <c r="S313" s="10">
        <f>+(IF(P313="PUBLICA(1)",1,IF(P313="USO INTERNO(2)",2,IF(P313="RESTRINGIDO(3)",3,3))))+(IF(Q313="BAJA(1)",1,IF(Q313="MEDIA(2)",2,IF(Q313="ALTA(3)",3,3))))+(IF(R313="BAJA(1)",1,IF(R313="MEDIA(2)",2,IF(R313="ALTA(3)",3,3))))</f>
        <v/>
      </c>
      <c r="T313" s="10">
        <f>+IF(S313&lt;6,"BAJA",IF(S313&lt;8,"MEDIA","ALTA"))</f>
        <v/>
      </c>
      <c r="U313" s="10" t="inlineStr">
        <is>
          <t>-</t>
        </is>
      </c>
      <c r="V313" s="24" t="n">
        <v>45580</v>
      </c>
      <c r="W313" s="19" t="inlineStr">
        <is>
          <t>N/A</t>
        </is>
      </c>
      <c r="X313" s="10">
        <f>+IFERROR(IF(VLOOKUP(Tabla2[[#This Row],[ID]],'EVALUACION DE RIESGO'!A:A,1,FALSE)=Tabla2[[#This Row],[ID]],"SI","NO"),"NO")</f>
        <v/>
      </c>
    </row>
    <row r="314">
      <c r="A314" s="91" t="inlineStr">
        <is>
          <t>16-GNE</t>
        </is>
      </c>
      <c r="B314" s="10" t="inlineStr">
        <is>
          <t>PRODUCTIVO</t>
        </is>
      </c>
      <c r="C314" s="10" t="inlineStr">
        <is>
          <t>Gestión de Negocios</t>
        </is>
      </c>
      <c r="D314" s="10" t="inlineStr">
        <is>
          <t>GNE</t>
        </is>
      </c>
      <c r="E314" s="10" t="inlineStr">
        <is>
          <t>Gestión de Marketing</t>
        </is>
      </c>
      <c r="F314" s="10" t="inlineStr">
        <is>
          <t>-</t>
        </is>
      </c>
      <c r="G314" s="10" t="inlineStr">
        <is>
          <t xml:space="preserve">Ejecución de sorteos                              </t>
        </is>
      </c>
      <c r="H314" s="10" t="inlineStr">
        <is>
          <t>Acta entrega recepción de
los premios.</t>
        </is>
      </c>
      <c r="I314" s="10" t="inlineStr">
        <is>
          <t xml:space="preserve">Acta que certifica la entrega de premios a los ganadores de concursos, sorteos o promociones organizadas.
</t>
        </is>
      </c>
      <c r="J314" s="10" t="inlineStr">
        <is>
          <t xml:space="preserve">Jefe de Marketing </t>
        </is>
      </c>
      <c r="K314" s="10" t="inlineStr">
        <is>
          <t>Jefe de Marketing</t>
        </is>
      </c>
      <c r="L314" s="10" t="inlineStr">
        <is>
          <t>UBICACIÓN DIGITAL-EQUIPO DEL RESPONSABLE</t>
        </is>
      </c>
      <c r="M314" s="10" t="inlineStr">
        <is>
          <t>DISCOS DUROS, SERVIDORES, DISCOS O MEDIOS PORTÁTILES, CINTAS O MEDIOS DE VIDEO Y AUDIO, ETC.</t>
        </is>
      </c>
      <c r="N314" s="10" t="inlineStr">
        <is>
          <t>PRIMARIOS</t>
        </is>
      </c>
      <c r="O314" s="10" t="inlineStr">
        <is>
          <t>DOCUMENTOS TÉCNICOS</t>
        </is>
      </c>
      <c r="P314" s="10" t="inlineStr">
        <is>
          <t>USO INTERNO(2)</t>
        </is>
      </c>
      <c r="Q314" s="10" t="inlineStr">
        <is>
          <t>MEDIA(2)</t>
        </is>
      </c>
      <c r="R314" s="10" t="inlineStr">
        <is>
          <t>MEDIA(2)</t>
        </is>
      </c>
      <c r="S314" s="10">
        <f>+(IF(P314="PUBLICA(1)",1,IF(P314="USO INTERNO(2)",2,IF(P314="RESTRINGIDO(3)",3,3))))+(IF(Q314="BAJA(1)",1,IF(Q314="MEDIA(2)",2,IF(Q314="ALTA(3)",3,3))))+(IF(R314="BAJA(1)",1,IF(R314="MEDIA(2)",2,IF(R314="ALTA(3)",3,3))))</f>
        <v/>
      </c>
      <c r="T314" s="10">
        <f>+IF(S314&lt;6,"BAJA",IF(S314&lt;8,"MEDIA","ALTA"))</f>
        <v/>
      </c>
      <c r="U314" s="10" t="inlineStr">
        <is>
          <t>-</t>
        </is>
      </c>
      <c r="V314" s="24" t="n">
        <v>45580</v>
      </c>
      <c r="W314" s="19" t="inlineStr">
        <is>
          <t>N/A</t>
        </is>
      </c>
      <c r="X314" s="10">
        <f>+IFERROR(IF(VLOOKUP(Tabla2[[#This Row],[ID]],'EVALUACION DE RIESGO'!A:A,1,FALSE)=Tabla2[[#This Row],[ID]],"SI","NO"),"NO")</f>
        <v/>
      </c>
    </row>
    <row r="315">
      <c r="A315" s="91" t="inlineStr">
        <is>
          <t>17-GNE</t>
        </is>
      </c>
      <c r="B315" s="10" t="inlineStr">
        <is>
          <t>PRODUCTIVO</t>
        </is>
      </c>
      <c r="C315" s="10" t="inlineStr">
        <is>
          <t>Gestión de Negocios</t>
        </is>
      </c>
      <c r="D315" s="10" t="inlineStr">
        <is>
          <t>GNE</t>
        </is>
      </c>
      <c r="E315" s="10" t="inlineStr">
        <is>
          <t>Gestión de Marketing</t>
        </is>
      </c>
      <c r="F315" s="10" t="inlineStr">
        <is>
          <t>-</t>
        </is>
      </c>
      <c r="G315" s="10" t="inlineStr">
        <is>
          <t xml:space="preserve">Ejecución de sorteos                              </t>
        </is>
      </c>
      <c r="H315" s="10" t="inlineStr">
        <is>
          <t>Análisis de resultados de
sorteos.</t>
        </is>
      </c>
      <c r="I315" s="10" t="inlineStr">
        <is>
          <t>Evaluación de los sorteos realizados, analizando la participación, el impacto y la efectividad de las promociones.</t>
        </is>
      </c>
      <c r="J315" s="10" t="inlineStr">
        <is>
          <t xml:space="preserve">Jefe de Marketing </t>
        </is>
      </c>
      <c r="K315" s="10" t="inlineStr">
        <is>
          <t>Jefe de Marketing</t>
        </is>
      </c>
      <c r="L315" s="10" t="inlineStr">
        <is>
          <t>UBICACIÓN DIGITAL-EQUIPO DEL RESPONSABLE</t>
        </is>
      </c>
      <c r="M315" s="10" t="inlineStr">
        <is>
          <t>DISCOS DUROS, SERVIDORES, DISCOS O MEDIOS PORTÁTILES, CINTAS O MEDIOS DE VIDEO Y AUDIO, ETC.</t>
        </is>
      </c>
      <c r="N315" s="10" t="inlineStr">
        <is>
          <t>PRIMARIOS</t>
        </is>
      </c>
      <c r="O315" s="10" t="inlineStr">
        <is>
          <t>DOCUMENTOS TÉCNICOS</t>
        </is>
      </c>
      <c r="P315" s="10" t="inlineStr">
        <is>
          <t>USO INTERNO(2)</t>
        </is>
      </c>
      <c r="Q315" s="10" t="inlineStr">
        <is>
          <t>BAJA(1)</t>
        </is>
      </c>
      <c r="R315" s="10" t="inlineStr">
        <is>
          <t>BAJA(1)</t>
        </is>
      </c>
      <c r="S315" s="10">
        <f>+(IF(P315="PUBLICA(1)",1,IF(P315="USO INTERNO(2)",2,IF(P315="RESTRINGIDO(3)",3,3))))+(IF(Q315="BAJA(1)",1,IF(Q315="MEDIA(2)",2,IF(Q315="ALTA(3)",3,3))))+(IF(R315="BAJA(1)",1,IF(R315="MEDIA(2)",2,IF(R315="ALTA(3)",3,3))))</f>
        <v/>
      </c>
      <c r="T315" s="10">
        <f>+IF(S315&lt;6,"BAJA",IF(S315&lt;8,"MEDIA","ALTA"))</f>
        <v/>
      </c>
      <c r="U315" s="10" t="inlineStr">
        <is>
          <t>-</t>
        </is>
      </c>
      <c r="V315" s="24" t="n">
        <v>45580</v>
      </c>
      <c r="W315" s="19" t="inlineStr">
        <is>
          <t>N/A</t>
        </is>
      </c>
      <c r="X315" s="10">
        <f>+IFERROR(IF(VLOOKUP(Tabla2[[#This Row],[ID]],'EVALUACION DE RIESGO'!A:A,1,FALSE)=Tabla2[[#This Row],[ID]],"SI","NO"),"NO")</f>
        <v/>
      </c>
    </row>
    <row r="316">
      <c r="A316" s="91" t="inlineStr">
        <is>
          <t>18-GNE</t>
        </is>
      </c>
      <c r="B316" s="10" t="inlineStr">
        <is>
          <t>PRODUCTIVO</t>
        </is>
      </c>
      <c r="C316" s="10" t="inlineStr">
        <is>
          <t>Gestión de Negocios</t>
        </is>
      </c>
      <c r="D316" s="10" t="inlineStr">
        <is>
          <t>GNE</t>
        </is>
      </c>
      <c r="E316" s="10" t="inlineStr">
        <is>
          <t>Gestión de Marketing</t>
        </is>
      </c>
      <c r="F316" s="10" t="inlineStr">
        <is>
          <t>-</t>
        </is>
      </c>
      <c r="G316" s="10" t="inlineStr">
        <is>
          <t>Manejo de Redes Sociales</t>
        </is>
      </c>
      <c r="H316" s="10" t="inlineStr">
        <is>
          <t>Cronograma de eventos y
fechas cívicas.</t>
        </is>
      </c>
      <c r="I316" s="10" t="inlineStr">
        <is>
          <t>Planificación detallada de los eventos de marketing y las fechas cívicas relevantes para la cooperativa.</t>
        </is>
      </c>
      <c r="J316" s="10" t="inlineStr">
        <is>
          <t xml:space="preserve">Jefe de Marketing </t>
        </is>
      </c>
      <c r="K316" s="10" t="inlineStr">
        <is>
          <t>Jefe de Marketing</t>
        </is>
      </c>
      <c r="L316" s="10" t="inlineStr">
        <is>
          <t>UBICACIÓN DIGITAL-EQUIPO DEL RESPONSABLE</t>
        </is>
      </c>
      <c r="M316" s="10" t="inlineStr">
        <is>
          <t>DISCOS DUROS, SERVIDORES, DISCOS O MEDIOS PORTÁTILES, CINTAS O MEDIOS DE VIDEO Y AUDIO, ETC.</t>
        </is>
      </c>
      <c r="N316" s="10" t="inlineStr">
        <is>
          <t>PRIMARIOS</t>
        </is>
      </c>
      <c r="O316" s="10" t="inlineStr">
        <is>
          <t>DOCUMENTOS TÉCNICOS</t>
        </is>
      </c>
      <c r="P316" s="10" t="inlineStr">
        <is>
          <t>USO INTERNO(2)</t>
        </is>
      </c>
      <c r="Q316" s="10" t="inlineStr">
        <is>
          <t>BAJA(1)</t>
        </is>
      </c>
      <c r="R316" s="10" t="inlineStr">
        <is>
          <t>BAJA(1)</t>
        </is>
      </c>
      <c r="S316" s="10">
        <f>+(IF(P316="PUBLICA(1)",1,IF(P316="USO INTERNO(2)",2,IF(P316="RESTRINGIDO(3)",3,3))))+(IF(Q316="BAJA(1)",1,IF(Q316="MEDIA(2)",2,IF(Q316="ALTA(3)",3,3))))+(IF(R316="BAJA(1)",1,IF(R316="MEDIA(2)",2,IF(R316="ALTA(3)",3,3))))</f>
        <v/>
      </c>
      <c r="T316" s="10">
        <f>+IF(S316&lt;6,"BAJA",IF(S316&lt;8,"MEDIA","ALTA"))</f>
        <v/>
      </c>
      <c r="U316" s="10" t="inlineStr">
        <is>
          <t>-</t>
        </is>
      </c>
      <c r="V316" s="24" t="n">
        <v>45580</v>
      </c>
      <c r="W316" s="19" t="inlineStr">
        <is>
          <t>N/A</t>
        </is>
      </c>
      <c r="X316" s="10">
        <f>+IFERROR(IF(VLOOKUP(Tabla2[[#This Row],[ID]],'EVALUACION DE RIESGO'!A:A,1,FALSE)=Tabla2[[#This Row],[ID]],"SI","NO"),"NO")</f>
        <v/>
      </c>
    </row>
    <row r="317">
      <c r="A317" s="91" t="inlineStr">
        <is>
          <t>19-GNE</t>
        </is>
      </c>
      <c r="B317" s="10" t="inlineStr">
        <is>
          <t>PRODUCTIVO</t>
        </is>
      </c>
      <c r="C317" s="10" t="inlineStr">
        <is>
          <t>Gestión de Negocios</t>
        </is>
      </c>
      <c r="D317" s="10" t="inlineStr">
        <is>
          <t>GNE</t>
        </is>
      </c>
      <c r="E317" s="10" t="inlineStr">
        <is>
          <t>Gestión de Marketing</t>
        </is>
      </c>
      <c r="F317" s="10" t="inlineStr">
        <is>
          <t>-</t>
        </is>
      </c>
      <c r="G317" s="10" t="inlineStr">
        <is>
          <t>Manejo de Redes Sociales</t>
        </is>
      </c>
      <c r="H317" s="10" t="inlineStr">
        <is>
          <t>Cronopost</t>
        </is>
      </c>
      <c r="I317" s="10" t="inlineStr">
        <is>
          <t xml:space="preserve">Herramienta o informe utilizado para programar y gestionar el envío de comunicaciones, materiales promocionales u otros mensajes.
</t>
        </is>
      </c>
      <c r="J317" s="10" t="inlineStr">
        <is>
          <t xml:space="preserve">Jefe de Marketing </t>
        </is>
      </c>
      <c r="K317" s="10" t="inlineStr">
        <is>
          <t>Jefe de Marketing</t>
        </is>
      </c>
      <c r="L317" s="10" t="inlineStr">
        <is>
          <t>UBICACIÓN DIGITAL-EQUIPO DEL RESPONSABLE</t>
        </is>
      </c>
      <c r="M317" s="10" t="inlineStr">
        <is>
          <t>DISCOS DUROS, SERVIDORES, DISCOS O MEDIOS PORTÁTILES, CINTAS O MEDIOS DE VIDEO Y AUDIO, ETC.</t>
        </is>
      </c>
      <c r="N317" s="10" t="inlineStr">
        <is>
          <t>PRIMARIOS</t>
        </is>
      </c>
      <c r="O317" s="10" t="inlineStr">
        <is>
          <t>DOCUMENTOS TÉCNICOS</t>
        </is>
      </c>
      <c r="P317" s="10" t="inlineStr">
        <is>
          <t>USO INTERNO(2)</t>
        </is>
      </c>
      <c r="Q317" s="10" t="inlineStr">
        <is>
          <t>BAJA(1)</t>
        </is>
      </c>
      <c r="R317" s="10" t="inlineStr">
        <is>
          <t>BAJA(1)</t>
        </is>
      </c>
      <c r="S317" s="10">
        <f>+(IF(P317="PUBLICA(1)",1,IF(P317="USO INTERNO(2)",2,IF(P317="RESTRINGIDO(3)",3,3))))+(IF(Q317="BAJA(1)",1,IF(Q317="MEDIA(2)",2,IF(Q317="ALTA(3)",3,3))))+(IF(R317="BAJA(1)",1,IF(R317="MEDIA(2)",2,IF(R317="ALTA(3)",3,3))))</f>
        <v/>
      </c>
      <c r="T317" s="10">
        <f>+IF(S317&lt;6,"BAJA",IF(S317&lt;8,"MEDIA","ALTA"))</f>
        <v/>
      </c>
      <c r="U317" s="10" t="inlineStr">
        <is>
          <t>-</t>
        </is>
      </c>
      <c r="V317" s="24" t="n">
        <v>45580</v>
      </c>
      <c r="W317" s="19" t="inlineStr">
        <is>
          <t>N/A</t>
        </is>
      </c>
      <c r="X317" s="10">
        <f>+IFERROR(IF(VLOOKUP(Tabla2[[#This Row],[ID]],'EVALUACION DE RIESGO'!A:A,1,FALSE)=Tabla2[[#This Row],[ID]],"SI","NO"),"NO")</f>
        <v/>
      </c>
    </row>
    <row r="318">
      <c r="A318" s="91" t="inlineStr">
        <is>
          <t>20-GNE</t>
        </is>
      </c>
      <c r="B318" s="10" t="inlineStr">
        <is>
          <t>PRODUCTIVO</t>
        </is>
      </c>
      <c r="C318" s="10" t="inlineStr">
        <is>
          <t>Gestión de Negocios</t>
        </is>
      </c>
      <c r="D318" s="10" t="inlineStr">
        <is>
          <t>GNE</t>
        </is>
      </c>
      <c r="E318" s="10" t="inlineStr">
        <is>
          <t>Gestión de Marketing</t>
        </is>
      </c>
      <c r="F318" s="10" t="inlineStr">
        <is>
          <t>-</t>
        </is>
      </c>
      <c r="G318" s="10" t="inlineStr">
        <is>
          <t>Informe de resultados</t>
        </is>
      </c>
      <c r="H318" s="10" t="inlineStr">
        <is>
          <t>Informe
de gestión
de Marketing.</t>
        </is>
      </c>
      <c r="I318" s="10" t="inlineStr">
        <is>
          <t>Documento que recoge el resumen de las actividades y los resultados de las acciones de marketing ejecutadas en un periodo determinado.</t>
        </is>
      </c>
      <c r="J318" s="10" t="inlineStr">
        <is>
          <t xml:space="preserve">Jefe de Marketing </t>
        </is>
      </c>
      <c r="K318" s="10" t="inlineStr">
        <is>
          <t>Jefe de Marketing</t>
        </is>
      </c>
      <c r="L318" s="10" t="inlineStr">
        <is>
          <t>UBICACIÓN DIGITAL-EQUIPO DEL RESPONSABLE</t>
        </is>
      </c>
      <c r="M318" s="10" t="inlineStr">
        <is>
          <t>DISCOS DUROS, SERVIDORES, DISCOS O MEDIOS PORTÁTILES, CINTAS O MEDIOS DE VIDEO Y AUDIO, ETC.</t>
        </is>
      </c>
      <c r="N318" s="10" t="inlineStr">
        <is>
          <t>PRIMARIOS</t>
        </is>
      </c>
      <c r="O318" s="10" t="inlineStr">
        <is>
          <t>DOCUMENTOS TÉCNICOS</t>
        </is>
      </c>
      <c r="P318" s="10" t="inlineStr">
        <is>
          <t>USO INTERNO(2)</t>
        </is>
      </c>
      <c r="Q318" s="10" t="inlineStr">
        <is>
          <t>MEDIA(2)</t>
        </is>
      </c>
      <c r="R318" s="10" t="inlineStr">
        <is>
          <t>BAJA(1)</t>
        </is>
      </c>
      <c r="S318" s="10">
        <f>+(IF(P318="PUBLICA(1)",1,IF(P318="USO INTERNO(2)",2,IF(P318="RESTRINGIDO(3)",3,3))))+(IF(Q318="BAJA(1)",1,IF(Q318="MEDIA(2)",2,IF(Q318="ALTA(3)",3,3))))+(IF(R318="BAJA(1)",1,IF(R318="MEDIA(2)",2,IF(R318="ALTA(3)",3,3))))</f>
        <v/>
      </c>
      <c r="T318" s="10">
        <f>+IF(S318&lt;6,"BAJA",IF(S318&lt;8,"MEDIA","ALTA"))</f>
        <v/>
      </c>
      <c r="U318" s="10" t="inlineStr">
        <is>
          <t>-</t>
        </is>
      </c>
      <c r="V318" s="24" t="n">
        <v>45580</v>
      </c>
      <c r="W318" s="19" t="inlineStr">
        <is>
          <t>N/A</t>
        </is>
      </c>
      <c r="X318" s="10">
        <f>+IFERROR(IF(VLOOKUP(Tabla2[[#This Row],[ID]],'EVALUACION DE RIESGO'!A:A,1,FALSE)=Tabla2[[#This Row],[ID]],"SI","NO"),"NO")</f>
        <v/>
      </c>
    </row>
    <row r="319">
      <c r="A319" s="91" t="inlineStr">
        <is>
          <t>21-GNE</t>
        </is>
      </c>
      <c r="B319" s="10" t="inlineStr">
        <is>
          <t>PRODUCTIVO</t>
        </is>
      </c>
      <c r="C319" s="10" t="inlineStr">
        <is>
          <t>Gestión de Negocios</t>
        </is>
      </c>
      <c r="D319" s="10" t="inlineStr">
        <is>
          <t>GNE</t>
        </is>
      </c>
      <c r="E319" s="10" t="inlineStr">
        <is>
          <t>Gestión de Marketing</t>
        </is>
      </c>
      <c r="F319" s="10" t="inlineStr">
        <is>
          <t>-</t>
        </is>
      </c>
      <c r="G319" s="10" t="inlineStr">
        <is>
          <t>Informe de resultados</t>
        </is>
      </c>
      <c r="H319" s="10" t="inlineStr">
        <is>
          <t>Equipos de computación del Jefe de Marketing</t>
        </is>
      </c>
      <c r="I319" s="10" t="inlineStr">
        <is>
          <t>Herramientas tecnológicas y equipos informáticos utilizados por el Jefe de Marketing para gestionar las campañas y actividades de marketing.</t>
        </is>
      </c>
      <c r="J319" s="10" t="inlineStr">
        <is>
          <t xml:space="preserve">Jefe de Marketing </t>
        </is>
      </c>
      <c r="K319" s="10" t="inlineStr">
        <is>
          <t>Jefe de Marketing</t>
        </is>
      </c>
      <c r="L319" s="10" t="inlineStr">
        <is>
          <t>N/A</t>
        </is>
      </c>
      <c r="M319" s="10" t="inlineStr">
        <is>
          <t>N/A</t>
        </is>
      </c>
      <c r="N319" s="10" t="inlineStr">
        <is>
          <t>APOYO</t>
        </is>
      </c>
      <c r="O319" s="10" t="inlineStr">
        <is>
          <t>HARDWARE</t>
        </is>
      </c>
      <c r="P319" s="10" t="inlineStr">
        <is>
          <t>USO INTERNO(2)</t>
        </is>
      </c>
      <c r="Q319" s="10" t="inlineStr">
        <is>
          <t>MEDIA(2)</t>
        </is>
      </c>
      <c r="R319" s="10" t="inlineStr">
        <is>
          <t>MEDIA(2)</t>
        </is>
      </c>
      <c r="S319" s="10">
        <f>+(IF(P319="PUBLICA(1)",1,IF(P319="USO INTERNO(2)",2,IF(P319="RESTRINGIDO(3)",3,3))))+(IF(Q319="BAJA(1)",1,IF(Q319="MEDIA(2)",2,IF(Q319="ALTA(3)",3,3))))+(IF(R319="BAJA(1)",1,IF(R319="MEDIA(2)",2,IF(R319="ALTA(3)",3,3))))</f>
        <v/>
      </c>
      <c r="T319" s="10">
        <f>+IF(S319&lt;6,"BAJA",IF(S319&lt;8,"MEDIA","ALTA"))</f>
        <v/>
      </c>
      <c r="U319" s="10" t="inlineStr">
        <is>
          <t>-</t>
        </is>
      </c>
      <c r="V319" s="24" t="n">
        <v>45580</v>
      </c>
      <c r="W319" s="19" t="inlineStr">
        <is>
          <t>N/A</t>
        </is>
      </c>
      <c r="X319" s="10">
        <f>+IFERROR(IF(VLOOKUP(Tabla2[[#This Row],[ID]],'EVALUACION DE RIESGO'!A:A,1,FALSE)=Tabla2[[#This Row],[ID]],"SI","NO"),"NO")</f>
        <v/>
      </c>
    </row>
    <row r="320">
      <c r="A320" s="91" t="inlineStr">
        <is>
          <t>22-GNE</t>
        </is>
      </c>
      <c r="B320" s="10" t="inlineStr">
        <is>
          <t>PRODUCTIVO</t>
        </is>
      </c>
      <c r="C320" s="10" t="inlineStr">
        <is>
          <t>Gestión de Negocios</t>
        </is>
      </c>
      <c r="D320" s="10" t="inlineStr">
        <is>
          <t>GNE</t>
        </is>
      </c>
      <c r="E320" s="10" t="inlineStr">
        <is>
          <t>Gestión de Marketing</t>
        </is>
      </c>
      <c r="F320" s="10" t="inlineStr">
        <is>
          <t>-</t>
        </is>
      </c>
      <c r="G320" s="10" t="inlineStr">
        <is>
          <t>Informe de resultados</t>
        </is>
      </c>
      <c r="H320" s="10" t="inlineStr">
        <is>
          <t>Equipos de computación de Analista de Marketing</t>
        </is>
      </c>
      <c r="I320" s="10" t="inlineStr">
        <is>
          <t>Equipos de trabajo y recursos informáticos utilizados por el Analista de Marketing para procesar datos, generar informes y analizar resultados.</t>
        </is>
      </c>
      <c r="J320" s="10" t="inlineStr">
        <is>
          <t xml:space="preserve">Jefe de Marketing </t>
        </is>
      </c>
      <c r="K320" s="10" t="inlineStr">
        <is>
          <t>Jefe de Marketing</t>
        </is>
      </c>
      <c r="L320" s="10" t="inlineStr">
        <is>
          <t>N/A</t>
        </is>
      </c>
      <c r="M320" s="10" t="inlineStr">
        <is>
          <t>N/A</t>
        </is>
      </c>
      <c r="N320" s="10" t="inlineStr">
        <is>
          <t>APOYO</t>
        </is>
      </c>
      <c r="O320" s="10" t="inlineStr">
        <is>
          <t>HARDWARE</t>
        </is>
      </c>
      <c r="P320" s="10" t="inlineStr">
        <is>
          <t>USO INTERNO(2)</t>
        </is>
      </c>
      <c r="Q320" s="10" t="inlineStr">
        <is>
          <t>MEDIA(2)</t>
        </is>
      </c>
      <c r="R320" s="10" t="inlineStr">
        <is>
          <t>MEDIA(2)</t>
        </is>
      </c>
      <c r="S320" s="10">
        <f>+(IF(P320="PUBLICA(1)",1,IF(P320="USO INTERNO(2)",2,IF(P320="RESTRINGIDO(3)",3,3))))+(IF(Q320="BAJA(1)",1,IF(Q320="MEDIA(2)",2,IF(Q320="ALTA(3)",3,3))))+(IF(R320="BAJA(1)",1,IF(R320="MEDIA(2)",2,IF(R320="ALTA(3)",3,3))))</f>
        <v/>
      </c>
      <c r="T320" s="10">
        <f>+IF(S320&lt;6,"BAJA",IF(S320&lt;8,"MEDIA","ALTA"))</f>
        <v/>
      </c>
      <c r="U320" s="10" t="inlineStr">
        <is>
          <t>-</t>
        </is>
      </c>
      <c r="V320" s="24" t="n">
        <v>45580</v>
      </c>
      <c r="W320" s="19" t="inlineStr">
        <is>
          <t>N/A</t>
        </is>
      </c>
      <c r="X320" s="10">
        <f>+IFERROR(IF(VLOOKUP(Tabla2[[#This Row],[ID]],'EVALUACION DE RIESGO'!A:A,1,FALSE)=Tabla2[[#This Row],[ID]],"SI","NO"),"NO")</f>
        <v/>
      </c>
    </row>
    <row r="321">
      <c r="A321" s="91" t="inlineStr">
        <is>
          <t>23-GNE</t>
        </is>
      </c>
      <c r="B321" s="10" t="inlineStr">
        <is>
          <t>PRODUCTIVO</t>
        </is>
      </c>
      <c r="C321" s="10" t="inlineStr">
        <is>
          <t>Gestión de Negocios</t>
        </is>
      </c>
      <c r="D321" s="10" t="inlineStr">
        <is>
          <t>GNE</t>
        </is>
      </c>
      <c r="E321" s="10" t="inlineStr">
        <is>
          <t>Gestión de Marketing</t>
        </is>
      </c>
      <c r="F321" s="10" t="inlineStr">
        <is>
          <t>-</t>
        </is>
      </c>
      <c r="G321" s="10" t="inlineStr">
        <is>
          <t>Informe de resultados</t>
        </is>
      </c>
      <c r="H321" s="10" t="inlineStr">
        <is>
          <t>Jefe de Marketing</t>
        </is>
      </c>
      <c r="I321" s="10" t="inlineStr">
        <is>
          <t>Responsable de dirigir las estrategias de marketing, supervisar los equipos y gestionar las campañas de comunicación y publicidad de la cooperativa.</t>
        </is>
      </c>
      <c r="J321" s="10" t="inlineStr">
        <is>
          <t xml:space="preserve">Jefe de Marketing </t>
        </is>
      </c>
      <c r="K321" s="10" t="inlineStr">
        <is>
          <t>Jefe de Marketing</t>
        </is>
      </c>
      <c r="L321" s="10" t="inlineStr">
        <is>
          <t>N/A</t>
        </is>
      </c>
      <c r="M321" s="10" t="inlineStr">
        <is>
          <t>N/A</t>
        </is>
      </c>
      <c r="N321" s="10" t="inlineStr">
        <is>
          <t>APOYO</t>
        </is>
      </c>
      <c r="O321" s="10" t="inlineStr">
        <is>
          <t>RECURSO HUMANO</t>
        </is>
      </c>
      <c r="P321" s="10" t="inlineStr">
        <is>
          <t>USO INTERNO(2)</t>
        </is>
      </c>
      <c r="Q321" s="10" t="inlineStr">
        <is>
          <t>MEDIA(2)</t>
        </is>
      </c>
      <c r="R321" s="10" t="inlineStr">
        <is>
          <t>MEDIA(2)</t>
        </is>
      </c>
      <c r="S321" s="10">
        <f>+(IF(P321="PUBLICA(1)",1,IF(P321="USO INTERNO(2)",2,IF(P321="RESTRINGIDO(3)",3,3))))+(IF(Q321="BAJA(1)",1,IF(Q321="MEDIA(2)",2,IF(Q321="ALTA(3)",3,3))))+(IF(R321="BAJA(1)",1,IF(R321="MEDIA(2)",2,IF(R321="ALTA(3)",3,3))))</f>
        <v/>
      </c>
      <c r="T321" s="10">
        <f>+IF(S321&lt;6,"BAJA",IF(S321&lt;8,"MEDIA","ALTA"))</f>
        <v/>
      </c>
      <c r="U321" s="10" t="inlineStr">
        <is>
          <t>-</t>
        </is>
      </c>
      <c r="V321" s="24" t="n">
        <v>45580</v>
      </c>
      <c r="W321" s="19" t="inlineStr">
        <is>
          <t>N/A</t>
        </is>
      </c>
      <c r="X321" s="10">
        <f>+IFERROR(IF(VLOOKUP(Tabla2[[#This Row],[ID]],'EVALUACION DE RIESGO'!A:A,1,FALSE)=Tabla2[[#This Row],[ID]],"SI","NO"),"NO")</f>
        <v/>
      </c>
    </row>
    <row r="322">
      <c r="A322" s="91" t="inlineStr">
        <is>
          <t>24-GNE</t>
        </is>
      </c>
      <c r="B322" s="10" t="inlineStr">
        <is>
          <t>PRODUCTIVO</t>
        </is>
      </c>
      <c r="C322" s="10" t="inlineStr">
        <is>
          <t>Gestión de Negocios</t>
        </is>
      </c>
      <c r="D322" s="10" t="inlineStr">
        <is>
          <t>GNE</t>
        </is>
      </c>
      <c r="E322" s="10" t="inlineStr">
        <is>
          <t>Gestión de Contact Center</t>
        </is>
      </c>
      <c r="F322" s="10" t="inlineStr">
        <is>
          <t>-</t>
        </is>
      </c>
      <c r="G322" s="10" t="inlineStr">
        <is>
          <t xml:space="preserve">Preparación de campañas telefónicas         </t>
        </is>
      </c>
      <c r="H322" s="10" t="inlineStr">
        <is>
          <t>Manual de Usuario del 
Sistema Isabel E</t>
        </is>
      </c>
      <c r="I322" s="10" t="inlineStr">
        <is>
          <t>Contiene el manual del sistema Isabel donde se reporta y se control todas las actividades de los gestores telefónicas</t>
        </is>
      </c>
      <c r="J322" s="10" t="inlineStr">
        <is>
          <t xml:space="preserve">Jefe de Canales Electrónicos </t>
        </is>
      </c>
      <c r="K322" s="10" t="inlineStr">
        <is>
          <t xml:space="preserve">Jefe de Canales Electrónicos </t>
        </is>
      </c>
      <c r="L322" s="10" t="inlineStr">
        <is>
          <t>UBICACIÓN DIGITAL-WEBCOOP</t>
        </is>
      </c>
      <c r="M322" s="10" t="inlineStr">
        <is>
          <t>PORTALES, INTRANET Y EXTRANET</t>
        </is>
      </c>
      <c r="N322" s="10" t="inlineStr">
        <is>
          <t>PRIMARIOS</t>
        </is>
      </c>
      <c r="O322" s="10" t="inlineStr">
        <is>
          <t>DOCUMENTOS TÉCNICOS</t>
        </is>
      </c>
      <c r="P322" s="10" t="inlineStr">
        <is>
          <t>USO INTERNO(2)</t>
        </is>
      </c>
      <c r="Q322" s="10" t="inlineStr">
        <is>
          <t>MEDIA(2)</t>
        </is>
      </c>
      <c r="R322" s="10" t="inlineStr">
        <is>
          <t>MEDIA(2)</t>
        </is>
      </c>
      <c r="S322" s="10">
        <f>+(IF(P322="PUBLICA(1)",1,IF(P322="USO INTERNO(2)",2,IF(P322="RESTRINGIDO(3)",3,3))))+(IF(Q322="BAJA(1)",1,IF(Q322="MEDIA(2)",2,IF(Q322="ALTA(3)",3,3))))+(IF(R322="BAJA(1)",1,IF(R322="MEDIA(2)",2,IF(R322="ALTA(3)",3,3))))</f>
        <v/>
      </c>
      <c r="T322" s="10">
        <f>+IF(S322&lt;6,"BAJA",IF(S322&lt;8,"MEDIA","ALTA"))</f>
        <v/>
      </c>
      <c r="U322" s="10" t="inlineStr">
        <is>
          <t>-</t>
        </is>
      </c>
      <c r="V322" s="24" t="n">
        <v>45588</v>
      </c>
      <c r="W322" s="19" t="inlineStr">
        <is>
          <t>N/A</t>
        </is>
      </c>
      <c r="X322" s="10">
        <f>+IFERROR(IF(VLOOKUP(Tabla2[[#This Row],[ID]],'EVALUACION DE RIESGO'!A:A,1,FALSE)=Tabla2[[#This Row],[ID]],"SI","NO"),"NO")</f>
        <v/>
      </c>
    </row>
    <row r="323">
      <c r="A323" s="91" t="inlineStr">
        <is>
          <t>25-GNE</t>
        </is>
      </c>
      <c r="B323" s="10" t="inlineStr">
        <is>
          <t>PRODUCTIVO</t>
        </is>
      </c>
      <c r="C323" s="10" t="inlineStr">
        <is>
          <t>Gestión de Negocios</t>
        </is>
      </c>
      <c r="D323" s="10" t="inlineStr">
        <is>
          <t>GNE</t>
        </is>
      </c>
      <c r="E323" s="10" t="inlineStr">
        <is>
          <t>Gestión de Contact Center</t>
        </is>
      </c>
      <c r="F323" s="10" t="inlineStr">
        <is>
          <t>-</t>
        </is>
      </c>
      <c r="G323" s="10" t="inlineStr">
        <is>
          <t xml:space="preserve">Preparación de campañas telefónicas         </t>
        </is>
      </c>
      <c r="H323" s="10" t="inlineStr">
        <is>
          <t>Formulario de Solicitud de
campaña E</t>
        </is>
      </c>
      <c r="I323" s="10" t="inlineStr">
        <is>
          <t>Información general de la campaña</t>
        </is>
      </c>
      <c r="J323" s="10" t="inlineStr">
        <is>
          <t xml:space="preserve">Jefe de Canales Electrónicos </t>
        </is>
      </c>
      <c r="K323" s="10" t="inlineStr">
        <is>
          <t>Analista de Contact Center</t>
        </is>
      </c>
      <c r="L323" s="10" t="inlineStr">
        <is>
          <t>UBICACIÓN DIGITAL-EQUIPO DEL CUSTODIO</t>
        </is>
      </c>
      <c r="M323" s="10" t="inlineStr">
        <is>
          <t>DISCOS DUROS, SERVIDORES, DISCOS O MEDIOS PORTÁTILES, CINTAS O MEDIOS DE VIDEO Y AUDIO, ETC.</t>
        </is>
      </c>
      <c r="N323" s="10" t="inlineStr">
        <is>
          <t>PRIMARIOS</t>
        </is>
      </c>
      <c r="O323" s="10" t="inlineStr">
        <is>
          <t>INFORMACIÓN DE SOCIOS Y CLIENTES</t>
        </is>
      </c>
      <c r="P323" s="10" t="inlineStr">
        <is>
          <t>USO INTERNO(2)</t>
        </is>
      </c>
      <c r="Q323" s="10" t="inlineStr">
        <is>
          <t>MEDIA(2)</t>
        </is>
      </c>
      <c r="R323" s="10" t="inlineStr">
        <is>
          <t>MEDIA(2)</t>
        </is>
      </c>
      <c r="S323" s="10">
        <f>+(IF(P323="PUBLICA(1)",1,IF(P323="USO INTERNO(2)",2,IF(P323="RESTRINGIDO(3)",3,3))))+(IF(Q323="BAJA(1)",1,IF(Q323="MEDIA(2)",2,IF(Q323="ALTA(3)",3,3))))+(IF(R323="BAJA(1)",1,IF(R323="MEDIA(2)",2,IF(R323="ALTA(3)",3,3))))</f>
        <v/>
      </c>
      <c r="T323" s="10">
        <f>+IF(S323&lt;6,"BAJA",IF(S323&lt;8,"MEDIA","ALTA"))</f>
        <v/>
      </c>
      <c r="U323" s="10" t="inlineStr">
        <is>
          <t>-</t>
        </is>
      </c>
      <c r="V323" s="24" t="n">
        <v>45588</v>
      </c>
      <c r="W323" s="19" t="inlineStr">
        <is>
          <t>N/A</t>
        </is>
      </c>
      <c r="X323" s="10">
        <f>+IFERROR(IF(VLOOKUP(Tabla2[[#This Row],[ID]],'EVALUACION DE RIESGO'!A:A,1,FALSE)=Tabla2[[#This Row],[ID]],"SI","NO"),"NO")</f>
        <v/>
      </c>
    </row>
    <row r="324">
      <c r="A324" s="91" t="inlineStr">
        <is>
          <t>26-GNE</t>
        </is>
      </c>
      <c r="B324" s="10" t="inlineStr">
        <is>
          <t>PRODUCTIVO</t>
        </is>
      </c>
      <c r="C324" s="10" t="inlineStr">
        <is>
          <t>Gestión de Negocios</t>
        </is>
      </c>
      <c r="D324" s="10" t="inlineStr">
        <is>
          <t>GNE</t>
        </is>
      </c>
      <c r="E324" s="10" t="inlineStr">
        <is>
          <t>Gestión de Contact Center</t>
        </is>
      </c>
      <c r="F324" s="10" t="inlineStr">
        <is>
          <t>-</t>
        </is>
      </c>
      <c r="G324" s="10" t="inlineStr">
        <is>
          <t xml:space="preserve">Preparación de campañas telefónicas         </t>
        </is>
      </c>
      <c r="H324" s="10" t="inlineStr">
        <is>
          <t>Solicitud
de campañas
telefónicas</t>
        </is>
      </c>
      <c r="I324" s="10" t="inlineStr">
        <is>
          <t>Solicitud mediante un correo electrónico desde los departamentos requirentes</t>
        </is>
      </c>
      <c r="J324" s="10" t="inlineStr">
        <is>
          <t xml:space="preserve">Jefe de Canales Electrónicos </t>
        </is>
      </c>
      <c r="K324" s="10" t="inlineStr">
        <is>
          <t xml:space="preserve">Jefe de Canales Electrónicos </t>
        </is>
      </c>
      <c r="L324" s="10" t="inlineStr">
        <is>
          <t>UBICACIÓN DIGITAL-EQUIPO DEL RESPONSABLE</t>
        </is>
      </c>
      <c r="M324" s="10" t="inlineStr">
        <is>
          <t>SISTEMA DE MENSAJERÍA ELECTRÓNICA</t>
        </is>
      </c>
      <c r="N324" s="10" t="inlineStr">
        <is>
          <t>PRIMARIOS</t>
        </is>
      </c>
      <c r="O324" s="10" t="inlineStr">
        <is>
          <t>NORMATIVA INTERNA</t>
        </is>
      </c>
      <c r="P324" s="10" t="inlineStr">
        <is>
          <t>USO INTERNO(2)</t>
        </is>
      </c>
      <c r="Q324" s="10" t="inlineStr">
        <is>
          <t>MEDIA(2)</t>
        </is>
      </c>
      <c r="R324" s="10" t="inlineStr">
        <is>
          <t>BAJA(1)</t>
        </is>
      </c>
      <c r="S324" s="10">
        <f>+(IF(P324="PUBLICA(1)",1,IF(P324="USO INTERNO(2)",2,IF(P324="RESTRINGIDO(3)",3,3))))+(IF(Q324="BAJA(1)",1,IF(Q324="MEDIA(2)",2,IF(Q324="ALTA(3)",3,3))))+(IF(R324="BAJA(1)",1,IF(R324="MEDIA(2)",2,IF(R324="ALTA(3)",3,3))))</f>
        <v/>
      </c>
      <c r="T324" s="10">
        <f>+IF(S324&lt;6,"BAJA",IF(S324&lt;8,"MEDIA","ALTA"))</f>
        <v/>
      </c>
      <c r="U324" s="10" t="inlineStr">
        <is>
          <t>-</t>
        </is>
      </c>
      <c r="V324" s="24" t="n">
        <v>45588</v>
      </c>
      <c r="W324" s="19" t="inlineStr">
        <is>
          <t>N/A</t>
        </is>
      </c>
      <c r="X324" s="10">
        <f>+IFERROR(IF(VLOOKUP(Tabla2[[#This Row],[ID]],'EVALUACION DE RIESGO'!A:A,1,FALSE)=Tabla2[[#This Row],[ID]],"SI","NO"),"NO")</f>
        <v/>
      </c>
    </row>
    <row r="325">
      <c r="A325" s="91" t="inlineStr">
        <is>
          <t>27-GNE</t>
        </is>
      </c>
      <c r="B325" s="10" t="inlineStr">
        <is>
          <t>PRODUCTIVO</t>
        </is>
      </c>
      <c r="C325" s="10" t="inlineStr">
        <is>
          <t>Gestión de Negocios</t>
        </is>
      </c>
      <c r="D325" s="10" t="inlineStr">
        <is>
          <t>GNE</t>
        </is>
      </c>
      <c r="E325" s="10" t="inlineStr">
        <is>
          <t>Gestión de Contact Center</t>
        </is>
      </c>
      <c r="F325" s="10" t="inlineStr">
        <is>
          <t>-</t>
        </is>
      </c>
      <c r="G325" s="10" t="inlineStr">
        <is>
          <t xml:space="preserve">Campañas de cobranza preventiva </t>
        </is>
      </c>
      <c r="H325" s="10" t="inlineStr">
        <is>
          <t>Reportes de mensajes del 
Sistema Anyway</t>
        </is>
      </c>
      <c r="I325" s="10" t="inlineStr">
        <is>
          <t>Reporte de la empresa externa Anyway donde se detalla la información de la gestión realizada con el cliente</t>
        </is>
      </c>
      <c r="J325" s="10" t="inlineStr">
        <is>
          <t xml:space="preserve">Jefe de Canales Electrónicos </t>
        </is>
      </c>
      <c r="K325" s="10" t="inlineStr">
        <is>
          <t>Analista de Contact Center</t>
        </is>
      </c>
      <c r="L325" s="10" t="inlineStr">
        <is>
          <t>UBICACIÓN DIGITAL-EQUIPO DEL CUSTODIO</t>
        </is>
      </c>
      <c r="M325" s="10" t="inlineStr">
        <is>
          <t>PORTALES, INTRANET Y EXTRANET</t>
        </is>
      </c>
      <c r="N325" s="10" t="inlineStr">
        <is>
          <t>PRIMARIOS</t>
        </is>
      </c>
      <c r="O325" s="10" t="inlineStr">
        <is>
          <t>INFORMACIÓN DE SOCIOS Y CLIENTES</t>
        </is>
      </c>
      <c r="P325" s="10" t="inlineStr">
        <is>
          <t>USO INTERNO(2)</t>
        </is>
      </c>
      <c r="Q325" s="10" t="inlineStr">
        <is>
          <t>MEDIA(2)</t>
        </is>
      </c>
      <c r="R325" s="10" t="inlineStr">
        <is>
          <t>MEDIA(2)</t>
        </is>
      </c>
      <c r="S325" s="10">
        <f>+(IF(P325="PUBLICA(1)",1,IF(P325="USO INTERNO(2)",2,IF(P325="RESTRINGIDO(3)",3,3))))+(IF(Q325="BAJA(1)",1,IF(Q325="MEDIA(2)",2,IF(Q325="ALTA(3)",3,3))))+(IF(R325="BAJA(1)",1,IF(R325="MEDIA(2)",2,IF(R325="ALTA(3)",3,3))))</f>
        <v/>
      </c>
      <c r="T325" s="10">
        <f>+IF(S325&lt;6,"BAJA",IF(S325&lt;8,"MEDIA","ALTA"))</f>
        <v/>
      </c>
      <c r="U325" s="10" t="inlineStr">
        <is>
          <t>-</t>
        </is>
      </c>
      <c r="V325" s="24" t="n">
        <v>45588</v>
      </c>
      <c r="W325" s="19" t="inlineStr">
        <is>
          <t>N/A</t>
        </is>
      </c>
      <c r="X325" s="10">
        <f>+IFERROR(IF(VLOOKUP(Tabla2[[#This Row],[ID]],'EVALUACION DE RIESGO'!A:A,1,FALSE)=Tabla2[[#This Row],[ID]],"SI","NO"),"NO")</f>
        <v/>
      </c>
    </row>
    <row r="326">
      <c r="A326" s="91" t="inlineStr">
        <is>
          <t>28-GNE</t>
        </is>
      </c>
      <c r="B326" s="10" t="inlineStr">
        <is>
          <t>PRODUCTIVO</t>
        </is>
      </c>
      <c r="C326" s="10" t="inlineStr">
        <is>
          <t>Gestión de Negocios</t>
        </is>
      </c>
      <c r="D326" s="10" t="inlineStr">
        <is>
          <t>GNE</t>
        </is>
      </c>
      <c r="E326" s="10" t="inlineStr">
        <is>
          <t>Gestión de Contact Center</t>
        </is>
      </c>
      <c r="F326" s="10" t="inlineStr">
        <is>
          <t>-</t>
        </is>
      </c>
      <c r="G326" s="10" t="inlineStr">
        <is>
          <t xml:space="preserve">Campañas de cobranza preventiva </t>
        </is>
      </c>
      <c r="H326" s="10" t="inlineStr">
        <is>
          <t>Reporte de cobranza 
preventiva</t>
        </is>
      </c>
      <c r="I326" s="10" t="inlineStr">
        <is>
          <t>Archivo digital que se descarga del sistema FIT trx 13-5026</t>
        </is>
      </c>
      <c r="J326" s="10" t="inlineStr">
        <is>
          <t xml:space="preserve">Jefe de Canales Electrónicos </t>
        </is>
      </c>
      <c r="K326" s="10" t="inlineStr">
        <is>
          <t>Analista de Contact Center</t>
        </is>
      </c>
      <c r="L326" s="10" t="inlineStr">
        <is>
          <t>UBICACIÓN DIGITAL-EQUIPO DEL CUSTODIO</t>
        </is>
      </c>
      <c r="M326" s="10" t="inlineStr">
        <is>
          <t>DISCOS DUROS, SERVIDORES, DISCOS O MEDIOS PORTÁTILES, CINTAS O MEDIOS DE VIDEO Y AUDIO, ETC.</t>
        </is>
      </c>
      <c r="N326" s="10" t="inlineStr">
        <is>
          <t>PRIMARIOS</t>
        </is>
      </c>
      <c r="O326" s="10" t="inlineStr">
        <is>
          <t>INFORMACIÓN DE SOCIOS Y CLIENTES</t>
        </is>
      </c>
      <c r="P326" s="10" t="inlineStr">
        <is>
          <t>USO INTERNO(2)</t>
        </is>
      </c>
      <c r="Q326" s="10" t="inlineStr">
        <is>
          <t>MEDIA(2)</t>
        </is>
      </c>
      <c r="R326" s="10" t="inlineStr">
        <is>
          <t>MEDIA(2)</t>
        </is>
      </c>
      <c r="S326" s="10">
        <f>+(IF(P326="PUBLICA(1)",1,IF(P326="USO INTERNO(2)",2,IF(P326="RESTRINGIDO(3)",3,3))))+(IF(Q326="BAJA(1)",1,IF(Q326="MEDIA(2)",2,IF(Q326="ALTA(3)",3,3))))+(IF(R326="BAJA(1)",1,IF(R326="MEDIA(2)",2,IF(R326="ALTA(3)",3,3))))</f>
        <v/>
      </c>
      <c r="T326" s="10">
        <f>+IF(S326&lt;6,"BAJA",IF(S326&lt;8,"MEDIA","ALTA"))</f>
        <v/>
      </c>
      <c r="U326" s="10" t="inlineStr">
        <is>
          <t>-</t>
        </is>
      </c>
      <c r="V326" s="24" t="n">
        <v>45588</v>
      </c>
      <c r="W326" s="19" t="inlineStr">
        <is>
          <t>N/A</t>
        </is>
      </c>
      <c r="X326" s="10">
        <f>+IFERROR(IF(VLOOKUP(Tabla2[[#This Row],[ID]],'EVALUACION DE RIESGO'!A:A,1,FALSE)=Tabla2[[#This Row],[ID]],"SI","NO"),"NO")</f>
        <v/>
      </c>
    </row>
    <row r="327">
      <c r="A327" s="91" t="inlineStr">
        <is>
          <t>29-GNE</t>
        </is>
      </c>
      <c r="B327" s="10" t="inlineStr">
        <is>
          <t>PRODUCTIVO</t>
        </is>
      </c>
      <c r="C327" s="10" t="inlineStr">
        <is>
          <t>Gestión de Negocios</t>
        </is>
      </c>
      <c r="D327" s="10" t="inlineStr">
        <is>
          <t>GNE</t>
        </is>
      </c>
      <c r="E327" s="10" t="inlineStr">
        <is>
          <t>Gestión de Contact Center</t>
        </is>
      </c>
      <c r="F327" s="10" t="inlineStr">
        <is>
          <t>-</t>
        </is>
      </c>
      <c r="G327" s="10" t="inlineStr">
        <is>
          <t xml:space="preserve">Campañas de cobranza correctiva </t>
        </is>
      </c>
      <c r="H327" s="10" t="inlineStr">
        <is>
          <t>Reportes de llamadas del 
Sistema Issabel</t>
        </is>
      </c>
      <c r="I327" s="10" t="inlineStr">
        <is>
          <t>Archivo que se descarga del sistema Isabel que contiene el detalle de la campaña</t>
        </is>
      </c>
      <c r="J327" s="10" t="inlineStr">
        <is>
          <t xml:space="preserve">Jefe de Canales Electrónicos </t>
        </is>
      </c>
      <c r="K327" s="10" t="inlineStr">
        <is>
          <t>Analista de Contact Center</t>
        </is>
      </c>
      <c r="L327" s="10" t="inlineStr">
        <is>
          <t>UBICACIÓN DIGITAL - SISTEMA ISSABEL</t>
        </is>
      </c>
      <c r="M327" s="10" t="inlineStr">
        <is>
          <t>PORTALES, INTRANET Y EXTRANET</t>
        </is>
      </c>
      <c r="N327" s="10" t="inlineStr">
        <is>
          <t>PRIMARIOS</t>
        </is>
      </c>
      <c r="O327" s="10" t="inlineStr">
        <is>
          <t>INFORMACIÓN DE SOCIOS Y CLIENTES</t>
        </is>
      </c>
      <c r="P327" s="10" t="inlineStr">
        <is>
          <t>USO INTERNO(2)</t>
        </is>
      </c>
      <c r="Q327" s="10" t="inlineStr">
        <is>
          <t>MEDIA(2)</t>
        </is>
      </c>
      <c r="R327" s="10" t="inlineStr">
        <is>
          <t>MEDIA(2)</t>
        </is>
      </c>
      <c r="S327" s="10">
        <f>+(IF(P327="PUBLICA(1)",1,IF(P327="USO INTERNO(2)",2,IF(P327="RESTRINGIDO(3)",3,3))))+(IF(Q327="BAJA(1)",1,IF(Q327="MEDIA(2)",2,IF(Q327="ALTA(3)",3,3))))+(IF(R327="BAJA(1)",1,IF(R327="MEDIA(2)",2,IF(R327="ALTA(3)",3,3))))</f>
        <v/>
      </c>
      <c r="T327" s="10">
        <f>+IF(S327&lt;6,"BAJA",IF(S327&lt;8,"MEDIA","ALTA"))</f>
        <v/>
      </c>
      <c r="U327" s="10" t="inlineStr">
        <is>
          <t>-</t>
        </is>
      </c>
      <c r="V327" s="24" t="n">
        <v>45588</v>
      </c>
      <c r="W327" s="19" t="inlineStr">
        <is>
          <t>N/A</t>
        </is>
      </c>
      <c r="X327" s="10">
        <f>+IFERROR(IF(VLOOKUP(Tabla2[[#This Row],[ID]],'EVALUACION DE RIESGO'!A:A,1,FALSE)=Tabla2[[#This Row],[ID]],"SI","NO"),"NO")</f>
        <v/>
      </c>
    </row>
    <row r="328" ht="20.5" customHeight="1" s="98">
      <c r="A328" s="91" t="inlineStr">
        <is>
          <t>30-GNE</t>
        </is>
      </c>
      <c r="B328" s="10" t="inlineStr">
        <is>
          <t>PRODUCTIVO</t>
        </is>
      </c>
      <c r="C328" s="10" t="inlineStr">
        <is>
          <t>Gestión de Negocios</t>
        </is>
      </c>
      <c r="D328" s="10" t="inlineStr">
        <is>
          <t>GNE</t>
        </is>
      </c>
      <c r="E328" s="10" t="inlineStr">
        <is>
          <t>Gestión de Contact Center</t>
        </is>
      </c>
      <c r="F328" s="10" t="inlineStr">
        <is>
          <t>-</t>
        </is>
      </c>
      <c r="G328" s="10" t="inlineStr">
        <is>
          <t xml:space="preserve">Campañas de cobranza correctiva </t>
        </is>
      </c>
      <c r="H328" s="17" t="inlineStr">
        <is>
          <t>Grabaciones Sistema Issabel</t>
        </is>
      </c>
      <c r="I328" s="17" t="inlineStr">
        <is>
          <t>Archivos de sonido donde se evidencia la gestión de la campaña</t>
        </is>
      </c>
      <c r="J328" s="10" t="inlineStr">
        <is>
          <t xml:space="preserve">Jefe de Canales Electrónicos </t>
        </is>
      </c>
      <c r="K328" s="10" t="inlineStr">
        <is>
          <t>Analista de Contact Center</t>
        </is>
      </c>
      <c r="L328" s="10" t="inlineStr">
        <is>
          <t>UBICACIÓN DIGITAL - SISTEMA ISSABEL</t>
        </is>
      </c>
      <c r="M328" s="10" t="inlineStr">
        <is>
          <t>PORTALES, INTRANET Y EXTRANET</t>
        </is>
      </c>
      <c r="N328" s="10" t="inlineStr">
        <is>
          <t>PRIMARIOS</t>
        </is>
      </c>
      <c r="O328" s="10" t="inlineStr">
        <is>
          <t>INFORMACIÓN DE SOCIOS Y CLIENTES</t>
        </is>
      </c>
      <c r="P328" s="10" t="inlineStr">
        <is>
          <t>RESTRINGIDO(3)</t>
        </is>
      </c>
      <c r="Q328" s="10" t="inlineStr">
        <is>
          <t>ALTA(3)</t>
        </is>
      </c>
      <c r="R328" s="10" t="inlineStr">
        <is>
          <t>MEDIA(2)</t>
        </is>
      </c>
      <c r="S328" s="10">
        <f>+(IF(P328="PUBLICA(1)",1,IF(P328="USO INTERNO(2)",2,IF(P328="RESTRINGIDO(3)",3,3))))+(IF(Q328="BAJA(1)",1,IF(Q328="MEDIA(2)",2,IF(Q328="ALTA(3)",3,3))))+(IF(R328="BAJA(1)",1,IF(R328="MEDIA(2)",2,IF(R328="ALTA(3)",3,3))))</f>
        <v/>
      </c>
      <c r="T328" s="10">
        <f>+IF(S328&lt;6,"BAJA",IF(S328&lt;8,"MEDIA","ALTA"))</f>
        <v/>
      </c>
      <c r="U328" s="10" t="inlineStr">
        <is>
          <t>-</t>
        </is>
      </c>
      <c r="V328" s="24" t="n">
        <v>45588</v>
      </c>
      <c r="W328" s="19" t="inlineStr">
        <is>
          <t>N/A</t>
        </is>
      </c>
      <c r="X328" s="10">
        <f>+IFERROR(IF(VLOOKUP(Tabla2[[#This Row],[ID]],'EVALUACION DE RIESGO'!A:A,1,FALSE)=Tabla2[[#This Row],[ID]],"SI","NO"),"NO")</f>
        <v/>
      </c>
    </row>
    <row r="329">
      <c r="A329" s="91" t="inlineStr">
        <is>
          <t>31-GNE</t>
        </is>
      </c>
      <c r="B329" s="10" t="inlineStr">
        <is>
          <t>PRODUCTIVO</t>
        </is>
      </c>
      <c r="C329" s="10" t="inlineStr">
        <is>
          <t>Gestión de Negocios</t>
        </is>
      </c>
      <c r="D329" s="10" t="inlineStr">
        <is>
          <t>GNE</t>
        </is>
      </c>
      <c r="E329" s="10" t="inlineStr">
        <is>
          <t>Gestión de Contact Center</t>
        </is>
      </c>
      <c r="F329" s="10" t="inlineStr">
        <is>
          <t>-</t>
        </is>
      </c>
      <c r="G329" s="10" t="inlineStr">
        <is>
          <t>Campañas de marketing</t>
        </is>
      </c>
      <c r="H329" s="10" t="inlineStr">
        <is>
          <t>Reportes de llamadas del 
Sistema Issabel</t>
        </is>
      </c>
      <c r="I329" s="10" t="inlineStr">
        <is>
          <t>Reporte detallado de llamadas realizadas en la campaña</t>
        </is>
      </c>
      <c r="J329" s="10" t="inlineStr">
        <is>
          <t xml:space="preserve">Jefe de Canales Electrónicos </t>
        </is>
      </c>
      <c r="K329" s="10" t="inlineStr">
        <is>
          <t>Analista de Contact Center</t>
        </is>
      </c>
      <c r="L329" s="10" t="inlineStr">
        <is>
          <t>UBICACIÓN DIGITAL - SISTEMA ISSABEL</t>
        </is>
      </c>
      <c r="M329" s="10" t="inlineStr">
        <is>
          <t>PORTALES, INTRANET Y EXTRANET</t>
        </is>
      </c>
      <c r="N329" s="10" t="inlineStr">
        <is>
          <t>PRIMARIOS</t>
        </is>
      </c>
      <c r="O329" s="10" t="inlineStr">
        <is>
          <t>COMUNICACIÓN INTERNA</t>
        </is>
      </c>
      <c r="P329" s="10" t="inlineStr">
        <is>
          <t>RESTRINGIDO(3)</t>
        </is>
      </c>
      <c r="Q329" s="10" t="inlineStr">
        <is>
          <t>MEDIA(2)</t>
        </is>
      </c>
      <c r="R329" s="10" t="inlineStr">
        <is>
          <t>MEDIA(2)</t>
        </is>
      </c>
      <c r="S329" s="10">
        <f>+(IF(P329="PUBLICA(1)",1,IF(P329="USO INTERNO(2)",2,IF(P329="RESTRINGIDO(3)",3,3))))+(IF(Q329="BAJA(1)",1,IF(Q329="MEDIA(2)",2,IF(Q329="ALTA(3)",3,3))))+(IF(R329="BAJA(1)",1,IF(R329="MEDIA(2)",2,IF(R329="ALTA(3)",3,3))))</f>
        <v/>
      </c>
      <c r="T329" s="10">
        <f>+IF(S329&lt;6,"BAJA",IF(S329&lt;8,"MEDIA","ALTA"))</f>
        <v/>
      </c>
      <c r="U329" s="10" t="inlineStr">
        <is>
          <t>-</t>
        </is>
      </c>
      <c r="V329" s="24" t="n">
        <v>45588</v>
      </c>
      <c r="W329" s="19" t="inlineStr">
        <is>
          <t>N/A</t>
        </is>
      </c>
      <c r="X329" s="10">
        <f>+IFERROR(IF(VLOOKUP(Tabla2[[#This Row],[ID]],'EVALUACION DE RIESGO'!A:A,1,FALSE)=Tabla2[[#This Row],[ID]],"SI","NO"),"NO")</f>
        <v/>
      </c>
    </row>
    <row r="330" ht="20.5" customHeight="1" s="98">
      <c r="A330" s="91" t="inlineStr">
        <is>
          <t>32-GNE</t>
        </is>
      </c>
      <c r="B330" s="10" t="inlineStr">
        <is>
          <t>PRODUCTIVO</t>
        </is>
      </c>
      <c r="C330" s="10" t="inlineStr">
        <is>
          <t>Gestión de Negocios</t>
        </is>
      </c>
      <c r="D330" s="10" t="inlineStr">
        <is>
          <t>GNE</t>
        </is>
      </c>
      <c r="E330" s="10" t="inlineStr">
        <is>
          <t>Gestión de Contact Center</t>
        </is>
      </c>
      <c r="F330" s="10" t="inlineStr">
        <is>
          <t>-</t>
        </is>
      </c>
      <c r="G330" s="10" t="inlineStr">
        <is>
          <t>Campañas de marketing</t>
        </is>
      </c>
      <c r="H330" s="17" t="inlineStr">
        <is>
          <t>Grabaciones Sistema Issabel</t>
        </is>
      </c>
      <c r="I330" s="17" t="inlineStr">
        <is>
          <t>Archivos de sonido donde se evidencia la gestión de la campaña</t>
        </is>
      </c>
      <c r="J330" s="10" t="inlineStr">
        <is>
          <t xml:space="preserve">Jefe de Canales Electrónicos </t>
        </is>
      </c>
      <c r="K330" s="10" t="inlineStr">
        <is>
          <t>Analista de Contact Center</t>
        </is>
      </c>
      <c r="L330" s="10" t="inlineStr">
        <is>
          <t>UBICACIÓN DIGITAL - SISTEMA ISSABEL</t>
        </is>
      </c>
      <c r="M330" s="10" t="inlineStr">
        <is>
          <t>PORTALES, INTRANET Y EXTRANET</t>
        </is>
      </c>
      <c r="N330" s="10" t="inlineStr">
        <is>
          <t>PRIMARIOS</t>
        </is>
      </c>
      <c r="O330" s="10" t="inlineStr">
        <is>
          <t>INFORMACIÓN DE SOCIOS Y CLIENTES</t>
        </is>
      </c>
      <c r="P330" s="10" t="inlineStr">
        <is>
          <t>RESTRINGIDO(3)</t>
        </is>
      </c>
      <c r="Q330" s="10" t="inlineStr">
        <is>
          <t>ALTA(3)</t>
        </is>
      </c>
      <c r="R330" s="10" t="inlineStr">
        <is>
          <t>MEDIA(2)</t>
        </is>
      </c>
      <c r="S330" s="10">
        <f>+(IF(P330="PUBLICA(1)",1,IF(P330="USO INTERNO(2)",2,IF(P330="RESTRINGIDO(3)",3,3))))+(IF(Q330="BAJA(1)",1,IF(Q330="MEDIA(2)",2,IF(Q330="ALTA(3)",3,3))))+(IF(R330="BAJA(1)",1,IF(R330="MEDIA(2)",2,IF(R330="ALTA(3)",3,3))))</f>
        <v/>
      </c>
      <c r="T330" s="10">
        <f>+IF(S330&lt;6,"BAJA",IF(S330&lt;8,"MEDIA","ALTA"))</f>
        <v/>
      </c>
      <c r="U330" s="10" t="inlineStr">
        <is>
          <t>-</t>
        </is>
      </c>
      <c r="V330" s="24" t="n">
        <v>45588</v>
      </c>
      <c r="W330" s="19" t="inlineStr">
        <is>
          <t>N/A</t>
        </is>
      </c>
      <c r="X330" s="10">
        <f>+IFERROR(IF(VLOOKUP(Tabla2[[#This Row],[ID]],'EVALUACION DE RIESGO'!A:A,1,FALSE)=Tabla2[[#This Row],[ID]],"SI","NO"),"NO")</f>
        <v/>
      </c>
    </row>
    <row r="331">
      <c r="A331" s="91" t="inlineStr">
        <is>
          <t>33-GNE</t>
        </is>
      </c>
      <c r="B331" s="10" t="inlineStr">
        <is>
          <t>PRODUCTIVO</t>
        </is>
      </c>
      <c r="C331" s="10" t="inlineStr">
        <is>
          <t>Gestión de Negocios</t>
        </is>
      </c>
      <c r="D331" s="10" t="inlineStr">
        <is>
          <t>GNE</t>
        </is>
      </c>
      <c r="E331" s="10" t="inlineStr">
        <is>
          <t>Gestión de Contact Center</t>
        </is>
      </c>
      <c r="F331" s="10" t="inlineStr">
        <is>
          <t>-</t>
        </is>
      </c>
      <c r="G331" s="10" t="inlineStr">
        <is>
          <t>Campañas informativas eventuales</t>
        </is>
      </c>
      <c r="H331" s="10" t="inlineStr">
        <is>
          <t>Reportes de resultados
campaña</t>
        </is>
      </c>
      <c r="I331" s="10" t="inlineStr">
        <is>
          <t>Archivo consolidado de la campaña realizada donde se detalla de forma grafica los resultados obtenidos</t>
        </is>
      </c>
      <c r="J331" s="10" t="inlineStr">
        <is>
          <t xml:space="preserve">Jefe de Canales Electrónicos </t>
        </is>
      </c>
      <c r="K331" s="10" t="inlineStr">
        <is>
          <t>Analista de Contact Center</t>
        </is>
      </c>
      <c r="L331" s="10" t="inlineStr">
        <is>
          <t>UBICACIÓN DIGITAL-EQUIPO DEL CUSTODIO</t>
        </is>
      </c>
      <c r="M331" s="10" t="inlineStr">
        <is>
          <t>DISCOS DUROS, SERVIDORES, DISCOS O MEDIOS PORTÁTILES, CINTAS O MEDIOS DE VIDEO Y AUDIO, ETC.</t>
        </is>
      </c>
      <c r="N331" s="10" t="inlineStr">
        <is>
          <t>PRIMARIOS</t>
        </is>
      </c>
      <c r="O331" s="10" t="inlineStr">
        <is>
          <t>DOCUMENTOS TÉCNICOS</t>
        </is>
      </c>
      <c r="P331" s="10" t="inlineStr">
        <is>
          <t>USO INTERNO(2)</t>
        </is>
      </c>
      <c r="Q331" s="10" t="inlineStr">
        <is>
          <t>MEDIA(2)</t>
        </is>
      </c>
      <c r="R331" s="10" t="inlineStr">
        <is>
          <t>MEDIA(2)</t>
        </is>
      </c>
      <c r="S331" s="10">
        <f>+(IF(P331="PUBLICA(1)",1,IF(P331="USO INTERNO(2)",2,IF(P331="RESTRINGIDO(3)",3,3))))+(IF(Q331="BAJA(1)",1,IF(Q331="MEDIA(2)",2,IF(Q331="ALTA(3)",3,3))))+(IF(R331="BAJA(1)",1,IF(R331="MEDIA(2)",2,IF(R331="ALTA(3)",3,3))))</f>
        <v/>
      </c>
      <c r="T331" s="10">
        <f>+IF(S331&lt;6,"BAJA",IF(S331&lt;8,"MEDIA","ALTA"))</f>
        <v/>
      </c>
      <c r="U331" s="10" t="inlineStr">
        <is>
          <t>-</t>
        </is>
      </c>
      <c r="V331" s="24" t="n">
        <v>45588</v>
      </c>
      <c r="W331" s="19" t="inlineStr">
        <is>
          <t>N/A</t>
        </is>
      </c>
      <c r="X331" s="10">
        <f>+IFERROR(IF(VLOOKUP(Tabla2[[#This Row],[ID]],'EVALUACION DE RIESGO'!A:A,1,FALSE)=Tabla2[[#This Row],[ID]],"SI","NO"),"NO")</f>
        <v/>
      </c>
    </row>
    <row r="332">
      <c r="A332" s="91" t="inlineStr">
        <is>
          <t>34-GNE</t>
        </is>
      </c>
      <c r="B332" s="10" t="inlineStr">
        <is>
          <t>PRODUCTIVO</t>
        </is>
      </c>
      <c r="C332" s="10" t="inlineStr">
        <is>
          <t>Gestión de Negocios</t>
        </is>
      </c>
      <c r="D332" s="10" t="inlineStr">
        <is>
          <t>GNE</t>
        </is>
      </c>
      <c r="E332" s="10" t="inlineStr">
        <is>
          <t>Gestión de Contact Center</t>
        </is>
      </c>
      <c r="F332" s="10" t="inlineStr">
        <is>
          <t>-</t>
        </is>
      </c>
      <c r="G332" s="10" t="inlineStr">
        <is>
          <t>Campañas informativas eventuales</t>
        </is>
      </c>
      <c r="H332" s="10" t="inlineStr">
        <is>
          <t>Solicitud de campaña</t>
        </is>
      </c>
      <c r="I332" s="10" t="inlineStr">
        <is>
          <t>Archivo digital</t>
        </is>
      </c>
      <c r="J332" s="10" t="inlineStr">
        <is>
          <t xml:space="preserve">Jefe de Canales Electrónicos </t>
        </is>
      </c>
      <c r="K332" s="10" t="inlineStr">
        <is>
          <t xml:space="preserve">Jefe de Canales Electrónicos </t>
        </is>
      </c>
      <c r="L332" s="10" t="inlineStr">
        <is>
          <t>UBICACIÓN DIGITAL-EQUIPO DEL RESPONSABLE</t>
        </is>
      </c>
      <c r="M332" s="10" t="inlineStr">
        <is>
          <t>DISCOS DUROS, SERVIDORES, DISCOS O MEDIOS PORTÁTILES, CINTAS O MEDIOS DE VIDEO Y AUDIO, ETC.</t>
        </is>
      </c>
      <c r="N332" s="10" t="inlineStr">
        <is>
          <t>PRIMARIOS</t>
        </is>
      </c>
      <c r="O332" s="10" t="inlineStr">
        <is>
          <t>COMUNICACIÓN INTERNA</t>
        </is>
      </c>
      <c r="P332" s="10" t="inlineStr">
        <is>
          <t>USO INTERNO(2)</t>
        </is>
      </c>
      <c r="Q332" s="10" t="inlineStr">
        <is>
          <t>MEDIA(2)</t>
        </is>
      </c>
      <c r="R332" s="10" t="inlineStr">
        <is>
          <t>BAJA(1)</t>
        </is>
      </c>
      <c r="S332" s="10">
        <f>+(IF(P332="PUBLICA(1)",1,IF(P332="USO INTERNO(2)",2,IF(P332="RESTRINGIDO(3)",3,3))))+(IF(Q332="BAJA(1)",1,IF(Q332="MEDIA(2)",2,IF(Q332="ALTA(3)",3,3))))+(IF(R332="BAJA(1)",1,IF(R332="MEDIA(2)",2,IF(R332="ALTA(3)",3,3))))</f>
        <v/>
      </c>
      <c r="T332" s="10">
        <f>+IF(S332&lt;6,"BAJA",IF(S332&lt;8,"MEDIA","ALTA"))</f>
        <v/>
      </c>
      <c r="U332" s="10" t="inlineStr">
        <is>
          <t>-</t>
        </is>
      </c>
      <c r="V332" s="24" t="n">
        <v>45588</v>
      </c>
      <c r="W332" s="19" t="inlineStr">
        <is>
          <t>N/A</t>
        </is>
      </c>
      <c r="X332" s="10">
        <f>+IFERROR(IF(VLOOKUP(Tabla2[[#This Row],[ID]],'EVALUACION DE RIESGO'!A:A,1,FALSE)=Tabla2[[#This Row],[ID]],"SI","NO"),"NO")</f>
        <v/>
      </c>
    </row>
    <row r="333">
      <c r="A333" s="91" t="inlineStr">
        <is>
          <t>35-GNE</t>
        </is>
      </c>
      <c r="B333" s="10" t="inlineStr">
        <is>
          <t>PRODUCTIVO</t>
        </is>
      </c>
      <c r="C333" s="10" t="inlineStr">
        <is>
          <t>Gestión de Negocios</t>
        </is>
      </c>
      <c r="D333" s="10" t="inlineStr">
        <is>
          <t>GNE</t>
        </is>
      </c>
      <c r="E333" s="10" t="inlineStr">
        <is>
          <t>Gestión de Contact Center</t>
        </is>
      </c>
      <c r="F333" s="10" t="inlineStr">
        <is>
          <t>-</t>
        </is>
      </c>
      <c r="G333" s="10" t="inlineStr">
        <is>
          <t>Atención al cliente a través de redes sociales</t>
        </is>
      </c>
      <c r="H333" s="10" t="inlineStr">
        <is>
          <t>Matriz de requerimientos 
atendidos</t>
        </is>
      </c>
      <c r="I333" s="10" t="inlineStr">
        <is>
          <t>Información de requerimientos en redes sociales que está en el sistema CRM respond.io</t>
        </is>
      </c>
      <c r="J333" s="10" t="inlineStr">
        <is>
          <t xml:space="preserve">Jefe de Canales Electrónicos </t>
        </is>
      </c>
      <c r="K333" s="10" t="inlineStr">
        <is>
          <t>Analista de Contact Center</t>
        </is>
      </c>
      <c r="L333" s="10" t="inlineStr">
        <is>
          <t>UBICACIÓN DIGITAL - SISTEMA RESPOND.IO</t>
        </is>
      </c>
      <c r="M333" s="10" t="inlineStr">
        <is>
          <t>PORTALES, INTRANET Y EXTRANET</t>
        </is>
      </c>
      <c r="N333" s="10" t="inlineStr">
        <is>
          <t>PRIMARIOS</t>
        </is>
      </c>
      <c r="O333" s="10" t="inlineStr">
        <is>
          <t>INFORMACIÓN DE TERCEROS</t>
        </is>
      </c>
      <c r="P333" s="10" t="inlineStr">
        <is>
          <t>USO INTERNO(2)</t>
        </is>
      </c>
      <c r="Q333" s="10" t="inlineStr">
        <is>
          <t>MEDIA(2)</t>
        </is>
      </c>
      <c r="R333" s="10" t="inlineStr">
        <is>
          <t>BAJA(1)</t>
        </is>
      </c>
      <c r="S333" s="10">
        <f>+(IF(P333="PUBLICA(1)",1,IF(P333="USO INTERNO(2)",2,IF(P333="RESTRINGIDO(3)",3,3))))+(IF(Q333="BAJA(1)",1,IF(Q333="MEDIA(2)",2,IF(Q333="ALTA(3)",3,3))))+(IF(R333="BAJA(1)",1,IF(R333="MEDIA(2)",2,IF(R333="ALTA(3)",3,3))))</f>
        <v/>
      </c>
      <c r="T333" s="10">
        <f>+IF(S333&lt;6,"BAJA",IF(S333&lt;8,"MEDIA","ALTA"))</f>
        <v/>
      </c>
      <c r="U333" s="10" t="inlineStr">
        <is>
          <t>-</t>
        </is>
      </c>
      <c r="V333" s="24" t="n">
        <v>45588</v>
      </c>
      <c r="W333" s="19" t="inlineStr">
        <is>
          <t>N/A</t>
        </is>
      </c>
      <c r="X333" s="10">
        <f>+IFERROR(IF(VLOOKUP(Tabla2[[#This Row],[ID]],'EVALUACION DE RIESGO'!A:A,1,FALSE)=Tabla2[[#This Row],[ID]],"SI","NO"),"NO")</f>
        <v/>
      </c>
    </row>
    <row r="334">
      <c r="A334" s="91" t="inlineStr">
        <is>
          <t>36-GNE</t>
        </is>
      </c>
      <c r="B334" s="10" t="inlineStr">
        <is>
          <t>PRODUCTIVO</t>
        </is>
      </c>
      <c r="C334" s="10" t="inlineStr">
        <is>
          <t>Gestión de Negocios</t>
        </is>
      </c>
      <c r="D334" s="10" t="inlineStr">
        <is>
          <t>GNE</t>
        </is>
      </c>
      <c r="E334" s="10" t="inlineStr">
        <is>
          <t>Gestión de Contact Center</t>
        </is>
      </c>
      <c r="F334" s="10" t="inlineStr">
        <is>
          <t>-</t>
        </is>
      </c>
      <c r="G334" s="10" t="inlineStr">
        <is>
          <t>Verificación de datos de socios</t>
        </is>
      </c>
      <c r="H334" s="10" t="inlineStr">
        <is>
          <t xml:space="preserve">Reportes de llamadas </t>
        </is>
      </c>
      <c r="I334" s="10" t="inlineStr">
        <is>
          <t xml:space="preserve">Reporte de webcoop - generador de reportes </t>
        </is>
      </c>
      <c r="J334" s="10" t="inlineStr">
        <is>
          <t xml:space="preserve">Jefe de Canales Electrónicos </t>
        </is>
      </c>
      <c r="K334" s="10" t="inlineStr">
        <is>
          <t>Analista de Contact Center</t>
        </is>
      </c>
      <c r="L334" s="10" t="inlineStr">
        <is>
          <t>UBICACIÓN DIGITAL-WEBCOOP</t>
        </is>
      </c>
      <c r="M334" s="10" t="inlineStr">
        <is>
          <t>PORTALES, INTRANET Y EXTRANET</t>
        </is>
      </c>
      <c r="N334" s="10" t="inlineStr">
        <is>
          <t>PRIMARIOS</t>
        </is>
      </c>
      <c r="O334" s="10" t="inlineStr">
        <is>
          <t>INFORMACIÓN DE SOCIOS Y CLIENTES</t>
        </is>
      </c>
      <c r="P334" s="10" t="inlineStr">
        <is>
          <t>RESTRINGIDO(3)</t>
        </is>
      </c>
      <c r="Q334" s="10" t="inlineStr">
        <is>
          <t>MEDIA(2)</t>
        </is>
      </c>
      <c r="R334" s="10" t="inlineStr">
        <is>
          <t>MEDIA(2)</t>
        </is>
      </c>
      <c r="S334" s="10">
        <f>+(IF(P334="PUBLICA(1)",1,IF(P334="USO INTERNO(2)",2,IF(P334="RESTRINGIDO(3)",3,3))))+(IF(Q334="BAJA(1)",1,IF(Q334="MEDIA(2)",2,IF(Q334="ALTA(3)",3,3))))+(IF(R334="BAJA(1)",1,IF(R334="MEDIA(2)",2,IF(R334="ALTA(3)",3,3))))</f>
        <v/>
      </c>
      <c r="T334" s="10">
        <f>+IF(S334&lt;6,"BAJA",IF(S334&lt;8,"MEDIA","ALTA"))</f>
        <v/>
      </c>
      <c r="U334" s="10" t="inlineStr">
        <is>
          <t>-</t>
        </is>
      </c>
      <c r="V334" s="24" t="n">
        <v>45588</v>
      </c>
      <c r="W334" s="19" t="inlineStr">
        <is>
          <t>N/A</t>
        </is>
      </c>
      <c r="X334" s="10">
        <f>+IFERROR(IF(VLOOKUP(Tabla2[[#This Row],[ID]],'EVALUACION DE RIESGO'!A:A,1,FALSE)=Tabla2[[#This Row],[ID]],"SI","NO"),"NO")</f>
        <v/>
      </c>
    </row>
    <row r="335" ht="20.5" customHeight="1" s="98">
      <c r="A335" s="91" t="inlineStr">
        <is>
          <t>37-GNE</t>
        </is>
      </c>
      <c r="B335" s="10" t="inlineStr">
        <is>
          <t>PRODUCTIVO</t>
        </is>
      </c>
      <c r="C335" s="10" t="inlineStr">
        <is>
          <t>Gestión de Negocios</t>
        </is>
      </c>
      <c r="D335" s="10" t="inlineStr">
        <is>
          <t>GNE</t>
        </is>
      </c>
      <c r="E335" s="10" t="inlineStr">
        <is>
          <t>Gestión de Contact Center</t>
        </is>
      </c>
      <c r="F335" s="10" t="inlineStr">
        <is>
          <t>-</t>
        </is>
      </c>
      <c r="G335" s="10" t="inlineStr">
        <is>
          <t>Verificación de datos de socios</t>
        </is>
      </c>
      <c r="H335" s="17" t="inlineStr">
        <is>
          <t>Grabaciones sistema Issabel</t>
        </is>
      </c>
      <c r="I335" s="17" t="inlineStr">
        <is>
          <t>Audio de la llamada realizada por el gestor telefónica</t>
        </is>
      </c>
      <c r="J335" s="10" t="inlineStr">
        <is>
          <t xml:space="preserve">Jefe de Canales Electrónicos </t>
        </is>
      </c>
      <c r="K335" s="10" t="inlineStr">
        <is>
          <t>Analista de Contact Center</t>
        </is>
      </c>
      <c r="L335" s="10" t="inlineStr">
        <is>
          <t>UBICACIÓN DIGITAL - SISTEMA ISSABEL</t>
        </is>
      </c>
      <c r="M335" s="10" t="inlineStr">
        <is>
          <t>PORTALES, INTRANET Y EXTRANET</t>
        </is>
      </c>
      <c r="N335" s="10" t="inlineStr">
        <is>
          <t>PRIMARIOS</t>
        </is>
      </c>
      <c r="O335" s="10" t="inlineStr">
        <is>
          <t>INFORMACIÓN DE SOCIOS Y CLIENTES</t>
        </is>
      </c>
      <c r="P335" s="10" t="inlineStr">
        <is>
          <t>RESTRINGIDO(3)</t>
        </is>
      </c>
      <c r="Q335" s="10" t="inlineStr">
        <is>
          <t>ALTA(3)</t>
        </is>
      </c>
      <c r="R335" s="10" t="inlineStr">
        <is>
          <t>MEDIA(2)</t>
        </is>
      </c>
      <c r="S335" s="10">
        <f>+(IF(P335="PUBLICA(1)",1,IF(P335="USO INTERNO(2)",2,IF(P335="RESTRINGIDO(3)",3,3))))+(IF(Q335="BAJA(1)",1,IF(Q335="MEDIA(2)",2,IF(Q335="ALTA(3)",3,3))))+(IF(R335="BAJA(1)",1,IF(R335="MEDIA(2)",2,IF(R335="ALTA(3)",3,3))))</f>
        <v/>
      </c>
      <c r="T335" s="10">
        <f>+IF(S335&lt;6,"BAJA",IF(S335&lt;8,"MEDIA","ALTA"))</f>
        <v/>
      </c>
      <c r="U335" s="10" t="inlineStr">
        <is>
          <t>-</t>
        </is>
      </c>
      <c r="V335" s="24" t="n">
        <v>45588</v>
      </c>
      <c r="W335" s="19" t="inlineStr">
        <is>
          <t>N/A</t>
        </is>
      </c>
      <c r="X335" s="10">
        <f>+IFERROR(IF(VLOOKUP(Tabla2[[#This Row],[ID]],'EVALUACION DE RIESGO'!A:A,1,FALSE)=Tabla2[[#This Row],[ID]],"SI","NO"),"NO")</f>
        <v/>
      </c>
    </row>
    <row r="336">
      <c r="A336" s="91" t="inlineStr">
        <is>
          <t>38-GNE</t>
        </is>
      </c>
      <c r="B336" s="10" t="inlineStr">
        <is>
          <t>PRODUCTIVO</t>
        </is>
      </c>
      <c r="C336" s="10" t="inlineStr">
        <is>
          <t>Gestión de Negocios</t>
        </is>
      </c>
      <c r="D336" s="10" t="inlineStr">
        <is>
          <t>GNE</t>
        </is>
      </c>
      <c r="E336" s="10" t="inlineStr">
        <is>
          <t>Gestión de Contact Center</t>
        </is>
      </c>
      <c r="F336" s="10" t="inlineStr">
        <is>
          <t>-</t>
        </is>
      </c>
      <c r="G336" s="10" t="inlineStr">
        <is>
          <t>Verificación de datos de socios</t>
        </is>
      </c>
      <c r="H336" s="10" t="inlineStr">
        <is>
          <t>Reporte
de socios verificados</t>
        </is>
      </c>
      <c r="I336" s="10" t="inlineStr">
        <is>
          <t>Reporte que se envía a negocios y cumplimiento</t>
        </is>
      </c>
      <c r="J336" s="10" t="inlineStr">
        <is>
          <t xml:space="preserve">Jefe de Canales Electrónicos </t>
        </is>
      </c>
      <c r="K336" s="10" t="inlineStr">
        <is>
          <t>Analista de Contact Center</t>
        </is>
      </c>
      <c r="L336" s="10" t="inlineStr">
        <is>
          <t>UBICACIÓN DIGITAL-EQUIPO DEL CUSTODIO</t>
        </is>
      </c>
      <c r="M336" s="10" t="inlineStr">
        <is>
          <t>DISCOS DUROS, SERVIDORES, DISCOS O MEDIOS PORTÁTILES, CINTAS O MEDIOS DE VIDEO Y AUDIO, ETC.</t>
        </is>
      </c>
      <c r="N336" s="10" t="inlineStr">
        <is>
          <t>PRIMARIOS</t>
        </is>
      </c>
      <c r="O336" s="10" t="inlineStr">
        <is>
          <t>INFORMACIÓN DE SOCIOS Y CLIENTES</t>
        </is>
      </c>
      <c r="P336" s="10" t="inlineStr">
        <is>
          <t>USO INTERNO(2)</t>
        </is>
      </c>
      <c r="Q336" s="10" t="inlineStr">
        <is>
          <t>MEDIA(2)</t>
        </is>
      </c>
      <c r="R336" s="10" t="inlineStr">
        <is>
          <t>MEDIA(2)</t>
        </is>
      </c>
      <c r="S336" s="10">
        <f>+(IF(P336="PUBLICA(1)",1,IF(P336="USO INTERNO(2)",2,IF(P336="RESTRINGIDO(3)",3,3))))+(IF(Q336="BAJA(1)",1,IF(Q336="MEDIA(2)",2,IF(Q336="ALTA(3)",3,3))))+(IF(R336="BAJA(1)",1,IF(R336="MEDIA(2)",2,IF(R336="ALTA(3)",3,3))))</f>
        <v/>
      </c>
      <c r="T336" s="10">
        <f>+IF(S336&lt;6,"BAJA",IF(S336&lt;8,"MEDIA","ALTA"))</f>
        <v/>
      </c>
      <c r="U336" s="10" t="inlineStr">
        <is>
          <t>-</t>
        </is>
      </c>
      <c r="V336" s="24" t="n">
        <v>45588</v>
      </c>
      <c r="W336" s="19" t="inlineStr">
        <is>
          <t>N/A</t>
        </is>
      </c>
      <c r="X336" s="10">
        <f>+IFERROR(IF(VLOOKUP(Tabla2[[#This Row],[ID]],'EVALUACION DE RIESGO'!A:A,1,FALSE)=Tabla2[[#This Row],[ID]],"SI","NO"),"NO")</f>
        <v/>
      </c>
    </row>
    <row r="337">
      <c r="A337" s="91" t="inlineStr">
        <is>
          <t>39-GNE</t>
        </is>
      </c>
      <c r="B337" s="10" t="inlineStr">
        <is>
          <t>PRODUCTIVO</t>
        </is>
      </c>
      <c r="C337" s="10" t="inlineStr">
        <is>
          <t>Gestión de Negocios</t>
        </is>
      </c>
      <c r="D337" s="10" t="inlineStr">
        <is>
          <t>GNE</t>
        </is>
      </c>
      <c r="E337" s="10" t="inlineStr">
        <is>
          <t>Gestión de Contact Center</t>
        </is>
      </c>
      <c r="F337" s="10" t="inlineStr">
        <is>
          <t>-</t>
        </is>
      </c>
      <c r="G337" s="10" t="inlineStr">
        <is>
          <t>Atención de llamadas</t>
        </is>
      </c>
      <c r="H337" s="10" t="inlineStr">
        <is>
          <t>Reportes de llamadas</t>
        </is>
      </c>
      <c r="I337" s="10" t="inlineStr">
        <is>
          <t>Reporte de llamadas de Isabel</t>
        </is>
      </c>
      <c r="J337" s="10" t="inlineStr">
        <is>
          <t xml:space="preserve">Jefe de Canales Electrónicos </t>
        </is>
      </c>
      <c r="K337" s="10" t="inlineStr">
        <is>
          <t>Analista de Contact Center</t>
        </is>
      </c>
      <c r="L337" s="10" t="inlineStr">
        <is>
          <t>UBICACIÓN DIGITAL - SISTEMA ISSABEL</t>
        </is>
      </c>
      <c r="M337" s="10" t="inlineStr">
        <is>
          <t>PORTALES, INTRANET Y EXTRANET</t>
        </is>
      </c>
      <c r="N337" s="10" t="inlineStr">
        <is>
          <t>PRIMARIOS</t>
        </is>
      </c>
      <c r="O337" s="10" t="inlineStr">
        <is>
          <t>INFORMACIÓN DE SOCIOS Y CLIENTES</t>
        </is>
      </c>
      <c r="P337" s="10" t="inlineStr">
        <is>
          <t>RESTRINGIDO(3)</t>
        </is>
      </c>
      <c r="Q337" s="10" t="inlineStr">
        <is>
          <t>MEDIA(2)</t>
        </is>
      </c>
      <c r="R337" s="10" t="inlineStr">
        <is>
          <t>MEDIA(2)</t>
        </is>
      </c>
      <c r="S337" s="10">
        <f>+(IF(P337="PUBLICA(1)",1,IF(P337="USO INTERNO(2)",2,IF(P337="RESTRINGIDO(3)",3,3))))+(IF(Q337="BAJA(1)",1,IF(Q337="MEDIA(2)",2,IF(Q337="ALTA(3)",3,3))))+(IF(R337="BAJA(1)",1,IF(R337="MEDIA(2)",2,IF(R337="ALTA(3)",3,3))))</f>
        <v/>
      </c>
      <c r="T337" s="10">
        <f>+IF(S337&lt;6,"BAJA",IF(S337&lt;8,"MEDIA","ALTA"))</f>
        <v/>
      </c>
      <c r="U337" s="10" t="inlineStr">
        <is>
          <t>-</t>
        </is>
      </c>
      <c r="V337" s="24" t="n">
        <v>45588</v>
      </c>
      <c r="W337" s="19" t="inlineStr">
        <is>
          <t>N/A</t>
        </is>
      </c>
      <c r="X337" s="10">
        <f>+IFERROR(IF(VLOOKUP(Tabla2[[#This Row],[ID]],'EVALUACION DE RIESGO'!A:A,1,FALSE)=Tabla2[[#This Row],[ID]],"SI","NO"),"NO")</f>
        <v/>
      </c>
    </row>
    <row r="338" ht="20.5" customHeight="1" s="98">
      <c r="A338" s="91" t="inlineStr">
        <is>
          <t>40-GNE</t>
        </is>
      </c>
      <c r="B338" s="10" t="inlineStr">
        <is>
          <t>PRODUCTIVO</t>
        </is>
      </c>
      <c r="C338" s="10" t="inlineStr">
        <is>
          <t>Gestión de Negocios</t>
        </is>
      </c>
      <c r="D338" s="10" t="inlineStr">
        <is>
          <t>GNE</t>
        </is>
      </c>
      <c r="E338" s="10" t="inlineStr">
        <is>
          <t>Gestión de Contact Center</t>
        </is>
      </c>
      <c r="F338" s="10" t="inlineStr">
        <is>
          <t>-</t>
        </is>
      </c>
      <c r="G338" s="10" t="inlineStr">
        <is>
          <t>Atención de llamadas</t>
        </is>
      </c>
      <c r="H338" s="17" t="inlineStr">
        <is>
          <t>Grabaciones sistema Issabel</t>
        </is>
      </c>
      <c r="I338" s="17" t="inlineStr">
        <is>
          <t>Audio de la llamada realizada por el gestor telefónico</t>
        </is>
      </c>
      <c r="J338" s="10" t="inlineStr">
        <is>
          <t xml:space="preserve">Jefe de Canales Electrónicos </t>
        </is>
      </c>
      <c r="K338" s="10" t="inlineStr">
        <is>
          <t>Analista de Contact Center</t>
        </is>
      </c>
      <c r="L338" s="10" t="inlineStr">
        <is>
          <t>UBICACIÓN DIGITAL - SISTEMA ISSABEL</t>
        </is>
      </c>
      <c r="M338" s="10" t="inlineStr">
        <is>
          <t>PORTALES, INTRANET Y EXTRANET</t>
        </is>
      </c>
      <c r="N338" s="10" t="inlineStr">
        <is>
          <t>PRIMARIOS</t>
        </is>
      </c>
      <c r="O338" s="10" t="inlineStr">
        <is>
          <t>INFORMACIÓN DE SOCIOS Y CLIENTES</t>
        </is>
      </c>
      <c r="P338" s="10" t="inlineStr">
        <is>
          <t>RESTRINGIDO(3)</t>
        </is>
      </c>
      <c r="Q338" s="10" t="inlineStr">
        <is>
          <t>ALTA(3)</t>
        </is>
      </c>
      <c r="R338" s="10" t="inlineStr">
        <is>
          <t>MEDIA(2)</t>
        </is>
      </c>
      <c r="S338" s="10">
        <f>+(IF(P338="PUBLICA(1)",1,IF(P338="USO INTERNO(2)",2,IF(P338="RESTRINGIDO(3)",3,3))))+(IF(Q338="BAJA(1)",1,IF(Q338="MEDIA(2)",2,IF(Q338="ALTA(3)",3,3))))+(IF(R338="BAJA(1)",1,IF(R338="MEDIA(2)",2,IF(R338="ALTA(3)",3,3))))</f>
        <v/>
      </c>
      <c r="T338" s="10">
        <f>+IF(S338&lt;6,"BAJA",IF(S338&lt;8,"MEDIA","ALTA"))</f>
        <v/>
      </c>
      <c r="U338" s="10" t="inlineStr">
        <is>
          <t>-</t>
        </is>
      </c>
      <c r="V338" s="24" t="n">
        <v>45588</v>
      </c>
      <c r="W338" s="19" t="inlineStr">
        <is>
          <t>N/A</t>
        </is>
      </c>
      <c r="X338" s="10">
        <f>+IFERROR(IF(VLOOKUP(Tabla2[[#This Row],[ID]],'EVALUACION DE RIESGO'!A:A,1,FALSE)=Tabla2[[#This Row],[ID]],"SI","NO"),"NO")</f>
        <v/>
      </c>
    </row>
    <row r="339">
      <c r="A339" s="91" t="inlineStr">
        <is>
          <t>41-GNE</t>
        </is>
      </c>
      <c r="B339" s="10" t="inlineStr">
        <is>
          <t>PRODUCTIVO</t>
        </is>
      </c>
      <c r="C339" s="10" t="inlineStr">
        <is>
          <t>Gestión de Negocios</t>
        </is>
      </c>
      <c r="D339" s="10" t="inlineStr">
        <is>
          <t>GNE</t>
        </is>
      </c>
      <c r="E339" s="10" t="inlineStr">
        <is>
          <t>Gestión de Contact Center</t>
        </is>
      </c>
      <c r="F339" s="10" t="inlineStr">
        <is>
          <t>-</t>
        </is>
      </c>
      <c r="G339" s="10" t="inlineStr">
        <is>
          <t>Atención de llamadas</t>
        </is>
      </c>
      <c r="H339" s="10" t="inlineStr">
        <is>
          <t>Registro de preguntas inusuales</t>
        </is>
      </c>
      <c r="I339" s="10" t="inlineStr">
        <is>
          <t>Registro de requerimientos que no son comunes y se encuentran en seguimiento</t>
        </is>
      </c>
      <c r="J339" s="10" t="inlineStr">
        <is>
          <t xml:space="preserve">Jefe de Canales Electrónicos </t>
        </is>
      </c>
      <c r="K339" s="10" t="inlineStr">
        <is>
          <t>Analista de Contact Center</t>
        </is>
      </c>
      <c r="L339" s="10" t="inlineStr">
        <is>
          <t>UBICACIÓN DIGITAL-EQUIPO DEL CUSTODIO</t>
        </is>
      </c>
      <c r="M339" s="10" t="inlineStr">
        <is>
          <t>DISCOS DUROS, SERVIDORES, DISCOS O MEDIOS PORTÁTILES, CINTAS O MEDIOS DE VIDEO Y AUDIO, ETC.</t>
        </is>
      </c>
      <c r="N339" s="10" t="inlineStr">
        <is>
          <t>PRIMARIOS</t>
        </is>
      </c>
      <c r="O339" s="10" t="inlineStr">
        <is>
          <t>INFORMACIÓN DE SOCIOS Y CLIENTES</t>
        </is>
      </c>
      <c r="P339" s="10" t="inlineStr">
        <is>
          <t>USO INTERNO(2)</t>
        </is>
      </c>
      <c r="Q339" s="10" t="inlineStr">
        <is>
          <t>MEDIA(2)</t>
        </is>
      </c>
      <c r="R339" s="10" t="inlineStr">
        <is>
          <t>BAJA(1)</t>
        </is>
      </c>
      <c r="S339" s="10">
        <f>+(IF(P339="PUBLICA(1)",1,IF(P339="USO INTERNO(2)",2,IF(P339="RESTRINGIDO(3)",3,3))))+(IF(Q339="BAJA(1)",1,IF(Q339="MEDIA(2)",2,IF(Q339="ALTA(3)",3,3))))+(IF(R339="BAJA(1)",1,IF(R339="MEDIA(2)",2,IF(R339="ALTA(3)",3,3))))</f>
        <v/>
      </c>
      <c r="T339" s="10">
        <f>+IF(S339&lt;6,"BAJA",IF(S339&lt;8,"MEDIA","ALTA"))</f>
        <v/>
      </c>
      <c r="U339" s="10" t="inlineStr">
        <is>
          <t>-</t>
        </is>
      </c>
      <c r="V339" s="24" t="n">
        <v>45588</v>
      </c>
      <c r="W339" s="19" t="inlineStr">
        <is>
          <t>N/A</t>
        </is>
      </c>
      <c r="X339" s="10">
        <f>+IFERROR(IF(VLOOKUP(Tabla2[[#This Row],[ID]],'EVALUACION DE RIESGO'!A:A,1,FALSE)=Tabla2[[#This Row],[ID]],"SI","NO"),"NO")</f>
        <v/>
      </c>
    </row>
    <row r="340">
      <c r="A340" s="91" t="inlineStr">
        <is>
          <t>42-GNE</t>
        </is>
      </c>
      <c r="B340" s="10" t="inlineStr">
        <is>
          <t>PRODUCTIVO</t>
        </is>
      </c>
      <c r="C340" s="10" t="inlineStr">
        <is>
          <t>Gestión de Negocios</t>
        </is>
      </c>
      <c r="D340" s="10" t="inlineStr">
        <is>
          <t>GNE</t>
        </is>
      </c>
      <c r="E340" s="10" t="inlineStr">
        <is>
          <t>Gestión de Contact Center</t>
        </is>
      </c>
      <c r="F340" s="10" t="inlineStr">
        <is>
          <t>-</t>
        </is>
      </c>
      <c r="G340" s="10" t="inlineStr">
        <is>
          <t>Atención de llamadas</t>
        </is>
      </c>
      <c r="H340" s="10" t="inlineStr">
        <is>
          <t>Registro de usuarios bloqueados</t>
        </is>
      </c>
      <c r="I340" s="10" t="inlineStr">
        <is>
          <t>Reporte descargado de Fit 18-4052</t>
        </is>
      </c>
      <c r="J340" s="10" t="inlineStr">
        <is>
          <t xml:space="preserve">Jefe de Canales Electrónicos </t>
        </is>
      </c>
      <c r="K340" s="10" t="inlineStr">
        <is>
          <t>Analista de Contact Center</t>
        </is>
      </c>
      <c r="L340" s="10" t="inlineStr">
        <is>
          <t>UBICACIÓN DIGITAL-EQUIPO DEL CUSTODIO</t>
        </is>
      </c>
      <c r="M340" s="10" t="inlineStr">
        <is>
          <t>DISCOS DUROS, SERVIDORES, DISCOS O MEDIOS PORTÁTILES, CINTAS O MEDIOS DE VIDEO Y AUDIO, ETC.</t>
        </is>
      </c>
      <c r="N340" s="10" t="inlineStr">
        <is>
          <t>PRIMARIOS</t>
        </is>
      </c>
      <c r="O340" s="10" t="inlineStr">
        <is>
          <t>INFORMACIÓN DE SOCIOS Y CLIENTES</t>
        </is>
      </c>
      <c r="P340" s="10" t="inlineStr">
        <is>
          <t>USO INTERNO(2)</t>
        </is>
      </c>
      <c r="Q340" s="10" t="inlineStr">
        <is>
          <t>MEDIA(2)</t>
        </is>
      </c>
      <c r="R340" s="10" t="inlineStr">
        <is>
          <t>BAJA(1)</t>
        </is>
      </c>
      <c r="S340" s="10">
        <f>+(IF(P340="PUBLICA(1)",1,IF(P340="USO INTERNO(2)",2,IF(P340="RESTRINGIDO(3)",3,3))))+(IF(Q340="BAJA(1)",1,IF(Q340="MEDIA(2)",2,IF(Q340="ALTA(3)",3,3))))+(IF(R340="BAJA(1)",1,IF(R340="MEDIA(2)",2,IF(R340="ALTA(3)",3,3))))</f>
        <v/>
      </c>
      <c r="T340" s="10">
        <f>+IF(S340&lt;6,"BAJA",IF(S340&lt;8,"MEDIA","ALTA"))</f>
        <v/>
      </c>
      <c r="U340" s="10" t="inlineStr">
        <is>
          <t>-</t>
        </is>
      </c>
      <c r="V340" s="24" t="n">
        <v>45588</v>
      </c>
      <c r="W340" s="19" t="inlineStr">
        <is>
          <t>N/A</t>
        </is>
      </c>
      <c r="X340" s="10">
        <f>+IFERROR(IF(VLOOKUP(Tabla2[[#This Row],[ID]],'EVALUACION DE RIESGO'!A:A,1,FALSE)=Tabla2[[#This Row],[ID]],"SI","NO"),"NO")</f>
        <v/>
      </c>
    </row>
    <row r="341" ht="20.5" customHeight="1" s="98">
      <c r="A341" s="91" t="inlineStr">
        <is>
          <t>43-GNE</t>
        </is>
      </c>
      <c r="B341" s="10" t="inlineStr">
        <is>
          <t>PRODUCTIVO</t>
        </is>
      </c>
      <c r="C341" s="10" t="inlineStr">
        <is>
          <t>Gestión de Negocios</t>
        </is>
      </c>
      <c r="D341" s="10" t="inlineStr">
        <is>
          <t>GNE</t>
        </is>
      </c>
      <c r="E341" s="10" t="inlineStr">
        <is>
          <t>Gestión de Contact Center</t>
        </is>
      </c>
      <c r="F341" s="10" t="inlineStr">
        <is>
          <t>-</t>
        </is>
      </c>
      <c r="G341" s="10" t="inlineStr">
        <is>
          <t>Activación de cuentas de cooperativa virtual</t>
        </is>
      </c>
      <c r="H341" s="17" t="inlineStr">
        <is>
          <t>Reportes del módulo de
Cooperativa Virtual</t>
        </is>
      </c>
      <c r="I341" s="17" t="inlineStr">
        <is>
          <t>Reporte de clientes validados y registrados</t>
        </is>
      </c>
      <c r="J341" s="10" t="inlineStr">
        <is>
          <t xml:space="preserve">Jefe de Canales Electrónicos </t>
        </is>
      </c>
      <c r="K341" s="10" t="inlineStr">
        <is>
          <t>Analista de Contact Center</t>
        </is>
      </c>
      <c r="L341" s="10" t="inlineStr">
        <is>
          <t>UBICACIÓN DIGITAL-EQUIPO DEL CUSTODIO</t>
        </is>
      </c>
      <c r="M341" s="10" t="inlineStr">
        <is>
          <t>DISCOS DUROS, SERVIDORES, DISCOS O MEDIOS PORTÁTILES, CINTAS O MEDIOS DE VIDEO Y AUDIO, ETC.</t>
        </is>
      </c>
      <c r="N341" s="10" t="inlineStr">
        <is>
          <t>PRIMARIOS</t>
        </is>
      </c>
      <c r="O341" s="10" t="inlineStr">
        <is>
          <t>INFORMACIÓN DE SOCIOS Y CLIENTES</t>
        </is>
      </c>
      <c r="P341" s="10" t="inlineStr">
        <is>
          <t>RESTRINGIDO(3)</t>
        </is>
      </c>
      <c r="Q341" s="10" t="inlineStr">
        <is>
          <t>ALTA(3)</t>
        </is>
      </c>
      <c r="R341" s="10" t="inlineStr">
        <is>
          <t>MEDIA(2)</t>
        </is>
      </c>
      <c r="S341" s="10">
        <f>+(IF(P341="PUBLICA(1)",1,IF(P341="USO INTERNO(2)",2,IF(P341="RESTRINGIDO(3)",3,3))))+(IF(Q341="BAJA(1)",1,IF(Q341="MEDIA(2)",2,IF(Q341="ALTA(3)",3,3))))+(IF(R341="BAJA(1)",1,IF(R341="MEDIA(2)",2,IF(R341="ALTA(3)",3,3))))</f>
        <v/>
      </c>
      <c r="T341" s="10">
        <f>+IF(S341&lt;6,"BAJA",IF(S341&lt;8,"MEDIA","ALTA"))</f>
        <v/>
      </c>
      <c r="U341" s="10" t="inlineStr">
        <is>
          <t>-</t>
        </is>
      </c>
      <c r="V341" s="24" t="n">
        <v>45588</v>
      </c>
      <c r="W341" s="19" t="inlineStr">
        <is>
          <t>N/A</t>
        </is>
      </c>
      <c r="X341" s="10">
        <f>+IFERROR(IF(VLOOKUP(Tabla2[[#This Row],[ID]],'EVALUACION DE RIESGO'!A:A,1,FALSE)=Tabla2[[#This Row],[ID]],"SI","NO"),"NO")</f>
        <v/>
      </c>
    </row>
    <row r="342" ht="20.5" customHeight="1" s="98">
      <c r="A342" s="91" t="inlineStr">
        <is>
          <t>44-GNE</t>
        </is>
      </c>
      <c r="B342" s="10" t="inlineStr">
        <is>
          <t>PRODUCTIVO</t>
        </is>
      </c>
      <c r="C342" s="10" t="inlineStr">
        <is>
          <t>Gestión de Negocios</t>
        </is>
      </c>
      <c r="D342" s="10" t="inlineStr">
        <is>
          <t>GNE</t>
        </is>
      </c>
      <c r="E342" s="10" t="inlineStr">
        <is>
          <t>Gestión de Contact Center</t>
        </is>
      </c>
      <c r="F342" s="10" t="inlineStr">
        <is>
          <t>-</t>
        </is>
      </c>
      <c r="G342" s="10" t="inlineStr">
        <is>
          <t>Activación de cuentas de cooperativa virtual</t>
        </is>
      </c>
      <c r="H342" s="17" t="inlineStr">
        <is>
          <t>Grabaciones sistema Issabel</t>
        </is>
      </c>
      <c r="I342" s="17" t="inlineStr">
        <is>
          <t>Audio de la llamada realizada por el gestor telefónico</t>
        </is>
      </c>
      <c r="J342" s="10" t="inlineStr">
        <is>
          <t xml:space="preserve">Jefe de Canales Electrónicos </t>
        </is>
      </c>
      <c r="K342" s="10" t="inlineStr">
        <is>
          <t>Analista de Contact Center</t>
        </is>
      </c>
      <c r="L342" s="10" t="inlineStr">
        <is>
          <t>UBICACIÓN DIGITAL - SISTEMA ISSABEL</t>
        </is>
      </c>
      <c r="M342" s="10" t="inlineStr">
        <is>
          <t>PORTALES, INTRANET Y EXTRANET</t>
        </is>
      </c>
      <c r="N342" s="10" t="inlineStr">
        <is>
          <t>PRIMARIOS</t>
        </is>
      </c>
      <c r="O342" s="10" t="inlineStr">
        <is>
          <t>INFORMACIÓN DE SOCIOS Y CLIENTES</t>
        </is>
      </c>
      <c r="P342" s="10" t="inlineStr">
        <is>
          <t>RESTRINGIDO(3)</t>
        </is>
      </c>
      <c r="Q342" s="10" t="inlineStr">
        <is>
          <t>ALTA(3)</t>
        </is>
      </c>
      <c r="R342" s="10" t="inlineStr">
        <is>
          <t>MEDIA(2)</t>
        </is>
      </c>
      <c r="S342" s="10">
        <f>+(IF(P342="PUBLICA(1)",1,IF(P342="USO INTERNO(2)",2,IF(P342="RESTRINGIDO(3)",3,3))))+(IF(Q342="BAJA(1)",1,IF(Q342="MEDIA(2)",2,IF(Q342="ALTA(3)",3,3))))+(IF(R342="BAJA(1)",1,IF(R342="MEDIA(2)",2,IF(R342="ALTA(3)",3,3))))</f>
        <v/>
      </c>
      <c r="T342" s="10">
        <f>+IF(S342&lt;6,"BAJA",IF(S342&lt;8,"MEDIA","ALTA"))</f>
        <v/>
      </c>
      <c r="U342" s="10" t="inlineStr">
        <is>
          <t>-</t>
        </is>
      </c>
      <c r="V342" s="24" t="n">
        <v>45588</v>
      </c>
      <c r="W342" s="19" t="inlineStr">
        <is>
          <t>N/A</t>
        </is>
      </c>
      <c r="X342" s="10">
        <f>+IFERROR(IF(VLOOKUP(Tabla2[[#This Row],[ID]],'EVALUACION DE RIESGO'!A:A,1,FALSE)=Tabla2[[#This Row],[ID]],"SI","NO"),"NO")</f>
        <v/>
      </c>
    </row>
    <row r="343">
      <c r="A343" s="91" t="inlineStr">
        <is>
          <t>45-GNE</t>
        </is>
      </c>
      <c r="B343" s="10" t="inlineStr">
        <is>
          <t>PRODUCTIVO</t>
        </is>
      </c>
      <c r="C343" s="10" t="inlineStr">
        <is>
          <t>Gestión de Negocios</t>
        </is>
      </c>
      <c r="D343" s="10" t="inlineStr">
        <is>
          <t>GNE</t>
        </is>
      </c>
      <c r="E343" s="10" t="inlineStr">
        <is>
          <t>Gestión de Contact Center</t>
        </is>
      </c>
      <c r="F343" s="10" t="inlineStr">
        <is>
          <t>-</t>
        </is>
      </c>
      <c r="G343" s="10" t="inlineStr">
        <is>
          <t>N/A</t>
        </is>
      </c>
      <c r="H343" s="10" t="inlineStr">
        <is>
          <t>Equipos de computación del Jefe de  Contact Center</t>
        </is>
      </c>
      <c r="I343" s="10" t="inlineStr">
        <is>
          <t>Equipos de computación donde se almacena toda la documentación del área</t>
        </is>
      </c>
      <c r="J343" s="10" t="inlineStr">
        <is>
          <t xml:space="preserve">Jefe de Canales Electrónicos </t>
        </is>
      </c>
      <c r="K343" s="10" t="inlineStr">
        <is>
          <t xml:space="preserve">Jefe de Canales Electrónicos </t>
        </is>
      </c>
      <c r="L343" s="10" t="inlineStr">
        <is>
          <t>UBICACIÓN FISICA-SUCURSAL IBARRA</t>
        </is>
      </c>
      <c r="M343" s="10" t="inlineStr">
        <is>
          <t>DISCOS DUROS, SERVIDORES, DISCOS O MEDIOS PORTÁTILES, CINTAS O MEDIOS DE VIDEO Y AUDIO, ETC.</t>
        </is>
      </c>
      <c r="N343" s="10" t="inlineStr">
        <is>
          <t>PRIMARIOS</t>
        </is>
      </c>
      <c r="O343" s="10" t="inlineStr">
        <is>
          <t>INFORMACIÓN DE SOCIOS Y CLIENTES</t>
        </is>
      </c>
      <c r="P343" s="10" t="inlineStr">
        <is>
          <t>RESTRINGIDO(3)</t>
        </is>
      </c>
      <c r="Q343" s="10" t="inlineStr">
        <is>
          <t>MEDIA(2)</t>
        </is>
      </c>
      <c r="R343" s="10" t="inlineStr">
        <is>
          <t>MEDIA(2)</t>
        </is>
      </c>
      <c r="S343" s="10">
        <f>+(IF(P343="PUBLICA(1)",1,IF(P343="USO INTERNO(2)",2,IF(P343="RESTRINGIDO(3)",3,3))))+(IF(Q343="BAJA(1)",1,IF(Q343="MEDIA(2)",2,IF(Q343="ALTA(3)",3,3))))+(IF(R343="BAJA(1)",1,IF(R343="MEDIA(2)",2,IF(R343="ALTA(3)",3,3))))</f>
        <v/>
      </c>
      <c r="T343" s="10">
        <f>+IF(S343&lt;6,"BAJA",IF(S343&lt;8,"MEDIA","ALTA"))</f>
        <v/>
      </c>
      <c r="U343" s="10" t="inlineStr">
        <is>
          <t>-</t>
        </is>
      </c>
      <c r="V343" s="24" t="n">
        <v>45588</v>
      </c>
      <c r="W343" s="19" t="inlineStr">
        <is>
          <t>N/A</t>
        </is>
      </c>
      <c r="X343" s="10">
        <f>+IFERROR(IF(VLOOKUP(Tabla2[[#This Row],[ID]],'EVALUACION DE RIESGO'!A:A,1,FALSE)=Tabla2[[#This Row],[ID]],"SI","NO"),"NO")</f>
        <v/>
      </c>
    </row>
    <row r="344" ht="20.5" customHeight="1" s="98">
      <c r="A344" s="91" t="inlineStr">
        <is>
          <t>46-GNE</t>
        </is>
      </c>
      <c r="B344" s="10" t="inlineStr">
        <is>
          <t>PRODUCTIVO</t>
        </is>
      </c>
      <c r="C344" s="10" t="inlineStr">
        <is>
          <t>Gestión de Negocios</t>
        </is>
      </c>
      <c r="D344" s="10" t="inlineStr">
        <is>
          <t>GNE</t>
        </is>
      </c>
      <c r="E344" s="10" t="inlineStr">
        <is>
          <t>Gestión de Contact Center</t>
        </is>
      </c>
      <c r="F344" s="10" t="inlineStr">
        <is>
          <t>-</t>
        </is>
      </c>
      <c r="G344" s="10" t="inlineStr">
        <is>
          <t>N/A</t>
        </is>
      </c>
      <c r="H344" s="17" t="inlineStr">
        <is>
          <t>Equipos de computación de Analista de Contact Center</t>
        </is>
      </c>
      <c r="I344" s="17" t="inlineStr">
        <is>
          <t>Equipos de computación donde se realiza la gestión del área</t>
        </is>
      </c>
      <c r="J344" s="10" t="inlineStr">
        <is>
          <t xml:space="preserve">Jefe de Canales Electrónicos </t>
        </is>
      </c>
      <c r="K344" s="10" t="inlineStr">
        <is>
          <t xml:space="preserve">Jefe de Canales Electrónicos </t>
        </is>
      </c>
      <c r="L344" s="10" t="inlineStr">
        <is>
          <t>UBICACIÓN FISICA-SUCURSAL IBARRA</t>
        </is>
      </c>
      <c r="M344" s="10" t="inlineStr">
        <is>
          <t>DISCOS DUROS, SERVIDORES, DISCOS O MEDIOS PORTÁTILES, CINTAS O MEDIOS DE VIDEO Y AUDIO, ETC.</t>
        </is>
      </c>
      <c r="N344" s="10" t="inlineStr">
        <is>
          <t>PRIMARIOS</t>
        </is>
      </c>
      <c r="O344" s="10" t="inlineStr">
        <is>
          <t>INFORMACIÓN DE SOCIOS Y CLIENTES</t>
        </is>
      </c>
      <c r="P344" s="10" t="inlineStr">
        <is>
          <t>RESTRINGIDO(3)</t>
        </is>
      </c>
      <c r="Q344" s="10" t="inlineStr">
        <is>
          <t>ALTA(3)</t>
        </is>
      </c>
      <c r="R344" s="10" t="inlineStr">
        <is>
          <t>MEDIA(2)</t>
        </is>
      </c>
      <c r="S344" s="10">
        <f>+(IF(P344="PUBLICA(1)",1,IF(P344="USO INTERNO(2)",2,IF(P344="RESTRINGIDO(3)",3,3))))+(IF(Q344="BAJA(1)",1,IF(Q344="MEDIA(2)",2,IF(Q344="ALTA(3)",3,3))))+(IF(R344="BAJA(1)",1,IF(R344="MEDIA(2)",2,IF(R344="ALTA(3)",3,3))))</f>
        <v/>
      </c>
      <c r="T344" s="10">
        <f>+IF(S344&lt;6,"BAJA",IF(S344&lt;8,"MEDIA","ALTA"))</f>
        <v/>
      </c>
      <c r="U344" s="10" t="inlineStr">
        <is>
          <t>-</t>
        </is>
      </c>
      <c r="V344" s="24" t="n">
        <v>45588</v>
      </c>
      <c r="W344" s="19" t="inlineStr">
        <is>
          <t>N/A</t>
        </is>
      </c>
      <c r="X344" s="10">
        <f>+IFERROR(IF(VLOOKUP(Tabla2[[#This Row],[ID]],'EVALUACION DE RIESGO'!A:A,1,FALSE)=Tabla2[[#This Row],[ID]],"SI","NO"),"NO")</f>
        <v/>
      </c>
    </row>
    <row r="345">
      <c r="A345" s="91" t="inlineStr">
        <is>
          <t>47-GNE</t>
        </is>
      </c>
      <c r="B345" s="10" t="inlineStr">
        <is>
          <t>PRODUCTIVO</t>
        </is>
      </c>
      <c r="C345" s="10" t="inlineStr">
        <is>
          <t>Gestión de Negocios</t>
        </is>
      </c>
      <c r="D345" s="10" t="inlineStr">
        <is>
          <t>GNE</t>
        </is>
      </c>
      <c r="E345" s="10" t="inlineStr">
        <is>
          <t>Gestión de Contact Center</t>
        </is>
      </c>
      <c r="F345" s="10" t="inlineStr">
        <is>
          <t>-</t>
        </is>
      </c>
      <c r="G345" s="10" t="inlineStr">
        <is>
          <t>N/A</t>
        </is>
      </c>
      <c r="H345" s="10" t="inlineStr">
        <is>
          <t>Jefe de Contact Center</t>
        </is>
      </c>
      <c r="I345" s="10" t="inlineStr">
        <is>
          <t>N/A</t>
        </is>
      </c>
      <c r="J345" s="10" t="inlineStr">
        <is>
          <t xml:space="preserve">Jefe de Canales Electrónicos </t>
        </is>
      </c>
      <c r="K345" s="10" t="inlineStr">
        <is>
          <t>N/A</t>
        </is>
      </c>
      <c r="L345" s="10" t="inlineStr">
        <is>
          <t>N/A</t>
        </is>
      </c>
      <c r="M345" s="10" t="inlineStr">
        <is>
          <t>N/A</t>
        </is>
      </c>
      <c r="N345" s="10" t="inlineStr">
        <is>
          <t>APOYO</t>
        </is>
      </c>
      <c r="O345" s="10" t="inlineStr">
        <is>
          <t>RECURSO HUMANO</t>
        </is>
      </c>
      <c r="P345" s="10" t="inlineStr">
        <is>
          <t>USO INTERNO(2)</t>
        </is>
      </c>
      <c r="Q345" s="10" t="inlineStr">
        <is>
          <t>MEDIA(2)</t>
        </is>
      </c>
      <c r="R345" s="10" t="inlineStr">
        <is>
          <t>MEDIA(2)</t>
        </is>
      </c>
      <c r="S345" s="10">
        <f>+(IF(P345="PUBLICA(1)",1,IF(P345="USO INTERNO(2)",2,IF(P345="RESTRINGIDO(3)",3,3))))+(IF(Q345="BAJA(1)",1,IF(Q345="MEDIA(2)",2,IF(Q345="ALTA(3)",3,3))))+(IF(R345="BAJA(1)",1,IF(R345="MEDIA(2)",2,IF(R345="ALTA(3)",3,3))))</f>
        <v/>
      </c>
      <c r="T345" s="10">
        <f>+IF(S345&lt;6,"BAJA",IF(S345&lt;8,"MEDIA","ALTA"))</f>
        <v/>
      </c>
      <c r="U345" s="10" t="inlineStr">
        <is>
          <t>-</t>
        </is>
      </c>
      <c r="V345" s="24" t="n">
        <v>45588</v>
      </c>
      <c r="W345" s="19" t="inlineStr">
        <is>
          <t>N/A</t>
        </is>
      </c>
      <c r="X345" s="10">
        <f>+IFERROR(IF(VLOOKUP(Tabla2[[#This Row],[ID]],'EVALUACION DE RIESGO'!A:A,1,FALSE)=Tabla2[[#This Row],[ID]],"SI","NO"),"NO")</f>
        <v/>
      </c>
    </row>
    <row r="346">
      <c r="A346" s="91" t="inlineStr">
        <is>
          <t>48-GNE</t>
        </is>
      </c>
      <c r="B346" s="10" t="inlineStr">
        <is>
          <t>PRODUCTIVO</t>
        </is>
      </c>
      <c r="C346" s="10" t="inlineStr">
        <is>
          <t>Gestión de Negocios</t>
        </is>
      </c>
      <c r="D346" s="10" t="inlineStr">
        <is>
          <t>GNE</t>
        </is>
      </c>
      <c r="E346" s="10" t="inlineStr">
        <is>
          <t>Gestión de Contact Center</t>
        </is>
      </c>
      <c r="F346" s="10" t="inlineStr">
        <is>
          <t>-</t>
        </is>
      </c>
      <c r="G346" s="10" t="inlineStr">
        <is>
          <t>N/A</t>
        </is>
      </c>
      <c r="H346" s="10" t="inlineStr">
        <is>
          <t>Reporte de transacciones de Tarjetas de Débito</t>
        </is>
      </c>
      <c r="I346" s="10" t="inlineStr">
        <is>
          <t>Reporte de transacciones que envía financoop para validar en contactabilidad de prosupply</t>
        </is>
      </c>
      <c r="J346" s="10" t="inlineStr">
        <is>
          <t xml:space="preserve">Jefe de Canales Electrónicos </t>
        </is>
      </c>
      <c r="K346" s="10" t="inlineStr">
        <is>
          <t xml:space="preserve">Jefe de Canales Electrónicos </t>
        </is>
      </c>
      <c r="L346" s="10" t="inlineStr">
        <is>
          <t>UBICACIÓN DIGITAL-EQUIPO DEL CUSTODIO</t>
        </is>
      </c>
      <c r="M346" s="10" t="inlineStr">
        <is>
          <t>DISCOS DUROS, SERVIDORES, DISCOS O MEDIOS PORTÁTILES, CINTAS O MEDIOS DE VIDEO Y AUDIO, ETC.</t>
        </is>
      </c>
      <c r="N346" s="10" t="inlineStr">
        <is>
          <t>PRIMARIOS</t>
        </is>
      </c>
      <c r="O346" s="10" t="inlineStr">
        <is>
          <t>INFORMACIÓN DE SOCIOS Y CLIENTES</t>
        </is>
      </c>
      <c r="P346" s="10" t="inlineStr">
        <is>
          <t>RESTRINGIDO(3)</t>
        </is>
      </c>
      <c r="Q346" s="10" t="inlineStr">
        <is>
          <t>MEDIA(2)</t>
        </is>
      </c>
      <c r="R346" s="10" t="inlineStr">
        <is>
          <t>MEDIA(2)</t>
        </is>
      </c>
      <c r="S346" s="10">
        <f>+(IF(P346="PUBLICA(1)",1,IF(P346="USO INTERNO(2)",2,IF(P346="RESTRINGIDO(3)",3,3))))+(IF(Q346="BAJA(1)",1,IF(Q346="MEDIA(2)",2,IF(Q346="ALTA(3)",3,3))))+(IF(R346="BAJA(1)",1,IF(R346="MEDIA(2)",2,IF(R346="ALTA(3)",3,3))))</f>
        <v/>
      </c>
      <c r="T346" s="10">
        <f>+IF(S346&lt;6,"BAJA",IF(S346&lt;8,"MEDIA","ALTA"))</f>
        <v/>
      </c>
      <c r="U346" s="10" t="inlineStr">
        <is>
          <t>-</t>
        </is>
      </c>
      <c r="V346" s="24" t="n">
        <v>45588</v>
      </c>
      <c r="W346" s="19" t="inlineStr">
        <is>
          <t>N/A</t>
        </is>
      </c>
      <c r="X346" s="10">
        <f>+IFERROR(IF(VLOOKUP(Tabla2[[#This Row],[ID]],'EVALUACION DE RIESGO'!A:A,1,FALSE)=Tabla2[[#This Row],[ID]],"SI","NO"),"NO")</f>
        <v/>
      </c>
    </row>
    <row r="347">
      <c r="A347" s="91" t="inlineStr">
        <is>
          <t>49-GNE</t>
        </is>
      </c>
      <c r="B347" s="10" t="inlineStr">
        <is>
          <t>PRODUCTIVO</t>
        </is>
      </c>
      <c r="C347" s="10" t="inlineStr">
        <is>
          <t>Gestión de Negocios</t>
        </is>
      </c>
      <c r="D347" s="10" t="inlineStr">
        <is>
          <t>GNE</t>
        </is>
      </c>
      <c r="E347" s="10" t="inlineStr">
        <is>
          <t>Gestión de Remuneración Variable</t>
        </is>
      </c>
      <c r="F347" s="10" t="inlineStr">
        <is>
          <t>-</t>
        </is>
      </c>
      <c r="G347" s="10" t="inlineStr">
        <is>
          <t>Definición de metas de negocio</t>
        </is>
      </c>
      <c r="H347" s="10" t="inlineStr">
        <is>
          <t>Registro de metas y resultados del personal</t>
        </is>
      </c>
      <c r="I347" s="10" t="inlineStr">
        <is>
          <t>Registro de Metas mensuales asignadas al personal y su cumplimiento</t>
        </is>
      </c>
      <c r="J347" s="10" t="inlineStr">
        <is>
          <t>Gerente de Negocios</t>
        </is>
      </c>
      <c r="K347" s="10" t="inlineStr">
        <is>
          <t>Analista de Negocios</t>
        </is>
      </c>
      <c r="L347" s="10" t="inlineStr">
        <is>
          <t>UBICACIÓN DIGITAL-EQUIPO DEL CUSTODIO</t>
        </is>
      </c>
      <c r="M347" s="10" t="inlineStr">
        <is>
          <t>DISCOS DUROS, SERVIDORES, DISCOS O MEDIOS PORTÁTILES, CINTAS O MEDIOS DE VIDEO Y AUDIO, ETC.</t>
        </is>
      </c>
      <c r="N347" s="10" t="inlineStr">
        <is>
          <t>PRIMARIOS</t>
        </is>
      </c>
      <c r="O347" s="10" t="inlineStr">
        <is>
          <t>DOCUMENTOS TÉCNICOS</t>
        </is>
      </c>
      <c r="P347" s="10" t="inlineStr">
        <is>
          <t>USO INTERNO(2)</t>
        </is>
      </c>
      <c r="Q347" s="10" t="inlineStr">
        <is>
          <t>MEDIA(2)</t>
        </is>
      </c>
      <c r="R347" s="10" t="inlineStr">
        <is>
          <t>BAJA(1)</t>
        </is>
      </c>
      <c r="S347" s="10">
        <f>+(IF(P347="PUBLICA(1)",1,IF(P347="USO INTERNO(2)",2,IF(P347="RESTRINGIDO(3)",3,3))))+(IF(Q347="BAJA(1)",1,IF(Q347="MEDIA(2)",2,IF(Q347="ALTA(3)",3,3))))+(IF(R347="BAJA(1)",1,IF(R347="MEDIA(2)",2,IF(R347="ALTA(3)",3,3))))</f>
        <v/>
      </c>
      <c r="T347" s="10">
        <f>+IF(S347&lt;6,"BAJA",IF(S347&lt;8,"MEDIA","ALTA"))</f>
        <v/>
      </c>
      <c r="U347" s="10" t="inlineStr">
        <is>
          <t>-</t>
        </is>
      </c>
      <c r="V347" s="24" t="n">
        <v>45580</v>
      </c>
      <c r="W347" s="19" t="inlineStr">
        <is>
          <t>N/A</t>
        </is>
      </c>
      <c r="X347" s="10">
        <f>+IFERROR(IF(VLOOKUP(Tabla2[[#This Row],[ID]],'EVALUACION DE RIESGO'!A:A,1,FALSE)=Tabla2[[#This Row],[ID]],"SI","NO"),"NO")</f>
        <v/>
      </c>
    </row>
    <row r="348">
      <c r="A348" s="91" t="inlineStr">
        <is>
          <t>50-GNE</t>
        </is>
      </c>
      <c r="B348" s="10" t="inlineStr">
        <is>
          <t>PRODUCTIVO</t>
        </is>
      </c>
      <c r="C348" s="10" t="inlineStr">
        <is>
          <t>Gestión de Negocios</t>
        </is>
      </c>
      <c r="D348" s="10" t="inlineStr">
        <is>
          <t>GNE</t>
        </is>
      </c>
      <c r="E348" s="10" t="inlineStr">
        <is>
          <t>Gestión de Remuneración Variable</t>
        </is>
      </c>
      <c r="F348" s="10" t="inlineStr">
        <is>
          <t>-</t>
        </is>
      </c>
      <c r="G348" s="10" t="inlineStr">
        <is>
          <t>Pago de remuneración variable</t>
        </is>
      </c>
      <c r="H348" s="10" t="inlineStr">
        <is>
          <t>Registro de metas y resultados del personal</t>
        </is>
      </c>
      <c r="I348" s="10" t="inlineStr">
        <is>
          <t>Registro de Metas mensuales asignadas al personal y su cumplimiento remitido a Analista de Nómina</t>
        </is>
      </c>
      <c r="J348" s="10" t="inlineStr">
        <is>
          <t>Gerente de Negocios</t>
        </is>
      </c>
      <c r="K348" s="10" t="inlineStr">
        <is>
          <t>Analista de Negocios</t>
        </is>
      </c>
      <c r="L348" s="10" t="inlineStr">
        <is>
          <t>UBICACIÓN DIGITAL-EQUIPO DEL CUSTODIO</t>
        </is>
      </c>
      <c r="M348" s="10" t="inlineStr">
        <is>
          <t>DISCOS DUROS, SERVIDORES, DISCOS O MEDIOS PORTÁTILES, CINTAS O MEDIOS DE VIDEO Y AUDIO, ETC.</t>
        </is>
      </c>
      <c r="N348" s="10" t="inlineStr">
        <is>
          <t>PRIMARIOS</t>
        </is>
      </c>
      <c r="O348" s="10" t="inlineStr">
        <is>
          <t>DOCUMENTOS TÉCNICOS</t>
        </is>
      </c>
      <c r="P348" s="10" t="inlineStr">
        <is>
          <t>USO INTERNO(2)</t>
        </is>
      </c>
      <c r="Q348" s="10" t="inlineStr">
        <is>
          <t>MEDIA(2)</t>
        </is>
      </c>
      <c r="R348" s="10" t="inlineStr">
        <is>
          <t>BAJA(1)</t>
        </is>
      </c>
      <c r="S348" s="10">
        <f>+(IF(P348="PUBLICA(1)",1,IF(P348="USO INTERNO(2)",2,IF(P348="RESTRINGIDO(3)",3,3))))+(IF(Q348="BAJA(1)",1,IF(Q348="MEDIA(2)",2,IF(Q348="ALTA(3)",3,3))))+(IF(R348="BAJA(1)",1,IF(R348="MEDIA(2)",2,IF(R348="ALTA(3)",3,3))))</f>
        <v/>
      </c>
      <c r="T348" s="10">
        <f>+IF(S348&lt;6,"BAJA",IF(S348&lt;8,"MEDIA","ALTA"))</f>
        <v/>
      </c>
      <c r="U348" s="10" t="inlineStr">
        <is>
          <t>-</t>
        </is>
      </c>
      <c r="V348" s="24" t="n">
        <v>45580</v>
      </c>
      <c r="W348" s="19" t="inlineStr">
        <is>
          <t>N/A</t>
        </is>
      </c>
      <c r="X348" s="10">
        <f>+IFERROR(IF(VLOOKUP(Tabla2[[#This Row],[ID]],'EVALUACION DE RIESGO'!A:A,1,FALSE)=Tabla2[[#This Row],[ID]],"SI","NO"),"NO")</f>
        <v/>
      </c>
    </row>
    <row r="349">
      <c r="A349" s="91" t="inlineStr">
        <is>
          <t>51-GNE</t>
        </is>
      </c>
      <c r="B349" s="10" t="inlineStr">
        <is>
          <t>PRODUCTIVO</t>
        </is>
      </c>
      <c r="C349" s="10" t="inlineStr">
        <is>
          <t>Gestión de Negocios</t>
        </is>
      </c>
      <c r="D349" s="10" t="inlineStr">
        <is>
          <t>GNE</t>
        </is>
      </c>
      <c r="E349" s="10" t="inlineStr">
        <is>
          <t>Gestión de Remuneración Variable</t>
        </is>
      </c>
      <c r="F349" s="10" t="inlineStr">
        <is>
          <t>-</t>
        </is>
      </c>
      <c r="G349" s="10" t="inlineStr">
        <is>
          <t xml:space="preserve">Análisis y actualización de porcentajes de indicadores </t>
        </is>
      </c>
      <c r="H349" s="10" t="inlineStr">
        <is>
          <t>Matriz de remuneración variable</t>
        </is>
      </c>
      <c r="I349" s="10" t="inlineStr">
        <is>
          <t>Matriz de remuneración variable de metas asignadas al personal incorporando los nuevos porcentajes y autorizado por Gerencia General</t>
        </is>
      </c>
      <c r="J349" s="10" t="inlineStr">
        <is>
          <t>Gerente de Negocios</t>
        </is>
      </c>
      <c r="K349" s="10" t="inlineStr">
        <is>
          <t>Analista de Negocios</t>
        </is>
      </c>
      <c r="L349" s="10" t="inlineStr">
        <is>
          <t>UBICACIÓN DIGITAL-EQUIPO DEL CUSTODIO</t>
        </is>
      </c>
      <c r="M349" s="10" t="inlineStr">
        <is>
          <t>DISCOS DUROS, SERVIDORES, DISCOS O MEDIOS PORTÁTILES, CINTAS O MEDIOS DE VIDEO Y AUDIO, ETC.</t>
        </is>
      </c>
      <c r="N349" s="10" t="inlineStr">
        <is>
          <t>PRIMARIOS</t>
        </is>
      </c>
      <c r="O349" s="10" t="inlineStr">
        <is>
          <t>DOCUMENTOS TÉCNICOS</t>
        </is>
      </c>
      <c r="P349" s="10" t="inlineStr">
        <is>
          <t>USO INTERNO(2)</t>
        </is>
      </c>
      <c r="Q349" s="10" t="inlineStr">
        <is>
          <t>MEDIA(2)</t>
        </is>
      </c>
      <c r="R349" s="10" t="inlineStr">
        <is>
          <t>MEDIA(2)</t>
        </is>
      </c>
      <c r="S349" s="10">
        <f>+(IF(P349="PUBLICA(1)",1,IF(P349="USO INTERNO(2)",2,IF(P349="RESTRINGIDO(3)",3,3))))+(IF(Q349="BAJA(1)",1,IF(Q349="MEDIA(2)",2,IF(Q349="ALTA(3)",3,3))))+(IF(R349="BAJA(1)",1,IF(R349="MEDIA(2)",2,IF(R349="ALTA(3)",3,3))))</f>
        <v/>
      </c>
      <c r="T349" s="10">
        <f>+IF(S349&lt;6,"BAJA",IF(S349&lt;8,"MEDIA","ALTA"))</f>
        <v/>
      </c>
      <c r="U349" s="10" t="inlineStr">
        <is>
          <t>-</t>
        </is>
      </c>
      <c r="V349" s="24" t="n">
        <v>45580</v>
      </c>
      <c r="W349" s="19" t="inlineStr">
        <is>
          <t>N/A</t>
        </is>
      </c>
      <c r="X349" s="10">
        <f>+IFERROR(IF(VLOOKUP(Tabla2[[#This Row],[ID]],'EVALUACION DE RIESGO'!A:A,1,FALSE)=Tabla2[[#This Row],[ID]],"SI","NO"),"NO")</f>
        <v/>
      </c>
    </row>
    <row r="350">
      <c r="A350" s="91" t="inlineStr">
        <is>
          <t>52-GNE</t>
        </is>
      </c>
      <c r="B350" s="10" t="inlineStr">
        <is>
          <t>PRODUCTIVO</t>
        </is>
      </c>
      <c r="C350" s="10" t="inlineStr">
        <is>
          <t>Gestión de Negocios</t>
        </is>
      </c>
      <c r="D350" s="10" t="inlineStr">
        <is>
          <t>GNE</t>
        </is>
      </c>
      <c r="E350" s="10" t="inlineStr">
        <is>
          <t>Gestión de Productos y Servicios</t>
        </is>
      </c>
      <c r="F350" s="10" t="inlineStr">
        <is>
          <t>-</t>
        </is>
      </c>
      <c r="G350" s="10" t="inlineStr">
        <is>
          <t>Generación de la idea</t>
        </is>
      </c>
      <c r="H350" s="10" t="inlineStr">
        <is>
          <t>Consolidado de ideas del nuevo producto o servicio
(Plan Comercial)</t>
        </is>
      </c>
      <c r="I350" s="10" t="inlineStr">
        <is>
          <t>Consolidado de ideas del nuevo producto o servicio que puede traducirse en un Plan Comercial (objetivos, mercado, competencia, definición, presupuestos, proyecciones y metas)</t>
        </is>
      </c>
      <c r="J350" s="10" t="inlineStr">
        <is>
          <t>Gerente de Negocios</t>
        </is>
      </c>
      <c r="K350" s="10" t="inlineStr">
        <is>
          <t>Analista de Negocios</t>
        </is>
      </c>
      <c r="L350" s="10" t="inlineStr">
        <is>
          <t>UBICACIÓN DIGITAL-EQUIPO DEL CUSTODIO</t>
        </is>
      </c>
      <c r="M350" s="10" t="inlineStr">
        <is>
          <t>DISCOS DUROS, SERVIDORES, DISCOS O MEDIOS PORTÁTILES, CINTAS O MEDIOS DE VIDEO Y AUDIO, ETC.</t>
        </is>
      </c>
      <c r="N350" s="10" t="inlineStr">
        <is>
          <t>PRIMARIOS</t>
        </is>
      </c>
      <c r="O350" s="10" t="inlineStr">
        <is>
          <t>DOCUMENTOS TÉCNICOS</t>
        </is>
      </c>
      <c r="P350" s="10" t="inlineStr">
        <is>
          <t>USO INTERNO(2)</t>
        </is>
      </c>
      <c r="Q350" s="10" t="inlineStr">
        <is>
          <t>MEDIA(2)</t>
        </is>
      </c>
      <c r="R350" s="10" t="inlineStr">
        <is>
          <t>BAJA(1)</t>
        </is>
      </c>
      <c r="S350" s="10">
        <f>+(IF(P350="PUBLICA(1)",1,IF(P350="USO INTERNO(2)",2,IF(P350="RESTRINGIDO(3)",3,3))))+(IF(Q350="BAJA(1)",1,IF(Q350="MEDIA(2)",2,IF(Q350="ALTA(3)",3,3))))+(IF(R350="BAJA(1)",1,IF(R350="MEDIA(2)",2,IF(R350="ALTA(3)",3,3))))</f>
        <v/>
      </c>
      <c r="T350" s="10">
        <f>+IF(S350&lt;6,"BAJA",IF(S350&lt;8,"MEDIA","ALTA"))</f>
        <v/>
      </c>
      <c r="U350" s="10" t="inlineStr">
        <is>
          <t>-</t>
        </is>
      </c>
      <c r="V350" s="24" t="n">
        <v>45580</v>
      </c>
      <c r="W350" s="19" t="inlineStr">
        <is>
          <t>N/A</t>
        </is>
      </c>
      <c r="X350" s="10">
        <f>+IFERROR(IF(VLOOKUP(Tabla2[[#This Row],[ID]],'EVALUACION DE RIESGO'!A:A,1,FALSE)=Tabla2[[#This Row],[ID]],"SI","NO"),"NO")</f>
        <v/>
      </c>
    </row>
    <row r="351">
      <c r="A351" s="91" t="inlineStr">
        <is>
          <t>53-GNE</t>
        </is>
      </c>
      <c r="B351" s="10" t="inlineStr">
        <is>
          <t>PRODUCTIVO</t>
        </is>
      </c>
      <c r="C351" s="10" t="inlineStr">
        <is>
          <t>Gestión de Negocios</t>
        </is>
      </c>
      <c r="D351" s="10" t="inlineStr">
        <is>
          <t>GNE</t>
        </is>
      </c>
      <c r="E351" s="10" t="inlineStr">
        <is>
          <t>Gestión de Productos y Servicios</t>
        </is>
      </c>
      <c r="F351" s="10" t="inlineStr">
        <is>
          <t>-</t>
        </is>
      </c>
      <c r="G351" s="10" t="inlineStr">
        <is>
          <t>Estudio de Mercado</t>
        </is>
      </c>
      <c r="H351" s="10" t="inlineStr">
        <is>
          <t>Estudio de Mercado</t>
        </is>
      </c>
      <c r="I351" s="10" t="inlineStr">
        <is>
          <t>Documento de estudio de mercado que contiene análisis de oferta, análisis de la demanda, determinación impacto de las exigencias de la demanda, estudio técnico, estudio organizacional, estudio financiero, evaluación financiera, impacto social, análisis de sensibilidad , análisis internacional</t>
        </is>
      </c>
      <c r="J351" s="10" t="inlineStr">
        <is>
          <t>Gerente de Negocios</t>
        </is>
      </c>
      <c r="K351" s="10" t="inlineStr">
        <is>
          <t>Analista de Negocios</t>
        </is>
      </c>
      <c r="L351" s="10" t="inlineStr">
        <is>
          <t>UBICACIÓN DIGITAL-EQUIPO DEL CUSTODIO</t>
        </is>
      </c>
      <c r="M351" s="10" t="inlineStr">
        <is>
          <t>DISCOS DUROS, SERVIDORES, DISCOS O MEDIOS PORTÁTILES, CINTAS O MEDIOS DE VIDEO Y AUDIO, ETC.</t>
        </is>
      </c>
      <c r="N351" s="10" t="inlineStr">
        <is>
          <t>PRIMARIOS</t>
        </is>
      </c>
      <c r="O351" s="10" t="inlineStr">
        <is>
          <t>DOCUMENTOS TÉCNICOS</t>
        </is>
      </c>
      <c r="P351" s="10" t="inlineStr">
        <is>
          <t>USO INTERNO(2)</t>
        </is>
      </c>
      <c r="Q351" s="10" t="inlineStr">
        <is>
          <t>MEDIA(2)</t>
        </is>
      </c>
      <c r="R351" s="10" t="inlineStr">
        <is>
          <t>MEDIA(2)</t>
        </is>
      </c>
      <c r="S351" s="10">
        <f>+(IF(P351="PUBLICA(1)",1,IF(P351="USO INTERNO(2)",2,IF(P351="RESTRINGIDO(3)",3,3))))+(IF(Q351="BAJA(1)",1,IF(Q351="MEDIA(2)",2,IF(Q351="ALTA(3)",3,3))))+(IF(R351="BAJA(1)",1,IF(R351="MEDIA(2)",2,IF(R351="ALTA(3)",3,3))))</f>
        <v/>
      </c>
      <c r="T351" s="10">
        <f>+IF(S351&lt;6,"BAJA",IF(S351&lt;8,"MEDIA","ALTA"))</f>
        <v/>
      </c>
      <c r="U351" s="10" t="inlineStr">
        <is>
          <t>-</t>
        </is>
      </c>
      <c r="V351" s="24" t="n">
        <v>45580</v>
      </c>
      <c r="W351" s="19" t="inlineStr">
        <is>
          <t>N/A</t>
        </is>
      </c>
      <c r="X351" s="10">
        <f>+IFERROR(IF(VLOOKUP(Tabla2[[#This Row],[ID]],'EVALUACION DE RIESGO'!A:A,1,FALSE)=Tabla2[[#This Row],[ID]],"SI","NO"),"NO")</f>
        <v/>
      </c>
    </row>
    <row r="352">
      <c r="A352" s="91" t="inlineStr">
        <is>
          <t>54-GNE</t>
        </is>
      </c>
      <c r="B352" s="10" t="inlineStr">
        <is>
          <t>PRODUCTIVO</t>
        </is>
      </c>
      <c r="C352" s="10" t="inlineStr">
        <is>
          <t>Gestión de Negocios</t>
        </is>
      </c>
      <c r="D352" s="10" t="inlineStr">
        <is>
          <t>GNE</t>
        </is>
      </c>
      <c r="E352" s="10" t="inlineStr">
        <is>
          <t>Gestión de Productos y Servicios</t>
        </is>
      </c>
      <c r="F352" s="10" t="inlineStr">
        <is>
          <t>-</t>
        </is>
      </c>
      <c r="G352" s="10" t="inlineStr">
        <is>
          <t>Diseño del producto o servicio</t>
        </is>
      </c>
      <c r="H352" s="10" t="inlineStr">
        <is>
          <t>Propuesta de Creación de
Productos y Servicios</t>
        </is>
      </c>
      <c r="I352" s="10" t="inlineStr">
        <is>
          <t>Documento de proyecto del nuevo producto que contiene visión objetivo, alcance, problema, justificación, aspectos técnicos, descripción del producto, población objetivo, políticas generales, análisis previo, flujo de proceso, propuesta económica, costo beneficio</t>
        </is>
      </c>
      <c r="J352" s="10" t="inlineStr">
        <is>
          <t>Gerente de Negocios</t>
        </is>
      </c>
      <c r="K352" s="10" t="inlineStr">
        <is>
          <t>Analista de Negocios</t>
        </is>
      </c>
      <c r="L352" s="10" t="inlineStr">
        <is>
          <t>UBICACIÓN DIGITAL-EQUIPO DEL CUSTODIO</t>
        </is>
      </c>
      <c r="M352" s="10" t="inlineStr">
        <is>
          <t>DISCOS DUROS, SERVIDORES, DISCOS O MEDIOS PORTÁTILES, CINTAS O MEDIOS DE VIDEO Y AUDIO, ETC.</t>
        </is>
      </c>
      <c r="N352" s="10" t="inlineStr">
        <is>
          <t>PRIMARIOS</t>
        </is>
      </c>
      <c r="O352" s="10" t="inlineStr">
        <is>
          <t>COMUNICACIÓN INTERNA</t>
        </is>
      </c>
      <c r="P352" s="10" t="inlineStr">
        <is>
          <t>USO INTERNO(2)</t>
        </is>
      </c>
      <c r="Q352" s="10" t="inlineStr">
        <is>
          <t>MEDIA(2)</t>
        </is>
      </c>
      <c r="R352" s="10" t="inlineStr">
        <is>
          <t>MEDIA(2)</t>
        </is>
      </c>
      <c r="S352" s="10">
        <f>+(IF(P352="PUBLICA(1)",1,IF(P352="USO INTERNO(2)",2,IF(P352="RESTRINGIDO(3)",3,3))))+(IF(Q352="BAJA(1)",1,IF(Q352="MEDIA(2)",2,IF(Q352="ALTA(3)",3,3))))+(IF(R352="BAJA(1)",1,IF(R352="MEDIA(2)",2,IF(R352="ALTA(3)",3,3))))</f>
        <v/>
      </c>
      <c r="T352" s="10">
        <f>+IF(S352&lt;6,"BAJA",IF(S352&lt;8,"MEDIA","ALTA"))</f>
        <v/>
      </c>
      <c r="U352" s="10" t="inlineStr">
        <is>
          <t>-</t>
        </is>
      </c>
      <c r="V352" s="24" t="n">
        <v>45580</v>
      </c>
      <c r="W352" s="19" t="inlineStr">
        <is>
          <t>N/A</t>
        </is>
      </c>
      <c r="X352" s="10">
        <f>+IFERROR(IF(VLOOKUP(Tabla2[[#This Row],[ID]],'EVALUACION DE RIESGO'!A:A,1,FALSE)=Tabla2[[#This Row],[ID]],"SI","NO"),"NO")</f>
        <v/>
      </c>
    </row>
    <row r="353">
      <c r="A353" s="91" t="inlineStr">
        <is>
          <t>55-GNE</t>
        </is>
      </c>
      <c r="B353" s="10" t="inlineStr">
        <is>
          <t>PRODUCTIVO</t>
        </is>
      </c>
      <c r="C353" s="10" t="inlineStr">
        <is>
          <t>Gestión de Negocios</t>
        </is>
      </c>
      <c r="D353" s="10" t="inlineStr">
        <is>
          <t>GNE</t>
        </is>
      </c>
      <c r="E353" s="10" t="inlineStr">
        <is>
          <t>Gestión de Productos y Servicios</t>
        </is>
      </c>
      <c r="F353" s="10" t="inlineStr">
        <is>
          <t>-</t>
        </is>
      </c>
      <c r="G353" s="10" t="inlineStr">
        <is>
          <t>Diseño del producto o servicio</t>
        </is>
      </c>
      <c r="H353" s="10" t="inlineStr">
        <is>
          <t>Formato de Factibilidad para
la creación de Productos y
Servicios</t>
        </is>
      </c>
      <c r="I353" s="10" t="inlineStr">
        <is>
          <t>análisis adjunto al proyecto del nuevo producto contiene, factibilidad de Ti, de Seguridad de la Información, de Legal, de cumplimiento, financiero, riesgos</t>
        </is>
      </c>
      <c r="J353" s="10" t="inlineStr">
        <is>
          <t>Gerente de Negocios</t>
        </is>
      </c>
      <c r="K353" s="10" t="inlineStr">
        <is>
          <t>Analista de Negocios</t>
        </is>
      </c>
      <c r="L353" s="10" t="inlineStr">
        <is>
          <t>UBICACIÓN DIGITAL-EQUIPO DEL CUSTODIO</t>
        </is>
      </c>
      <c r="M353" s="10" t="inlineStr">
        <is>
          <t>DISCOS DUROS, SERVIDORES, DISCOS O MEDIOS PORTÁTILES, CINTAS O MEDIOS DE VIDEO Y AUDIO, ETC.</t>
        </is>
      </c>
      <c r="N353" s="10" t="inlineStr">
        <is>
          <t>PRIMARIOS</t>
        </is>
      </c>
      <c r="O353" s="10" t="inlineStr">
        <is>
          <t>INFORMACIÓN DE TERCEROS</t>
        </is>
      </c>
      <c r="P353" s="10" t="inlineStr">
        <is>
          <t>USO INTERNO(2)</t>
        </is>
      </c>
      <c r="Q353" s="10" t="inlineStr">
        <is>
          <t>MEDIA(2)</t>
        </is>
      </c>
      <c r="R353" s="10" t="inlineStr">
        <is>
          <t>MEDIA(2)</t>
        </is>
      </c>
      <c r="S353" s="10">
        <f>+(IF(P353="PUBLICA(1)",1,IF(P353="USO INTERNO(2)",2,IF(P353="RESTRINGIDO(3)",3,3))))+(IF(Q353="BAJA(1)",1,IF(Q353="MEDIA(2)",2,IF(Q353="ALTA(3)",3,3))))+(IF(R353="BAJA(1)",1,IF(R353="MEDIA(2)",2,IF(R353="ALTA(3)",3,3))))</f>
        <v/>
      </c>
      <c r="T353" s="10">
        <f>+IF(S353&lt;6,"BAJA",IF(S353&lt;8,"MEDIA","ALTA"))</f>
        <v/>
      </c>
      <c r="U353" s="10" t="inlineStr">
        <is>
          <t>-</t>
        </is>
      </c>
      <c r="V353" s="24" t="n">
        <v>45580</v>
      </c>
      <c r="W353" s="19" t="inlineStr">
        <is>
          <t>N/A</t>
        </is>
      </c>
      <c r="X353" s="10">
        <f>+IFERROR(IF(VLOOKUP(Tabla2[[#This Row],[ID]],'EVALUACION DE RIESGO'!A:A,1,FALSE)=Tabla2[[#This Row],[ID]],"SI","NO"),"NO")</f>
        <v/>
      </c>
    </row>
    <row r="354">
      <c r="A354" s="91" t="inlineStr">
        <is>
          <t>56-GNE</t>
        </is>
      </c>
      <c r="B354" s="10" t="inlineStr">
        <is>
          <t>PRODUCTIVO</t>
        </is>
      </c>
      <c r="C354" s="10" t="inlineStr">
        <is>
          <t>Gestión de Negocios</t>
        </is>
      </c>
      <c r="D354" s="10" t="inlineStr">
        <is>
          <t>GNE</t>
        </is>
      </c>
      <c r="E354" s="10" t="inlineStr">
        <is>
          <t>Gestión de Productos y Servicios</t>
        </is>
      </c>
      <c r="F354" s="10" t="inlineStr">
        <is>
          <t>-</t>
        </is>
      </c>
      <c r="G354" s="10" t="inlineStr">
        <is>
          <t>Análisis de Riesgos para un nuevo Producto o Servicio</t>
        </is>
      </c>
      <c r="H354" s="10" t="inlineStr">
        <is>
          <t>Propuesta de creación del 
producto o servicio</t>
        </is>
      </c>
      <c r="I354" s="10" t="inlineStr">
        <is>
          <t>Análisis de riesgo adjunto al proyecto del nuevo producto</t>
        </is>
      </c>
      <c r="J354" s="10" t="inlineStr">
        <is>
          <t>Gerente de Negocios</t>
        </is>
      </c>
      <c r="K354" s="10" t="inlineStr">
        <is>
          <t>Analista de Negocios</t>
        </is>
      </c>
      <c r="L354" s="10" t="inlineStr">
        <is>
          <t>UBICACIÓN DIGITAL-EQUIPO DEL CUSTODIO</t>
        </is>
      </c>
      <c r="M354" s="10" t="inlineStr">
        <is>
          <t>DISCOS DUROS, SERVIDORES, DISCOS O MEDIOS PORTÁTILES, CINTAS O MEDIOS DE VIDEO Y AUDIO, ETC.</t>
        </is>
      </c>
      <c r="N354" s="10" t="inlineStr">
        <is>
          <t>PRIMARIOS</t>
        </is>
      </c>
      <c r="O354" s="10" t="inlineStr">
        <is>
          <t>DOCUMENTOS TÉCNICOS</t>
        </is>
      </c>
      <c r="P354" s="10" t="inlineStr">
        <is>
          <t>USO INTERNO(2)</t>
        </is>
      </c>
      <c r="Q354" s="10" t="inlineStr">
        <is>
          <t>MEDIA(2)</t>
        </is>
      </c>
      <c r="R354" s="10" t="inlineStr">
        <is>
          <t>BAJA(1)</t>
        </is>
      </c>
      <c r="S354" s="10">
        <f>+(IF(P354="PUBLICA(1)",1,IF(P354="USO INTERNO(2)",2,IF(P354="RESTRINGIDO(3)",3,3))))+(IF(Q354="BAJA(1)",1,IF(Q354="MEDIA(2)",2,IF(Q354="ALTA(3)",3,3))))+(IF(R354="BAJA(1)",1,IF(R354="MEDIA(2)",2,IF(R354="ALTA(3)",3,3))))</f>
        <v/>
      </c>
      <c r="T354" s="10">
        <f>+IF(S354&lt;6,"BAJA",IF(S354&lt;8,"MEDIA","ALTA"))</f>
        <v/>
      </c>
      <c r="U354" s="10" t="inlineStr">
        <is>
          <t>-</t>
        </is>
      </c>
      <c r="V354" s="24" t="n">
        <v>45580</v>
      </c>
      <c r="W354" s="19" t="inlineStr">
        <is>
          <t>N/A</t>
        </is>
      </c>
      <c r="X354" s="10">
        <f>+IFERROR(IF(VLOOKUP(Tabla2[[#This Row],[ID]],'EVALUACION DE RIESGO'!A:A,1,FALSE)=Tabla2[[#This Row],[ID]],"SI","NO"),"NO")</f>
        <v/>
      </c>
    </row>
    <row r="355">
      <c r="A355" s="91" t="inlineStr">
        <is>
          <t>57-GNE</t>
        </is>
      </c>
      <c r="B355" s="10" t="inlineStr">
        <is>
          <t>PRODUCTIVO</t>
        </is>
      </c>
      <c r="C355" s="10" t="inlineStr">
        <is>
          <t>Gestión de Negocios</t>
        </is>
      </c>
      <c r="D355" s="10" t="inlineStr">
        <is>
          <t>GNE</t>
        </is>
      </c>
      <c r="E355" s="10" t="inlineStr">
        <is>
          <t>Gestión de Productos y Servicios</t>
        </is>
      </c>
      <c r="F355" s="10" t="inlineStr">
        <is>
          <t>-</t>
        </is>
      </c>
      <c r="G355" s="10" t="inlineStr">
        <is>
          <t>Análisis de Riesgos para un nuevo Producto o Servicio</t>
        </is>
      </c>
      <c r="H355" s="10" t="inlineStr">
        <is>
          <t>Informe de riesgos de lavado 
de activos</t>
        </is>
      </c>
      <c r="I355" s="10" t="inlineStr">
        <is>
          <t>Análisis de factibilidad de cumplimiento adjunto al proyecto del nuevo producto</t>
        </is>
      </c>
      <c r="J355" s="10" t="inlineStr">
        <is>
          <t>Gerente de Negocios</t>
        </is>
      </c>
      <c r="K355" s="10" t="inlineStr">
        <is>
          <t>Analista de Negocios</t>
        </is>
      </c>
      <c r="L355" s="10" t="inlineStr">
        <is>
          <t>UBICACIÓN DIGITAL-EQUIPO DEL CUSTODIO</t>
        </is>
      </c>
      <c r="M355" s="10" t="inlineStr">
        <is>
          <t>DISCOS DUROS, SERVIDORES, DISCOS O MEDIOS PORTÁTILES, CINTAS O MEDIOS DE VIDEO Y AUDIO, ETC.</t>
        </is>
      </c>
      <c r="N355" s="10" t="inlineStr">
        <is>
          <t>PRIMARIOS</t>
        </is>
      </c>
      <c r="O355" s="10" t="inlineStr">
        <is>
          <t>DOCUMENTOS TÉCNICOS</t>
        </is>
      </c>
      <c r="P355" s="10" t="inlineStr">
        <is>
          <t>RESTRINGIDO(3)</t>
        </is>
      </c>
      <c r="Q355" s="10" t="inlineStr">
        <is>
          <t>MEDIA(2)</t>
        </is>
      </c>
      <c r="R355" s="10" t="inlineStr">
        <is>
          <t>MEDIA(2)</t>
        </is>
      </c>
      <c r="S355" s="10">
        <f>+(IF(P355="PUBLICA(1)",1,IF(P355="USO INTERNO(2)",2,IF(P355="RESTRINGIDO(3)",3,3))))+(IF(Q355="BAJA(1)",1,IF(Q355="MEDIA(2)",2,IF(Q355="ALTA(3)",3,3))))+(IF(R355="BAJA(1)",1,IF(R355="MEDIA(2)",2,IF(R355="ALTA(3)",3,3))))</f>
        <v/>
      </c>
      <c r="T355" s="10">
        <f>+IF(S355&lt;6,"BAJA",IF(S355&lt;8,"MEDIA","ALTA"))</f>
        <v/>
      </c>
      <c r="U355" s="10" t="inlineStr">
        <is>
          <t>-</t>
        </is>
      </c>
      <c r="V355" s="24" t="n">
        <v>45580</v>
      </c>
      <c r="W355" s="19" t="inlineStr">
        <is>
          <t>N/A</t>
        </is>
      </c>
      <c r="X355" s="10">
        <f>+IFERROR(IF(VLOOKUP(Tabla2[[#This Row],[ID]],'EVALUACION DE RIESGO'!A:A,1,FALSE)=Tabla2[[#This Row],[ID]],"SI","NO"),"NO")</f>
        <v/>
      </c>
    </row>
    <row r="356">
      <c r="A356" s="91" t="inlineStr">
        <is>
          <t>58-GNE</t>
        </is>
      </c>
      <c r="B356" s="10" t="inlineStr">
        <is>
          <t>PRODUCTIVO</t>
        </is>
      </c>
      <c r="C356" s="10" t="inlineStr">
        <is>
          <t>Gestión de Negocios</t>
        </is>
      </c>
      <c r="D356" s="10" t="inlineStr">
        <is>
          <t>GNE</t>
        </is>
      </c>
      <c r="E356" s="10" t="inlineStr">
        <is>
          <t>Gestión de Productos y Servicios</t>
        </is>
      </c>
      <c r="F356" s="10" t="inlineStr">
        <is>
          <t>-</t>
        </is>
      </c>
      <c r="G356" s="10" t="inlineStr">
        <is>
          <t>Análisis de Riesgos para un nuevo Producto o Servicio</t>
        </is>
      </c>
      <c r="H356" s="10" t="inlineStr">
        <is>
          <t>Informe del Análisis de
Riesgos</t>
        </is>
      </c>
      <c r="I356" s="10" t="inlineStr">
        <is>
          <t>Análisis de riesgo adjunto al proyecto del nuevo producto</t>
        </is>
      </c>
      <c r="J356" s="10" t="inlineStr">
        <is>
          <t>Gerente de Negocios</t>
        </is>
      </c>
      <c r="K356" s="10" t="inlineStr">
        <is>
          <t>Analista de Negocios</t>
        </is>
      </c>
      <c r="L356" s="10" t="inlineStr">
        <is>
          <t>UBICACIÓN DIGITAL-EQUIPO DEL CUSTODIO</t>
        </is>
      </c>
      <c r="M356" s="10" t="inlineStr">
        <is>
          <t>DISCOS DUROS, SERVIDORES, DISCOS O MEDIOS PORTÁTILES, CINTAS O MEDIOS DE VIDEO Y AUDIO, ETC.</t>
        </is>
      </c>
      <c r="N356" s="10" t="inlineStr">
        <is>
          <t>PRIMARIOS</t>
        </is>
      </c>
      <c r="O356" s="10" t="inlineStr">
        <is>
          <t>DOCUMENTOS TÉCNICOS</t>
        </is>
      </c>
      <c r="P356" s="10" t="inlineStr">
        <is>
          <t>RESTRINGIDO(3)</t>
        </is>
      </c>
      <c r="Q356" s="10" t="inlineStr">
        <is>
          <t>MEDIA(2)</t>
        </is>
      </c>
      <c r="R356" s="10" t="inlineStr">
        <is>
          <t>MEDIA(2)</t>
        </is>
      </c>
      <c r="S356" s="10">
        <f>+(IF(P356="PUBLICA(1)",1,IF(P356="USO INTERNO(2)",2,IF(P356="RESTRINGIDO(3)",3,3))))+(IF(Q356="BAJA(1)",1,IF(Q356="MEDIA(2)",2,IF(Q356="ALTA(3)",3,3))))+(IF(R356="BAJA(1)",1,IF(R356="MEDIA(2)",2,IF(R356="ALTA(3)",3,3))))</f>
        <v/>
      </c>
      <c r="T356" s="10">
        <f>+IF(S356&lt;6,"BAJA",IF(S356&lt;8,"MEDIA","ALTA"))</f>
        <v/>
      </c>
      <c r="U356" s="10" t="inlineStr">
        <is>
          <t>-</t>
        </is>
      </c>
      <c r="V356" s="24" t="n">
        <v>45580</v>
      </c>
      <c r="W356" s="19" t="inlineStr">
        <is>
          <t>N/A</t>
        </is>
      </c>
      <c r="X356" s="10">
        <f>+IFERROR(IF(VLOOKUP(Tabla2[[#This Row],[ID]],'EVALUACION DE RIESGO'!A:A,1,FALSE)=Tabla2[[#This Row],[ID]],"SI","NO"),"NO")</f>
        <v/>
      </c>
    </row>
    <row r="357">
      <c r="A357" s="91" t="inlineStr">
        <is>
          <t>59-GNE</t>
        </is>
      </c>
      <c r="B357" s="10" t="inlineStr">
        <is>
          <t>PRODUCTIVO</t>
        </is>
      </c>
      <c r="C357" s="10" t="inlineStr">
        <is>
          <t>Gestión de Negocios</t>
        </is>
      </c>
      <c r="D357" s="10" t="inlineStr">
        <is>
          <t>GNE</t>
        </is>
      </c>
      <c r="E357" s="10" t="inlineStr">
        <is>
          <t>Gestión de Productos y Servicios</t>
        </is>
      </c>
      <c r="F357" s="10" t="inlineStr">
        <is>
          <t>-</t>
        </is>
      </c>
      <c r="G357" s="10" t="inlineStr">
        <is>
          <t>Análisis de Riesgos para un nuevo Producto o Servicio</t>
        </is>
      </c>
      <c r="H357" s="10" t="inlineStr">
        <is>
          <t>Resolución CAIR</t>
        </is>
      </c>
      <c r="I357" s="10" t="inlineStr">
        <is>
          <t>Resolución emitida por el comité de CAIR área de Riesgos</t>
        </is>
      </c>
      <c r="J357" s="10" t="inlineStr">
        <is>
          <t>Gerente de Negocios</t>
        </is>
      </c>
      <c r="K357" s="10" t="inlineStr">
        <is>
          <t>Analista de Negocios</t>
        </is>
      </c>
      <c r="L357" s="10" t="inlineStr">
        <is>
          <t>UBICACIÓN DIGITAL-EQUIPO DEL CUSTODIO</t>
        </is>
      </c>
      <c r="M357" s="10" t="inlineStr">
        <is>
          <t>DISCOS DUROS, SERVIDORES, DISCOS O MEDIOS PORTÁTILES, CINTAS O MEDIOS DE VIDEO Y AUDIO, ETC.</t>
        </is>
      </c>
      <c r="N357" s="10" t="inlineStr">
        <is>
          <t>PRIMARIOS</t>
        </is>
      </c>
      <c r="O357" s="10" t="inlineStr">
        <is>
          <t>COMUNICACIÓN INTERNA</t>
        </is>
      </c>
      <c r="P357" s="10" t="inlineStr">
        <is>
          <t>USO INTERNO(2)</t>
        </is>
      </c>
      <c r="Q357" s="10" t="inlineStr">
        <is>
          <t>MEDIA(2)</t>
        </is>
      </c>
      <c r="R357" s="10" t="inlineStr">
        <is>
          <t>MEDIA(2)</t>
        </is>
      </c>
      <c r="S357" s="10">
        <f>+(IF(P357="PUBLICA(1)",1,IF(P357="USO INTERNO(2)",2,IF(P357="RESTRINGIDO(3)",3,3))))+(IF(Q357="BAJA(1)",1,IF(Q357="MEDIA(2)",2,IF(Q357="ALTA(3)",3,3))))+(IF(R357="BAJA(1)",1,IF(R357="MEDIA(2)",2,IF(R357="ALTA(3)",3,3))))</f>
        <v/>
      </c>
      <c r="T357" s="10">
        <f>+IF(S357&lt;6,"BAJA",IF(S357&lt;8,"MEDIA","ALTA"))</f>
        <v/>
      </c>
      <c r="U357" s="10" t="inlineStr">
        <is>
          <t>-</t>
        </is>
      </c>
      <c r="V357" s="24" t="n">
        <v>45580</v>
      </c>
      <c r="W357" s="19" t="inlineStr">
        <is>
          <t>N/A</t>
        </is>
      </c>
      <c r="X357" s="10">
        <f>+IFERROR(IF(VLOOKUP(Tabla2[[#This Row],[ID]],'EVALUACION DE RIESGO'!A:A,1,FALSE)=Tabla2[[#This Row],[ID]],"SI","NO"),"NO")</f>
        <v/>
      </c>
    </row>
    <row r="358">
      <c r="A358" s="91" t="inlineStr">
        <is>
          <t>60-GNE</t>
        </is>
      </c>
      <c r="B358" s="10" t="inlineStr">
        <is>
          <t>PRODUCTIVO</t>
        </is>
      </c>
      <c r="C358" s="10" t="inlineStr">
        <is>
          <t>Gestión de Negocios</t>
        </is>
      </c>
      <c r="D358" s="10" t="inlineStr">
        <is>
          <t>GNE</t>
        </is>
      </c>
      <c r="E358" s="10" t="inlineStr">
        <is>
          <t>Gestión de Productos y Servicios</t>
        </is>
      </c>
      <c r="F358" s="10" t="inlineStr">
        <is>
          <t>-</t>
        </is>
      </c>
      <c r="G358" s="10" t="inlineStr">
        <is>
          <t>Aprobación del producto o servicio</t>
        </is>
      </c>
      <c r="H358" s="10" t="inlineStr">
        <is>
          <t>Matriz de Productos</t>
        </is>
      </c>
      <c r="I358" s="10" t="inlineStr">
        <is>
          <t xml:space="preserve">Matriz de productos de colocaciones y captaciones, contiene las resoluciones, contiene montos mínimos, tasas, niveles de aprobación </t>
        </is>
      </c>
      <c r="J358" s="10" t="inlineStr">
        <is>
          <t>Gerente de Negocios</t>
        </is>
      </c>
      <c r="K358" s="10" t="inlineStr">
        <is>
          <t>Analista de Negocios</t>
        </is>
      </c>
      <c r="L358" s="10" t="inlineStr">
        <is>
          <t>UBICACIÓN DIGITAL-EQUIPO DEL CUSTODIO</t>
        </is>
      </c>
      <c r="M358" s="10" t="inlineStr">
        <is>
          <t>DISCOS DUROS, SERVIDORES, DISCOS O MEDIOS PORTÁTILES, CINTAS O MEDIOS DE VIDEO Y AUDIO, ETC.</t>
        </is>
      </c>
      <c r="N358" s="10" t="inlineStr">
        <is>
          <t>PRIMARIOS</t>
        </is>
      </c>
      <c r="O358" s="10" t="inlineStr">
        <is>
          <t>DOCUMENTOS TÉCNICOS</t>
        </is>
      </c>
      <c r="P358" s="10" t="inlineStr">
        <is>
          <t>USO INTERNO(2)</t>
        </is>
      </c>
      <c r="Q358" s="10" t="inlineStr">
        <is>
          <t>MEDIA(2)</t>
        </is>
      </c>
      <c r="R358" s="10" t="inlineStr">
        <is>
          <t>BAJA(1)</t>
        </is>
      </c>
      <c r="S358" s="10">
        <f>+(IF(P358="PUBLICA(1)",1,IF(P358="USO INTERNO(2)",2,IF(P358="RESTRINGIDO(3)",3,3))))+(IF(Q358="BAJA(1)",1,IF(Q358="MEDIA(2)",2,IF(Q358="ALTA(3)",3,3))))+(IF(R358="BAJA(1)",1,IF(R358="MEDIA(2)",2,IF(R358="ALTA(3)",3,3))))</f>
        <v/>
      </c>
      <c r="T358" s="10">
        <f>+IF(S358&lt;6,"BAJA",IF(S358&lt;8,"MEDIA","ALTA"))</f>
        <v/>
      </c>
      <c r="U358" s="10" t="inlineStr">
        <is>
          <t>-</t>
        </is>
      </c>
      <c r="V358" s="24" t="n">
        <v>45580</v>
      </c>
      <c r="W358" s="19" t="inlineStr">
        <is>
          <t>N/A</t>
        </is>
      </c>
      <c r="X358" s="10">
        <f>+IFERROR(IF(VLOOKUP(Tabla2[[#This Row],[ID]],'EVALUACION DE RIESGO'!A:A,1,FALSE)=Tabla2[[#This Row],[ID]],"SI","NO"),"NO")</f>
        <v/>
      </c>
    </row>
    <row r="359">
      <c r="A359" s="91" t="inlineStr">
        <is>
          <t>61-GNE</t>
        </is>
      </c>
      <c r="B359" s="10" t="inlineStr">
        <is>
          <t>PRODUCTIVO</t>
        </is>
      </c>
      <c r="C359" s="10" t="inlineStr">
        <is>
          <t>Gestión de Negocios</t>
        </is>
      </c>
      <c r="D359" s="10" t="inlineStr">
        <is>
          <t>GNE</t>
        </is>
      </c>
      <c r="E359" s="10" t="inlineStr">
        <is>
          <t>Gestión de Productos y Servicios</t>
        </is>
      </c>
      <c r="F359" s="10" t="inlineStr">
        <is>
          <t>-</t>
        </is>
      </c>
      <c r="G359" s="10" t="inlineStr">
        <is>
          <t>Aprobación del producto o servicio</t>
        </is>
      </c>
      <c r="H359" s="10" t="inlineStr">
        <is>
          <t>Certificación de Aprobación
del Consejo de
Administración</t>
        </is>
      </c>
      <c r="I359" s="10" t="inlineStr">
        <is>
          <t xml:space="preserve">Acta de certificación realizada por el Consejo de Administración donde se aprueba el producto o servicio </t>
        </is>
      </c>
      <c r="J359" s="10" t="inlineStr">
        <is>
          <t>Gerente de Negocios</t>
        </is>
      </c>
      <c r="K359" s="10" t="inlineStr">
        <is>
          <t>Analista de Negocios</t>
        </is>
      </c>
      <c r="L359" s="10" t="inlineStr">
        <is>
          <t>UBICACIÓN DIGITAL-EQUIPO DEL CUSTODIO</t>
        </is>
      </c>
      <c r="M359" s="10" t="inlineStr">
        <is>
          <t>DISCOS DUROS, SERVIDORES, DISCOS O MEDIOS PORTÁTILES, CINTAS O MEDIOS DE VIDEO Y AUDIO, ETC.</t>
        </is>
      </c>
      <c r="N359" s="10" t="inlineStr">
        <is>
          <t>PRIMARIOS</t>
        </is>
      </c>
      <c r="O359" s="10" t="inlineStr">
        <is>
          <t>DOCUMENTOS HABILITANTES</t>
        </is>
      </c>
      <c r="P359" s="10" t="inlineStr">
        <is>
          <t>USO INTERNO(2)</t>
        </is>
      </c>
      <c r="Q359" s="10" t="inlineStr">
        <is>
          <t>MEDIA(2)</t>
        </is>
      </c>
      <c r="R359" s="10" t="inlineStr">
        <is>
          <t>MEDIA(2)</t>
        </is>
      </c>
      <c r="S359" s="10">
        <f>+(IF(P359="PUBLICA(1)",1,IF(P359="USO INTERNO(2)",2,IF(P359="RESTRINGIDO(3)",3,3))))+(IF(Q359="BAJA(1)",1,IF(Q359="MEDIA(2)",2,IF(Q359="ALTA(3)",3,3))))+(IF(R359="BAJA(1)",1,IF(R359="MEDIA(2)",2,IF(R359="ALTA(3)",3,3))))</f>
        <v/>
      </c>
      <c r="T359" s="10">
        <f>+IF(S359&lt;6,"BAJA",IF(S359&lt;8,"MEDIA","ALTA"))</f>
        <v/>
      </c>
      <c r="U359" s="10" t="inlineStr">
        <is>
          <t>-</t>
        </is>
      </c>
      <c r="V359" s="24" t="n">
        <v>45580</v>
      </c>
      <c r="W359" s="19" t="inlineStr">
        <is>
          <t>N/A</t>
        </is>
      </c>
      <c r="X359" s="10">
        <f>+IFERROR(IF(VLOOKUP(Tabla2[[#This Row],[ID]],'EVALUACION DE RIESGO'!A:A,1,FALSE)=Tabla2[[#This Row],[ID]],"SI","NO"),"NO")</f>
        <v/>
      </c>
    </row>
    <row r="360">
      <c r="A360" s="91" t="inlineStr">
        <is>
          <t>62-GNE</t>
        </is>
      </c>
      <c r="B360" s="10" t="inlineStr">
        <is>
          <t>PRODUCTIVO</t>
        </is>
      </c>
      <c r="C360" s="10" t="inlineStr">
        <is>
          <t>Gestión de Negocios</t>
        </is>
      </c>
      <c r="D360" s="10" t="inlineStr">
        <is>
          <t>GNE</t>
        </is>
      </c>
      <c r="E360" s="10" t="inlineStr">
        <is>
          <t>Gestión de Productos y Servicios</t>
        </is>
      </c>
      <c r="F360" s="10" t="inlineStr">
        <is>
          <t>-</t>
        </is>
      </c>
      <c r="G360" s="10" t="inlineStr">
        <is>
          <t>Aprobación del producto o servicio</t>
        </is>
      </c>
      <c r="H360" s="10" t="inlineStr">
        <is>
          <t>Aprobación del Ente de
Control</t>
        </is>
      </c>
      <c r="I360" s="10" t="inlineStr">
        <is>
          <t>Documento tipo permiso de funcionamiento otorgado por el ente de control , detalla fecha de emisión, código de oficina, tipo de establecimiento, provincia, cantón, ruc, numero de permiso y firmas</t>
        </is>
      </c>
      <c r="J360" s="10" t="inlineStr">
        <is>
          <t>Gerente de Negocios</t>
        </is>
      </c>
      <c r="K360" s="10" t="inlineStr">
        <is>
          <t>Analista de Negocios</t>
        </is>
      </c>
      <c r="L360" s="10" t="inlineStr">
        <is>
          <t>UBICACIÓN DIGITAL-EQUIPO DEL CUSTODIO</t>
        </is>
      </c>
      <c r="M360" s="10" t="inlineStr">
        <is>
          <t>DISCOS DUROS, SERVIDORES, DISCOS O MEDIOS PORTÁTILES, CINTAS O MEDIOS DE VIDEO Y AUDIO, ETC.</t>
        </is>
      </c>
      <c r="N360" s="10" t="inlineStr">
        <is>
          <t>PRIMARIOS</t>
        </is>
      </c>
      <c r="O360" s="10" t="inlineStr">
        <is>
          <t>DOCUMENTOS HABILITANTES</t>
        </is>
      </c>
      <c r="P360" s="10" t="inlineStr">
        <is>
          <t>USO INTERNO(2)</t>
        </is>
      </c>
      <c r="Q360" s="10" t="inlineStr">
        <is>
          <t>MEDIA(2)</t>
        </is>
      </c>
      <c r="R360" s="10" t="inlineStr">
        <is>
          <t>MEDIA(2)</t>
        </is>
      </c>
      <c r="S360" s="10">
        <f>+(IF(P360="PUBLICA(1)",1,IF(P360="USO INTERNO(2)",2,IF(P360="RESTRINGIDO(3)",3,3))))+(IF(Q360="BAJA(1)",1,IF(Q360="MEDIA(2)",2,IF(Q360="ALTA(3)",3,3))))+(IF(R360="BAJA(1)",1,IF(R360="MEDIA(2)",2,IF(R360="ALTA(3)",3,3))))</f>
        <v/>
      </c>
      <c r="T360" s="10">
        <f>+IF(S360&lt;6,"BAJA",IF(S360&lt;8,"MEDIA","ALTA"))</f>
        <v/>
      </c>
      <c r="U360" s="10" t="inlineStr">
        <is>
          <t>-</t>
        </is>
      </c>
      <c r="V360" s="24" t="n">
        <v>45580</v>
      </c>
      <c r="W360" s="19" t="inlineStr">
        <is>
          <t>N/A</t>
        </is>
      </c>
      <c r="X360" s="10">
        <f>+IFERROR(IF(VLOOKUP(Tabla2[[#This Row],[ID]],'EVALUACION DE RIESGO'!A:A,1,FALSE)=Tabla2[[#This Row],[ID]],"SI","NO"),"NO")</f>
        <v/>
      </c>
    </row>
    <row r="361">
      <c r="A361" s="91" t="inlineStr">
        <is>
          <t>63-GNE</t>
        </is>
      </c>
      <c r="B361" s="10" t="inlineStr">
        <is>
          <t>PRODUCTIVO</t>
        </is>
      </c>
      <c r="C361" s="10" t="inlineStr">
        <is>
          <t>Gestión de Negocios</t>
        </is>
      </c>
      <c r="D361" s="10" t="inlineStr">
        <is>
          <t>GNE</t>
        </is>
      </c>
      <c r="E361" s="10" t="inlineStr">
        <is>
          <t>Gestión de Productos y Servicios</t>
        </is>
      </c>
      <c r="F361" s="10" t="inlineStr">
        <is>
          <t>-</t>
        </is>
      </c>
      <c r="G361" s="10" t="inlineStr">
        <is>
          <t>Ejecución del proyecto, pruebas y levantamiento de la documentación del
nuevo producto o servicio</t>
        </is>
      </c>
      <c r="H361" s="10" t="inlineStr">
        <is>
          <t>Plan de Pruebas/Informe de las pruebas</t>
        </is>
      </c>
      <c r="I361" s="10" t="inlineStr">
        <is>
          <t>Documento de registro de pruebas e incidencias encontradas en el proceso de verificación del producto</t>
        </is>
      </c>
      <c r="J361" s="10" t="inlineStr">
        <is>
          <t>Gerente de Negocios</t>
        </is>
      </c>
      <c r="K361" s="10" t="inlineStr">
        <is>
          <t>Analista de Negocios</t>
        </is>
      </c>
      <c r="L361" s="10" t="inlineStr">
        <is>
          <t>UBICACIÓN DIGITAL-EQUIPO DEL CUSTODIO</t>
        </is>
      </c>
      <c r="M361" s="10" t="inlineStr">
        <is>
          <t>DISCOS DUROS, SERVIDORES, DISCOS O MEDIOS PORTÁTILES, CINTAS O MEDIOS DE VIDEO Y AUDIO, ETC.</t>
        </is>
      </c>
      <c r="N361" s="10" t="inlineStr">
        <is>
          <t>PRIMARIOS</t>
        </is>
      </c>
      <c r="O361" s="10" t="inlineStr">
        <is>
          <t>DOCUMENTOS TÉCNICOS</t>
        </is>
      </c>
      <c r="P361" s="10" t="inlineStr">
        <is>
          <t>USO INTERNO(2)</t>
        </is>
      </c>
      <c r="Q361" s="10" t="inlineStr">
        <is>
          <t>MEDIA(2)</t>
        </is>
      </c>
      <c r="R361" s="10" t="inlineStr">
        <is>
          <t>BAJA(1)</t>
        </is>
      </c>
      <c r="S361" s="10">
        <f>+(IF(P361="PUBLICA(1)",1,IF(P361="USO INTERNO(2)",2,IF(P361="RESTRINGIDO(3)",3,3))))+(IF(Q361="BAJA(1)",1,IF(Q361="MEDIA(2)",2,IF(Q361="ALTA(3)",3,3))))+(IF(R361="BAJA(1)",1,IF(R361="MEDIA(2)",2,IF(R361="ALTA(3)",3,3))))</f>
        <v/>
      </c>
      <c r="T361" s="10">
        <f>+IF(S361&lt;6,"BAJA",IF(S361&lt;8,"MEDIA","ALTA"))</f>
        <v/>
      </c>
      <c r="U361" s="10" t="inlineStr">
        <is>
          <t>-</t>
        </is>
      </c>
      <c r="V361" s="24" t="n">
        <v>45580</v>
      </c>
      <c r="W361" s="19" t="inlineStr">
        <is>
          <t>N/A</t>
        </is>
      </c>
      <c r="X361" s="10">
        <f>+IFERROR(IF(VLOOKUP(Tabla2[[#This Row],[ID]],'EVALUACION DE RIESGO'!A:A,1,FALSE)=Tabla2[[#This Row],[ID]],"SI","NO"),"NO")</f>
        <v/>
      </c>
    </row>
    <row r="362">
      <c r="A362" s="91" t="inlineStr">
        <is>
          <t>64-GNE</t>
        </is>
      </c>
      <c r="B362" s="10" t="inlineStr">
        <is>
          <t>PRODUCTIVO</t>
        </is>
      </c>
      <c r="C362" s="10" t="inlineStr">
        <is>
          <t>Gestión de Negocios</t>
        </is>
      </c>
      <c r="D362" s="10" t="inlineStr">
        <is>
          <t>GNE</t>
        </is>
      </c>
      <c r="E362" s="10" t="inlineStr">
        <is>
          <t>Gestión de Productos y Servicios</t>
        </is>
      </c>
      <c r="F362" s="10" t="inlineStr">
        <is>
          <t>-</t>
        </is>
      </c>
      <c r="G362" s="10" t="inlineStr">
        <is>
          <t>Ejecución del proyecto, pruebas y levantamiento de la documentación del
nuevo producto o servicio</t>
        </is>
      </c>
      <c r="H362" s="10" t="inlineStr">
        <is>
          <t>Certificación de pruebas
satisfactorias</t>
        </is>
      </c>
      <c r="I362" s="10" t="inlineStr">
        <is>
          <t>Service Desk de erguimiento del Encargado del proyecto indicando que las pruebas se han realizando con éxito y se requiere subir a producción</t>
        </is>
      </c>
      <c r="J362" s="10" t="inlineStr">
        <is>
          <t>Gerente de Negocios</t>
        </is>
      </c>
      <c r="K362" s="10" t="inlineStr">
        <is>
          <t>Analista de Negocios</t>
        </is>
      </c>
      <c r="L362" s="10" t="inlineStr">
        <is>
          <t>UBICACIÓN DIGITAL-EQUIPO DEL CUSTODIO</t>
        </is>
      </c>
      <c r="M362" s="10" t="inlineStr">
        <is>
          <t>DISCOS DUROS, SERVIDORES, DISCOS O MEDIOS PORTÁTILES, CINTAS O MEDIOS DE VIDEO Y AUDIO, ETC.</t>
        </is>
      </c>
      <c r="N362" s="10" t="inlineStr">
        <is>
          <t>PRIMARIOS</t>
        </is>
      </c>
      <c r="O362" s="10" t="inlineStr">
        <is>
          <t>DOCUMENTOS HABILITANTES</t>
        </is>
      </c>
      <c r="P362" s="10" t="inlineStr">
        <is>
          <t>USO INTERNO(2)</t>
        </is>
      </c>
      <c r="Q362" s="10" t="inlineStr">
        <is>
          <t>MEDIA(2)</t>
        </is>
      </c>
      <c r="R362" s="10" t="inlineStr">
        <is>
          <t>MEDIA(2)</t>
        </is>
      </c>
      <c r="S362" s="10">
        <f>+(IF(P362="PUBLICA(1)",1,IF(P362="USO INTERNO(2)",2,IF(P362="RESTRINGIDO(3)",3,3))))+(IF(Q362="BAJA(1)",1,IF(Q362="MEDIA(2)",2,IF(Q362="ALTA(3)",3,3))))+(IF(R362="BAJA(1)",1,IF(R362="MEDIA(2)",2,IF(R362="ALTA(3)",3,3))))</f>
        <v/>
      </c>
      <c r="T362" s="10">
        <f>+IF(S362&lt;6,"BAJA",IF(S362&lt;8,"MEDIA","ALTA"))</f>
        <v/>
      </c>
      <c r="U362" s="10" t="inlineStr">
        <is>
          <t>-</t>
        </is>
      </c>
      <c r="V362" s="24" t="n">
        <v>45580</v>
      </c>
      <c r="W362" s="19" t="inlineStr">
        <is>
          <t>N/A</t>
        </is>
      </c>
      <c r="X362" s="10">
        <f>+IFERROR(IF(VLOOKUP(Tabla2[[#This Row],[ID]],'EVALUACION DE RIESGO'!A:A,1,FALSE)=Tabla2[[#This Row],[ID]],"SI","NO"),"NO")</f>
        <v/>
      </c>
    </row>
    <row r="363">
      <c r="A363" s="91" t="inlineStr">
        <is>
          <t>65-GNE</t>
        </is>
      </c>
      <c r="B363" s="10" t="inlineStr">
        <is>
          <t>PRODUCTIVO</t>
        </is>
      </c>
      <c r="C363" s="10" t="inlineStr">
        <is>
          <t>Gestión de Negocios</t>
        </is>
      </c>
      <c r="D363" s="10" t="inlineStr">
        <is>
          <t>GNE</t>
        </is>
      </c>
      <c r="E363" s="10" t="inlineStr">
        <is>
          <t>Gestión de Productos y Servicios</t>
        </is>
      </c>
      <c r="F363" s="10" t="inlineStr">
        <is>
          <t>-</t>
        </is>
      </c>
      <c r="G363" s="10" t="inlineStr">
        <is>
          <t>Implementación y puesta en producción del producto o servicio</t>
        </is>
      </c>
      <c r="H363" s="10" t="inlineStr">
        <is>
          <t>Acta de Capacitación</t>
        </is>
      </c>
      <c r="I363" s="10" t="inlineStr">
        <is>
          <t>Registro de capacitación que detalla en nombre, cedula, cargo oficina, y firma del personal capacitado</t>
        </is>
      </c>
      <c r="J363" s="10" t="inlineStr">
        <is>
          <t>Gerente de Negocios</t>
        </is>
      </c>
      <c r="K363" s="10" t="inlineStr">
        <is>
          <t>Analista de Negocios</t>
        </is>
      </c>
      <c r="L363" s="10" t="inlineStr">
        <is>
          <t>UBICACIÓN DIGITAL-EQUIPO DEL CUSTODIO</t>
        </is>
      </c>
      <c r="M363" s="10" t="inlineStr">
        <is>
          <t>DISCOS DUROS, SERVIDORES, DISCOS O MEDIOS PORTÁTILES, CINTAS O MEDIOS DE VIDEO Y AUDIO, ETC.</t>
        </is>
      </c>
      <c r="N363" s="10" t="inlineStr">
        <is>
          <t>PRIMARIOS</t>
        </is>
      </c>
      <c r="O363" s="10" t="inlineStr">
        <is>
          <t>DOCUMENTOS HABILITANTES</t>
        </is>
      </c>
      <c r="P363" s="10" t="inlineStr">
        <is>
          <t>USO INTERNO(2)</t>
        </is>
      </c>
      <c r="Q363" s="10" t="inlineStr">
        <is>
          <t>MEDIA(2)</t>
        </is>
      </c>
      <c r="R363" s="10" t="inlineStr">
        <is>
          <t>BAJA(1)</t>
        </is>
      </c>
      <c r="S363" s="10">
        <f>+(IF(P363="PUBLICA(1)",1,IF(P363="USO INTERNO(2)",2,IF(P363="RESTRINGIDO(3)",3,3))))+(IF(Q363="BAJA(1)",1,IF(Q363="MEDIA(2)",2,IF(Q363="ALTA(3)",3,3))))+(IF(R363="BAJA(1)",1,IF(R363="MEDIA(2)",2,IF(R363="ALTA(3)",3,3))))</f>
        <v/>
      </c>
      <c r="T363" s="10">
        <f>+IF(S363&lt;6,"BAJA",IF(S363&lt;8,"MEDIA","ALTA"))</f>
        <v/>
      </c>
      <c r="U363" s="10" t="inlineStr">
        <is>
          <t>-</t>
        </is>
      </c>
      <c r="V363" s="24" t="n">
        <v>45580</v>
      </c>
      <c r="W363" s="19" t="inlineStr">
        <is>
          <t>N/A</t>
        </is>
      </c>
      <c r="X363" s="10">
        <f>+IFERROR(IF(VLOOKUP(Tabla2[[#This Row],[ID]],'EVALUACION DE RIESGO'!A:A,1,FALSE)=Tabla2[[#This Row],[ID]],"SI","NO"),"NO")</f>
        <v/>
      </c>
    </row>
    <row r="364">
      <c r="A364" s="91" t="inlineStr">
        <is>
          <t>66-GNE</t>
        </is>
      </c>
      <c r="B364" s="10" t="inlineStr">
        <is>
          <t>PRODUCTIVO</t>
        </is>
      </c>
      <c r="C364" s="10" t="inlineStr">
        <is>
          <t>Gestión de Negocios</t>
        </is>
      </c>
      <c r="D364" s="10" t="inlineStr">
        <is>
          <t>GNE</t>
        </is>
      </c>
      <c r="E364" s="10" t="inlineStr">
        <is>
          <t>Gestión de Productos y Servicios</t>
        </is>
      </c>
      <c r="F364" s="10" t="inlineStr">
        <is>
          <t>-</t>
        </is>
      </c>
      <c r="G364" s="10" t="inlineStr">
        <is>
          <t>Implementación y puesta en producción del producto o servicio</t>
        </is>
      </c>
      <c r="H364" s="10" t="inlineStr">
        <is>
          <t>Informe de Gestión de
Negocios / Disposición de lanzamiento de nuevos productos servicios</t>
        </is>
      </c>
      <c r="I364" s="10" t="inlineStr">
        <is>
          <t>Extracto de la implementación y puesta en producción del nuevo servicio adjunto al informe final de la Gestión de Negocios, contiene el detalle la campaña y la publicidad</t>
        </is>
      </c>
      <c r="J364" s="10" t="inlineStr">
        <is>
          <t>Gerente de Negocios</t>
        </is>
      </c>
      <c r="K364" s="10" t="inlineStr">
        <is>
          <t>Analista de Negocios</t>
        </is>
      </c>
      <c r="L364" s="10" t="inlineStr">
        <is>
          <t>UBICACIÓN DIGITAL-EQUIPO DEL CUSTODIO</t>
        </is>
      </c>
      <c r="M364" s="10" t="inlineStr">
        <is>
          <t>DISCOS DUROS, SERVIDORES, DISCOS O MEDIOS PORTÁTILES, CINTAS O MEDIOS DE VIDEO Y AUDIO, ETC.</t>
        </is>
      </c>
      <c r="N364" s="10" t="inlineStr">
        <is>
          <t>PRIMARIOS</t>
        </is>
      </c>
      <c r="O364" s="10" t="inlineStr">
        <is>
          <t>DOCUMENTOS TÉCNICOS</t>
        </is>
      </c>
      <c r="P364" s="10" t="inlineStr">
        <is>
          <t>USO INTERNO(2)</t>
        </is>
      </c>
      <c r="Q364" s="10" t="inlineStr">
        <is>
          <t>MEDIA(2)</t>
        </is>
      </c>
      <c r="R364" s="10" t="inlineStr">
        <is>
          <t>MEDIA(2)</t>
        </is>
      </c>
      <c r="S364" s="10">
        <f>+(IF(P364="PUBLICA(1)",1,IF(P364="USO INTERNO(2)",2,IF(P364="RESTRINGIDO(3)",3,3))))+(IF(Q364="BAJA(1)",1,IF(Q364="MEDIA(2)",2,IF(Q364="ALTA(3)",3,3))))+(IF(R364="BAJA(1)",1,IF(R364="MEDIA(2)",2,IF(R364="ALTA(3)",3,3))))</f>
        <v/>
      </c>
      <c r="T364" s="10">
        <f>+IF(S364&lt;6,"BAJA",IF(S364&lt;8,"MEDIA","ALTA"))</f>
        <v/>
      </c>
      <c r="U364" s="10" t="inlineStr">
        <is>
          <t>-</t>
        </is>
      </c>
      <c r="V364" s="24" t="n">
        <v>45580</v>
      </c>
      <c r="W364" s="19" t="inlineStr">
        <is>
          <t>N/A</t>
        </is>
      </c>
      <c r="X364" s="10">
        <f>+IFERROR(IF(VLOOKUP(Tabla2[[#This Row],[ID]],'EVALUACION DE RIESGO'!A:A,1,FALSE)=Tabla2[[#This Row],[ID]],"SI","NO"),"NO")</f>
        <v/>
      </c>
    </row>
    <row r="365">
      <c r="A365" s="91" t="inlineStr">
        <is>
          <t>67-GNE</t>
        </is>
      </c>
      <c r="B365" s="10" t="inlineStr">
        <is>
          <t>PRODUCTIVO</t>
        </is>
      </c>
      <c r="C365" s="10" t="inlineStr">
        <is>
          <t>Gestión de Negocios</t>
        </is>
      </c>
      <c r="D365" s="10" t="inlineStr">
        <is>
          <t>GNE</t>
        </is>
      </c>
      <c r="E365" s="10" t="inlineStr">
        <is>
          <t>Gestión de Fondeo Externo</t>
        </is>
      </c>
      <c r="F365" s="10" t="inlineStr">
        <is>
          <t>-</t>
        </is>
      </c>
      <c r="G365" s="10" t="inlineStr">
        <is>
          <t>Gestión del fondeo externo</t>
        </is>
      </c>
      <c r="H365" s="10" t="inlineStr">
        <is>
          <t>Informe sobre la revisión de los posibles fondeadores en las listas de control</t>
        </is>
      </c>
      <c r="I365" s="10" t="inlineStr">
        <is>
          <t>Informe del departamento de Cumplimiento sobre la revisión de los posibles fondeadores en las listas de control</t>
        </is>
      </c>
      <c r="J365" s="10" t="inlineStr">
        <is>
          <t xml:space="preserve">Gerente Financiero </t>
        </is>
      </c>
      <c r="K365" s="10" t="inlineStr">
        <is>
          <t xml:space="preserve">Gerente Financiero </t>
        </is>
      </c>
      <c r="L365" s="10" t="inlineStr">
        <is>
          <t>UBICACIÓN DIGITAL-EQUIPO DEL CUSTODIO</t>
        </is>
      </c>
      <c r="M365" s="10" t="inlineStr">
        <is>
          <t>DISCOS DUROS, SERVIDORES, DISCOS O MEDIOS PORTÁTILES, CINTAS O MEDIOS DE VIDEO Y AUDIO, ETC.</t>
        </is>
      </c>
      <c r="N365" s="10" t="inlineStr">
        <is>
          <t>PRIMARIOS</t>
        </is>
      </c>
      <c r="O365" s="10" t="inlineStr">
        <is>
          <t>DOCUMENTOS TÉCNICOS</t>
        </is>
      </c>
      <c r="P365" s="10" t="inlineStr">
        <is>
          <t>USO INTERNO(2)</t>
        </is>
      </c>
      <c r="Q365" s="10" t="inlineStr">
        <is>
          <t>MEDIA(2)</t>
        </is>
      </c>
      <c r="R365" s="10" t="inlineStr">
        <is>
          <t>MEDIA(2)</t>
        </is>
      </c>
      <c r="S365" s="10">
        <f>+(IF(P365="PUBLICA(1)",1,IF(P365="USO INTERNO(2)",2,IF(P365="RESTRINGIDO(3)",3,3))))+(IF(Q365="BAJA(1)",1,IF(Q365="MEDIA(2)",2,IF(Q365="ALTA(3)",3,3))))+(IF(R365="BAJA(1)",1,IF(R365="MEDIA(2)",2,IF(R365="ALTA(3)",3,3))))</f>
        <v/>
      </c>
      <c r="T365" s="10">
        <f>+IF(S365&lt;6,"BAJA",IF(S365&lt;8,"MEDIA","ALTA"))</f>
        <v/>
      </c>
      <c r="U365" s="10" t="inlineStr">
        <is>
          <t>-</t>
        </is>
      </c>
      <c r="V365" s="24" t="n">
        <v>45580</v>
      </c>
      <c r="W365" s="19" t="inlineStr">
        <is>
          <t>N/A</t>
        </is>
      </c>
      <c r="X365" s="10">
        <f>+IFERROR(IF(VLOOKUP(Tabla2[[#This Row],[ID]],'EVALUACION DE RIESGO'!A:A,1,FALSE)=Tabla2[[#This Row],[ID]],"SI","NO"),"NO")</f>
        <v/>
      </c>
    </row>
    <row r="366">
      <c r="A366" s="91" t="inlineStr">
        <is>
          <t>68-GNE</t>
        </is>
      </c>
      <c r="B366" s="10" t="inlineStr">
        <is>
          <t>PRODUCTIVO</t>
        </is>
      </c>
      <c r="C366" s="10" t="inlineStr">
        <is>
          <t>Gestión de Negocios</t>
        </is>
      </c>
      <c r="D366" s="10" t="inlineStr">
        <is>
          <t>GNE</t>
        </is>
      </c>
      <c r="E366" s="10" t="inlineStr">
        <is>
          <t>Gestión de Fondeo Externo</t>
        </is>
      </c>
      <c r="F366" s="10" t="inlineStr">
        <is>
          <t>-</t>
        </is>
      </c>
      <c r="G366" s="10" t="inlineStr">
        <is>
          <t>Gestión del fondeo externo</t>
        </is>
      </c>
      <c r="H366" s="10" t="inlineStr">
        <is>
          <t>Informe de Riesgos sobre la viabilidad de la nueva obligación financiera</t>
        </is>
      </c>
      <c r="I366" s="10" t="inlineStr">
        <is>
          <t>Informe de viabilidad de la nueva obligación financiera, considerando el análisis de indicadores, volatilidad y liquidez.</t>
        </is>
      </c>
      <c r="J366" s="10" t="inlineStr">
        <is>
          <t xml:space="preserve">Gerente Financiero </t>
        </is>
      </c>
      <c r="K366" s="10" t="inlineStr">
        <is>
          <t xml:space="preserve">Gerente Financiero </t>
        </is>
      </c>
      <c r="L366" s="10" t="inlineStr">
        <is>
          <t>UBICACIÓN DIGITAL-EQUIPO DEL CUSTODIO</t>
        </is>
      </c>
      <c r="M366" s="10" t="inlineStr">
        <is>
          <t>DISCOS DUROS, SERVIDORES, DISCOS O MEDIOS PORTÁTILES, CINTAS O MEDIOS DE VIDEO Y AUDIO, ETC.</t>
        </is>
      </c>
      <c r="N366" s="10" t="inlineStr">
        <is>
          <t>PRIMARIOS</t>
        </is>
      </c>
      <c r="O366" s="10" t="inlineStr">
        <is>
          <t>DOCUMENTOS TÉCNICOS</t>
        </is>
      </c>
      <c r="P366" s="10" t="inlineStr">
        <is>
          <t>RESTRINGIDO(3)</t>
        </is>
      </c>
      <c r="Q366" s="10" t="inlineStr">
        <is>
          <t>MEDIA(2)</t>
        </is>
      </c>
      <c r="R366" s="10" t="inlineStr">
        <is>
          <t>MEDIA(2)</t>
        </is>
      </c>
      <c r="S366" s="10">
        <f>+(IF(P366="PUBLICA(1)",1,IF(P366="USO INTERNO(2)",2,IF(P366="RESTRINGIDO(3)",3,3))))+(IF(Q366="BAJA(1)",1,IF(Q366="MEDIA(2)",2,IF(Q366="ALTA(3)",3,3))))+(IF(R366="BAJA(1)",1,IF(R366="MEDIA(2)",2,IF(R366="ALTA(3)",3,3))))</f>
        <v/>
      </c>
      <c r="T366" s="10">
        <f>+IF(S366&lt;6,"BAJA",IF(S366&lt;8,"MEDIA","ALTA"))</f>
        <v/>
      </c>
      <c r="U366" s="10" t="inlineStr">
        <is>
          <t>-</t>
        </is>
      </c>
      <c r="V366" s="24" t="n">
        <v>45580</v>
      </c>
      <c r="W366" s="19" t="inlineStr">
        <is>
          <t>N/A</t>
        </is>
      </c>
      <c r="X366" s="10">
        <f>+IFERROR(IF(VLOOKUP(Tabla2[[#This Row],[ID]],'EVALUACION DE RIESGO'!A:A,1,FALSE)=Tabla2[[#This Row],[ID]],"SI","NO"),"NO")</f>
        <v/>
      </c>
    </row>
    <row r="367">
      <c r="A367" s="91" t="inlineStr">
        <is>
          <t>69-GNE</t>
        </is>
      </c>
      <c r="B367" s="10" t="inlineStr">
        <is>
          <t>PRODUCTIVO</t>
        </is>
      </c>
      <c r="C367" s="10" t="inlineStr">
        <is>
          <t>Gestión de Negocios</t>
        </is>
      </c>
      <c r="D367" s="10" t="inlineStr">
        <is>
          <t>GNE</t>
        </is>
      </c>
      <c r="E367" s="10" t="inlineStr">
        <is>
          <t>Gestión de Fondeo Externo</t>
        </is>
      </c>
      <c r="F367" s="10" t="inlineStr">
        <is>
          <t>-</t>
        </is>
      </c>
      <c r="G367" s="10" t="inlineStr">
        <is>
          <t>Gestión del fondeo externo</t>
        </is>
      </c>
      <c r="H367" s="10" t="inlineStr">
        <is>
          <t>Informe final de análisis de fondeador externo</t>
        </is>
      </c>
      <c r="I367" s="10" t="inlineStr">
        <is>
          <t xml:space="preserve">Informe de consolidación y análisis de las condiciones y ofertas propuestas </t>
        </is>
      </c>
      <c r="J367" s="10" t="inlineStr">
        <is>
          <t xml:space="preserve">Gerente Financiero </t>
        </is>
      </c>
      <c r="K367" s="10" t="inlineStr">
        <is>
          <t xml:space="preserve">Gerente Financiero </t>
        </is>
      </c>
      <c r="L367" s="10" t="inlineStr">
        <is>
          <t>UBICACIÓN DIGITAL-EQUIPO DEL CUSTODIO</t>
        </is>
      </c>
      <c r="M367" s="10" t="inlineStr">
        <is>
          <t>DISCOS DUROS, SERVIDORES, DISCOS O MEDIOS PORTÁTILES, CINTAS O MEDIOS DE VIDEO Y AUDIO, ETC.</t>
        </is>
      </c>
      <c r="N367" s="10" t="inlineStr">
        <is>
          <t>PRIMARIOS</t>
        </is>
      </c>
      <c r="O367" s="10" t="inlineStr">
        <is>
          <t>DOCUMENTOS TÉCNICOS</t>
        </is>
      </c>
      <c r="P367" s="10" t="inlineStr">
        <is>
          <t>USO INTERNO(2)</t>
        </is>
      </c>
      <c r="Q367" s="10" t="inlineStr">
        <is>
          <t>MEDIA(2)</t>
        </is>
      </c>
      <c r="R367" s="10" t="inlineStr">
        <is>
          <t>MEDIA(2)</t>
        </is>
      </c>
      <c r="S367" s="10">
        <f>+(IF(P367="PUBLICA(1)",1,IF(P367="USO INTERNO(2)",2,IF(P367="RESTRINGIDO(3)",3,3))))+(IF(Q367="BAJA(1)",1,IF(Q367="MEDIA(2)",2,IF(Q367="ALTA(3)",3,3))))+(IF(R367="BAJA(1)",1,IF(R367="MEDIA(2)",2,IF(R367="ALTA(3)",3,3))))</f>
        <v/>
      </c>
      <c r="T367" s="10">
        <f>+IF(S367&lt;6,"BAJA",IF(S367&lt;8,"MEDIA","ALTA"))</f>
        <v/>
      </c>
      <c r="U367" s="10" t="inlineStr">
        <is>
          <t>-</t>
        </is>
      </c>
      <c r="V367" s="24" t="n">
        <v>45580</v>
      </c>
      <c r="W367" s="19" t="inlineStr">
        <is>
          <t>N/A</t>
        </is>
      </c>
      <c r="X367" s="10">
        <f>+IFERROR(IF(VLOOKUP(Tabla2[[#This Row],[ID]],'EVALUACION DE RIESGO'!A:A,1,FALSE)=Tabla2[[#This Row],[ID]],"SI","NO"),"NO")</f>
        <v/>
      </c>
    </row>
    <row r="368">
      <c r="A368" s="91" t="inlineStr">
        <is>
          <t>70-GNE</t>
        </is>
      </c>
      <c r="B368" s="10" t="inlineStr">
        <is>
          <t>PRODUCTIVO</t>
        </is>
      </c>
      <c r="C368" s="10" t="inlineStr">
        <is>
          <t>Gestión de Negocios</t>
        </is>
      </c>
      <c r="D368" s="10" t="inlineStr">
        <is>
          <t>GNE</t>
        </is>
      </c>
      <c r="E368" s="10" t="inlineStr">
        <is>
          <t>Gestión de Fondeo Externo</t>
        </is>
      </c>
      <c r="F368" s="10" t="inlineStr">
        <is>
          <t>-</t>
        </is>
      </c>
      <c r="G368" s="10" t="inlineStr">
        <is>
          <t>Gestión del fondeo externo</t>
        </is>
      </c>
      <c r="H368" s="10" t="inlineStr">
        <is>
          <t>Convenio con fondeador externo</t>
        </is>
      </c>
      <c r="I368" s="10" t="inlineStr">
        <is>
          <t xml:space="preserve">Convenio gestionado y legalizado con el Departamento Jurídico </t>
        </is>
      </c>
      <c r="J368" s="10" t="inlineStr">
        <is>
          <t xml:space="preserve">Gerente Financiero </t>
        </is>
      </c>
      <c r="K368" s="10" t="inlineStr">
        <is>
          <t>Jefe de Negocios</t>
        </is>
      </c>
      <c r="L368" s="10" t="inlineStr">
        <is>
          <t>UBICACIÓN DIGITAL-EQUIPO DEL CUSTODIO</t>
        </is>
      </c>
      <c r="M368" s="10" t="inlineStr">
        <is>
          <t>DISCOS DUROS, SERVIDORES, DISCOS O MEDIOS PORTÁTILES, CINTAS O MEDIOS DE VIDEO Y AUDIO, ETC.</t>
        </is>
      </c>
      <c r="N368" s="10" t="inlineStr">
        <is>
          <t>PRIMARIOS</t>
        </is>
      </c>
      <c r="O368" s="10" t="inlineStr">
        <is>
          <t>DOCUMENTOS HABILITANTES</t>
        </is>
      </c>
      <c r="P368" s="10" t="inlineStr">
        <is>
          <t>USO INTERNO(2)</t>
        </is>
      </c>
      <c r="Q368" s="10" t="inlineStr">
        <is>
          <t>MEDIA(2)</t>
        </is>
      </c>
      <c r="R368" s="10" t="inlineStr">
        <is>
          <t>MEDIA(2)</t>
        </is>
      </c>
      <c r="S368" s="10">
        <f>+(IF(P368="PUBLICA(1)",1,IF(P368="USO INTERNO(2)",2,IF(P368="RESTRINGIDO(3)",3,3))))+(IF(Q368="BAJA(1)",1,IF(Q368="MEDIA(2)",2,IF(Q368="ALTA(3)",3,3))))+(IF(R368="BAJA(1)",1,IF(R368="MEDIA(2)",2,IF(R368="ALTA(3)",3,3))))</f>
        <v/>
      </c>
      <c r="T368" s="10">
        <f>+IF(S368&lt;6,"BAJA",IF(S368&lt;8,"MEDIA","ALTA"))</f>
        <v/>
      </c>
      <c r="U368" s="10" t="inlineStr">
        <is>
          <t>-</t>
        </is>
      </c>
      <c r="V368" s="24" t="n">
        <v>45580</v>
      </c>
      <c r="W368" s="19" t="inlineStr">
        <is>
          <t>N/A</t>
        </is>
      </c>
      <c r="X368" s="10">
        <f>+IFERROR(IF(VLOOKUP(Tabla2[[#This Row],[ID]],'EVALUACION DE RIESGO'!A:A,1,FALSE)=Tabla2[[#This Row],[ID]],"SI","NO"),"NO")</f>
        <v/>
      </c>
    </row>
    <row r="369">
      <c r="A369" s="91" t="inlineStr">
        <is>
          <t>71-GNE</t>
        </is>
      </c>
      <c r="B369" s="10" t="inlineStr">
        <is>
          <t>PRODUCTIVO</t>
        </is>
      </c>
      <c r="C369" s="10" t="inlineStr">
        <is>
          <t>Gestión de Negocios</t>
        </is>
      </c>
      <c r="D369" s="10" t="inlineStr">
        <is>
          <t>GNE</t>
        </is>
      </c>
      <c r="E369" s="10" t="inlineStr">
        <is>
          <t>Gestión de Fondeo Externo</t>
        </is>
      </c>
      <c r="F369" s="10" t="inlineStr">
        <is>
          <t>-</t>
        </is>
      </c>
      <c r="G369" s="10" t="inlineStr">
        <is>
          <t>Gestión del fondeo externo</t>
        </is>
      </c>
      <c r="H369" s="10" t="inlineStr">
        <is>
          <t>Solicitud de crédito externo/Solicitud de anticipo/Reporte de operaciones a redescontar</t>
        </is>
      </c>
      <c r="I369" s="10" t="inlineStr">
        <is>
          <t>Solitud de crédito adjuntando el Reporte de las operaciones a redescontar, o la solicitud del anticipo al fondeador</t>
        </is>
      </c>
      <c r="J369" s="10" t="inlineStr">
        <is>
          <t xml:space="preserve">Gerente Financiero </t>
        </is>
      </c>
      <c r="K369" s="10" t="inlineStr">
        <is>
          <t>Jefe de Negocios</t>
        </is>
      </c>
      <c r="L369" s="10" t="inlineStr">
        <is>
          <t>UBICACIÓN DIGITAL-EQUIPO DEL CUSTODIO</t>
        </is>
      </c>
      <c r="M369" s="10" t="inlineStr">
        <is>
          <t>DISCOS DUROS, SERVIDORES, DISCOS O MEDIOS PORTÁTILES, CINTAS O MEDIOS DE VIDEO Y AUDIO, ETC.</t>
        </is>
      </c>
      <c r="N369" s="10" t="inlineStr">
        <is>
          <t>PRIMARIOS</t>
        </is>
      </c>
      <c r="O369" s="10" t="inlineStr">
        <is>
          <t>DOCUMENTOS HABILITANTES</t>
        </is>
      </c>
      <c r="P369" s="10" t="inlineStr">
        <is>
          <t>RESTRINGIDO(3)</t>
        </is>
      </c>
      <c r="Q369" s="10" t="inlineStr">
        <is>
          <t>MEDIA(2)</t>
        </is>
      </c>
      <c r="R369" s="10" t="inlineStr">
        <is>
          <t>MEDIA(2)</t>
        </is>
      </c>
      <c r="S369" s="10">
        <f>+(IF(P369="PUBLICA(1)",1,IF(P369="USO INTERNO(2)",2,IF(P369="RESTRINGIDO(3)",3,3))))+(IF(Q369="BAJA(1)",1,IF(Q369="MEDIA(2)",2,IF(Q369="ALTA(3)",3,3))))+(IF(R369="BAJA(1)",1,IF(R369="MEDIA(2)",2,IF(R369="ALTA(3)",3,3))))</f>
        <v/>
      </c>
      <c r="T369" s="10">
        <f>+IF(S369&lt;6,"BAJA",IF(S369&lt;8,"MEDIA","ALTA"))</f>
        <v/>
      </c>
      <c r="U369" s="10" t="inlineStr">
        <is>
          <t>-</t>
        </is>
      </c>
      <c r="V369" s="24" t="n">
        <v>45580</v>
      </c>
      <c r="W369" s="19" t="inlineStr">
        <is>
          <t>N/A</t>
        </is>
      </c>
      <c r="X369" s="10">
        <f>+IFERROR(IF(VLOOKUP(Tabla2[[#This Row],[ID]],'EVALUACION DE RIESGO'!A:A,1,FALSE)=Tabla2[[#This Row],[ID]],"SI","NO"),"NO")</f>
        <v/>
      </c>
    </row>
    <row r="370">
      <c r="A370" s="91" t="inlineStr">
        <is>
          <t>72-GNE</t>
        </is>
      </c>
      <c r="B370" s="10" t="inlineStr">
        <is>
          <t>PRODUCTIVO</t>
        </is>
      </c>
      <c r="C370" s="10" t="inlineStr">
        <is>
          <t>Gestión de Negocios</t>
        </is>
      </c>
      <c r="D370" s="10" t="inlineStr">
        <is>
          <t>GNE</t>
        </is>
      </c>
      <c r="E370" s="10" t="inlineStr">
        <is>
          <t>Gestión de Fondeo Externo</t>
        </is>
      </c>
      <c r="F370" s="10" t="inlineStr">
        <is>
          <t>-</t>
        </is>
      </c>
      <c r="G370" s="10" t="inlineStr">
        <is>
          <t>Gestión del fondeo externo</t>
        </is>
      </c>
      <c r="H370" s="10" t="inlineStr">
        <is>
          <t>Pagaré de las obligaciones financieras</t>
        </is>
      </c>
      <c r="I370" s="10" t="inlineStr">
        <is>
          <t>Convenio, pagaré y tabla de amortización de la nueva obligación financiera</t>
        </is>
      </c>
      <c r="J370" s="10" t="inlineStr">
        <is>
          <t xml:space="preserve">Gerente Financiero </t>
        </is>
      </c>
      <c r="K370" s="10" t="inlineStr">
        <is>
          <t xml:space="preserve">Gerente Financiero </t>
        </is>
      </c>
      <c r="L370" s="10" t="inlineStr">
        <is>
          <t>UBICACIÓN DIGITAL-EQUIPO DEL CUSTODIO</t>
        </is>
      </c>
      <c r="M370" s="10" t="inlineStr">
        <is>
          <t>DISCOS DUROS, SERVIDORES, DISCOS O MEDIOS PORTÁTILES, CINTAS O MEDIOS DE VIDEO Y AUDIO, ETC.</t>
        </is>
      </c>
      <c r="N370" s="10" t="inlineStr">
        <is>
          <t>PRIMARIOS</t>
        </is>
      </c>
      <c r="O370" s="10" t="inlineStr">
        <is>
          <t>DOCUMENTOS TÉCNICOS</t>
        </is>
      </c>
      <c r="P370" s="10" t="inlineStr">
        <is>
          <t>RESTRINGIDO(3)</t>
        </is>
      </c>
      <c r="Q370" s="10" t="inlineStr">
        <is>
          <t>MEDIA(2)</t>
        </is>
      </c>
      <c r="R370" s="10" t="inlineStr">
        <is>
          <t>MEDIA(2)</t>
        </is>
      </c>
      <c r="S370" s="10">
        <f>+(IF(P370="PUBLICA(1)",1,IF(P370="USO INTERNO(2)",2,IF(P370="RESTRINGIDO(3)",3,3))))+(IF(Q370="BAJA(1)",1,IF(Q370="MEDIA(2)",2,IF(Q370="ALTA(3)",3,3))))+(IF(R370="BAJA(1)",1,IF(R370="MEDIA(2)",2,IF(R370="ALTA(3)",3,3))))</f>
        <v/>
      </c>
      <c r="T370" s="10">
        <f>+IF(S370&lt;6,"BAJA",IF(S370&lt;8,"MEDIA","ALTA"))</f>
        <v/>
      </c>
      <c r="U370" s="10" t="inlineStr">
        <is>
          <t>-</t>
        </is>
      </c>
      <c r="V370" s="24" t="n">
        <v>45580</v>
      </c>
      <c r="W370" s="19" t="inlineStr">
        <is>
          <t>N/A</t>
        </is>
      </c>
      <c r="X370" s="10">
        <f>+IFERROR(IF(VLOOKUP(Tabla2[[#This Row],[ID]],'EVALUACION DE RIESGO'!A:A,1,FALSE)=Tabla2[[#This Row],[ID]],"SI","NO"),"NO")</f>
        <v/>
      </c>
    </row>
    <row r="371">
      <c r="A371" s="91" t="inlineStr">
        <is>
          <t>73-GNE</t>
        </is>
      </c>
      <c r="B371" s="10" t="inlineStr">
        <is>
          <t>PRODUCTIVO</t>
        </is>
      </c>
      <c r="C371" s="10" t="inlineStr">
        <is>
          <t>Gestión de Negocios</t>
        </is>
      </c>
      <c r="D371" s="10" t="inlineStr">
        <is>
          <t>GNE</t>
        </is>
      </c>
      <c r="E371" s="10" t="inlineStr">
        <is>
          <t>Gestión de Fondeo Externo</t>
        </is>
      </c>
      <c r="F371" s="10" t="inlineStr">
        <is>
          <t>-</t>
        </is>
      </c>
      <c r="G371" s="10" t="inlineStr">
        <is>
          <t>Gestión del fondeo externo</t>
        </is>
      </c>
      <c r="H371" s="10" t="inlineStr">
        <is>
          <t>Garantías de las obligaciones financieras</t>
        </is>
      </c>
      <c r="I371" s="10" t="inlineStr">
        <is>
          <t>Garantías endosadas solicitadas por el fondeador.</t>
        </is>
      </c>
      <c r="J371" s="10" t="inlineStr">
        <is>
          <t xml:space="preserve">Gerente Financiero </t>
        </is>
      </c>
      <c r="K371" s="10" t="inlineStr">
        <is>
          <t xml:space="preserve">Gerente Financiero </t>
        </is>
      </c>
      <c r="L371" s="10" t="inlineStr">
        <is>
          <t>UBICACIÓN DIGITAL-EQUIPO DEL CUSTODIO</t>
        </is>
      </c>
      <c r="M371" s="10" t="inlineStr">
        <is>
          <t>DISCOS DUROS, SERVIDORES, DISCOS O MEDIOS PORTÁTILES, CINTAS O MEDIOS DE VIDEO Y AUDIO, ETC.</t>
        </is>
      </c>
      <c r="N371" s="10" t="inlineStr">
        <is>
          <t>PRIMARIOS</t>
        </is>
      </c>
      <c r="O371" s="10" t="inlineStr">
        <is>
          <t>DOCUMENTOS TÉCNICOS</t>
        </is>
      </c>
      <c r="P371" s="10" t="inlineStr">
        <is>
          <t>USO INTERNO(2)</t>
        </is>
      </c>
      <c r="Q371" s="10" t="inlineStr">
        <is>
          <t>MEDIA(2)</t>
        </is>
      </c>
      <c r="R371" s="10" t="inlineStr">
        <is>
          <t>MEDIA(2)</t>
        </is>
      </c>
      <c r="S371" s="10">
        <f>+(IF(P371="PUBLICA(1)",1,IF(P371="USO INTERNO(2)",2,IF(P371="RESTRINGIDO(3)",3,3))))+(IF(Q371="BAJA(1)",1,IF(Q371="MEDIA(2)",2,IF(Q371="ALTA(3)",3,3))))+(IF(R371="BAJA(1)",1,IF(R371="MEDIA(2)",2,IF(R371="ALTA(3)",3,3))))</f>
        <v/>
      </c>
      <c r="T371" s="10">
        <f>+IF(S371&lt;6,"BAJA",IF(S371&lt;8,"MEDIA","ALTA"))</f>
        <v/>
      </c>
      <c r="U371" s="10" t="inlineStr">
        <is>
          <t>-</t>
        </is>
      </c>
      <c r="V371" s="24" t="n">
        <v>45580</v>
      </c>
      <c r="W371" s="19" t="inlineStr">
        <is>
          <t>N/A</t>
        </is>
      </c>
      <c r="X371" s="10">
        <f>+IFERROR(IF(VLOOKUP(Tabla2[[#This Row],[ID]],'EVALUACION DE RIESGO'!A:A,1,FALSE)=Tabla2[[#This Row],[ID]],"SI","NO"),"NO")</f>
        <v/>
      </c>
    </row>
    <row r="372">
      <c r="A372" s="91" t="inlineStr">
        <is>
          <t>74-GNE</t>
        </is>
      </c>
      <c r="B372" s="10" t="inlineStr">
        <is>
          <t>PRODUCTIVO</t>
        </is>
      </c>
      <c r="C372" s="10" t="inlineStr">
        <is>
          <t>Gestión de Negocios</t>
        </is>
      </c>
      <c r="D372" s="10" t="inlineStr">
        <is>
          <t>GNE</t>
        </is>
      </c>
      <c r="E372" s="10" t="inlineStr">
        <is>
          <t>Gestión de Fondeo Externo</t>
        </is>
      </c>
      <c r="F372" s="10" t="inlineStr">
        <is>
          <t>-</t>
        </is>
      </c>
      <c r="G372" s="10" t="inlineStr">
        <is>
          <t>Gestión del fondeo externo</t>
        </is>
      </c>
      <c r="H372" s="10" t="inlineStr">
        <is>
          <t>Confirmación transferencia/Tabla de amortización</t>
        </is>
      </c>
      <c r="I372" s="10" t="inlineStr">
        <is>
          <t>Notificación realizada por el fondeador donde se remite el pagaré y la tabla de amortización</t>
        </is>
      </c>
      <c r="J372" s="10" t="inlineStr">
        <is>
          <t xml:space="preserve">Gerente Financiero </t>
        </is>
      </c>
      <c r="K372" s="10" t="inlineStr">
        <is>
          <t xml:space="preserve">Gerente Financiero </t>
        </is>
      </c>
      <c r="L372" s="10" t="inlineStr">
        <is>
          <t>UBICACIÓN DIGITAL-EQUIPO DEL CUSTODIO</t>
        </is>
      </c>
      <c r="M372" s="10" t="inlineStr">
        <is>
          <t>DISCOS DUROS, SERVIDORES, DISCOS O MEDIOS PORTÁTILES, CINTAS O MEDIOS DE VIDEO Y AUDIO, ETC.</t>
        </is>
      </c>
      <c r="N372" s="10" t="inlineStr">
        <is>
          <t>PRIMARIOS</t>
        </is>
      </c>
      <c r="O372" s="10" t="inlineStr">
        <is>
          <t>DOCUMENTOS TÉCNICOS</t>
        </is>
      </c>
      <c r="P372" s="10" t="inlineStr">
        <is>
          <t>USO INTERNO(2)</t>
        </is>
      </c>
      <c r="Q372" s="10" t="inlineStr">
        <is>
          <t>MEDIA(2)</t>
        </is>
      </c>
      <c r="R372" s="10" t="inlineStr">
        <is>
          <t>BAJA(1)</t>
        </is>
      </c>
      <c r="S372" s="10">
        <f>+(IF(P372="PUBLICA(1)",1,IF(P372="USO INTERNO(2)",2,IF(P372="RESTRINGIDO(3)",3,3))))+(IF(Q372="BAJA(1)",1,IF(Q372="MEDIA(2)",2,IF(Q372="ALTA(3)",3,3))))+(IF(R372="BAJA(1)",1,IF(R372="MEDIA(2)",2,IF(R372="ALTA(3)",3,3))))</f>
        <v/>
      </c>
      <c r="T372" s="10">
        <f>+IF(S372&lt;6,"BAJA",IF(S372&lt;8,"MEDIA","ALTA"))</f>
        <v/>
      </c>
      <c r="U372" s="10" t="inlineStr">
        <is>
          <t>-</t>
        </is>
      </c>
      <c r="V372" s="24" t="n">
        <v>45580</v>
      </c>
      <c r="W372" s="19" t="inlineStr">
        <is>
          <t>N/A</t>
        </is>
      </c>
      <c r="X372" s="10">
        <f>+IFERROR(IF(VLOOKUP(Tabla2[[#This Row],[ID]],'EVALUACION DE RIESGO'!A:A,1,FALSE)=Tabla2[[#This Row],[ID]],"SI","NO"),"NO")</f>
        <v/>
      </c>
    </row>
    <row r="373">
      <c r="A373" s="91" t="inlineStr">
        <is>
          <t>75-GNE</t>
        </is>
      </c>
      <c r="B373" s="10" t="inlineStr">
        <is>
          <t>PRODUCTIVO</t>
        </is>
      </c>
      <c r="C373" s="10" t="inlineStr">
        <is>
          <t>Gestión de Negocios</t>
        </is>
      </c>
      <c r="D373" s="10" t="inlineStr">
        <is>
          <t>GNE</t>
        </is>
      </c>
      <c r="E373" s="10" t="inlineStr">
        <is>
          <t>Gestión de Fondeo Externo</t>
        </is>
      </c>
      <c r="F373" s="10" t="inlineStr">
        <is>
          <t>-</t>
        </is>
      </c>
      <c r="G373" s="10" t="inlineStr">
        <is>
          <t>Precancelación de Obligaciones Financieras</t>
        </is>
      </c>
      <c r="H373" s="10" t="inlineStr">
        <is>
          <t>Pagaré y garantías entregadas al fondeador por la obligación financiera</t>
        </is>
      </c>
      <c r="I373" s="10" t="inlineStr">
        <is>
          <t>Informe de justificación de precancelación y respaldos de la entrega de garantías y pagarés entregados por el fondeador</t>
        </is>
      </c>
      <c r="J373" s="10" t="inlineStr">
        <is>
          <t xml:space="preserve">Gerente Financiero </t>
        </is>
      </c>
      <c r="K373" s="10" t="inlineStr">
        <is>
          <t xml:space="preserve">Gerente Financiero </t>
        </is>
      </c>
      <c r="L373" s="10" t="inlineStr">
        <is>
          <t>UBICACIÓN DIGITAL-EQUIPO DEL CUSTODIO</t>
        </is>
      </c>
      <c r="M373" s="10" t="inlineStr">
        <is>
          <t>DISCOS DUROS, SERVIDORES, DISCOS O MEDIOS PORTÁTILES, CINTAS O MEDIOS DE VIDEO Y AUDIO, ETC.</t>
        </is>
      </c>
      <c r="N373" s="10" t="inlineStr">
        <is>
          <t>PRIMARIOS</t>
        </is>
      </c>
      <c r="O373" s="10" t="inlineStr">
        <is>
          <t>DOCUMENTOS TÉCNICOS</t>
        </is>
      </c>
      <c r="P373" s="10" t="inlineStr">
        <is>
          <t>RESTRINGIDO(3)</t>
        </is>
      </c>
      <c r="Q373" s="10" t="inlineStr">
        <is>
          <t>MEDIA(2)</t>
        </is>
      </c>
      <c r="R373" s="10" t="inlineStr">
        <is>
          <t>MEDIA(2)</t>
        </is>
      </c>
      <c r="S373" s="10">
        <f>+(IF(P373="PUBLICA(1)",1,IF(P373="USO INTERNO(2)",2,IF(P373="RESTRINGIDO(3)",3,3))))+(IF(Q373="BAJA(1)",1,IF(Q373="MEDIA(2)",2,IF(Q373="ALTA(3)",3,3))))+(IF(R373="BAJA(1)",1,IF(R373="MEDIA(2)",2,IF(R373="ALTA(3)",3,3))))</f>
        <v/>
      </c>
      <c r="T373" s="10">
        <f>+IF(S373&lt;6,"BAJA",IF(S373&lt;8,"MEDIA","ALTA"))</f>
        <v/>
      </c>
      <c r="U373" s="10" t="inlineStr">
        <is>
          <t>-</t>
        </is>
      </c>
      <c r="V373" s="24" t="n">
        <v>45580</v>
      </c>
      <c r="W373" s="19" t="inlineStr">
        <is>
          <t>N/A</t>
        </is>
      </c>
      <c r="X373" s="10">
        <f>+IFERROR(IF(VLOOKUP(Tabla2[[#This Row],[ID]],'EVALUACION DE RIESGO'!A:A,1,FALSE)=Tabla2[[#This Row],[ID]],"SI","NO"),"NO")</f>
        <v/>
      </c>
    </row>
    <row r="374">
      <c r="A374" s="91" t="inlineStr">
        <is>
          <t>76-GNE</t>
        </is>
      </c>
      <c r="B374" s="10" t="inlineStr">
        <is>
          <t>PRODUCTIVO</t>
        </is>
      </c>
      <c r="C374" s="10" t="inlineStr">
        <is>
          <t>Gestión de Negocios</t>
        </is>
      </c>
      <c r="D374" s="10" t="inlineStr">
        <is>
          <t>GNE</t>
        </is>
      </c>
      <c r="E374" s="10" t="inlineStr">
        <is>
          <t>Gestión de Fondeo Externo</t>
        </is>
      </c>
      <c r="F374" s="10" t="inlineStr">
        <is>
          <t>-</t>
        </is>
      </c>
      <c r="G374" s="10" t="inlineStr">
        <is>
          <t>Levantamiento de cesión de derechos de bienes muebles hipotecados</t>
        </is>
      </c>
      <c r="H374" s="10" t="inlineStr">
        <is>
          <t xml:space="preserve">Documentos de levantamiento de cesión de derechos </t>
        </is>
      </c>
      <c r="I374" s="10" t="inlineStr">
        <is>
          <t>Documento de levantamiento de cesión de derechos entregado por el fondeador, posterior de la gestión del reconocimiento de firmas ante el notario</t>
        </is>
      </c>
      <c r="J374" s="10" t="inlineStr">
        <is>
          <t xml:space="preserve">Gerente Financiero </t>
        </is>
      </c>
      <c r="K374" s="10" t="inlineStr">
        <is>
          <t xml:space="preserve">Gerente Financiero </t>
        </is>
      </c>
      <c r="L374" s="10" t="inlineStr">
        <is>
          <t>UBICACIÓN DIGITAL-EQUIPO DEL CUSTODIO</t>
        </is>
      </c>
      <c r="M374" s="10" t="inlineStr">
        <is>
          <t>DISCOS DUROS, SERVIDORES, DISCOS O MEDIOS PORTÁTILES, CINTAS O MEDIOS DE VIDEO Y AUDIO, ETC.</t>
        </is>
      </c>
      <c r="N374" s="10" t="inlineStr">
        <is>
          <t>PRIMARIOS</t>
        </is>
      </c>
      <c r="O374" s="10" t="inlineStr">
        <is>
          <t>DOCUMENTOS TÉCNICOS</t>
        </is>
      </c>
      <c r="P374" s="10" t="inlineStr">
        <is>
          <t>USO INTERNO(2)</t>
        </is>
      </c>
      <c r="Q374" s="10" t="inlineStr">
        <is>
          <t>MEDIA(2)</t>
        </is>
      </c>
      <c r="R374" s="10" t="inlineStr">
        <is>
          <t>MEDIA(2)</t>
        </is>
      </c>
      <c r="S374" s="10">
        <f>+(IF(P374="PUBLICA(1)",1,IF(P374="USO INTERNO(2)",2,IF(P374="RESTRINGIDO(3)",3,3))))+(IF(Q374="BAJA(1)",1,IF(Q374="MEDIA(2)",2,IF(Q374="ALTA(3)",3,3))))+(IF(R374="BAJA(1)",1,IF(R374="MEDIA(2)",2,IF(R374="ALTA(3)",3,3))))</f>
        <v/>
      </c>
      <c r="T374" s="10">
        <f>+IF(S374&lt;6,"BAJA",IF(S374&lt;8,"MEDIA","ALTA"))</f>
        <v/>
      </c>
      <c r="U374" s="10" t="inlineStr">
        <is>
          <t>-</t>
        </is>
      </c>
      <c r="V374" s="24" t="n">
        <v>45580</v>
      </c>
      <c r="W374" s="19" t="inlineStr">
        <is>
          <t>N/A</t>
        </is>
      </c>
      <c r="X374" s="10">
        <f>+IFERROR(IF(VLOOKUP(Tabla2[[#This Row],[ID]],'EVALUACION DE RIESGO'!A:A,1,FALSE)=Tabla2[[#This Row],[ID]],"SI","NO"),"NO")</f>
        <v/>
      </c>
    </row>
    <row r="375">
      <c r="A375" s="91" t="inlineStr">
        <is>
          <t>77-GNE</t>
        </is>
      </c>
      <c r="B375" s="10" t="inlineStr">
        <is>
          <t>PRODUCTIVO</t>
        </is>
      </c>
      <c r="C375" s="10" t="inlineStr">
        <is>
          <t>Gestión de Negocios</t>
        </is>
      </c>
      <c r="D375" s="10" t="inlineStr">
        <is>
          <t>GNE</t>
        </is>
      </c>
      <c r="E375" s="10" t="inlineStr">
        <is>
          <t>Gestión de Fondeo Externo</t>
        </is>
      </c>
      <c r="F375" s="10" t="inlineStr">
        <is>
          <t>-</t>
        </is>
      </c>
      <c r="G375" s="10" t="inlineStr">
        <is>
          <t>Levantamiento de endosos de pagarés dados en garantía</t>
        </is>
      </c>
      <c r="H375" s="10" t="inlineStr">
        <is>
          <t xml:space="preserve">Pagaré original </t>
        </is>
      </c>
      <c r="I375" s="10" t="inlineStr">
        <is>
          <t xml:space="preserve">Pagaré original </t>
        </is>
      </c>
      <c r="J375" s="10" t="inlineStr">
        <is>
          <t xml:space="preserve">Gerente Financiero </t>
        </is>
      </c>
      <c r="K375" s="10" t="inlineStr">
        <is>
          <t xml:space="preserve">Gerente Financiero </t>
        </is>
      </c>
      <c r="L375" s="10" t="inlineStr">
        <is>
          <t>UBICACIÓN DIGITAL-EQUIPO DEL CUSTODIO</t>
        </is>
      </c>
      <c r="M375" s="10" t="inlineStr">
        <is>
          <t>DISCOS DUROS, SERVIDORES, DISCOS O MEDIOS PORTÁTILES, CINTAS O MEDIOS DE VIDEO Y AUDIO, ETC.</t>
        </is>
      </c>
      <c r="N375" s="10" t="inlineStr">
        <is>
          <t>PRIMARIOS</t>
        </is>
      </c>
      <c r="O375" s="10" t="inlineStr">
        <is>
          <t>COMUNICACIÓN INTERNA</t>
        </is>
      </c>
      <c r="P375" s="10" t="inlineStr">
        <is>
          <t>USO INTERNO(2)</t>
        </is>
      </c>
      <c r="Q375" s="10" t="inlineStr">
        <is>
          <t>MEDIA(2)</t>
        </is>
      </c>
      <c r="R375" s="10" t="inlineStr">
        <is>
          <t>BAJA(1)</t>
        </is>
      </c>
      <c r="S375" s="10">
        <f>+(IF(P375="PUBLICA(1)",1,IF(P375="USO INTERNO(2)",2,IF(P375="RESTRINGIDO(3)",3,3))))+(IF(Q375="BAJA(1)",1,IF(Q375="MEDIA(2)",2,IF(Q375="ALTA(3)",3,3))))+(IF(R375="BAJA(1)",1,IF(R375="MEDIA(2)",2,IF(R375="ALTA(3)",3,3))))</f>
        <v/>
      </c>
      <c r="T375" s="10">
        <f>+IF(S375&lt;6,"BAJA",IF(S375&lt;8,"MEDIA","ALTA"))</f>
        <v/>
      </c>
      <c r="U375" s="10" t="inlineStr">
        <is>
          <t>-</t>
        </is>
      </c>
      <c r="V375" s="24" t="n">
        <v>45580</v>
      </c>
      <c r="W375" s="19" t="inlineStr">
        <is>
          <t>N/A</t>
        </is>
      </c>
      <c r="X375" s="10">
        <f>+IFERROR(IF(VLOOKUP(Tabla2[[#This Row],[ID]],'EVALUACION DE RIESGO'!A:A,1,FALSE)=Tabla2[[#This Row],[ID]],"SI","NO"),"NO")</f>
        <v/>
      </c>
    </row>
    <row r="376">
      <c r="A376" s="91" t="inlineStr">
        <is>
          <t>78-GNE</t>
        </is>
      </c>
      <c r="B376" s="10" t="inlineStr">
        <is>
          <t>PRODUCTIVO</t>
        </is>
      </c>
      <c r="C376" s="10" t="inlineStr">
        <is>
          <t>Gestión de Negocios</t>
        </is>
      </c>
      <c r="D376" s="10" t="inlineStr">
        <is>
          <t>GNE</t>
        </is>
      </c>
      <c r="E376" s="10" t="inlineStr">
        <is>
          <t>Gestión de Fondeo Externo</t>
        </is>
      </c>
      <c r="F376" s="10" t="inlineStr">
        <is>
          <t>-</t>
        </is>
      </c>
      <c r="G376" s="10" t="inlineStr">
        <is>
          <t>Devolución de pagarés  cancelados</t>
        </is>
      </c>
      <c r="H376" s="10" t="inlineStr">
        <is>
          <t>Pagarés</t>
        </is>
      </c>
      <c r="I376" s="10" t="inlineStr">
        <is>
          <t>Pagarés</t>
        </is>
      </c>
      <c r="J376" s="10" t="inlineStr">
        <is>
          <t xml:space="preserve">Gerente Financiero </t>
        </is>
      </c>
      <c r="K376" s="10" t="inlineStr">
        <is>
          <t xml:space="preserve">Gerente Financiero </t>
        </is>
      </c>
      <c r="L376" s="10" t="inlineStr">
        <is>
          <t>UBICACIÓN DIGITAL-EQUIPO DEL CUSTODIO</t>
        </is>
      </c>
      <c r="M376" s="10" t="inlineStr">
        <is>
          <t>DISCOS DUROS, SERVIDORES, DISCOS O MEDIOS PORTÁTILES, CINTAS O MEDIOS DE VIDEO Y AUDIO, ETC.</t>
        </is>
      </c>
      <c r="N376" s="10" t="inlineStr">
        <is>
          <t>PRIMARIOS</t>
        </is>
      </c>
      <c r="O376" s="10" t="inlineStr">
        <is>
          <t>DOCUMENTOS TÉCNICOS</t>
        </is>
      </c>
      <c r="P376" s="10" t="inlineStr">
        <is>
          <t>USO INTERNO(2)</t>
        </is>
      </c>
      <c r="Q376" s="10" t="inlineStr">
        <is>
          <t>MEDIA(2)</t>
        </is>
      </c>
      <c r="R376" s="10" t="inlineStr">
        <is>
          <t>MEDIA(2)</t>
        </is>
      </c>
      <c r="S376" s="10">
        <f>+(IF(P376="PUBLICA(1)",1,IF(P376="USO INTERNO(2)",2,IF(P376="RESTRINGIDO(3)",3,3))))+(IF(Q376="BAJA(1)",1,IF(Q376="MEDIA(2)",2,IF(Q376="ALTA(3)",3,3))))+(IF(R376="BAJA(1)",1,IF(R376="MEDIA(2)",2,IF(R376="ALTA(3)",3,3))))</f>
        <v/>
      </c>
      <c r="T376" s="10">
        <f>+IF(S376&lt;6,"BAJA",IF(S376&lt;8,"MEDIA","ALTA"))</f>
        <v/>
      </c>
      <c r="U376" s="10" t="inlineStr">
        <is>
          <t>-</t>
        </is>
      </c>
      <c r="V376" s="24" t="n">
        <v>45580</v>
      </c>
      <c r="W376" s="19" t="inlineStr">
        <is>
          <t>N/A</t>
        </is>
      </c>
      <c r="X376" s="10">
        <f>+IFERROR(IF(VLOOKUP(Tabla2[[#This Row],[ID]],'EVALUACION DE RIESGO'!A:A,1,FALSE)=Tabla2[[#This Row],[ID]],"SI","NO"),"NO")</f>
        <v/>
      </c>
    </row>
    <row r="377">
      <c r="A377" s="91" t="inlineStr">
        <is>
          <t>79-GNE</t>
        </is>
      </c>
      <c r="B377" s="10" t="inlineStr">
        <is>
          <t>PRODUCTIVO</t>
        </is>
      </c>
      <c r="C377" s="10" t="inlineStr">
        <is>
          <t>Gestión de Negocios</t>
        </is>
      </c>
      <c r="D377" s="10" t="inlineStr">
        <is>
          <t>GNE</t>
        </is>
      </c>
      <c r="E377" s="10" t="inlineStr">
        <is>
          <t>Gestión de Fondeo Externo</t>
        </is>
      </c>
      <c r="F377" s="10" t="inlineStr">
        <is>
          <t>-</t>
        </is>
      </c>
      <c r="G377" s="10" t="inlineStr">
        <is>
          <t>Devolución de pagarés  cancelados</t>
        </is>
      </c>
      <c r="H377" s="10" t="inlineStr">
        <is>
          <t>Registro de operación cancelada</t>
        </is>
      </c>
      <c r="I377" s="10" t="inlineStr">
        <is>
          <t>Registro interno de las operaciones canceladas</t>
        </is>
      </c>
      <c r="J377" s="10" t="inlineStr">
        <is>
          <t xml:space="preserve">Gerente Financiero </t>
        </is>
      </c>
      <c r="K377" s="10" t="inlineStr">
        <is>
          <t xml:space="preserve">Gerente Financiero </t>
        </is>
      </c>
      <c r="L377" s="10" t="inlineStr">
        <is>
          <t>UBICACIÓN DIGITAL-EQUIPO DEL CUSTODIO</t>
        </is>
      </c>
      <c r="M377" s="10" t="inlineStr">
        <is>
          <t>DISCOS DUROS, SERVIDORES, DISCOS O MEDIOS PORTÁTILES, CINTAS O MEDIOS DE VIDEO Y AUDIO, ETC.</t>
        </is>
      </c>
      <c r="N377" s="10" t="inlineStr">
        <is>
          <t>PRIMARIOS</t>
        </is>
      </c>
      <c r="O377" s="10" t="inlineStr">
        <is>
          <t>DOCUMENTOS TÉCNICOS</t>
        </is>
      </c>
      <c r="P377" s="10" t="inlineStr">
        <is>
          <t>RESTRINGIDO(3)</t>
        </is>
      </c>
      <c r="Q377" s="10" t="inlineStr">
        <is>
          <t>MEDIA(2)</t>
        </is>
      </c>
      <c r="R377" s="10" t="inlineStr">
        <is>
          <t>MEDIA(2)</t>
        </is>
      </c>
      <c r="S377" s="10">
        <f>+(IF(P377="PUBLICA(1)",1,IF(P377="USO INTERNO(2)",2,IF(P377="RESTRINGIDO(3)",3,3))))+(IF(Q377="BAJA(1)",1,IF(Q377="MEDIA(2)",2,IF(Q377="ALTA(3)",3,3))))+(IF(R377="BAJA(1)",1,IF(R377="MEDIA(2)",2,IF(R377="ALTA(3)",3,3))))</f>
        <v/>
      </c>
      <c r="T377" s="10">
        <f>+IF(S377&lt;6,"BAJA",IF(S377&lt;8,"MEDIA","ALTA"))</f>
        <v/>
      </c>
      <c r="U377" s="10" t="inlineStr">
        <is>
          <t>-</t>
        </is>
      </c>
      <c r="V377" s="24" t="n">
        <v>45580</v>
      </c>
      <c r="W377" s="19" t="inlineStr">
        <is>
          <t>N/A</t>
        </is>
      </c>
      <c r="X377" s="10">
        <f>+IFERROR(IF(VLOOKUP(Tabla2[[#This Row],[ID]],'EVALUACION DE RIESGO'!A:A,1,FALSE)=Tabla2[[#This Row],[ID]],"SI","NO"),"NO")</f>
        <v/>
      </c>
    </row>
    <row r="378">
      <c r="A378" s="91" t="inlineStr">
        <is>
          <t>80-GNE</t>
        </is>
      </c>
      <c r="B378" s="10" t="inlineStr">
        <is>
          <t>APOYO</t>
        </is>
      </c>
      <c r="C378" s="10" t="inlineStr">
        <is>
          <t>Gestión de Negocios</t>
        </is>
      </c>
      <c r="D378" s="10" t="inlineStr">
        <is>
          <t>GNE</t>
        </is>
      </c>
      <c r="E378" s="10" t="inlineStr">
        <is>
          <t>N/A</t>
        </is>
      </c>
      <c r="F378" s="10" t="inlineStr">
        <is>
          <t>-</t>
        </is>
      </c>
      <c r="G378" s="10" t="inlineStr">
        <is>
          <t>N/A</t>
        </is>
      </c>
      <c r="H378" s="10" t="inlineStr">
        <is>
          <t xml:space="preserve">Equipos de computación </t>
        </is>
      </c>
      <c r="I378" s="10" t="inlineStr">
        <is>
          <t>Equipos de computación donde se realiza la gestión del área</t>
        </is>
      </c>
      <c r="J378" s="10" t="inlineStr">
        <is>
          <t>Gerente de Negocios</t>
        </is>
      </c>
      <c r="K378" s="10" t="inlineStr">
        <is>
          <t>Gerente de Negocios</t>
        </is>
      </c>
      <c r="L378" s="10" t="inlineStr">
        <is>
          <t>UBICACIÓN FISICA-MATRIZ ATUNTAQUI</t>
        </is>
      </c>
      <c r="M378" s="10" t="inlineStr">
        <is>
          <t>DISCOS DUROS, SERVIDORES, DISCOS O MEDIOS PORTÁTILES, CINTAS O MEDIOS DE VIDEO Y AUDIO, ETC.</t>
        </is>
      </c>
      <c r="N378" s="10" t="inlineStr">
        <is>
          <t>APOYO</t>
        </is>
      </c>
      <c r="O378" s="10" t="inlineStr">
        <is>
          <t>HARDWARE</t>
        </is>
      </c>
      <c r="P378" s="10" t="inlineStr">
        <is>
          <t>RESTRINGIDO(3)</t>
        </is>
      </c>
      <c r="Q378" s="10" t="inlineStr">
        <is>
          <t>MEDIA(2)</t>
        </is>
      </c>
      <c r="R378" s="10" t="inlineStr">
        <is>
          <t>MEDIA(2)</t>
        </is>
      </c>
      <c r="S378" s="10">
        <f>+(IF(P378="PUBLICA(1)",1,IF(P378="USO INTERNO(2)",2,IF(P378="RESTRINGIDO(3)",3,3))))+(IF(Q378="BAJA(1)",1,IF(Q378="MEDIA(2)",2,IF(Q378="ALTA(3)",3,3))))+(IF(R378="BAJA(1)",1,IF(R378="MEDIA(2)",2,IF(R378="ALTA(3)",3,3))))</f>
        <v/>
      </c>
      <c r="T378" s="10">
        <f>+IF(S378&lt;6,"BAJA",IF(S378&lt;8,"MEDIA","ALTA"))</f>
        <v/>
      </c>
      <c r="U378" s="10" t="inlineStr">
        <is>
          <t>-</t>
        </is>
      </c>
      <c r="V378" s="24" t="n">
        <v>45712</v>
      </c>
      <c r="W378" s="19" t="inlineStr">
        <is>
          <t>N/A</t>
        </is>
      </c>
      <c r="X378" s="10">
        <f>+IFERROR(IF(VLOOKUP(Tabla2[[#This Row],[ID]],'EVALUACION DE RIESGO'!A:A,1,FALSE)=Tabla2[[#This Row],[ID]],"SI","NO"),"NO")</f>
        <v/>
      </c>
    </row>
    <row r="379">
      <c r="A379" s="91" t="inlineStr">
        <is>
          <t>81-GNE</t>
        </is>
      </c>
      <c r="B379" s="10" t="inlineStr">
        <is>
          <t>APOYO</t>
        </is>
      </c>
      <c r="C379" s="10" t="inlineStr">
        <is>
          <t>Gestión de Negocios</t>
        </is>
      </c>
      <c r="D379" s="10" t="inlineStr">
        <is>
          <t>GNE</t>
        </is>
      </c>
      <c r="E379" s="10" t="inlineStr">
        <is>
          <t>N/A</t>
        </is>
      </c>
      <c r="F379" s="10" t="inlineStr">
        <is>
          <t>-</t>
        </is>
      </c>
      <c r="G379" s="10" t="inlineStr">
        <is>
          <t>N/A</t>
        </is>
      </c>
      <c r="H379" s="10" t="inlineStr">
        <is>
          <t>Jegente de Negocios</t>
        </is>
      </c>
      <c r="I379" s="10" t="inlineStr">
        <is>
          <t>N/A</t>
        </is>
      </c>
      <c r="J379" s="10" t="inlineStr">
        <is>
          <t>Gerente de Negocios</t>
        </is>
      </c>
      <c r="K379" s="10" t="inlineStr">
        <is>
          <t>N/A</t>
        </is>
      </c>
      <c r="L379" s="10" t="inlineStr">
        <is>
          <t>N/A</t>
        </is>
      </c>
      <c r="M379" s="10" t="inlineStr">
        <is>
          <t>N/A</t>
        </is>
      </c>
      <c r="N379" s="10" t="inlineStr">
        <is>
          <t>APOYO</t>
        </is>
      </c>
      <c r="O379" s="10" t="inlineStr">
        <is>
          <t>RECURSO HUMANO</t>
        </is>
      </c>
      <c r="P379" s="10" t="inlineStr">
        <is>
          <t>USO INTERNO(2)</t>
        </is>
      </c>
      <c r="Q379" s="10" t="inlineStr">
        <is>
          <t>MEDIA(2)</t>
        </is>
      </c>
      <c r="R379" s="10" t="inlineStr">
        <is>
          <t>MEDIA(2)</t>
        </is>
      </c>
      <c r="S379" s="10">
        <f>+(IF(P379="PUBLICA(1)",1,IF(P379="USO INTERNO(2)",2,IF(P379="RESTRINGIDO(3)",3,3))))+(IF(Q379="BAJA(1)",1,IF(Q379="MEDIA(2)",2,IF(Q379="ALTA(3)",3,3))))+(IF(R379="BAJA(1)",1,IF(R379="MEDIA(2)",2,IF(R379="ALTA(3)",3,3))))</f>
        <v/>
      </c>
      <c r="T379" s="10">
        <f>+IF(S379&lt;6,"BAJA",IF(S379&lt;8,"MEDIA","ALTA"))</f>
        <v/>
      </c>
      <c r="U379" s="10" t="inlineStr">
        <is>
          <t>-</t>
        </is>
      </c>
      <c r="V379" s="24" t="n">
        <v>45712</v>
      </c>
      <c r="W379" s="19" t="inlineStr">
        <is>
          <t>N/A</t>
        </is>
      </c>
      <c r="X379" s="10">
        <f>+IFERROR(IF(VLOOKUP(Tabla2[[#This Row],[ID]],'EVALUACION DE RIESGO'!A:A,1,FALSE)=Tabla2[[#This Row],[ID]],"SI","NO"),"NO")</f>
        <v/>
      </c>
    </row>
    <row r="380">
      <c r="A380" s="91" t="inlineStr">
        <is>
          <t>1-GOP</t>
        </is>
      </c>
      <c r="B380" s="10" t="inlineStr">
        <is>
          <t>APOYO</t>
        </is>
      </c>
      <c r="C380" s="10" t="inlineStr">
        <is>
          <t xml:space="preserve">Gestión de Operaciones </t>
        </is>
      </c>
      <c r="D380" s="10" t="inlineStr">
        <is>
          <t>GOP</t>
        </is>
      </c>
      <c r="E380" s="10" t="inlineStr">
        <is>
          <t>Soporte Operativo</t>
        </is>
      </c>
      <c r="F380" s="10" t="inlineStr">
        <is>
          <t>-</t>
        </is>
      </c>
      <c r="G380" s="10" t="inlineStr">
        <is>
          <t>Parametrización de módulos</t>
        </is>
      </c>
      <c r="H380" s="10" t="inlineStr">
        <is>
          <t>Resoluciones ALCO</t>
        </is>
      </c>
      <c r="I380" s="10" t="inlineStr">
        <is>
          <t>Acta de resolución recibida por área respectiva como formalidad para actualizar los parámetros</t>
        </is>
      </c>
      <c r="J380" s="10" t="inlineStr">
        <is>
          <t>Jefe de Soporte y Cuadres</t>
        </is>
      </c>
      <c r="K380" s="10" t="inlineStr">
        <is>
          <t>JEFE DE INFRAESTRUCTURA OPERACIONAL</t>
        </is>
      </c>
      <c r="L380" s="10" t="inlineStr">
        <is>
          <t>UBICACIÓN DIGITAL-EQUIPO DEL CUSTODIO</t>
        </is>
      </c>
      <c r="M380" s="10" t="inlineStr">
        <is>
          <t>DISCOS DUROS, SERVIDORES, DISCOS O MEDIOS PORTÁTILES, CINTAS O MEDIOS DE VIDEO Y AUDIO, ETC.</t>
        </is>
      </c>
      <c r="N380" s="10" t="inlineStr">
        <is>
          <t>PRIMARIOS</t>
        </is>
      </c>
      <c r="O380" s="10" t="inlineStr">
        <is>
          <t>DOCUMENTOS HABILITANTES</t>
        </is>
      </c>
      <c r="P380" s="10" t="inlineStr">
        <is>
          <t>USO INTERNO(2)</t>
        </is>
      </c>
      <c r="Q380" s="10" t="inlineStr">
        <is>
          <t>BAJA(1)</t>
        </is>
      </c>
      <c r="R380" s="10" t="inlineStr">
        <is>
          <t>MEDIA(2)</t>
        </is>
      </c>
      <c r="S380" s="10">
        <f>+(IF(P380="PUBLICA(1)",1,IF(P380="USO INTERNO(2)",2,IF(P380="RESTRINGIDO(3)",3,3))))+(IF(Q380="BAJA(1)",1,IF(Q380="MEDIA(2)",2,IF(Q380="ALTA(3)",3,3))))+(IF(R380="BAJA(1)",1,IF(R380="MEDIA(2)",2,IF(R380="ALTA(3)",3,3))))</f>
        <v/>
      </c>
      <c r="T380" s="10">
        <f>+IF(S380&lt;6,"BAJA",IF(S380&lt;8,"MEDIA","ALTA"))</f>
        <v/>
      </c>
      <c r="U380" s="10" t="inlineStr">
        <is>
          <t>-</t>
        </is>
      </c>
      <c r="V380" s="24" t="n">
        <v>45674</v>
      </c>
      <c r="W380" s="19" t="inlineStr">
        <is>
          <t>N/A</t>
        </is>
      </c>
      <c r="X380" s="10">
        <f>+IFERROR(IF(VLOOKUP(Tabla2[[#This Row],[ID]],'EVALUACION DE RIESGO'!A:A,1,FALSE)=Tabla2[[#This Row],[ID]],"SI","NO"),"NO")</f>
        <v/>
      </c>
    </row>
    <row r="381">
      <c r="A381" s="91" t="inlineStr">
        <is>
          <t>2-GOP</t>
        </is>
      </c>
      <c r="B381" s="10" t="inlineStr">
        <is>
          <t>APOYO</t>
        </is>
      </c>
      <c r="C381" s="10" t="inlineStr">
        <is>
          <t xml:space="preserve">Gestión de Operaciones </t>
        </is>
      </c>
      <c r="D381" s="10" t="inlineStr">
        <is>
          <t>GOP</t>
        </is>
      </c>
      <c r="E381" s="10" t="inlineStr">
        <is>
          <t>Soporte Operativo</t>
        </is>
      </c>
      <c r="F381" s="10" t="inlineStr">
        <is>
          <t>-</t>
        </is>
      </c>
      <c r="G381" s="10" t="inlineStr">
        <is>
          <t>Parametrización de módulos</t>
        </is>
      </c>
      <c r="H381" s="10" t="inlineStr">
        <is>
          <t>Formulario de requerimiento en el sistema</t>
        </is>
      </c>
      <c r="I381" s="10" t="inlineStr">
        <is>
          <t>Requerimiento de actualización dependiendo de los casos se adjunta la solicitud y autorización por medio de service desk</t>
        </is>
      </c>
      <c r="J381" s="10" t="inlineStr">
        <is>
          <t>Jefe de Soporte y Cuadres</t>
        </is>
      </c>
      <c r="K381" s="10" t="inlineStr">
        <is>
          <t>JEFE DE INFRAESTRUCTURA OPERACIONAL</t>
        </is>
      </c>
      <c r="L381" s="10" t="inlineStr">
        <is>
          <t>UBICACIÓN DIGITAL-EQUIPO DEL CUSTODIO</t>
        </is>
      </c>
      <c r="M381" s="10" t="inlineStr">
        <is>
          <t>DISCOS DUROS, SERVIDORES, DISCOS O MEDIOS PORTÁTILES, CINTAS O MEDIOS DE VIDEO Y AUDIO, ETC.</t>
        </is>
      </c>
      <c r="N381" s="10" t="inlineStr">
        <is>
          <t>PRIMARIOS</t>
        </is>
      </c>
      <c r="O381" s="10" t="inlineStr">
        <is>
          <t>DOCUMENTOS TÉCNICOS</t>
        </is>
      </c>
      <c r="P381" s="10" t="inlineStr">
        <is>
          <t>USO INTERNO(2)</t>
        </is>
      </c>
      <c r="Q381" s="10" t="inlineStr">
        <is>
          <t>BAJA(1)</t>
        </is>
      </c>
      <c r="R381" s="10" t="inlineStr">
        <is>
          <t>BAJA(1)</t>
        </is>
      </c>
      <c r="S381" s="10">
        <f>+(IF(P381="PUBLICA(1)",1,IF(P381="USO INTERNO(2)",2,IF(P381="RESTRINGIDO(3)",3,3))))+(IF(Q381="BAJA(1)",1,IF(Q381="MEDIA(2)",2,IF(Q381="ALTA(3)",3,3))))+(IF(R381="BAJA(1)",1,IF(R381="MEDIA(2)",2,IF(R381="ALTA(3)",3,3))))</f>
        <v/>
      </c>
      <c r="T381" s="10">
        <f>+IF(S381&lt;6,"BAJA",IF(S381&lt;8,"MEDIA","ALTA"))</f>
        <v/>
      </c>
      <c r="U381" s="10" t="inlineStr">
        <is>
          <t>-</t>
        </is>
      </c>
      <c r="V381" s="24" t="n">
        <v>45674</v>
      </c>
      <c r="W381" s="19" t="inlineStr">
        <is>
          <t>N/A</t>
        </is>
      </c>
      <c r="X381" s="10">
        <f>+IFERROR(IF(VLOOKUP(Tabla2[[#This Row],[ID]],'EVALUACION DE RIESGO'!A:A,1,FALSE)=Tabla2[[#This Row],[ID]],"SI","NO"),"NO")</f>
        <v/>
      </c>
    </row>
    <row r="382">
      <c r="A382" s="91" t="inlineStr">
        <is>
          <t>3-GOP</t>
        </is>
      </c>
      <c r="B382" s="10" t="inlineStr">
        <is>
          <t>APOYO</t>
        </is>
      </c>
      <c r="C382" s="10" t="inlineStr">
        <is>
          <t xml:space="preserve">Gestión de Operaciones </t>
        </is>
      </c>
      <c r="D382" s="10" t="inlineStr">
        <is>
          <t>GOP</t>
        </is>
      </c>
      <c r="E382" s="10" t="inlineStr">
        <is>
          <t>Soporte Operativo</t>
        </is>
      </c>
      <c r="F382" s="10" t="inlineStr">
        <is>
          <t>-</t>
        </is>
      </c>
      <c r="G382" s="10" t="inlineStr">
        <is>
          <t>Ejecución del Cash Management del Banco Pichincha</t>
        </is>
      </c>
      <c r="H382" s="10" t="inlineStr">
        <is>
          <t>Reporte de socios registrados en el Cash Management</t>
        </is>
      </c>
      <c r="I382" s="10" t="inlineStr">
        <is>
          <t>Reportes mensuales almacenados en el servidor 100.1 de socios registrados en el Cash Management de Banco Pichincha, nombre, numero de cuenta, monto, cedula y nombre</t>
        </is>
      </c>
      <c r="J382" s="10" t="inlineStr">
        <is>
          <t>Jefe de Soporte y Cuadres</t>
        </is>
      </c>
      <c r="K382" s="10" t="inlineStr">
        <is>
          <t>SERVIDOR FTP 100.1</t>
        </is>
      </c>
      <c r="L382" s="10" t="inlineStr">
        <is>
          <t>UBICACIÓN DIGITAL-CORE FINANCIERO</t>
        </is>
      </c>
      <c r="M382" s="10" t="inlineStr">
        <is>
          <t>SISTEMAS DE INFORMACIÓN CORPORATIVOS</t>
        </is>
      </c>
      <c r="N382" s="10" t="inlineStr">
        <is>
          <t>PRIMARIOS</t>
        </is>
      </c>
      <c r="O382" s="10" t="inlineStr">
        <is>
          <t>DOCUMENTOS TÉCNICOS</t>
        </is>
      </c>
      <c r="P382" s="10" t="inlineStr">
        <is>
          <t>USO INTERNO(2)</t>
        </is>
      </c>
      <c r="Q382" s="10" t="inlineStr">
        <is>
          <t>MEDIA(2)</t>
        </is>
      </c>
      <c r="R382" s="10" t="inlineStr">
        <is>
          <t>MEDIA(2)</t>
        </is>
      </c>
      <c r="S382" s="10">
        <f>+(IF(P382="PUBLICA(1)",1,IF(P382="USO INTERNO(2)",2,IF(P382="RESTRINGIDO(3)",3,3))))+(IF(Q382="BAJA(1)",1,IF(Q382="MEDIA(2)",2,IF(Q382="ALTA(3)",3,3))))+(IF(R382="BAJA(1)",1,IF(R382="MEDIA(2)",2,IF(R382="ALTA(3)",3,3))))</f>
        <v/>
      </c>
      <c r="T382" s="10">
        <f>+IF(S382&lt;6,"BAJA",IF(S382&lt;8,"MEDIA","ALTA"))</f>
        <v/>
      </c>
      <c r="U382" s="10" t="inlineStr">
        <is>
          <t>-</t>
        </is>
      </c>
      <c r="V382" s="24" t="n">
        <v>45674</v>
      </c>
      <c r="W382" s="19" t="inlineStr">
        <is>
          <t>N/A</t>
        </is>
      </c>
      <c r="X382" s="10">
        <f>+IFERROR(IF(VLOOKUP(Tabla2[[#This Row],[ID]],'EVALUACION DE RIESGO'!A:A,1,FALSE)=Tabla2[[#This Row],[ID]],"SI","NO"),"NO")</f>
        <v/>
      </c>
    </row>
    <row r="383">
      <c r="A383" s="91" t="inlineStr">
        <is>
          <t>4-GOP</t>
        </is>
      </c>
      <c r="B383" s="10" t="inlineStr">
        <is>
          <t>APOYO</t>
        </is>
      </c>
      <c r="C383" s="10" t="inlineStr">
        <is>
          <t xml:space="preserve">Gestión de Operaciones </t>
        </is>
      </c>
      <c r="D383" s="10" t="inlineStr">
        <is>
          <t>GOP</t>
        </is>
      </c>
      <c r="E383" s="10" t="inlineStr">
        <is>
          <t>Soporte Operativo</t>
        </is>
      </c>
      <c r="F383" s="10" t="inlineStr">
        <is>
          <t>-</t>
        </is>
      </c>
      <c r="G383" s="10" t="inlineStr">
        <is>
          <t>Ejecución del Cash Management del Banco Pichincha</t>
        </is>
      </c>
      <c r="H383" s="10" t="inlineStr">
        <is>
          <t>Reporte de acreditaciones de Cash Management</t>
        </is>
      </c>
      <c r="I383" s="10" t="inlineStr">
        <is>
          <t>Reporte de transacciones acreditas diarias, con el detalle de la transacciones, cliente fecha</t>
        </is>
      </c>
      <c r="J383" s="10" t="inlineStr">
        <is>
          <t>Jefe de Soporte y Cuadres</t>
        </is>
      </c>
      <c r="K383" s="10" t="inlineStr">
        <is>
          <t>Asistente Operativo</t>
        </is>
      </c>
      <c r="L383" s="10" t="inlineStr">
        <is>
          <t>UBICACIÓN DIGITAL-EQUIPO DEL CUSTODIO</t>
        </is>
      </c>
      <c r="M383" s="10" t="inlineStr">
        <is>
          <t>DOCUMENTO DE ARCHIVO-ELECTRÓNICO</t>
        </is>
      </c>
      <c r="N383" s="10" t="inlineStr">
        <is>
          <t>PRIMARIOS</t>
        </is>
      </c>
      <c r="O383" s="10" t="inlineStr">
        <is>
          <t>DOCUMENTOS TÉCNICOS</t>
        </is>
      </c>
      <c r="P383" s="10" t="inlineStr">
        <is>
          <t>RESTRINGIDO(3)</t>
        </is>
      </c>
      <c r="Q383" s="10" t="inlineStr">
        <is>
          <t>BAJA(1)</t>
        </is>
      </c>
      <c r="R383" s="10" t="inlineStr">
        <is>
          <t>MEDIA(2)</t>
        </is>
      </c>
      <c r="S383" s="10">
        <f>+(IF(P383="PUBLICA(1)",1,IF(P383="USO INTERNO(2)",2,IF(P383="RESTRINGIDO(3)",3,3))))+(IF(Q383="BAJA(1)",1,IF(Q383="MEDIA(2)",2,IF(Q383="ALTA(3)",3,3))))+(IF(R383="BAJA(1)",1,IF(R383="MEDIA(2)",2,IF(R383="ALTA(3)",3,3))))</f>
        <v/>
      </c>
      <c r="T383" s="10">
        <f>+IF(S383&lt;6,"BAJA",IF(S383&lt;8,"MEDIA","ALTA"))</f>
        <v/>
      </c>
      <c r="U383" s="10" t="inlineStr">
        <is>
          <t>-</t>
        </is>
      </c>
      <c r="V383" s="24" t="n">
        <v>45674</v>
      </c>
      <c r="W383" s="19" t="inlineStr">
        <is>
          <t>N/A</t>
        </is>
      </c>
      <c r="X383" s="10">
        <f>+IFERROR(IF(VLOOKUP(Tabla2[[#This Row],[ID]],'EVALUACION DE RIESGO'!A:A,1,FALSE)=Tabla2[[#This Row],[ID]],"SI","NO"),"NO")</f>
        <v/>
      </c>
    </row>
    <row r="384">
      <c r="A384" s="91" t="inlineStr">
        <is>
          <t>5-GOP</t>
        </is>
      </c>
      <c r="B384" s="10" t="inlineStr">
        <is>
          <t>APOYO</t>
        </is>
      </c>
      <c r="C384" s="10" t="inlineStr">
        <is>
          <t xml:space="preserve">Gestión de Operaciones </t>
        </is>
      </c>
      <c r="D384" s="10" t="inlineStr">
        <is>
          <t>GOP</t>
        </is>
      </c>
      <c r="E384" s="10" t="inlineStr">
        <is>
          <t>Soporte Operativo</t>
        </is>
      </c>
      <c r="F384" s="10" t="inlineStr">
        <is>
          <t>-</t>
        </is>
      </c>
      <c r="G384" s="10" t="inlineStr">
        <is>
          <t>Envío de información a Servipagos</t>
        </is>
      </c>
      <c r="H384" s="10" t="inlineStr">
        <is>
          <t>Estructuras de Servipagos</t>
        </is>
      </c>
      <c r="I384" s="10" t="inlineStr">
        <is>
          <t>FILES de estructuras en txt cargados a buzón por FileZilla de Servipagos, contiene información de cédulas, nombre, numero de cuenta, firmas</t>
        </is>
      </c>
      <c r="J384" s="10" t="inlineStr">
        <is>
          <t>Jefe de Soporte y Cuadres</t>
        </is>
      </c>
      <c r="K384" s="10" t="inlineStr">
        <is>
          <t>Asistente Operativo</t>
        </is>
      </c>
      <c r="L384" s="10" t="inlineStr">
        <is>
          <t>UBICACIÓN DIGITAL-EQUIPO DEL CUSTODIO</t>
        </is>
      </c>
      <c r="M384" s="10" t="inlineStr">
        <is>
          <t>DISCOS DUROS, SERVIDORES, DISCOS O MEDIOS PORTÁTILES, CINTAS O MEDIOS DE VIDEO Y AUDIO, ETC.</t>
        </is>
      </c>
      <c r="N384" s="10" t="inlineStr">
        <is>
          <t>PRIMARIOS</t>
        </is>
      </c>
      <c r="O384" s="10" t="inlineStr">
        <is>
          <t>DOCUMENTOS TÉCNICOS</t>
        </is>
      </c>
      <c r="P384" s="10" t="inlineStr">
        <is>
          <t>RESTRINGIDO(3)</t>
        </is>
      </c>
      <c r="Q384" s="10" t="inlineStr">
        <is>
          <t>MEDIA(2)</t>
        </is>
      </c>
      <c r="R384" s="10" t="inlineStr">
        <is>
          <t>BAJA(1)</t>
        </is>
      </c>
      <c r="S384" s="10">
        <f>+(IF(P384="PUBLICA(1)",1,IF(P384="USO INTERNO(2)",2,IF(P384="RESTRINGIDO(3)",3,3))))+(IF(Q384="BAJA(1)",1,IF(Q384="MEDIA(2)",2,IF(Q384="ALTA(3)",3,3))))+(IF(R384="BAJA(1)",1,IF(R384="MEDIA(2)",2,IF(R384="ALTA(3)",3,3))))</f>
        <v/>
      </c>
      <c r="T384" s="10">
        <f>+IF(S384&lt;6,"BAJA",IF(S384&lt;8,"MEDIA","ALTA"))</f>
        <v/>
      </c>
      <c r="U384" s="10" t="inlineStr">
        <is>
          <t>-</t>
        </is>
      </c>
      <c r="V384" s="24" t="n">
        <v>45674</v>
      </c>
      <c r="W384" s="19" t="inlineStr">
        <is>
          <t>N/A</t>
        </is>
      </c>
      <c r="X384" s="10">
        <f>+IFERROR(IF(VLOOKUP(Tabla2[[#This Row],[ID]],'EVALUACION DE RIESGO'!A:A,1,FALSE)=Tabla2[[#This Row],[ID]],"SI","NO"),"NO")</f>
        <v/>
      </c>
    </row>
    <row r="385">
      <c r="A385" s="91" t="inlineStr">
        <is>
          <t>6-GOP</t>
        </is>
      </c>
      <c r="B385" s="10" t="inlineStr">
        <is>
          <t>APOYO</t>
        </is>
      </c>
      <c r="C385" s="10" t="inlineStr">
        <is>
          <t xml:space="preserve">Gestión de Operaciones </t>
        </is>
      </c>
      <c r="D385" s="10" t="inlineStr">
        <is>
          <t>GOP</t>
        </is>
      </c>
      <c r="E385" s="10" t="inlineStr">
        <is>
          <t>Soporte Operativo</t>
        </is>
      </c>
      <c r="F385" s="10" t="inlineStr">
        <is>
          <t>-</t>
        </is>
      </c>
      <c r="G385" s="10" t="inlineStr">
        <is>
          <t>Envío de información a Servipagos</t>
        </is>
      </c>
      <c r="H385" s="10" t="inlineStr">
        <is>
          <t>Confirmación de recepción Servipagos</t>
        </is>
      </c>
      <c r="I385" s="10" t="inlineStr">
        <is>
          <t>Correo receptado confirmando las transacciones que contiene el numero de firmas procesadas, numero de clientes cargados</t>
        </is>
      </c>
      <c r="J385" s="10" t="inlineStr">
        <is>
          <t>Jefe de Soporte y Cuadres</t>
        </is>
      </c>
      <c r="K385" s="10" t="inlineStr">
        <is>
          <t>Asistente Operativo</t>
        </is>
      </c>
      <c r="L385" s="10" t="inlineStr">
        <is>
          <t>UBICACIÓN DIGITAL-EQUIPO DEL CUSTODIO</t>
        </is>
      </c>
      <c r="M385" s="10" t="inlineStr">
        <is>
          <t>DISCOS DUROS, SERVIDORES, DISCOS O MEDIOS PORTÁTILES, CINTAS O MEDIOS DE VIDEO Y AUDIO, ETC.</t>
        </is>
      </c>
      <c r="N385" s="10" t="inlineStr">
        <is>
          <t>PRIMARIOS</t>
        </is>
      </c>
      <c r="O385" s="10" t="inlineStr">
        <is>
          <t>DOCUMENTOS TÉCNICOS</t>
        </is>
      </c>
      <c r="P385" s="10" t="inlineStr">
        <is>
          <t>USO INTERNO(2)</t>
        </is>
      </c>
      <c r="Q385" s="10" t="inlineStr">
        <is>
          <t>MEDIA(2)</t>
        </is>
      </c>
      <c r="R385" s="10" t="inlineStr">
        <is>
          <t>BAJA(1)</t>
        </is>
      </c>
      <c r="S385" s="10">
        <f>+(IF(P385="PUBLICA(1)",1,IF(P385="USO INTERNO(2)",2,IF(P385="RESTRINGIDO(3)",3,3))))+(IF(Q385="BAJA(1)",1,IF(Q385="MEDIA(2)",2,IF(Q385="ALTA(3)",3,3))))+(IF(R385="BAJA(1)",1,IF(R385="MEDIA(2)",2,IF(R385="ALTA(3)",3,3))))</f>
        <v/>
      </c>
      <c r="T385" s="10">
        <f>+IF(S385&lt;6,"BAJA",IF(S385&lt;8,"MEDIA","ALTA"))</f>
        <v/>
      </c>
      <c r="U385" s="10" t="inlineStr">
        <is>
          <t>-</t>
        </is>
      </c>
      <c r="V385" s="24" t="n">
        <v>45674</v>
      </c>
      <c r="W385" s="19" t="inlineStr">
        <is>
          <t>N/A</t>
        </is>
      </c>
      <c r="X385" s="10">
        <f>+IFERROR(IF(VLOOKUP(Tabla2[[#This Row],[ID]],'EVALUACION DE RIESGO'!A:A,1,FALSE)=Tabla2[[#This Row],[ID]],"SI","NO"),"NO")</f>
        <v/>
      </c>
    </row>
    <row r="386">
      <c r="A386" s="91" t="inlineStr">
        <is>
          <t>7-GOP</t>
        </is>
      </c>
      <c r="B386" s="10" t="inlineStr">
        <is>
          <t>APOYO</t>
        </is>
      </c>
      <c r="C386" s="10" t="inlineStr">
        <is>
          <t xml:space="preserve">Gestión de Operaciones </t>
        </is>
      </c>
      <c r="D386" s="10" t="inlineStr">
        <is>
          <t>GOP</t>
        </is>
      </c>
      <c r="E386" s="10" t="inlineStr">
        <is>
          <t>Soporte Operativo</t>
        </is>
      </c>
      <c r="F386" s="10" t="inlineStr">
        <is>
          <t>-</t>
        </is>
      </c>
      <c r="G386" s="10" t="inlineStr">
        <is>
          <t>Transferencias interbancarias y remesas del exterior</t>
        </is>
      </c>
      <c r="H386" s="10" t="inlineStr">
        <is>
          <t>Reporte de órdenes de pagos interbancarios / Archivo de confirmación de transferencias del BCE</t>
        </is>
      </c>
      <c r="I386" s="10" t="inlineStr">
        <is>
          <t>Estructura SP2 - Remesas , cuando personas del Exterior enviar transferencias a través de Caja Caiza a la Institución</t>
        </is>
      </c>
      <c r="J386" s="10" t="inlineStr">
        <is>
          <t>Jefe de Soporte y Cuadres</t>
        </is>
      </c>
      <c r="K386" s="10" t="inlineStr">
        <is>
          <t>Asistente Operativo</t>
        </is>
      </c>
      <c r="L386" s="10" t="inlineStr">
        <is>
          <t>UBICACIÓN DIGITAL-EQUIPO DEL CUSTODIO</t>
        </is>
      </c>
      <c r="M386" s="10" t="inlineStr">
        <is>
          <t>DISCOS DUROS, SERVIDORES, DISCOS O MEDIOS PORTÁTILES, CINTAS O MEDIOS DE VIDEO Y AUDIO, ETC.</t>
        </is>
      </c>
      <c r="N386" s="10" t="inlineStr">
        <is>
          <t>PRIMARIOS</t>
        </is>
      </c>
      <c r="O386" s="10" t="inlineStr">
        <is>
          <t>DOCUMENTOS TÉCNICOS</t>
        </is>
      </c>
      <c r="P386" s="10" t="inlineStr">
        <is>
          <t>RESTRINGIDO(3)</t>
        </is>
      </c>
      <c r="Q386" s="10" t="inlineStr">
        <is>
          <t>BAJA(1)</t>
        </is>
      </c>
      <c r="R386" s="10" t="inlineStr">
        <is>
          <t>MEDIA(2)</t>
        </is>
      </c>
      <c r="S386" s="10">
        <f>+(IF(P386="PUBLICA(1)",1,IF(P386="USO INTERNO(2)",2,IF(P386="RESTRINGIDO(3)",3,3))))+(IF(Q386="BAJA(1)",1,IF(Q386="MEDIA(2)",2,IF(Q386="ALTA(3)",3,3))))+(IF(R386="BAJA(1)",1,IF(R386="MEDIA(2)",2,IF(R386="ALTA(3)",3,3))))</f>
        <v/>
      </c>
      <c r="T386" s="10">
        <f>+IF(S386&lt;6,"BAJA",IF(S386&lt;8,"MEDIA","ALTA"))</f>
        <v/>
      </c>
      <c r="U386" s="10" t="inlineStr">
        <is>
          <t>-</t>
        </is>
      </c>
      <c r="V386" s="24" t="n">
        <v>45674</v>
      </c>
      <c r="W386" s="19" t="inlineStr">
        <is>
          <t>N/A</t>
        </is>
      </c>
      <c r="X386" s="10">
        <f>+IFERROR(IF(VLOOKUP(Tabla2[[#This Row],[ID]],'EVALUACION DE RIESGO'!A:A,1,FALSE)=Tabla2[[#This Row],[ID]],"SI","NO"),"NO")</f>
        <v/>
      </c>
    </row>
    <row r="387">
      <c r="A387" s="91" t="inlineStr">
        <is>
          <t>8-GOP</t>
        </is>
      </c>
      <c r="B387" s="10" t="inlineStr">
        <is>
          <t>APOYO</t>
        </is>
      </c>
      <c r="C387" s="10" t="inlineStr">
        <is>
          <t xml:space="preserve">Gestión de Operaciones </t>
        </is>
      </c>
      <c r="D387" s="10" t="inlineStr">
        <is>
          <t>GOP</t>
        </is>
      </c>
      <c r="E387" s="10" t="inlineStr">
        <is>
          <t>Soporte Operativo</t>
        </is>
      </c>
      <c r="F387" s="10" t="inlineStr">
        <is>
          <t>-</t>
        </is>
      </c>
      <c r="G387" s="10" t="inlineStr">
        <is>
          <t>Transferencias interbancarias y remesas del exterior</t>
        </is>
      </c>
      <c r="H387" s="10" t="inlineStr">
        <is>
          <t>Reporte de confirmación OPE3, el archivo de detalle de transferencias OPE2</t>
        </is>
      </c>
      <c r="I387" s="10" t="inlineStr">
        <is>
          <t>Estructuras de recepción de transacciones y respuestas  SPI2 y SPI3</t>
        </is>
      </c>
      <c r="J387" s="10" t="inlineStr">
        <is>
          <t>Jefe de Soporte y Cuadres</t>
        </is>
      </c>
      <c r="K387" s="10" t="inlineStr">
        <is>
          <t>Asistente Operativo</t>
        </is>
      </c>
      <c r="L387" s="10" t="inlineStr">
        <is>
          <t>UBICACIÓN DIGITAL-EQUIPO DEL CUSTODIO</t>
        </is>
      </c>
      <c r="M387" s="10" t="inlineStr">
        <is>
          <t>DISCOS DUROS, SERVIDORES, DISCOS O MEDIOS PORTÁTILES, CINTAS O MEDIOS DE VIDEO Y AUDIO, ETC.</t>
        </is>
      </c>
      <c r="N387" s="10" t="inlineStr">
        <is>
          <t>PRIMARIOS</t>
        </is>
      </c>
      <c r="O387" s="10" t="inlineStr">
        <is>
          <t>DOCUMENTOS TÉCNICOS</t>
        </is>
      </c>
      <c r="P387" s="10" t="inlineStr">
        <is>
          <t>RESTRINGIDO(3)</t>
        </is>
      </c>
      <c r="Q387" s="10" t="inlineStr">
        <is>
          <t>MEDIA(2)</t>
        </is>
      </c>
      <c r="R387" s="10" t="inlineStr">
        <is>
          <t>MEDIA(2)</t>
        </is>
      </c>
      <c r="S387" s="10">
        <f>+(IF(P387="PUBLICA(1)",1,IF(P387="USO INTERNO(2)",2,IF(P387="RESTRINGIDO(3)",3,3))))+(IF(Q387="BAJA(1)",1,IF(Q387="MEDIA(2)",2,IF(Q387="ALTA(3)",3,3))))+(IF(R387="BAJA(1)",1,IF(R387="MEDIA(2)",2,IF(R387="ALTA(3)",3,3))))</f>
        <v/>
      </c>
      <c r="T387" s="10">
        <f>+IF(S387&lt;6,"BAJA",IF(S387&lt;8,"MEDIA","ALTA"))</f>
        <v/>
      </c>
      <c r="U387" s="10" t="inlineStr">
        <is>
          <t>-</t>
        </is>
      </c>
      <c r="V387" s="24" t="n">
        <v>45674</v>
      </c>
      <c r="W387" s="19" t="inlineStr">
        <is>
          <t>N/A</t>
        </is>
      </c>
      <c r="X387" s="10">
        <f>+IFERROR(IF(VLOOKUP(Tabla2[[#This Row],[ID]],'EVALUACION DE RIESGO'!A:A,1,FALSE)=Tabla2[[#This Row],[ID]],"SI","NO"),"NO")</f>
        <v/>
      </c>
    </row>
    <row r="388">
      <c r="A388" s="91" t="inlineStr">
        <is>
          <t>9-GOP</t>
        </is>
      </c>
      <c r="B388" s="10" t="inlineStr">
        <is>
          <t>APOYO</t>
        </is>
      </c>
      <c r="C388" s="10" t="inlineStr">
        <is>
          <t xml:space="preserve">Gestión de Operaciones </t>
        </is>
      </c>
      <c r="D388" s="10" t="inlineStr">
        <is>
          <t>GOP</t>
        </is>
      </c>
      <c r="E388" s="10" t="inlineStr">
        <is>
          <t>Soporte Operativo</t>
        </is>
      </c>
      <c r="F388" s="10" t="inlineStr">
        <is>
          <t>-</t>
        </is>
      </c>
      <c r="G388" s="10" t="inlineStr">
        <is>
          <t>Transferencias interbancarias y remesas del exterior</t>
        </is>
      </c>
      <c r="H388" s="10" t="inlineStr">
        <is>
          <t>Reporte transaccional de transferencias interbancarias</t>
        </is>
      </c>
      <c r="I388" s="10" t="inlineStr">
        <is>
          <t>Reporte generado desde el sistema WebCoop, que contiene el detalle de la transacción, fechas, canales, cuenta origen, destino, montos, detalle del cliente</t>
        </is>
      </c>
      <c r="J388" s="10" t="inlineStr">
        <is>
          <t>Jefe de Soporte y Cuadres</t>
        </is>
      </c>
      <c r="K388" s="10" t="inlineStr">
        <is>
          <t>Sistema WebCoop</t>
        </is>
      </c>
      <c r="L388" s="10" t="inlineStr">
        <is>
          <t>UBICACIÓN DIGITAL-CORE FINANCIERO</t>
        </is>
      </c>
      <c r="M388" s="10" t="inlineStr">
        <is>
          <t>SISTEMAS DE INFORMACIÓN CORPORATIVOS</t>
        </is>
      </c>
      <c r="N388" s="10" t="inlineStr">
        <is>
          <t>PRIMARIOS</t>
        </is>
      </c>
      <c r="O388" s="10" t="inlineStr">
        <is>
          <t>DOCUMENTOS TÉCNICOS</t>
        </is>
      </c>
      <c r="P388" s="10" t="inlineStr">
        <is>
          <t>USO INTERNO(2)</t>
        </is>
      </c>
      <c r="Q388" s="10" t="inlineStr">
        <is>
          <t>BAJA(1)</t>
        </is>
      </c>
      <c r="R388" s="10" t="inlineStr">
        <is>
          <t>MEDIA(2)</t>
        </is>
      </c>
      <c r="S388" s="10">
        <f>+(IF(P388="PUBLICA(1)",1,IF(P388="USO INTERNO(2)",2,IF(P388="RESTRINGIDO(3)",3,3))))+(IF(Q388="BAJA(1)",1,IF(Q388="MEDIA(2)",2,IF(Q388="ALTA(3)",3,3))))+(IF(R388="BAJA(1)",1,IF(R388="MEDIA(2)",2,IF(R388="ALTA(3)",3,3))))</f>
        <v/>
      </c>
      <c r="T388" s="10">
        <f>+IF(S388&lt;6,"BAJA",IF(S388&lt;8,"MEDIA","ALTA"))</f>
        <v/>
      </c>
      <c r="U388" s="10" t="inlineStr">
        <is>
          <t>-</t>
        </is>
      </c>
      <c r="V388" s="24" t="n">
        <v>45674</v>
      </c>
      <c r="W388" s="19" t="inlineStr">
        <is>
          <t>N/A</t>
        </is>
      </c>
      <c r="X388" s="10">
        <f>+IFERROR(IF(VLOOKUP(Tabla2[[#This Row],[ID]],'EVALUACION DE RIESGO'!A:A,1,FALSE)=Tabla2[[#This Row],[ID]],"SI","NO"),"NO")</f>
        <v/>
      </c>
    </row>
    <row r="389">
      <c r="A389" s="91" t="inlineStr">
        <is>
          <t>10-GOP</t>
        </is>
      </c>
      <c r="B389" s="10" t="inlineStr">
        <is>
          <t>APOYO</t>
        </is>
      </c>
      <c r="C389" s="10" t="inlineStr">
        <is>
          <t xml:space="preserve">Gestión de Operaciones </t>
        </is>
      </c>
      <c r="D389" s="10" t="inlineStr">
        <is>
          <t>GOP</t>
        </is>
      </c>
      <c r="E389" s="10" t="inlineStr">
        <is>
          <t>Soporte Operativo</t>
        </is>
      </c>
      <c r="F389" s="10" t="inlineStr">
        <is>
          <t>-</t>
        </is>
      </c>
      <c r="G389" s="10" t="inlineStr">
        <is>
          <t xml:space="preserve">Cobros interbancarios </t>
        </is>
      </c>
      <c r="H389" s="10" t="inlineStr">
        <is>
          <t>Estructuras del corte diario SCI3</t>
        </is>
      </c>
      <c r="I389" s="10" t="inlineStr">
        <is>
          <t>Reporte generado desde el sistema WebCoop, que contiene el detalle de la transacción, fechas, canales, cuenta origen, destino, montos, detalle del cliente</t>
        </is>
      </c>
      <c r="J389" s="10" t="inlineStr">
        <is>
          <t>Jefe de Soporte y Cuadres</t>
        </is>
      </c>
      <c r="K389" s="10" t="inlineStr">
        <is>
          <t>Sistema WebCoop</t>
        </is>
      </c>
      <c r="L389" s="10" t="inlineStr">
        <is>
          <t>UBICACIÓN DIGITAL-CORE FINANCIERO</t>
        </is>
      </c>
      <c r="M389" s="10" t="inlineStr">
        <is>
          <t>SISTEMAS DE INFORMACIÓN CORPORATIVOS</t>
        </is>
      </c>
      <c r="N389" s="10" t="inlineStr">
        <is>
          <t>PRIMARIOS</t>
        </is>
      </c>
      <c r="O389" s="10" t="inlineStr">
        <is>
          <t>DOCUMENTOS TÉCNICOS</t>
        </is>
      </c>
      <c r="P389" s="10" t="inlineStr">
        <is>
          <t>RESTRINGIDO(3)</t>
        </is>
      </c>
      <c r="Q389" s="10" t="inlineStr">
        <is>
          <t>MEDIA(2)</t>
        </is>
      </c>
      <c r="R389" s="10" t="inlineStr">
        <is>
          <t>MEDIA(2)</t>
        </is>
      </c>
      <c r="S389" s="10">
        <f>+(IF(P389="PUBLICA(1)",1,IF(P389="USO INTERNO(2)",2,IF(P389="RESTRINGIDO(3)",3,3))))+(IF(Q389="BAJA(1)",1,IF(Q389="MEDIA(2)",2,IF(Q389="ALTA(3)",3,3))))+(IF(R389="BAJA(1)",1,IF(R389="MEDIA(2)",2,IF(R389="ALTA(3)",3,3))))</f>
        <v/>
      </c>
      <c r="T389" s="10">
        <f>+IF(S389&lt;6,"BAJA",IF(S389&lt;8,"MEDIA","ALTA"))</f>
        <v/>
      </c>
      <c r="U389" s="10" t="inlineStr">
        <is>
          <t>-</t>
        </is>
      </c>
      <c r="V389" s="24" t="n">
        <v>45674</v>
      </c>
      <c r="W389" s="19" t="inlineStr">
        <is>
          <t>N/A</t>
        </is>
      </c>
      <c r="X389" s="10">
        <f>+IFERROR(IF(VLOOKUP(Tabla2[[#This Row],[ID]],'EVALUACION DE RIESGO'!A:A,1,FALSE)=Tabla2[[#This Row],[ID]],"SI","NO"),"NO")</f>
        <v/>
      </c>
    </row>
    <row r="390">
      <c r="A390" s="91" t="inlineStr">
        <is>
          <t>11-GOP</t>
        </is>
      </c>
      <c r="B390" s="10" t="inlineStr">
        <is>
          <t>APOYO</t>
        </is>
      </c>
      <c r="C390" s="10" t="inlineStr">
        <is>
          <t xml:space="preserve">Gestión de Operaciones </t>
        </is>
      </c>
      <c r="D390" s="10" t="inlineStr">
        <is>
          <t>GOP</t>
        </is>
      </c>
      <c r="E390" s="10" t="inlineStr">
        <is>
          <t>Soporte Operativo</t>
        </is>
      </c>
      <c r="F390" s="10" t="inlineStr">
        <is>
          <t>-</t>
        </is>
      </c>
      <c r="G390" s="10" t="inlineStr">
        <is>
          <t xml:space="preserve">Cobros interbancarios </t>
        </is>
      </c>
      <c r="H390" s="10" t="inlineStr">
        <is>
          <t>Confirmación de las transacciones</t>
        </is>
      </c>
      <c r="I390" s="10" t="inlineStr">
        <is>
          <t>Estructura SCI3 exportando del sistema FIT</t>
        </is>
      </c>
      <c r="J390" s="10" t="inlineStr">
        <is>
          <t>Jefe de Soporte y Cuadres</t>
        </is>
      </c>
      <c r="K390" s="10" t="inlineStr">
        <is>
          <t>CORE FINANCIERO</t>
        </is>
      </c>
      <c r="L390" s="10" t="inlineStr">
        <is>
          <t>UBICACIÓN DIGITAL-CORE FINANCIERO</t>
        </is>
      </c>
      <c r="M390" s="10" t="inlineStr">
        <is>
          <t>SISTEMAS DE INFORMACIÓN CORPORATIVOS</t>
        </is>
      </c>
      <c r="N390" s="10" t="inlineStr">
        <is>
          <t>PRIMARIOS</t>
        </is>
      </c>
      <c r="O390" s="10" t="inlineStr">
        <is>
          <t>DOCUMENTOS TÉCNICOS</t>
        </is>
      </c>
      <c r="P390" s="10" t="inlineStr">
        <is>
          <t>RESTRINGIDO(3)</t>
        </is>
      </c>
      <c r="Q390" s="10" t="inlineStr">
        <is>
          <t>MEDIA(2)</t>
        </is>
      </c>
      <c r="R390" s="10" t="inlineStr">
        <is>
          <t>MEDIA(2)</t>
        </is>
      </c>
      <c r="S390" s="10">
        <f>+(IF(P390="PUBLICA(1)",1,IF(P390="USO INTERNO(2)",2,IF(P390="RESTRINGIDO(3)",3,3))))+(IF(Q390="BAJA(1)",1,IF(Q390="MEDIA(2)",2,IF(Q390="ALTA(3)",3,3))))+(IF(R390="BAJA(1)",1,IF(R390="MEDIA(2)",2,IF(R390="ALTA(3)",3,3))))</f>
        <v/>
      </c>
      <c r="T390" s="10">
        <f>+IF(S390&lt;6,"BAJA",IF(S390&lt;8,"MEDIA","ALTA"))</f>
        <v/>
      </c>
      <c r="U390" s="10" t="inlineStr">
        <is>
          <t>-</t>
        </is>
      </c>
      <c r="V390" s="24" t="n">
        <v>45674</v>
      </c>
      <c r="W390" s="19" t="inlineStr">
        <is>
          <t>N/A</t>
        </is>
      </c>
      <c r="X390" s="10">
        <f>+IFERROR(IF(VLOOKUP(Tabla2[[#This Row],[ID]],'EVALUACION DE RIESGO'!A:A,1,FALSE)=Tabla2[[#This Row],[ID]],"SI","NO"),"NO")</f>
        <v/>
      </c>
    </row>
    <row r="391">
      <c r="A391" s="91" t="inlineStr">
        <is>
          <t>12-GOP</t>
        </is>
      </c>
      <c r="B391" s="10" t="inlineStr">
        <is>
          <t>APOYO</t>
        </is>
      </c>
      <c r="C391" s="10" t="inlineStr">
        <is>
          <t xml:space="preserve">Gestión de Operaciones </t>
        </is>
      </c>
      <c r="D391" s="10" t="inlineStr">
        <is>
          <t>GOP</t>
        </is>
      </c>
      <c r="E391" s="10" t="inlineStr">
        <is>
          <t>Soporte Operativo</t>
        </is>
      </c>
      <c r="F391" s="10" t="inlineStr">
        <is>
          <t>-</t>
        </is>
      </c>
      <c r="G391" s="10" t="inlineStr">
        <is>
          <t xml:space="preserve">Débito de seguro de vida   </t>
        </is>
      </c>
      <c r="H391" s="10" t="inlineStr">
        <is>
          <t>Reporte de cuentas debitadas por Seguro de Vida</t>
        </is>
      </c>
      <c r="I391" s="10" t="inlineStr">
        <is>
          <t>Reporte detallado de los débitos realizados con información de cliente, fecha, cuenta, valor, apertura, sexo, dirección</t>
        </is>
      </c>
      <c r="J391" s="10" t="inlineStr">
        <is>
          <t>Jefe de Soporte y Cuadres</t>
        </is>
      </c>
      <c r="K391" s="10" t="inlineStr">
        <is>
          <t>Asistente Operativo</t>
        </is>
      </c>
      <c r="L391" s="10" t="inlineStr">
        <is>
          <t>UBICACIÓN DIGITAL-EQUIPO DEL CUSTODIO</t>
        </is>
      </c>
      <c r="M391" s="10" t="inlineStr">
        <is>
          <t>DISCOS DUROS, SERVIDORES, DISCOS O MEDIOS PORTÁTILES, CINTAS O MEDIOS DE VIDEO Y AUDIO, ETC.</t>
        </is>
      </c>
      <c r="N391" s="10" t="inlineStr">
        <is>
          <t>PRIMARIOS</t>
        </is>
      </c>
      <c r="O391" s="10" t="inlineStr">
        <is>
          <t>DOCUMENTOS TÉCNICOS</t>
        </is>
      </c>
      <c r="P391" s="10" t="inlineStr">
        <is>
          <t>RESTRINGIDO(3)</t>
        </is>
      </c>
      <c r="Q391" s="10" t="inlineStr">
        <is>
          <t>BAJA(1)</t>
        </is>
      </c>
      <c r="R391" s="10" t="inlineStr">
        <is>
          <t>BAJA(1)</t>
        </is>
      </c>
      <c r="S391" s="10">
        <f>+(IF(P391="PUBLICA(1)",1,IF(P391="USO INTERNO(2)",2,IF(P391="RESTRINGIDO(3)",3,3))))+(IF(Q391="BAJA(1)",1,IF(Q391="MEDIA(2)",2,IF(Q391="ALTA(3)",3,3))))+(IF(R391="BAJA(1)",1,IF(R391="MEDIA(2)",2,IF(R391="ALTA(3)",3,3))))</f>
        <v/>
      </c>
      <c r="T391" s="10">
        <f>+IF(S391&lt;6,"BAJA",IF(S391&lt;8,"MEDIA","ALTA"))</f>
        <v/>
      </c>
      <c r="U391" s="10" t="inlineStr">
        <is>
          <t>-</t>
        </is>
      </c>
      <c r="V391" s="24" t="n">
        <v>45674</v>
      </c>
      <c r="W391" s="19" t="inlineStr">
        <is>
          <t>N/A</t>
        </is>
      </c>
      <c r="X391" s="10">
        <f>+IFERROR(IF(VLOOKUP(Tabla2[[#This Row],[ID]],'EVALUACION DE RIESGO'!A:A,1,FALSE)=Tabla2[[#This Row],[ID]],"SI","NO"),"NO")</f>
        <v/>
      </c>
    </row>
    <row r="392">
      <c r="A392" s="91" t="inlineStr">
        <is>
          <t>13-GOP</t>
        </is>
      </c>
      <c r="B392" s="10" t="inlineStr">
        <is>
          <t>APOYO</t>
        </is>
      </c>
      <c r="C392" s="10" t="inlineStr">
        <is>
          <t xml:space="preserve">Gestión de Operaciones </t>
        </is>
      </c>
      <c r="D392" s="10" t="inlineStr">
        <is>
          <t>GOP</t>
        </is>
      </c>
      <c r="E392" s="10" t="inlineStr">
        <is>
          <t>Soporte Operativo</t>
        </is>
      </c>
      <c r="F392" s="10" t="inlineStr">
        <is>
          <t>-</t>
        </is>
      </c>
      <c r="G392" s="10" t="inlineStr">
        <is>
          <t xml:space="preserve">Débito de seguro de vida   </t>
        </is>
      </c>
      <c r="H392" s="10" t="inlineStr">
        <is>
          <t>Registro de transacciones a regularizar</t>
        </is>
      </c>
      <c r="I392" s="10" t="inlineStr">
        <is>
          <t xml:space="preserve">Registros manuales de débitos o créditos realizados </t>
        </is>
      </c>
      <c r="J392" s="10" t="inlineStr">
        <is>
          <t>Jefe de Soporte y Cuadres</t>
        </is>
      </c>
      <c r="K392" s="10" t="inlineStr">
        <is>
          <t>Asistente Operativo</t>
        </is>
      </c>
      <c r="L392" s="10" t="inlineStr">
        <is>
          <t>UBICACIÓN DIGITAL-EQUIPO DEL CUSTODIO</t>
        </is>
      </c>
      <c r="M392" s="10" t="inlineStr">
        <is>
          <t>DISCOS DUROS, SERVIDORES, DISCOS O MEDIOS PORTÁTILES, CINTAS O MEDIOS DE VIDEO Y AUDIO, ETC.</t>
        </is>
      </c>
      <c r="N392" s="10" t="inlineStr">
        <is>
          <t>PRIMARIOS</t>
        </is>
      </c>
      <c r="O392" s="10" t="inlineStr">
        <is>
          <t>DOCUMENTOS TÉCNICOS</t>
        </is>
      </c>
      <c r="P392" s="10" t="inlineStr">
        <is>
          <t>USO INTERNO(2)</t>
        </is>
      </c>
      <c r="Q392" s="10" t="inlineStr">
        <is>
          <t>BAJA(1)</t>
        </is>
      </c>
      <c r="R392" s="10" t="inlineStr">
        <is>
          <t>BAJA(1)</t>
        </is>
      </c>
      <c r="S392" s="10">
        <f>+(IF(P392="PUBLICA(1)",1,IF(P392="USO INTERNO(2)",2,IF(P392="RESTRINGIDO(3)",3,3))))+(IF(Q392="BAJA(1)",1,IF(Q392="MEDIA(2)",2,IF(Q392="ALTA(3)",3,3))))+(IF(R392="BAJA(1)",1,IF(R392="MEDIA(2)",2,IF(R392="ALTA(3)",3,3))))</f>
        <v/>
      </c>
      <c r="T392" s="10">
        <f>+IF(S392&lt;6,"BAJA",IF(S392&lt;8,"MEDIA","ALTA"))</f>
        <v/>
      </c>
      <c r="U392" s="10" t="inlineStr">
        <is>
          <t>-</t>
        </is>
      </c>
      <c r="V392" s="24" t="n">
        <v>45674</v>
      </c>
      <c r="W392" s="19" t="inlineStr">
        <is>
          <t>N/A</t>
        </is>
      </c>
      <c r="X392" s="10">
        <f>+IFERROR(IF(VLOOKUP(Tabla2[[#This Row],[ID]],'EVALUACION DE RIESGO'!A:A,1,FALSE)=Tabla2[[#This Row],[ID]],"SI","NO"),"NO")</f>
        <v/>
      </c>
    </row>
    <row r="393">
      <c r="A393" s="91" t="inlineStr">
        <is>
          <t>14-GOP</t>
        </is>
      </c>
      <c r="B393" s="10" t="inlineStr">
        <is>
          <t>APOYO</t>
        </is>
      </c>
      <c r="C393" s="10" t="inlineStr">
        <is>
          <t xml:space="preserve">Gestión de Operaciones </t>
        </is>
      </c>
      <c r="D393" s="10" t="inlineStr">
        <is>
          <t>GOP</t>
        </is>
      </c>
      <c r="E393" s="10" t="inlineStr">
        <is>
          <t>Soporte Operativo</t>
        </is>
      </c>
      <c r="F393" s="10" t="inlineStr">
        <is>
          <t>-</t>
        </is>
      </c>
      <c r="G393" s="10" t="inlineStr">
        <is>
          <t xml:space="preserve">Pago al COSEDE por depósitos garantizados       </t>
        </is>
      </c>
      <c r="H393" s="10" t="inlineStr">
        <is>
          <t>Reporte de cálculo pago al COSEDE</t>
        </is>
      </c>
      <c r="I393" s="10" t="inlineStr">
        <is>
          <t>Registro de pagos realizados en la plataforma Cosede, captura de pantalla de valores y confirmación</t>
        </is>
      </c>
      <c r="J393" s="10" t="inlineStr">
        <is>
          <t>Jefe de Soporte y Cuadres</t>
        </is>
      </c>
      <c r="K393" s="10" t="inlineStr">
        <is>
          <t>Asistente Operativo</t>
        </is>
      </c>
      <c r="L393" s="10" t="inlineStr">
        <is>
          <t>UBICACIÓN DIGITAL-EQUIPO DEL CUSTODIO</t>
        </is>
      </c>
      <c r="M393" s="10" t="inlineStr">
        <is>
          <t>DISCOS DUROS, SERVIDORES, DISCOS O MEDIOS PORTÁTILES, CINTAS O MEDIOS DE VIDEO Y AUDIO, ETC.</t>
        </is>
      </c>
      <c r="N393" s="10" t="inlineStr">
        <is>
          <t>PRIMARIOS</t>
        </is>
      </c>
      <c r="O393" s="10" t="inlineStr">
        <is>
          <t>DOCUMENTOS TÉCNICOS</t>
        </is>
      </c>
      <c r="P393" s="10" t="inlineStr">
        <is>
          <t>USO INTERNO(2)</t>
        </is>
      </c>
      <c r="Q393" s="10" t="inlineStr">
        <is>
          <t>BAJA(1)</t>
        </is>
      </c>
      <c r="R393" s="10" t="inlineStr">
        <is>
          <t>BAJA(1)</t>
        </is>
      </c>
      <c r="S393" s="10">
        <f>+(IF(P393="PUBLICA(1)",1,IF(P393="USO INTERNO(2)",2,IF(P393="RESTRINGIDO(3)",3,3))))+(IF(Q393="BAJA(1)",1,IF(Q393="MEDIA(2)",2,IF(Q393="ALTA(3)",3,3))))+(IF(R393="BAJA(1)",1,IF(R393="MEDIA(2)",2,IF(R393="ALTA(3)",3,3))))</f>
        <v/>
      </c>
      <c r="T393" s="10">
        <f>+IF(S393&lt;6,"BAJA",IF(S393&lt;8,"MEDIA","ALTA"))</f>
        <v/>
      </c>
      <c r="U393" s="10" t="inlineStr">
        <is>
          <t>-</t>
        </is>
      </c>
      <c r="V393" s="24" t="n">
        <v>45674</v>
      </c>
      <c r="W393" s="19" t="inlineStr">
        <is>
          <t>N/A</t>
        </is>
      </c>
      <c r="X393" s="10">
        <f>+IFERROR(IF(VLOOKUP(Tabla2[[#This Row],[ID]],'EVALUACION DE RIESGO'!A:A,1,FALSE)=Tabla2[[#This Row],[ID]],"SI","NO"),"NO")</f>
        <v/>
      </c>
    </row>
    <row r="394">
      <c r="A394" s="91" t="inlineStr">
        <is>
          <t>15-GOP</t>
        </is>
      </c>
      <c r="B394" s="10" t="inlineStr">
        <is>
          <t>APOYO</t>
        </is>
      </c>
      <c r="C394" s="10" t="inlineStr">
        <is>
          <t xml:space="preserve">Gestión de Operaciones </t>
        </is>
      </c>
      <c r="D394" s="10" t="inlineStr">
        <is>
          <t>GOP</t>
        </is>
      </c>
      <c r="E394" s="10" t="inlineStr">
        <is>
          <t>Cuadres y Conciliaciones</t>
        </is>
      </c>
      <c r="F394" s="10" t="inlineStr">
        <is>
          <t>-</t>
        </is>
      </c>
      <c r="G394" s="10" t="inlineStr">
        <is>
          <t xml:space="preserve">Revisión de Anexo de Cuentas Principales </t>
        </is>
      </c>
      <c r="H394" s="10" t="inlineStr">
        <is>
          <t>Papeles de trabajo</t>
        </is>
      </c>
      <c r="I394" s="10" t="inlineStr">
        <is>
          <t>Plantillas de cuadres que contiene secuencial de autorización, código de respuesta, montos, cuenta receptor, cuenta ordenante, banco, otros</t>
        </is>
      </c>
      <c r="J394" s="10" t="inlineStr">
        <is>
          <t>Jefe de Soporte y Cuadres</t>
        </is>
      </c>
      <c r="K394" s="10" t="inlineStr">
        <is>
          <t>Asistente Operativo</t>
        </is>
      </c>
      <c r="L394" s="10" t="inlineStr">
        <is>
          <t>UBICACIÓN DIGITAL-EQUIPO DEL CUSTODIO</t>
        </is>
      </c>
      <c r="M394" s="10" t="inlineStr">
        <is>
          <t>DISCOS DUROS, SERVIDORES, DISCOS O MEDIOS PORTÁTILES, CINTAS O MEDIOS DE VIDEO Y AUDIO, ETC.</t>
        </is>
      </c>
      <c r="N394" s="10" t="inlineStr">
        <is>
          <t>PRIMARIOS</t>
        </is>
      </c>
      <c r="O394" s="10" t="inlineStr">
        <is>
          <t>DOCUMENTOS TÉCNICOS</t>
        </is>
      </c>
      <c r="P394" s="10" t="inlineStr">
        <is>
          <t>USO INTERNO(2)</t>
        </is>
      </c>
      <c r="Q394" s="10" t="inlineStr">
        <is>
          <t>MEDIA(2)</t>
        </is>
      </c>
      <c r="R394" s="10" t="inlineStr">
        <is>
          <t>ALTA(3)</t>
        </is>
      </c>
      <c r="S394" s="10">
        <f>+(IF(P394="PUBLICA(1)",1,IF(P394="USO INTERNO(2)",2,IF(P394="RESTRINGIDO(3)",3,3))))+(IF(Q394="BAJA(1)",1,IF(Q394="MEDIA(2)",2,IF(Q394="ALTA(3)",3,3))))+(IF(R394="BAJA(1)",1,IF(R394="MEDIA(2)",2,IF(R394="ALTA(3)",3,3))))</f>
        <v/>
      </c>
      <c r="T394" s="10">
        <f>+IF(S394&lt;6,"BAJA",IF(S394&lt;8,"MEDIA","ALTA"))</f>
        <v/>
      </c>
      <c r="U394" s="10" t="inlineStr">
        <is>
          <t>-</t>
        </is>
      </c>
      <c r="V394" s="24" t="n">
        <v>45674</v>
      </c>
      <c r="W394" s="19" t="inlineStr">
        <is>
          <t>N/A</t>
        </is>
      </c>
      <c r="X394" s="10">
        <f>+IFERROR(IF(VLOOKUP(Tabla2[[#This Row],[ID]],'EVALUACION DE RIESGO'!A:A,1,FALSE)=Tabla2[[#This Row],[ID]],"SI","NO"),"NO")</f>
        <v/>
      </c>
    </row>
    <row r="395">
      <c r="A395" s="91" t="inlineStr">
        <is>
          <t>16-GOP</t>
        </is>
      </c>
      <c r="B395" s="10" t="inlineStr">
        <is>
          <t>APOYO</t>
        </is>
      </c>
      <c r="C395" s="10" t="inlineStr">
        <is>
          <t xml:space="preserve">Gestión de Operaciones </t>
        </is>
      </c>
      <c r="D395" s="10" t="inlineStr">
        <is>
          <t>GOP</t>
        </is>
      </c>
      <c r="E395" s="10" t="inlineStr">
        <is>
          <t>Cuadres y Conciliaciones</t>
        </is>
      </c>
      <c r="F395" s="10" t="inlineStr">
        <is>
          <t>-</t>
        </is>
      </c>
      <c r="G395" s="10" t="inlineStr">
        <is>
          <t xml:space="preserve">Revisión de Anexo de Cuentas Principales </t>
        </is>
      </c>
      <c r="H395" s="10" t="inlineStr">
        <is>
          <t>Solicitud de ajuste Contable</t>
        </is>
      </c>
      <c r="I395" s="10" t="inlineStr">
        <is>
          <t>Formulario de corrección de errores que se envía a contabilidad y reportes de webcoop, así como los files de proveedores</t>
        </is>
      </c>
      <c r="J395" s="10" t="inlineStr">
        <is>
          <t>Jefe de Soporte y Cuadres</t>
        </is>
      </c>
      <c r="K395" s="10" t="inlineStr">
        <is>
          <t>Asistente Operativo</t>
        </is>
      </c>
      <c r="L395" s="10" t="inlineStr">
        <is>
          <t>UBICACIÓN DIGITAL-EQUIPO DEL CUSTODIO</t>
        </is>
      </c>
      <c r="M395" s="10" t="inlineStr">
        <is>
          <t>DISCOS DUROS, SERVIDORES, DISCOS O MEDIOS PORTÁTILES, CINTAS O MEDIOS DE VIDEO Y AUDIO, ETC.</t>
        </is>
      </c>
      <c r="N395" s="10" t="inlineStr">
        <is>
          <t>PRIMARIOS</t>
        </is>
      </c>
      <c r="O395" s="10" t="inlineStr">
        <is>
          <t>DOCUMENTOS TÉCNICOS</t>
        </is>
      </c>
      <c r="P395" s="10" t="inlineStr">
        <is>
          <t>USO INTERNO(2)</t>
        </is>
      </c>
      <c r="Q395" s="10" t="inlineStr">
        <is>
          <t>BAJA(1)</t>
        </is>
      </c>
      <c r="R395" s="10" t="inlineStr">
        <is>
          <t>MEDIA(2)</t>
        </is>
      </c>
      <c r="S395" s="10">
        <f>+(IF(P395="PUBLICA(1)",1,IF(P395="USO INTERNO(2)",2,IF(P395="RESTRINGIDO(3)",3,3))))+(IF(Q395="BAJA(1)",1,IF(Q395="MEDIA(2)",2,IF(Q395="ALTA(3)",3,3))))+(IF(R395="BAJA(1)",1,IF(R395="MEDIA(2)",2,IF(R395="ALTA(3)",3,3))))</f>
        <v/>
      </c>
      <c r="T395" s="10">
        <f>+IF(S395&lt;6,"BAJA",IF(S395&lt;8,"MEDIA","ALTA"))</f>
        <v/>
      </c>
      <c r="U395" s="10" t="inlineStr">
        <is>
          <t>-</t>
        </is>
      </c>
      <c r="V395" s="24" t="n">
        <v>45674</v>
      </c>
      <c r="W395" s="19" t="inlineStr">
        <is>
          <t>N/A</t>
        </is>
      </c>
      <c r="X395" s="10">
        <f>+IFERROR(IF(VLOOKUP(Tabla2[[#This Row],[ID]],'EVALUACION DE RIESGO'!A:A,1,FALSE)=Tabla2[[#This Row],[ID]],"SI","NO"),"NO")</f>
        <v/>
      </c>
    </row>
    <row r="396">
      <c r="A396" s="91" t="inlineStr">
        <is>
          <t>17-GOP</t>
        </is>
      </c>
      <c r="B396" s="10" t="inlineStr">
        <is>
          <t>APOYO</t>
        </is>
      </c>
      <c r="C396" s="10" t="inlineStr">
        <is>
          <t xml:space="preserve">Gestión de Operaciones </t>
        </is>
      </c>
      <c r="D396" s="10" t="inlineStr">
        <is>
          <t>GOP</t>
        </is>
      </c>
      <c r="E396" s="10" t="inlineStr">
        <is>
          <t>Cuadres y Conciliaciones</t>
        </is>
      </c>
      <c r="F396" s="10" t="inlineStr">
        <is>
          <t>-</t>
        </is>
      </c>
      <c r="G396" s="10" t="inlineStr">
        <is>
          <t xml:space="preserve">Revisión de Anexo de Cuentas Principales </t>
        </is>
      </c>
      <c r="H396" s="10" t="inlineStr">
        <is>
          <t>Bitácora de Seguimiento de ajustes contables</t>
        </is>
      </c>
      <c r="I396" s="10" t="inlineStr">
        <is>
          <t xml:space="preserve">Registro de históricos de ajustes contables </t>
        </is>
      </c>
      <c r="J396" s="10" t="inlineStr">
        <is>
          <t>Jefe de Soporte y Cuadres</t>
        </is>
      </c>
      <c r="K396" s="10" t="inlineStr">
        <is>
          <t>JEFE DE INFRAESTRUCTURA OPERACIONAL</t>
        </is>
      </c>
      <c r="L396" s="10" t="inlineStr">
        <is>
          <t>UBICACIÓN DIGITAL-EQUIPO DEL CUSTODIO</t>
        </is>
      </c>
      <c r="M396" s="10" t="inlineStr">
        <is>
          <t>DISCOS DUROS, SERVIDORES, DISCOS O MEDIOS PORTÁTILES, CINTAS O MEDIOS DE VIDEO Y AUDIO, ETC.</t>
        </is>
      </c>
      <c r="N396" s="10" t="inlineStr">
        <is>
          <t>PRIMARIOS</t>
        </is>
      </c>
      <c r="O396" s="10" t="inlineStr">
        <is>
          <t>DOCUMENTOS TÉCNICOS</t>
        </is>
      </c>
      <c r="P396" s="10" t="inlineStr">
        <is>
          <t>USO INTERNO(2)</t>
        </is>
      </c>
      <c r="Q396" s="10" t="inlineStr">
        <is>
          <t>BAJA(1)</t>
        </is>
      </c>
      <c r="R396" s="10" t="inlineStr">
        <is>
          <t>BAJA(1)</t>
        </is>
      </c>
      <c r="S396" s="10">
        <f>+(IF(P396="PUBLICA(1)",1,IF(P396="USO INTERNO(2)",2,IF(P396="RESTRINGIDO(3)",3,3))))+(IF(Q396="BAJA(1)",1,IF(Q396="MEDIA(2)",2,IF(Q396="ALTA(3)",3,3))))+(IF(R396="BAJA(1)",1,IF(R396="MEDIA(2)",2,IF(R396="ALTA(3)",3,3))))</f>
        <v/>
      </c>
      <c r="T396" s="10">
        <f>+IF(S396&lt;6,"BAJA",IF(S396&lt;8,"MEDIA","ALTA"))</f>
        <v/>
      </c>
      <c r="U396" s="10" t="inlineStr">
        <is>
          <t>-</t>
        </is>
      </c>
      <c r="V396" s="24" t="n">
        <v>45674</v>
      </c>
      <c r="W396" s="19" t="inlineStr">
        <is>
          <t>N/A</t>
        </is>
      </c>
      <c r="X396" s="10">
        <f>+IFERROR(IF(VLOOKUP(Tabla2[[#This Row],[ID]],'EVALUACION DE RIESGO'!A:A,1,FALSE)=Tabla2[[#This Row],[ID]],"SI","NO"),"NO")</f>
        <v/>
      </c>
    </row>
    <row r="397">
      <c r="A397" s="91" t="inlineStr">
        <is>
          <t>18-GOP</t>
        </is>
      </c>
      <c r="B397" s="10" t="inlineStr">
        <is>
          <t>APOYO</t>
        </is>
      </c>
      <c r="C397" s="10" t="inlineStr">
        <is>
          <t xml:space="preserve">Gestión de Operaciones </t>
        </is>
      </c>
      <c r="D397" s="10" t="inlineStr">
        <is>
          <t>GOP</t>
        </is>
      </c>
      <c r="E397" s="10" t="inlineStr">
        <is>
          <t>Cuadres y Conciliaciones</t>
        </is>
      </c>
      <c r="F397" s="10" t="inlineStr">
        <is>
          <t>-</t>
        </is>
      </c>
      <c r="G397" s="10" t="inlineStr">
        <is>
          <t>Conciliación de Servicios Financieros</t>
        </is>
      </c>
      <c r="H397" s="10" t="inlineStr">
        <is>
          <t>Prueba departamental</t>
        </is>
      </c>
      <c r="I397" s="10" t="inlineStr">
        <is>
          <t>Plantillas de cuadres que contiene secuencial de autorización, código de respuesta, montos, cuenta receptor, cuenta ordenante, banco, otros</t>
        </is>
      </c>
      <c r="J397" s="10" t="inlineStr">
        <is>
          <t>Jefe de Soporte y Cuadres</t>
        </is>
      </c>
      <c r="K397" s="10" t="inlineStr">
        <is>
          <t>Asistente Operativo</t>
        </is>
      </c>
      <c r="L397" s="10" t="inlineStr">
        <is>
          <t>UBICACIÓN DIGITAL-EQUIPO DEL CUSTODIO</t>
        </is>
      </c>
      <c r="M397" s="10" t="inlineStr">
        <is>
          <t>DISCOS DUROS, SERVIDORES, DISCOS O MEDIOS PORTÁTILES, CINTAS O MEDIOS DE VIDEO Y AUDIO, ETC.</t>
        </is>
      </c>
      <c r="N397" s="10" t="inlineStr">
        <is>
          <t>PRIMARIOS</t>
        </is>
      </c>
      <c r="O397" s="10" t="inlineStr">
        <is>
          <t>DOCUMENTOS TÉCNICOS</t>
        </is>
      </c>
      <c r="P397" s="10" t="inlineStr">
        <is>
          <t>USO INTERNO(2)</t>
        </is>
      </c>
      <c r="Q397" s="10" t="inlineStr">
        <is>
          <t>BAJA(1)</t>
        </is>
      </c>
      <c r="R397" s="10" t="inlineStr">
        <is>
          <t>BAJA(1)</t>
        </is>
      </c>
      <c r="S397" s="10">
        <f>+(IF(P397="PUBLICA(1)",1,IF(P397="USO INTERNO(2)",2,IF(P397="RESTRINGIDO(3)",3,3))))+(IF(Q397="BAJA(1)",1,IF(Q397="MEDIA(2)",2,IF(Q397="ALTA(3)",3,3))))+(IF(R397="BAJA(1)",1,IF(R397="MEDIA(2)",2,IF(R397="ALTA(3)",3,3))))</f>
        <v/>
      </c>
      <c r="T397" s="10">
        <f>+IF(S397&lt;6,"BAJA",IF(S397&lt;8,"MEDIA","ALTA"))</f>
        <v/>
      </c>
      <c r="U397" s="10" t="inlineStr">
        <is>
          <t>-</t>
        </is>
      </c>
      <c r="V397" s="24" t="n">
        <v>45674</v>
      </c>
      <c r="W397" s="19" t="inlineStr">
        <is>
          <t>N/A</t>
        </is>
      </c>
      <c r="X397" s="10">
        <f>+IFERROR(IF(VLOOKUP(Tabla2[[#This Row],[ID]],'EVALUACION DE RIESGO'!A:A,1,FALSE)=Tabla2[[#This Row],[ID]],"SI","NO"),"NO")</f>
        <v/>
      </c>
    </row>
    <row r="398">
      <c r="A398" s="91" t="inlineStr">
        <is>
          <t>19-GOP</t>
        </is>
      </c>
      <c r="B398" s="10" t="inlineStr">
        <is>
          <t>APOYO</t>
        </is>
      </c>
      <c r="C398" s="10" t="inlineStr">
        <is>
          <t xml:space="preserve">Gestión de Operaciones </t>
        </is>
      </c>
      <c r="D398" s="10" t="inlineStr">
        <is>
          <t>GOP</t>
        </is>
      </c>
      <c r="E398" s="10" t="inlineStr">
        <is>
          <t>Cuadres y Conciliaciones</t>
        </is>
      </c>
      <c r="F398" s="10" t="inlineStr">
        <is>
          <t>-</t>
        </is>
      </c>
      <c r="G398" s="10" t="inlineStr">
        <is>
          <t>Conciliación de Servicios Financieros</t>
        </is>
      </c>
      <c r="H398" s="10" t="inlineStr">
        <is>
          <t>Solicitud de ajuste Contable</t>
        </is>
      </c>
      <c r="I398" s="10" t="inlineStr">
        <is>
          <t>Formulario de corrección de errores que se envía a contabilidad y reportes de webcoop, así como los files de proveedores</t>
        </is>
      </c>
      <c r="J398" s="10" t="inlineStr">
        <is>
          <t>Jefe de Soporte y Cuadres</t>
        </is>
      </c>
      <c r="K398" s="10" t="inlineStr">
        <is>
          <t>Asistente Operativo</t>
        </is>
      </c>
      <c r="L398" s="10" t="inlineStr">
        <is>
          <t>UBICACIÓN DIGITAL-EQUIPO DEL CUSTODIO</t>
        </is>
      </c>
      <c r="M398" s="10" t="inlineStr">
        <is>
          <t>DISCOS DUROS, SERVIDORES, DISCOS O MEDIOS PORTÁTILES, CINTAS O MEDIOS DE VIDEO Y AUDIO, ETC.</t>
        </is>
      </c>
      <c r="N398" s="10" t="inlineStr">
        <is>
          <t>PRIMARIOS</t>
        </is>
      </c>
      <c r="O398" s="10" t="inlineStr">
        <is>
          <t>DOCUMENTOS TÉCNICOS</t>
        </is>
      </c>
      <c r="P398" s="10" t="inlineStr">
        <is>
          <t>USO INTERNO(2)</t>
        </is>
      </c>
      <c r="Q398" s="10" t="inlineStr">
        <is>
          <t>BAJA(1)</t>
        </is>
      </c>
      <c r="R398" s="10" t="inlineStr">
        <is>
          <t>BAJA(1)</t>
        </is>
      </c>
      <c r="S398" s="10">
        <f>+(IF(P398="PUBLICA(1)",1,IF(P398="USO INTERNO(2)",2,IF(P398="RESTRINGIDO(3)",3,3))))+(IF(Q398="BAJA(1)",1,IF(Q398="MEDIA(2)",2,IF(Q398="ALTA(3)",3,3))))+(IF(R398="BAJA(1)",1,IF(R398="MEDIA(2)",2,IF(R398="ALTA(3)",3,3))))</f>
        <v/>
      </c>
      <c r="T398" s="10">
        <f>+IF(S398&lt;6,"BAJA",IF(S398&lt;8,"MEDIA","ALTA"))</f>
        <v/>
      </c>
      <c r="U398" s="10" t="inlineStr">
        <is>
          <t>-</t>
        </is>
      </c>
      <c r="V398" s="24" t="n">
        <v>45674</v>
      </c>
      <c r="W398" s="19" t="inlineStr">
        <is>
          <t>N/A</t>
        </is>
      </c>
      <c r="X398" s="10">
        <f>+IFERROR(IF(VLOOKUP(Tabla2[[#This Row],[ID]],'EVALUACION DE RIESGO'!A:A,1,FALSE)=Tabla2[[#This Row],[ID]],"SI","NO"),"NO")</f>
        <v/>
      </c>
    </row>
    <row r="399">
      <c r="A399" s="91" t="inlineStr">
        <is>
          <t>20-GOP</t>
        </is>
      </c>
      <c r="B399" s="10" t="inlineStr">
        <is>
          <t>APOYO</t>
        </is>
      </c>
      <c r="C399" s="10" t="inlineStr">
        <is>
          <t xml:space="preserve">Gestión de Operaciones </t>
        </is>
      </c>
      <c r="D399" s="10" t="inlineStr">
        <is>
          <t>GOP</t>
        </is>
      </c>
      <c r="E399" s="10" t="inlineStr">
        <is>
          <t>Cuadres y Conciliaciones</t>
        </is>
      </c>
      <c r="F399" s="10" t="inlineStr">
        <is>
          <t>-</t>
        </is>
      </c>
      <c r="G399" s="10" t="inlineStr">
        <is>
          <t>Conciliación de Servicios Financieros</t>
        </is>
      </c>
      <c r="H399" s="10" t="inlineStr">
        <is>
          <t>Bitácora de Seguimiento de ajustes contables</t>
        </is>
      </c>
      <c r="I399" s="10" t="inlineStr">
        <is>
          <t xml:space="preserve">Registro de históricos de ajustes contables </t>
        </is>
      </c>
      <c r="J399" s="10" t="inlineStr">
        <is>
          <t>Jefe de Soporte y Cuadres</t>
        </is>
      </c>
      <c r="K399" s="10" t="inlineStr">
        <is>
          <t>JEFE DE INFRAESTRUCTURA OPERACIONAL</t>
        </is>
      </c>
      <c r="L399" s="10" t="inlineStr">
        <is>
          <t>UBICACIÓN DIGITAL-EQUIPO DEL CUSTODIO</t>
        </is>
      </c>
      <c r="M399" s="10" t="inlineStr">
        <is>
          <t>DISCOS DUROS, SERVIDORES, DISCOS O MEDIOS PORTÁTILES, CINTAS O MEDIOS DE VIDEO Y AUDIO, ETC.</t>
        </is>
      </c>
      <c r="N399" s="10" t="inlineStr">
        <is>
          <t>PRIMARIOS</t>
        </is>
      </c>
      <c r="O399" s="10" t="inlineStr">
        <is>
          <t>DOCUMENTOS TÉCNICOS</t>
        </is>
      </c>
      <c r="P399" s="10" t="inlineStr">
        <is>
          <t>USO INTERNO(2)</t>
        </is>
      </c>
      <c r="Q399" s="10" t="inlineStr">
        <is>
          <t>BAJA(1)</t>
        </is>
      </c>
      <c r="R399" s="10" t="inlineStr">
        <is>
          <t>BAJA(1)</t>
        </is>
      </c>
      <c r="S399" s="10">
        <f>+(IF(P399="PUBLICA(1)",1,IF(P399="USO INTERNO(2)",2,IF(P399="RESTRINGIDO(3)",3,3))))+(IF(Q399="BAJA(1)",1,IF(Q399="MEDIA(2)",2,IF(Q399="ALTA(3)",3,3))))+(IF(R399="BAJA(1)",1,IF(R399="MEDIA(2)",2,IF(R399="ALTA(3)",3,3))))</f>
        <v/>
      </c>
      <c r="T399" s="10">
        <f>+IF(S399&lt;6,"BAJA",IF(S399&lt;8,"MEDIA","ALTA"))</f>
        <v/>
      </c>
      <c r="U399" s="10" t="inlineStr">
        <is>
          <t>-</t>
        </is>
      </c>
      <c r="V399" s="24" t="n">
        <v>45674</v>
      </c>
      <c r="W399" s="19" t="inlineStr">
        <is>
          <t>N/A</t>
        </is>
      </c>
      <c r="X399" s="10">
        <f>+IFERROR(IF(VLOOKUP(Tabla2[[#This Row],[ID]],'EVALUACION DE RIESGO'!A:A,1,FALSE)=Tabla2[[#This Row],[ID]],"SI","NO"),"NO")</f>
        <v/>
      </c>
    </row>
    <row r="400">
      <c r="A400" s="91" t="inlineStr">
        <is>
          <t>21-GOP</t>
        </is>
      </c>
      <c r="B400" s="10" t="inlineStr">
        <is>
          <t>APOYO</t>
        </is>
      </c>
      <c r="C400" s="10" t="inlineStr">
        <is>
          <t xml:space="preserve">Gestión de Operaciones </t>
        </is>
      </c>
      <c r="D400" s="10" t="inlineStr">
        <is>
          <t>GOP</t>
        </is>
      </c>
      <c r="E400" s="10" t="inlineStr">
        <is>
          <t>Cuadres y Conciliaciones</t>
        </is>
      </c>
      <c r="F400" s="10" t="inlineStr">
        <is>
          <t>-</t>
        </is>
      </c>
      <c r="G400" s="10" t="inlineStr">
        <is>
          <t>Cuadre de transacciones del BCE</t>
        </is>
      </c>
      <c r="H400" s="10" t="inlineStr">
        <is>
          <t>Prueba departamental</t>
        </is>
      </c>
      <c r="I400" s="10" t="inlineStr">
        <is>
          <t xml:space="preserve">Formatos o papeles de trabajo que detallan fecha, oficina, tipo de trx, concepto, valor debito crédito, saldos, validación </t>
        </is>
      </c>
      <c r="J400" s="10" t="inlineStr">
        <is>
          <t>Jefe de Soporte y Cuadres</t>
        </is>
      </c>
      <c r="K400" s="10" t="inlineStr">
        <is>
          <t>Asistente Operativo</t>
        </is>
      </c>
      <c r="L400" s="10" t="inlineStr">
        <is>
          <t>UBICACIÓN DIGITAL-EQUIPO DEL CUSTODIO</t>
        </is>
      </c>
      <c r="M400" s="10" t="inlineStr">
        <is>
          <t>DISCOS DUROS, SERVIDORES, DISCOS O MEDIOS PORTÁTILES, CINTAS O MEDIOS DE VIDEO Y AUDIO, ETC.</t>
        </is>
      </c>
      <c r="N400" s="10" t="inlineStr">
        <is>
          <t>PRIMARIOS</t>
        </is>
      </c>
      <c r="O400" s="10" t="inlineStr">
        <is>
          <t>DOCUMENTOS TÉCNICOS</t>
        </is>
      </c>
      <c r="P400" s="10" t="inlineStr">
        <is>
          <t>USO INTERNO(2)</t>
        </is>
      </c>
      <c r="Q400" s="10" t="inlineStr">
        <is>
          <t>BAJA(1)</t>
        </is>
      </c>
      <c r="R400" s="10" t="inlineStr">
        <is>
          <t>BAJA(1)</t>
        </is>
      </c>
      <c r="S400" s="10">
        <f>+(IF(P400="PUBLICA(1)",1,IF(P400="USO INTERNO(2)",2,IF(P400="RESTRINGIDO(3)",3,3))))+(IF(Q400="BAJA(1)",1,IF(Q400="MEDIA(2)",2,IF(Q400="ALTA(3)",3,3))))+(IF(R400="BAJA(1)",1,IF(R400="MEDIA(2)",2,IF(R400="ALTA(3)",3,3))))</f>
        <v/>
      </c>
      <c r="T400" s="10">
        <f>+IF(S400&lt;6,"BAJA",IF(S400&lt;8,"MEDIA","ALTA"))</f>
        <v/>
      </c>
      <c r="U400" s="10" t="inlineStr">
        <is>
          <t>-</t>
        </is>
      </c>
      <c r="V400" s="24" t="n">
        <v>45674</v>
      </c>
      <c r="W400" s="19" t="inlineStr">
        <is>
          <t>N/A</t>
        </is>
      </c>
      <c r="X400" s="10">
        <f>+IFERROR(IF(VLOOKUP(Tabla2[[#This Row],[ID]],'EVALUACION DE RIESGO'!A:A,1,FALSE)=Tabla2[[#This Row],[ID]],"SI","NO"),"NO")</f>
        <v/>
      </c>
    </row>
    <row r="401">
      <c r="A401" s="91" t="inlineStr">
        <is>
          <t>22-GOP</t>
        </is>
      </c>
      <c r="B401" s="10" t="inlineStr">
        <is>
          <t>APOYO</t>
        </is>
      </c>
      <c r="C401" s="10" t="inlineStr">
        <is>
          <t xml:space="preserve">Gestión de Operaciones </t>
        </is>
      </c>
      <c r="D401" s="10" t="inlineStr">
        <is>
          <t>GOP</t>
        </is>
      </c>
      <c r="E401" s="10" t="inlineStr">
        <is>
          <t>Cuadres y Conciliaciones</t>
        </is>
      </c>
      <c r="F401" s="10" t="inlineStr">
        <is>
          <t>-</t>
        </is>
      </c>
      <c r="G401" s="10" t="inlineStr">
        <is>
          <t>Cuadre de transacciones del BCE</t>
        </is>
      </c>
      <c r="H401" s="10" t="inlineStr">
        <is>
          <t>Solicitud de ajuste Contable</t>
        </is>
      </c>
      <c r="I401" s="10" t="inlineStr">
        <is>
          <t>Formulario de corrección de errores que se envía a contabilidad y reportes de webcoop, así como los files de proveedores</t>
        </is>
      </c>
      <c r="J401" s="10" t="inlineStr">
        <is>
          <t>Jefe de Soporte y Cuadres</t>
        </is>
      </c>
      <c r="K401" s="10" t="inlineStr">
        <is>
          <t>Asistente Operativo</t>
        </is>
      </c>
      <c r="L401" s="10" t="inlineStr">
        <is>
          <t>UBICACIÓN DIGITAL-EQUIPO DEL CUSTODIO</t>
        </is>
      </c>
      <c r="M401" s="10" t="inlineStr">
        <is>
          <t>DISCOS DUROS, SERVIDORES, DISCOS O MEDIOS PORTÁTILES, CINTAS O MEDIOS DE VIDEO Y AUDIO, ETC.</t>
        </is>
      </c>
      <c r="N401" s="10" t="inlineStr">
        <is>
          <t>PRIMARIOS</t>
        </is>
      </c>
      <c r="O401" s="10" t="inlineStr">
        <is>
          <t>DOCUMENTOS TÉCNICOS</t>
        </is>
      </c>
      <c r="P401" s="10" t="inlineStr">
        <is>
          <t>USO INTERNO(2)</t>
        </is>
      </c>
      <c r="Q401" s="10" t="inlineStr">
        <is>
          <t>BAJA(1)</t>
        </is>
      </c>
      <c r="R401" s="10" t="inlineStr">
        <is>
          <t>BAJA(1)</t>
        </is>
      </c>
      <c r="S401" s="10">
        <f>+(IF(P401="PUBLICA(1)",1,IF(P401="USO INTERNO(2)",2,IF(P401="RESTRINGIDO(3)",3,3))))+(IF(Q401="BAJA(1)",1,IF(Q401="MEDIA(2)",2,IF(Q401="ALTA(3)",3,3))))+(IF(R401="BAJA(1)",1,IF(R401="MEDIA(2)",2,IF(R401="ALTA(3)",3,3))))</f>
        <v/>
      </c>
      <c r="T401" s="10">
        <f>+IF(S401&lt;6,"BAJA",IF(S401&lt;8,"MEDIA","ALTA"))</f>
        <v/>
      </c>
      <c r="U401" s="10" t="inlineStr">
        <is>
          <t>-</t>
        </is>
      </c>
      <c r="V401" s="24" t="n">
        <v>45674</v>
      </c>
      <c r="W401" s="19" t="inlineStr">
        <is>
          <t>N/A</t>
        </is>
      </c>
      <c r="X401" s="10">
        <f>+IFERROR(IF(VLOOKUP(Tabla2[[#This Row],[ID]],'EVALUACION DE RIESGO'!A:A,1,FALSE)=Tabla2[[#This Row],[ID]],"SI","NO"),"NO")</f>
        <v/>
      </c>
    </row>
    <row r="402">
      <c r="A402" s="91" t="inlineStr">
        <is>
          <t>23-GOP</t>
        </is>
      </c>
      <c r="B402" s="10" t="inlineStr">
        <is>
          <t>APOYO</t>
        </is>
      </c>
      <c r="C402" s="10" t="inlineStr">
        <is>
          <t xml:space="preserve">Gestión de Operaciones </t>
        </is>
      </c>
      <c r="D402" s="10" t="inlineStr">
        <is>
          <t>GOP</t>
        </is>
      </c>
      <c r="E402" s="10" t="inlineStr">
        <is>
          <t>Cuadres y Conciliaciones</t>
        </is>
      </c>
      <c r="F402" s="10" t="inlineStr">
        <is>
          <t>-</t>
        </is>
      </c>
      <c r="G402" s="10" t="inlineStr">
        <is>
          <t>Cuadre de transacciones del BCE</t>
        </is>
      </c>
      <c r="H402" s="10" t="inlineStr">
        <is>
          <t>Bitácora de Seguimiento de ajustes contables</t>
        </is>
      </c>
      <c r="I402" s="10" t="inlineStr">
        <is>
          <t xml:space="preserve">Registro de históricos de ajustes contables </t>
        </is>
      </c>
      <c r="J402" s="10" t="inlineStr">
        <is>
          <t>Jefe de Soporte y Cuadres</t>
        </is>
      </c>
      <c r="K402" s="10" t="inlineStr">
        <is>
          <t>JEFE DE INFRAESTRUCTURA OPERACIONAL</t>
        </is>
      </c>
      <c r="L402" s="10" t="inlineStr">
        <is>
          <t>UBICACIÓN DIGITAL-EQUIPO DEL CUSTODIO</t>
        </is>
      </c>
      <c r="M402" s="10" t="inlineStr">
        <is>
          <t>DISCOS DUROS, SERVIDORES, DISCOS O MEDIOS PORTÁTILES, CINTAS O MEDIOS DE VIDEO Y AUDIO, ETC.</t>
        </is>
      </c>
      <c r="N402" s="10" t="inlineStr">
        <is>
          <t>PRIMARIOS</t>
        </is>
      </c>
      <c r="O402" s="10" t="inlineStr">
        <is>
          <t>DOCUMENTOS TÉCNICOS</t>
        </is>
      </c>
      <c r="P402" s="10" t="inlineStr">
        <is>
          <t>USO INTERNO(2)</t>
        </is>
      </c>
      <c r="Q402" s="10" t="inlineStr">
        <is>
          <t>BAJA(1)</t>
        </is>
      </c>
      <c r="R402" s="10" t="inlineStr">
        <is>
          <t>BAJA(1)</t>
        </is>
      </c>
      <c r="S402" s="10">
        <f>+(IF(P402="PUBLICA(1)",1,IF(P402="USO INTERNO(2)",2,IF(P402="RESTRINGIDO(3)",3,3))))+(IF(Q402="BAJA(1)",1,IF(Q402="MEDIA(2)",2,IF(Q402="ALTA(3)",3,3))))+(IF(R402="BAJA(1)",1,IF(R402="MEDIA(2)",2,IF(R402="ALTA(3)",3,3))))</f>
        <v/>
      </c>
      <c r="T402" s="10">
        <f>+IF(S402&lt;6,"BAJA",IF(S402&lt;8,"MEDIA","ALTA"))</f>
        <v/>
      </c>
      <c r="U402" s="10" t="inlineStr">
        <is>
          <t>-</t>
        </is>
      </c>
      <c r="V402" s="24" t="n">
        <v>45674</v>
      </c>
      <c r="W402" s="19" t="inlineStr">
        <is>
          <t>N/A</t>
        </is>
      </c>
      <c r="X402" s="10">
        <f>+IFERROR(IF(VLOOKUP(Tabla2[[#This Row],[ID]],'EVALUACION DE RIESGO'!A:A,1,FALSE)=Tabla2[[#This Row],[ID]],"SI","NO"),"NO")</f>
        <v/>
      </c>
    </row>
    <row r="403">
      <c r="A403" s="91" t="inlineStr">
        <is>
          <t>24-GOP</t>
        </is>
      </c>
      <c r="B403" s="10" t="inlineStr">
        <is>
          <t>APOYO</t>
        </is>
      </c>
      <c r="C403" s="10" t="inlineStr">
        <is>
          <t xml:space="preserve">Gestión de Operaciones </t>
        </is>
      </c>
      <c r="D403" s="10" t="inlineStr">
        <is>
          <t>GOP</t>
        </is>
      </c>
      <c r="E403" s="10" t="inlineStr">
        <is>
          <t>Cuadres y Conciliaciones</t>
        </is>
      </c>
      <c r="F403" s="10" t="inlineStr">
        <is>
          <t>-</t>
        </is>
      </c>
      <c r="G403" s="10" t="inlineStr">
        <is>
          <t>Conciliación de Retiros de Tarjetas Propias</t>
        </is>
      </c>
      <c r="H403" s="10" t="inlineStr">
        <is>
          <t>Prueba departamental</t>
        </is>
      </c>
      <c r="I403" s="10" t="inlineStr">
        <is>
          <t xml:space="preserve">Formatos o papeles de trabajo que detallan fecha, oficina, tipo de trx, concepto, valor debito crédito, saldos, validación </t>
        </is>
      </c>
      <c r="J403" s="10" t="inlineStr">
        <is>
          <t>Jefe de Soporte y Cuadres</t>
        </is>
      </c>
      <c r="K403" s="10" t="inlineStr">
        <is>
          <t>Asistente Operativo</t>
        </is>
      </c>
      <c r="L403" s="10" t="inlineStr">
        <is>
          <t>UBICACIÓN DIGITAL-EQUIPO DEL CUSTODIO</t>
        </is>
      </c>
      <c r="M403" s="10" t="inlineStr">
        <is>
          <t>DISCOS DUROS, SERVIDORES, DISCOS O MEDIOS PORTÁTILES, CINTAS O MEDIOS DE VIDEO Y AUDIO, ETC.</t>
        </is>
      </c>
      <c r="N403" s="10" t="inlineStr">
        <is>
          <t>PRIMARIOS</t>
        </is>
      </c>
      <c r="O403" s="10" t="inlineStr">
        <is>
          <t>DOCUMENTOS TÉCNICOS</t>
        </is>
      </c>
      <c r="P403" s="10" t="inlineStr">
        <is>
          <t>USO INTERNO(2)</t>
        </is>
      </c>
      <c r="Q403" s="10" t="inlineStr">
        <is>
          <t>BAJA(1)</t>
        </is>
      </c>
      <c r="R403" s="10" t="inlineStr">
        <is>
          <t>BAJA(1)</t>
        </is>
      </c>
      <c r="S403" s="10">
        <f>+(IF(P403="PUBLICA(1)",1,IF(P403="USO INTERNO(2)",2,IF(P403="RESTRINGIDO(3)",3,3))))+(IF(Q403="BAJA(1)",1,IF(Q403="MEDIA(2)",2,IF(Q403="ALTA(3)",3,3))))+(IF(R403="BAJA(1)",1,IF(R403="MEDIA(2)",2,IF(R403="ALTA(3)",3,3))))</f>
        <v/>
      </c>
      <c r="T403" s="10">
        <f>+IF(S403&lt;6,"BAJA",IF(S403&lt;8,"MEDIA","ALTA"))</f>
        <v/>
      </c>
      <c r="U403" s="10" t="inlineStr">
        <is>
          <t>-</t>
        </is>
      </c>
      <c r="V403" s="24" t="n">
        <v>45674</v>
      </c>
      <c r="W403" s="19" t="inlineStr">
        <is>
          <t>N/A</t>
        </is>
      </c>
      <c r="X403" s="10">
        <f>+IFERROR(IF(VLOOKUP(Tabla2[[#This Row],[ID]],'EVALUACION DE RIESGO'!A:A,1,FALSE)=Tabla2[[#This Row],[ID]],"SI","NO"),"NO")</f>
        <v/>
      </c>
    </row>
    <row r="404">
      <c r="A404" s="91" t="inlineStr">
        <is>
          <t>25-GOP</t>
        </is>
      </c>
      <c r="B404" s="10" t="inlineStr">
        <is>
          <t>APOYO</t>
        </is>
      </c>
      <c r="C404" s="10" t="inlineStr">
        <is>
          <t xml:space="preserve">Gestión de Operaciones </t>
        </is>
      </c>
      <c r="D404" s="10" t="inlineStr">
        <is>
          <t>GOP</t>
        </is>
      </c>
      <c r="E404" s="10" t="inlineStr">
        <is>
          <t>Cuadres y Conciliaciones</t>
        </is>
      </c>
      <c r="F404" s="10" t="inlineStr">
        <is>
          <t>-</t>
        </is>
      </c>
      <c r="G404" s="10" t="inlineStr">
        <is>
          <t>Conciliación de Retiros de Tarjetas Propias</t>
        </is>
      </c>
      <c r="H404" s="10" t="inlineStr">
        <is>
          <t>Solicitud de ajuste Contable</t>
        </is>
      </c>
      <c r="I404" s="10" t="inlineStr">
        <is>
          <t>Formulario de corrección de errores que se envía a contabilidad y reportes de webcoop, así como los files de proveedores</t>
        </is>
      </c>
      <c r="J404" s="10" t="inlineStr">
        <is>
          <t>Jefe de Soporte y Cuadres</t>
        </is>
      </c>
      <c r="K404" s="10" t="inlineStr">
        <is>
          <t>Asistente Operativo</t>
        </is>
      </c>
      <c r="L404" s="10" t="inlineStr">
        <is>
          <t>UBICACIÓN DIGITAL-EQUIPO DEL CUSTODIO</t>
        </is>
      </c>
      <c r="M404" s="10" t="inlineStr">
        <is>
          <t>DISCOS DUROS, SERVIDORES, DISCOS O MEDIOS PORTÁTILES, CINTAS O MEDIOS DE VIDEO Y AUDIO, ETC.</t>
        </is>
      </c>
      <c r="N404" s="10" t="inlineStr">
        <is>
          <t>PRIMARIOS</t>
        </is>
      </c>
      <c r="O404" s="10" t="inlineStr">
        <is>
          <t>DOCUMENTOS TÉCNICOS</t>
        </is>
      </c>
      <c r="P404" s="10" t="inlineStr">
        <is>
          <t>USO INTERNO(2)</t>
        </is>
      </c>
      <c r="Q404" s="10" t="inlineStr">
        <is>
          <t>BAJA(1)</t>
        </is>
      </c>
      <c r="R404" s="10" t="inlineStr">
        <is>
          <t>BAJA(1)</t>
        </is>
      </c>
      <c r="S404" s="10">
        <f>+(IF(P404="PUBLICA(1)",1,IF(P404="USO INTERNO(2)",2,IF(P404="RESTRINGIDO(3)",3,3))))+(IF(Q404="BAJA(1)",1,IF(Q404="MEDIA(2)",2,IF(Q404="ALTA(3)",3,3))))+(IF(R404="BAJA(1)",1,IF(R404="MEDIA(2)",2,IF(R404="ALTA(3)",3,3))))</f>
        <v/>
      </c>
      <c r="T404" s="10">
        <f>+IF(S404&lt;6,"BAJA",IF(S404&lt;8,"MEDIA","ALTA"))</f>
        <v/>
      </c>
      <c r="U404" s="10" t="inlineStr">
        <is>
          <t>-</t>
        </is>
      </c>
      <c r="V404" s="24" t="n">
        <v>45674</v>
      </c>
      <c r="W404" s="19" t="inlineStr">
        <is>
          <t>N/A</t>
        </is>
      </c>
      <c r="X404" s="10">
        <f>+IFERROR(IF(VLOOKUP(Tabla2[[#This Row],[ID]],'EVALUACION DE RIESGO'!A:A,1,FALSE)=Tabla2[[#This Row],[ID]],"SI","NO"),"NO")</f>
        <v/>
      </c>
    </row>
    <row r="405">
      <c r="A405" s="91" t="inlineStr">
        <is>
          <t>26-GOP</t>
        </is>
      </c>
      <c r="B405" s="10" t="inlineStr">
        <is>
          <t>APOYO</t>
        </is>
      </c>
      <c r="C405" s="10" t="inlineStr">
        <is>
          <t xml:space="preserve">Gestión de Operaciones </t>
        </is>
      </c>
      <c r="D405" s="10" t="inlineStr">
        <is>
          <t>GOP</t>
        </is>
      </c>
      <c r="E405" s="10" t="inlineStr">
        <is>
          <t>Cuadres y Conciliaciones</t>
        </is>
      </c>
      <c r="F405" s="10" t="inlineStr">
        <is>
          <t>-</t>
        </is>
      </c>
      <c r="G405" s="10" t="inlineStr">
        <is>
          <t>Conciliación de Retiros de Tarjetas Propias</t>
        </is>
      </c>
      <c r="H405" s="10" t="inlineStr">
        <is>
          <t>Bitácora de Seguimiento de ajustes contables</t>
        </is>
      </c>
      <c r="I405" s="10" t="inlineStr">
        <is>
          <t xml:space="preserve">Registro de históricos de ajustes contables </t>
        </is>
      </c>
      <c r="J405" s="10" t="inlineStr">
        <is>
          <t>Jefe de Soporte y Cuadres</t>
        </is>
      </c>
      <c r="K405" s="10" t="inlineStr">
        <is>
          <t>JEFE DE INFRAESTRUCTURA OPERACIONAL</t>
        </is>
      </c>
      <c r="L405" s="10" t="inlineStr">
        <is>
          <t>UBICACIÓN DIGITAL-EQUIPO DEL CUSTODIO</t>
        </is>
      </c>
      <c r="M405" s="10" t="inlineStr">
        <is>
          <t>DISCOS DUROS, SERVIDORES, DISCOS O MEDIOS PORTÁTILES, CINTAS O MEDIOS DE VIDEO Y AUDIO, ETC.</t>
        </is>
      </c>
      <c r="N405" s="10" t="inlineStr">
        <is>
          <t>PRIMARIOS</t>
        </is>
      </c>
      <c r="O405" s="10" t="inlineStr">
        <is>
          <t>DOCUMENTOS TÉCNICOS</t>
        </is>
      </c>
      <c r="P405" s="10" t="inlineStr">
        <is>
          <t>USO INTERNO(2)</t>
        </is>
      </c>
      <c r="Q405" s="10" t="inlineStr">
        <is>
          <t>BAJA(1)</t>
        </is>
      </c>
      <c r="R405" s="10" t="inlineStr">
        <is>
          <t>BAJA(1)</t>
        </is>
      </c>
      <c r="S405" s="10">
        <f>+(IF(P405="PUBLICA(1)",1,IF(P405="USO INTERNO(2)",2,IF(P405="RESTRINGIDO(3)",3,3))))+(IF(Q405="BAJA(1)",1,IF(Q405="MEDIA(2)",2,IF(Q405="ALTA(3)",3,3))))+(IF(R405="BAJA(1)",1,IF(R405="MEDIA(2)",2,IF(R405="ALTA(3)",3,3))))</f>
        <v/>
      </c>
      <c r="T405" s="10">
        <f>+IF(S405&lt;6,"BAJA",IF(S405&lt;8,"MEDIA","ALTA"))</f>
        <v/>
      </c>
      <c r="U405" s="10" t="inlineStr">
        <is>
          <t>-</t>
        </is>
      </c>
      <c r="V405" s="24" t="n">
        <v>45674</v>
      </c>
      <c r="W405" s="19" t="inlineStr">
        <is>
          <t>N/A</t>
        </is>
      </c>
      <c r="X405" s="10">
        <f>+IFERROR(IF(VLOOKUP(Tabla2[[#This Row],[ID]],'EVALUACION DE RIESGO'!A:A,1,FALSE)=Tabla2[[#This Row],[ID]],"SI","NO"),"NO")</f>
        <v/>
      </c>
    </row>
    <row r="406">
      <c r="A406" s="91" t="inlineStr">
        <is>
          <t>27-GOP</t>
        </is>
      </c>
      <c r="B406" s="10" t="inlineStr">
        <is>
          <t>APOYO</t>
        </is>
      </c>
      <c r="C406" s="10" t="inlineStr">
        <is>
          <t xml:space="preserve">Gestión de Operaciones </t>
        </is>
      </c>
      <c r="D406" s="10" t="inlineStr">
        <is>
          <t>GOP</t>
        </is>
      </c>
      <c r="E406" s="10" t="inlineStr">
        <is>
          <t>Cuadres y Conciliaciones</t>
        </is>
      </c>
      <c r="F406" s="10" t="inlineStr">
        <is>
          <t>-</t>
        </is>
      </c>
      <c r="G406" s="10" t="inlineStr">
        <is>
          <t>Conciliación de retiros con Tarjetas Propias en otras instituciones</t>
        </is>
      </c>
      <c r="H406" s="10" t="inlineStr">
        <is>
          <t>Prueba departamental</t>
        </is>
      </c>
      <c r="I406" s="10" t="inlineStr">
        <is>
          <t xml:space="preserve">Formatos o papeles de trabajo que detallan fecha, oficina, tipo de trx, concepto, valor debito crédito, saldos, validación </t>
        </is>
      </c>
      <c r="J406" s="10" t="inlineStr">
        <is>
          <t>Jefe de Soporte y Cuadres</t>
        </is>
      </c>
      <c r="K406" s="10" t="inlineStr">
        <is>
          <t>Asistente Operativo</t>
        </is>
      </c>
      <c r="L406" s="10" t="inlineStr">
        <is>
          <t>UBICACIÓN DIGITAL-EQUIPO DEL CUSTODIO</t>
        </is>
      </c>
      <c r="M406" s="10" t="inlineStr">
        <is>
          <t>DISCOS DUROS, SERVIDORES, DISCOS O MEDIOS PORTÁTILES, CINTAS O MEDIOS DE VIDEO Y AUDIO, ETC.</t>
        </is>
      </c>
      <c r="N406" s="10" t="inlineStr">
        <is>
          <t>PRIMARIOS</t>
        </is>
      </c>
      <c r="O406" s="10" t="inlineStr">
        <is>
          <t>DOCUMENTOS TÉCNICOS</t>
        </is>
      </c>
      <c r="P406" s="10" t="inlineStr">
        <is>
          <t>USO INTERNO(2)</t>
        </is>
      </c>
      <c r="Q406" s="10" t="inlineStr">
        <is>
          <t>BAJA(1)</t>
        </is>
      </c>
      <c r="R406" s="10" t="inlineStr">
        <is>
          <t>BAJA(1)</t>
        </is>
      </c>
      <c r="S406" s="10">
        <f>+(IF(P406="PUBLICA(1)",1,IF(P406="USO INTERNO(2)",2,IF(P406="RESTRINGIDO(3)",3,3))))+(IF(Q406="BAJA(1)",1,IF(Q406="MEDIA(2)",2,IF(Q406="ALTA(3)",3,3))))+(IF(R406="BAJA(1)",1,IF(R406="MEDIA(2)",2,IF(R406="ALTA(3)",3,3))))</f>
        <v/>
      </c>
      <c r="T406" s="10">
        <f>+IF(S406&lt;6,"BAJA",IF(S406&lt;8,"MEDIA","ALTA"))</f>
        <v/>
      </c>
      <c r="U406" s="10" t="inlineStr">
        <is>
          <t>-</t>
        </is>
      </c>
      <c r="V406" s="24" t="n">
        <v>45674</v>
      </c>
      <c r="W406" s="19" t="inlineStr">
        <is>
          <t>N/A</t>
        </is>
      </c>
      <c r="X406" s="10">
        <f>+IFERROR(IF(VLOOKUP(Tabla2[[#This Row],[ID]],'EVALUACION DE RIESGO'!A:A,1,FALSE)=Tabla2[[#This Row],[ID]],"SI","NO"),"NO")</f>
        <v/>
      </c>
    </row>
    <row r="407">
      <c r="A407" s="91" t="inlineStr">
        <is>
          <t>28-GOP</t>
        </is>
      </c>
      <c r="B407" s="10" t="inlineStr">
        <is>
          <t>APOYO</t>
        </is>
      </c>
      <c r="C407" s="10" t="inlineStr">
        <is>
          <t xml:space="preserve">Gestión de Operaciones </t>
        </is>
      </c>
      <c r="D407" s="10" t="inlineStr">
        <is>
          <t>GOP</t>
        </is>
      </c>
      <c r="E407" s="10" t="inlineStr">
        <is>
          <t>Cuadres y Conciliaciones</t>
        </is>
      </c>
      <c r="F407" s="10" t="inlineStr">
        <is>
          <t>-</t>
        </is>
      </c>
      <c r="G407" s="10" t="inlineStr">
        <is>
          <t>Conciliación de retiros con Tarjetas Propias en otras instituciones</t>
        </is>
      </c>
      <c r="H407" s="10" t="inlineStr">
        <is>
          <t>Solicitud de ajuste Contable</t>
        </is>
      </c>
      <c r="I407" s="10" t="inlineStr">
        <is>
          <t>Formulario de corrección de errores que se envía a contabilidad y reportes de webcoop, así como los files de proveedores</t>
        </is>
      </c>
      <c r="J407" s="10" t="inlineStr">
        <is>
          <t>Jefe de Soporte y Cuadres</t>
        </is>
      </c>
      <c r="K407" s="10" t="inlineStr">
        <is>
          <t>Asistente Operativo</t>
        </is>
      </c>
      <c r="L407" s="10" t="inlineStr">
        <is>
          <t>UBICACIÓN DIGITAL-EQUIPO DEL CUSTODIO</t>
        </is>
      </c>
      <c r="M407" s="10" t="inlineStr">
        <is>
          <t>DISCOS DUROS, SERVIDORES, DISCOS O MEDIOS PORTÁTILES, CINTAS O MEDIOS DE VIDEO Y AUDIO, ETC.</t>
        </is>
      </c>
      <c r="N407" s="10" t="inlineStr">
        <is>
          <t>PRIMARIOS</t>
        </is>
      </c>
      <c r="O407" s="10" t="inlineStr">
        <is>
          <t>DOCUMENTOS TÉCNICOS</t>
        </is>
      </c>
      <c r="P407" s="10" t="inlineStr">
        <is>
          <t>USO INTERNO(2)</t>
        </is>
      </c>
      <c r="Q407" s="10" t="inlineStr">
        <is>
          <t>BAJA(1)</t>
        </is>
      </c>
      <c r="R407" s="10" t="inlineStr">
        <is>
          <t>BAJA(1)</t>
        </is>
      </c>
      <c r="S407" s="10">
        <f>+(IF(P407="PUBLICA(1)",1,IF(P407="USO INTERNO(2)",2,IF(P407="RESTRINGIDO(3)",3,3))))+(IF(Q407="BAJA(1)",1,IF(Q407="MEDIA(2)",2,IF(Q407="ALTA(3)",3,3))))+(IF(R407="BAJA(1)",1,IF(R407="MEDIA(2)",2,IF(R407="ALTA(3)",3,3))))</f>
        <v/>
      </c>
      <c r="T407" s="10">
        <f>+IF(S407&lt;6,"BAJA",IF(S407&lt;8,"MEDIA","ALTA"))</f>
        <v/>
      </c>
      <c r="U407" s="10" t="inlineStr">
        <is>
          <t>-</t>
        </is>
      </c>
      <c r="V407" s="24" t="n">
        <v>45674</v>
      </c>
      <c r="W407" s="19" t="inlineStr">
        <is>
          <t>N/A</t>
        </is>
      </c>
      <c r="X407" s="10">
        <f>+IFERROR(IF(VLOOKUP(Tabla2[[#This Row],[ID]],'EVALUACION DE RIESGO'!A:A,1,FALSE)=Tabla2[[#This Row],[ID]],"SI","NO"),"NO")</f>
        <v/>
      </c>
    </row>
    <row r="408">
      <c r="A408" s="91" t="inlineStr">
        <is>
          <t>29-GOP</t>
        </is>
      </c>
      <c r="B408" s="10" t="inlineStr">
        <is>
          <t>APOYO</t>
        </is>
      </c>
      <c r="C408" s="10" t="inlineStr">
        <is>
          <t xml:space="preserve">Gestión de Operaciones </t>
        </is>
      </c>
      <c r="D408" s="10" t="inlineStr">
        <is>
          <t>GOP</t>
        </is>
      </c>
      <c r="E408" s="10" t="inlineStr">
        <is>
          <t>Cuadres y Conciliaciones</t>
        </is>
      </c>
      <c r="F408" s="10" t="inlineStr">
        <is>
          <t>-</t>
        </is>
      </c>
      <c r="G408" s="10" t="inlineStr">
        <is>
          <t>Conciliación de retiros con Tarjetas Propias en otras instituciones</t>
        </is>
      </c>
      <c r="H408" s="10" t="inlineStr">
        <is>
          <t>Bitácora de Seguimiento de ajustes contables</t>
        </is>
      </c>
      <c r="I408" s="10" t="inlineStr">
        <is>
          <t xml:space="preserve">Registro de históricos de ajustes contables </t>
        </is>
      </c>
      <c r="J408" s="10" t="inlineStr">
        <is>
          <t>Jefe de Soporte y Cuadres</t>
        </is>
      </c>
      <c r="K408" s="10" t="inlineStr">
        <is>
          <t>JEFE DE INFRAESTRUCTURA OPERACIONAL</t>
        </is>
      </c>
      <c r="L408" s="10" t="inlineStr">
        <is>
          <t>UBICACIÓN DIGITAL-EQUIPO DEL CUSTODIO</t>
        </is>
      </c>
      <c r="M408" s="10" t="inlineStr">
        <is>
          <t>DISCOS DUROS, SERVIDORES, DISCOS O MEDIOS PORTÁTILES, CINTAS O MEDIOS DE VIDEO Y AUDIO, ETC.</t>
        </is>
      </c>
      <c r="N408" s="10" t="inlineStr">
        <is>
          <t>PRIMARIOS</t>
        </is>
      </c>
      <c r="O408" s="10" t="inlineStr">
        <is>
          <t>DOCUMENTOS TÉCNICOS</t>
        </is>
      </c>
      <c r="P408" s="10" t="inlineStr">
        <is>
          <t>USO INTERNO(2)</t>
        </is>
      </c>
      <c r="Q408" s="10" t="inlineStr">
        <is>
          <t>BAJA(1)</t>
        </is>
      </c>
      <c r="R408" s="10" t="inlineStr">
        <is>
          <t>BAJA(1)</t>
        </is>
      </c>
      <c r="S408" s="10">
        <f>+(IF(P408="PUBLICA(1)",1,IF(P408="USO INTERNO(2)",2,IF(P408="RESTRINGIDO(3)",3,3))))+(IF(Q408="BAJA(1)",1,IF(Q408="MEDIA(2)",2,IF(Q408="ALTA(3)",3,3))))+(IF(R408="BAJA(1)",1,IF(R408="MEDIA(2)",2,IF(R408="ALTA(3)",3,3))))</f>
        <v/>
      </c>
      <c r="T408" s="10">
        <f>+IF(S408&lt;6,"BAJA",IF(S408&lt;8,"MEDIA","ALTA"))</f>
        <v/>
      </c>
      <c r="U408" s="10" t="inlineStr">
        <is>
          <t>-</t>
        </is>
      </c>
      <c r="V408" s="24" t="n">
        <v>45674</v>
      </c>
      <c r="W408" s="19" t="inlineStr">
        <is>
          <t>N/A</t>
        </is>
      </c>
      <c r="X408" s="10">
        <f>+IFERROR(IF(VLOOKUP(Tabla2[[#This Row],[ID]],'EVALUACION DE RIESGO'!A:A,1,FALSE)=Tabla2[[#This Row],[ID]],"SI","NO"),"NO")</f>
        <v/>
      </c>
    </row>
    <row r="409">
      <c r="A409" s="91" t="inlineStr">
        <is>
          <t>30-GOP</t>
        </is>
      </c>
      <c r="B409" s="10" t="inlineStr">
        <is>
          <t>APOYO</t>
        </is>
      </c>
      <c r="C409" s="10" t="inlineStr">
        <is>
          <t xml:space="preserve">Gestión de Operaciones </t>
        </is>
      </c>
      <c r="D409" s="10" t="inlineStr">
        <is>
          <t>GOP</t>
        </is>
      </c>
      <c r="E409" s="10" t="inlineStr">
        <is>
          <t>Cuadres y Conciliaciones</t>
        </is>
      </c>
      <c r="F409" s="10" t="inlineStr">
        <is>
          <t>-</t>
        </is>
      </c>
      <c r="G409" s="10" t="inlineStr">
        <is>
          <t>Conciliación de compras POS y Solución de Reclamos</t>
        </is>
      </c>
      <c r="H409" s="10" t="inlineStr">
        <is>
          <t>Prueba departamental</t>
        </is>
      </c>
      <c r="I409" s="10" t="inlineStr">
        <is>
          <t xml:space="preserve">Formatos o papeles de trabajo que detallan fecha, oficina, tipo de trx, concepto, valor debito crédito, saldos, validación </t>
        </is>
      </c>
      <c r="J409" s="10" t="inlineStr">
        <is>
          <t>Jefe de Soporte y Cuadres</t>
        </is>
      </c>
      <c r="K409" s="10" t="inlineStr">
        <is>
          <t>Asistente Operativo</t>
        </is>
      </c>
      <c r="L409" s="10" t="inlineStr">
        <is>
          <t>UBICACIÓN DIGITAL-EQUIPO DEL CUSTODIO</t>
        </is>
      </c>
      <c r="M409" s="10" t="inlineStr">
        <is>
          <t>DISCOS DUROS, SERVIDORES, DISCOS O MEDIOS PORTÁTILES, CINTAS O MEDIOS DE VIDEO Y AUDIO, ETC.</t>
        </is>
      </c>
      <c r="N409" s="10" t="inlineStr">
        <is>
          <t>PRIMARIOS</t>
        </is>
      </c>
      <c r="O409" s="10" t="inlineStr">
        <is>
          <t>DOCUMENTOS TÉCNICOS</t>
        </is>
      </c>
      <c r="P409" s="10" t="inlineStr">
        <is>
          <t>USO INTERNO(2)</t>
        </is>
      </c>
      <c r="Q409" s="10" t="inlineStr">
        <is>
          <t>BAJA(1)</t>
        </is>
      </c>
      <c r="R409" s="10" t="inlineStr">
        <is>
          <t>BAJA(1)</t>
        </is>
      </c>
      <c r="S409" s="10">
        <f>+(IF(P409="PUBLICA(1)",1,IF(P409="USO INTERNO(2)",2,IF(P409="RESTRINGIDO(3)",3,3))))+(IF(Q409="BAJA(1)",1,IF(Q409="MEDIA(2)",2,IF(Q409="ALTA(3)",3,3))))+(IF(R409="BAJA(1)",1,IF(R409="MEDIA(2)",2,IF(R409="ALTA(3)",3,3))))</f>
        <v/>
      </c>
      <c r="T409" s="10">
        <f>+IF(S409&lt;6,"BAJA",IF(S409&lt;8,"MEDIA","ALTA"))</f>
        <v/>
      </c>
      <c r="U409" s="10" t="inlineStr">
        <is>
          <t>-</t>
        </is>
      </c>
      <c r="V409" s="24" t="n">
        <v>45674</v>
      </c>
      <c r="W409" s="19" t="inlineStr">
        <is>
          <t>N/A</t>
        </is>
      </c>
      <c r="X409" s="10">
        <f>+IFERROR(IF(VLOOKUP(Tabla2[[#This Row],[ID]],'EVALUACION DE RIESGO'!A:A,1,FALSE)=Tabla2[[#This Row],[ID]],"SI","NO"),"NO")</f>
        <v/>
      </c>
    </row>
    <row r="410">
      <c r="A410" s="91" t="inlineStr">
        <is>
          <t>31-GOP</t>
        </is>
      </c>
      <c r="B410" s="10" t="inlineStr">
        <is>
          <t>APOYO</t>
        </is>
      </c>
      <c r="C410" s="10" t="inlineStr">
        <is>
          <t xml:space="preserve">Gestión de Operaciones </t>
        </is>
      </c>
      <c r="D410" s="10" t="inlineStr">
        <is>
          <t>GOP</t>
        </is>
      </c>
      <c r="E410" s="10" t="inlineStr">
        <is>
          <t>Cuadres y Conciliaciones</t>
        </is>
      </c>
      <c r="F410" s="10" t="inlineStr">
        <is>
          <t>-</t>
        </is>
      </c>
      <c r="G410" s="10" t="inlineStr">
        <is>
          <t>Conciliación de compras POS y Solución de Reclamos</t>
        </is>
      </c>
      <c r="H410" s="10" t="inlineStr">
        <is>
          <t>Solicitud de ajuste Contable</t>
        </is>
      </c>
      <c r="I410" s="10" t="inlineStr">
        <is>
          <t>Formulario de corrección de errores que se envía a contabilidad y reportes de webcoop, así como los files de proveedores</t>
        </is>
      </c>
      <c r="J410" s="10" t="inlineStr">
        <is>
          <t>Jefe de Soporte y Cuadres</t>
        </is>
      </c>
      <c r="K410" s="10" t="inlineStr">
        <is>
          <t>Asistente Operativo</t>
        </is>
      </c>
      <c r="L410" s="10" t="inlineStr">
        <is>
          <t>UBICACIÓN DIGITAL-EQUIPO DEL CUSTODIO</t>
        </is>
      </c>
      <c r="M410" s="10" t="inlineStr">
        <is>
          <t>DISCOS DUROS, SERVIDORES, DISCOS O MEDIOS PORTÁTILES, CINTAS O MEDIOS DE VIDEO Y AUDIO, ETC.</t>
        </is>
      </c>
      <c r="N410" s="10" t="inlineStr">
        <is>
          <t>PRIMARIOS</t>
        </is>
      </c>
      <c r="O410" s="10" t="inlineStr">
        <is>
          <t>DOCUMENTOS TÉCNICOS</t>
        </is>
      </c>
      <c r="P410" s="10" t="inlineStr">
        <is>
          <t>USO INTERNO(2)</t>
        </is>
      </c>
      <c r="Q410" s="10" t="inlineStr">
        <is>
          <t>BAJA(1)</t>
        </is>
      </c>
      <c r="R410" s="10" t="inlineStr">
        <is>
          <t>BAJA(1)</t>
        </is>
      </c>
      <c r="S410" s="10">
        <f>+(IF(P410="PUBLICA(1)",1,IF(P410="USO INTERNO(2)",2,IF(P410="RESTRINGIDO(3)",3,3))))+(IF(Q410="BAJA(1)",1,IF(Q410="MEDIA(2)",2,IF(Q410="ALTA(3)",3,3))))+(IF(R410="BAJA(1)",1,IF(R410="MEDIA(2)",2,IF(R410="ALTA(3)",3,3))))</f>
        <v/>
      </c>
      <c r="T410" s="10">
        <f>+IF(S410&lt;6,"BAJA",IF(S410&lt;8,"MEDIA","ALTA"))</f>
        <v/>
      </c>
      <c r="U410" s="10" t="inlineStr">
        <is>
          <t>-</t>
        </is>
      </c>
      <c r="V410" s="24" t="n">
        <v>45674</v>
      </c>
      <c r="W410" s="19" t="inlineStr">
        <is>
          <t>N/A</t>
        </is>
      </c>
      <c r="X410" s="10">
        <f>+IFERROR(IF(VLOOKUP(Tabla2[[#This Row],[ID]],'EVALUACION DE RIESGO'!A:A,1,FALSE)=Tabla2[[#This Row],[ID]],"SI","NO"),"NO")</f>
        <v/>
      </c>
    </row>
    <row r="411">
      <c r="A411" s="91" t="inlineStr">
        <is>
          <t>32-GOP</t>
        </is>
      </c>
      <c r="B411" s="10" t="inlineStr">
        <is>
          <t>APOYO</t>
        </is>
      </c>
      <c r="C411" s="10" t="inlineStr">
        <is>
          <t xml:space="preserve">Gestión de Operaciones </t>
        </is>
      </c>
      <c r="D411" s="10" t="inlineStr">
        <is>
          <t>GOP</t>
        </is>
      </c>
      <c r="E411" s="10" t="inlineStr">
        <is>
          <t>Cuadres y Conciliaciones</t>
        </is>
      </c>
      <c r="F411" s="10" t="inlineStr">
        <is>
          <t>-</t>
        </is>
      </c>
      <c r="G411" s="10" t="inlineStr">
        <is>
          <t>Conciliación de compras POS y Solución de Reclamos</t>
        </is>
      </c>
      <c r="H411" s="10" t="inlineStr">
        <is>
          <t>Bitácora de Seguimiento de ajustes contables</t>
        </is>
      </c>
      <c r="I411" s="10" t="inlineStr">
        <is>
          <t xml:space="preserve">Registro de históricos de ajustes contables </t>
        </is>
      </c>
      <c r="J411" s="10" t="inlineStr">
        <is>
          <t>Jefe de Soporte y Cuadres</t>
        </is>
      </c>
      <c r="K411" s="10" t="inlineStr">
        <is>
          <t>JEFE DE INFRAESTRUCTURA OPERACIONAL</t>
        </is>
      </c>
      <c r="L411" s="10" t="inlineStr">
        <is>
          <t>UBICACIÓN DIGITAL-EQUIPO DEL CUSTODIO</t>
        </is>
      </c>
      <c r="M411" s="10" t="inlineStr">
        <is>
          <t>DISCOS DUROS, SERVIDORES, DISCOS O MEDIOS PORTÁTILES, CINTAS O MEDIOS DE VIDEO Y AUDIO, ETC.</t>
        </is>
      </c>
      <c r="N411" s="10" t="inlineStr">
        <is>
          <t>PRIMARIOS</t>
        </is>
      </c>
      <c r="O411" s="10" t="inlineStr">
        <is>
          <t>DOCUMENTOS TÉCNICOS</t>
        </is>
      </c>
      <c r="P411" s="10" t="inlineStr">
        <is>
          <t>USO INTERNO(2)</t>
        </is>
      </c>
      <c r="Q411" s="10" t="inlineStr">
        <is>
          <t>BAJA(1)</t>
        </is>
      </c>
      <c r="R411" s="10" t="inlineStr">
        <is>
          <t>BAJA(1)</t>
        </is>
      </c>
      <c r="S411" s="10">
        <f>+(IF(P411="PUBLICA(1)",1,IF(P411="USO INTERNO(2)",2,IF(P411="RESTRINGIDO(3)",3,3))))+(IF(Q411="BAJA(1)",1,IF(Q411="MEDIA(2)",2,IF(Q411="ALTA(3)",3,3))))+(IF(R411="BAJA(1)",1,IF(R411="MEDIA(2)",2,IF(R411="ALTA(3)",3,3))))</f>
        <v/>
      </c>
      <c r="T411" s="10">
        <f>+IF(S411&lt;6,"BAJA",IF(S411&lt;8,"MEDIA","ALTA"))</f>
        <v/>
      </c>
      <c r="U411" s="10" t="inlineStr">
        <is>
          <t>-</t>
        </is>
      </c>
      <c r="V411" s="24" t="n">
        <v>45674</v>
      </c>
      <c r="W411" s="19" t="inlineStr">
        <is>
          <t>N/A</t>
        </is>
      </c>
      <c r="X411" s="10">
        <f>+IFERROR(IF(VLOOKUP(Tabla2[[#This Row],[ID]],'EVALUACION DE RIESGO'!A:A,1,FALSE)=Tabla2[[#This Row],[ID]],"SI","NO"),"NO")</f>
        <v/>
      </c>
    </row>
    <row r="412">
      <c r="A412" s="91" t="inlineStr">
        <is>
          <t>33-GOP</t>
        </is>
      </c>
      <c r="B412" s="10" t="inlineStr">
        <is>
          <t>APOYO</t>
        </is>
      </c>
      <c r="C412" s="10" t="inlineStr">
        <is>
          <t xml:space="preserve">Gestión de Operaciones </t>
        </is>
      </c>
      <c r="D412" s="10" t="inlineStr">
        <is>
          <t>GOP</t>
        </is>
      </c>
      <c r="E412" s="10" t="inlineStr">
        <is>
          <t>Cuadres y Conciliaciones</t>
        </is>
      </c>
      <c r="F412" s="10" t="inlineStr">
        <is>
          <t>-</t>
        </is>
      </c>
      <c r="G412" s="10" t="inlineStr">
        <is>
          <t>Cuadre de depósitos y pagos de crédito realizados a través de ATM propio</t>
        </is>
      </c>
      <c r="H412" s="10" t="inlineStr">
        <is>
          <t>Prueba departamental</t>
        </is>
      </c>
      <c r="I412" s="10" t="inlineStr">
        <is>
          <t xml:space="preserve">Formatos o papeles de trabajo que detallan fecha, oficina, tipo de trx, concepto, valor debito crédito, saldos, validación </t>
        </is>
      </c>
      <c r="J412" s="10" t="inlineStr">
        <is>
          <t>Jefe de Soporte y Cuadres</t>
        </is>
      </c>
      <c r="K412" s="10" t="inlineStr">
        <is>
          <t>Asistente Operativo</t>
        </is>
      </c>
      <c r="L412" s="10" t="inlineStr">
        <is>
          <t>UBICACIÓN DIGITAL-EQUIPO DEL CUSTODIO</t>
        </is>
      </c>
      <c r="M412" s="10" t="inlineStr">
        <is>
          <t>DISCOS DUROS, SERVIDORES, DISCOS O MEDIOS PORTÁTILES, CINTAS O MEDIOS DE VIDEO Y AUDIO, ETC.</t>
        </is>
      </c>
      <c r="N412" s="10" t="inlineStr">
        <is>
          <t>PRIMARIOS</t>
        </is>
      </c>
      <c r="O412" s="10" t="inlineStr">
        <is>
          <t>DOCUMENTOS TÉCNICOS</t>
        </is>
      </c>
      <c r="P412" s="10" t="inlineStr">
        <is>
          <t>USO INTERNO(2)</t>
        </is>
      </c>
      <c r="Q412" s="10" t="inlineStr">
        <is>
          <t>BAJA(1)</t>
        </is>
      </c>
      <c r="R412" s="10" t="inlineStr">
        <is>
          <t>BAJA(1)</t>
        </is>
      </c>
      <c r="S412" s="10">
        <f>+(IF(P412="PUBLICA(1)",1,IF(P412="USO INTERNO(2)",2,IF(P412="RESTRINGIDO(3)",3,3))))+(IF(Q412="BAJA(1)",1,IF(Q412="MEDIA(2)",2,IF(Q412="ALTA(3)",3,3))))+(IF(R412="BAJA(1)",1,IF(R412="MEDIA(2)",2,IF(R412="ALTA(3)",3,3))))</f>
        <v/>
      </c>
      <c r="T412" s="10">
        <f>+IF(S412&lt;6,"BAJA",IF(S412&lt;8,"MEDIA","ALTA"))</f>
        <v/>
      </c>
      <c r="U412" s="10" t="inlineStr">
        <is>
          <t>-</t>
        </is>
      </c>
      <c r="V412" s="24" t="n">
        <v>45674</v>
      </c>
      <c r="W412" s="19" t="inlineStr">
        <is>
          <t>N/A</t>
        </is>
      </c>
      <c r="X412" s="10">
        <f>+IFERROR(IF(VLOOKUP(Tabla2[[#This Row],[ID]],'EVALUACION DE RIESGO'!A:A,1,FALSE)=Tabla2[[#This Row],[ID]],"SI","NO"),"NO")</f>
        <v/>
      </c>
    </row>
    <row r="413">
      <c r="A413" s="91" t="inlineStr">
        <is>
          <t>34-GOP</t>
        </is>
      </c>
      <c r="B413" s="10" t="inlineStr">
        <is>
          <t>APOYO</t>
        </is>
      </c>
      <c r="C413" s="10" t="inlineStr">
        <is>
          <t xml:space="preserve">Gestión de Operaciones </t>
        </is>
      </c>
      <c r="D413" s="10" t="inlineStr">
        <is>
          <t>GOP</t>
        </is>
      </c>
      <c r="E413" s="10" t="inlineStr">
        <is>
          <t>Cuadres y Conciliaciones</t>
        </is>
      </c>
      <c r="F413" s="10" t="inlineStr">
        <is>
          <t>-</t>
        </is>
      </c>
      <c r="G413" s="10" t="inlineStr">
        <is>
          <t>Cuadre de depósitos y pagos de crédito realizados a través de ATM propio</t>
        </is>
      </c>
      <c r="H413" s="10" t="inlineStr">
        <is>
          <t>Solicitud de ajuste Contable</t>
        </is>
      </c>
      <c r="I413" s="10" t="inlineStr">
        <is>
          <t>Formulario de corrección de errores que se envía a contabilidad y reportes de webcoop, así como los files de proveedores</t>
        </is>
      </c>
      <c r="J413" s="10" t="inlineStr">
        <is>
          <t>Jefe de Soporte y Cuadres</t>
        </is>
      </c>
      <c r="K413" s="10" t="inlineStr">
        <is>
          <t>Asistente Operativo</t>
        </is>
      </c>
      <c r="L413" s="10" t="inlineStr">
        <is>
          <t>UBICACIÓN DIGITAL-EQUIPO DEL CUSTODIO</t>
        </is>
      </c>
      <c r="M413" s="10" t="inlineStr">
        <is>
          <t>DISCOS DUROS, SERVIDORES, DISCOS O MEDIOS PORTÁTILES, CINTAS O MEDIOS DE VIDEO Y AUDIO, ETC.</t>
        </is>
      </c>
      <c r="N413" s="10" t="inlineStr">
        <is>
          <t>PRIMARIOS</t>
        </is>
      </c>
      <c r="O413" s="10" t="inlineStr">
        <is>
          <t>DOCUMENTOS TÉCNICOS</t>
        </is>
      </c>
      <c r="P413" s="10" t="inlineStr">
        <is>
          <t>USO INTERNO(2)</t>
        </is>
      </c>
      <c r="Q413" s="10" t="inlineStr">
        <is>
          <t>BAJA(1)</t>
        </is>
      </c>
      <c r="R413" s="10" t="inlineStr">
        <is>
          <t>MEDIA(2)</t>
        </is>
      </c>
      <c r="S413" s="10">
        <f>+(IF(P413="PUBLICA(1)",1,IF(P413="USO INTERNO(2)",2,IF(P413="RESTRINGIDO(3)",3,3))))+(IF(Q413="BAJA(1)",1,IF(Q413="MEDIA(2)",2,IF(Q413="ALTA(3)",3,3))))+(IF(R413="BAJA(1)",1,IF(R413="MEDIA(2)",2,IF(R413="ALTA(3)",3,3))))</f>
        <v/>
      </c>
      <c r="T413" s="10">
        <f>+IF(S413&lt;6,"BAJA",IF(S413&lt;8,"MEDIA","ALTA"))</f>
        <v/>
      </c>
      <c r="U413" s="10" t="inlineStr">
        <is>
          <t>-</t>
        </is>
      </c>
      <c r="V413" s="24" t="n">
        <v>45674</v>
      </c>
      <c r="W413" s="19" t="inlineStr">
        <is>
          <t>N/A</t>
        </is>
      </c>
      <c r="X413" s="10">
        <f>+IFERROR(IF(VLOOKUP(Tabla2[[#This Row],[ID]],'EVALUACION DE RIESGO'!A:A,1,FALSE)=Tabla2[[#This Row],[ID]],"SI","NO"),"NO")</f>
        <v/>
      </c>
    </row>
    <row r="414">
      <c r="A414" s="91" t="inlineStr">
        <is>
          <t>35-GOP</t>
        </is>
      </c>
      <c r="B414" s="10" t="inlineStr">
        <is>
          <t>APOYO</t>
        </is>
      </c>
      <c r="C414" s="10" t="inlineStr">
        <is>
          <t xml:space="preserve">Gestión de Operaciones </t>
        </is>
      </c>
      <c r="D414" s="10" t="inlineStr">
        <is>
          <t>GOP</t>
        </is>
      </c>
      <c r="E414" s="10" t="inlineStr">
        <is>
          <t>Cuadres y Conciliaciones</t>
        </is>
      </c>
      <c r="F414" s="10" t="inlineStr">
        <is>
          <t>-</t>
        </is>
      </c>
      <c r="G414" s="10" t="inlineStr">
        <is>
          <t>Cuadre de depósitos y pagos de crédito realizados a través de ATM propio</t>
        </is>
      </c>
      <c r="H414" s="10" t="inlineStr">
        <is>
          <t>Bitácora de Seguimiento de ajustes contables</t>
        </is>
      </c>
      <c r="I414" s="10" t="inlineStr">
        <is>
          <t xml:space="preserve">Registro de históricos de ajustes contables </t>
        </is>
      </c>
      <c r="J414" s="10" t="inlineStr">
        <is>
          <t>Jefe de Soporte y Cuadres</t>
        </is>
      </c>
      <c r="K414" s="10" t="inlineStr">
        <is>
          <t>JEFE DE INFRAESTRUCTURA OPERACIONAL</t>
        </is>
      </c>
      <c r="L414" s="10" t="inlineStr">
        <is>
          <t>UBICACIÓN DIGITAL-EQUIPO DEL CUSTODIO</t>
        </is>
      </c>
      <c r="M414" s="10" t="inlineStr">
        <is>
          <t>DISCOS DUROS, SERVIDORES, DISCOS O MEDIOS PORTÁTILES, CINTAS O MEDIOS DE VIDEO Y AUDIO, ETC.</t>
        </is>
      </c>
      <c r="N414" s="10" t="inlineStr">
        <is>
          <t>PRIMARIOS</t>
        </is>
      </c>
      <c r="O414" s="10" t="inlineStr">
        <is>
          <t>DOCUMENTOS TÉCNICOS</t>
        </is>
      </c>
      <c r="P414" s="10" t="inlineStr">
        <is>
          <t>USO INTERNO(2)</t>
        </is>
      </c>
      <c r="Q414" s="10" t="inlineStr">
        <is>
          <t>BAJA(1)</t>
        </is>
      </c>
      <c r="R414" s="10" t="inlineStr">
        <is>
          <t>BAJA(1)</t>
        </is>
      </c>
      <c r="S414" s="10">
        <f>+(IF(P414="PUBLICA(1)",1,IF(P414="USO INTERNO(2)",2,IF(P414="RESTRINGIDO(3)",3,3))))+(IF(Q414="BAJA(1)",1,IF(Q414="MEDIA(2)",2,IF(Q414="ALTA(3)",3,3))))+(IF(R414="BAJA(1)",1,IF(R414="MEDIA(2)",2,IF(R414="ALTA(3)",3,3))))</f>
        <v/>
      </c>
      <c r="T414" s="10">
        <f>+IF(S414&lt;6,"BAJA",IF(S414&lt;8,"MEDIA","ALTA"))</f>
        <v/>
      </c>
      <c r="U414" s="10" t="inlineStr">
        <is>
          <t>-</t>
        </is>
      </c>
      <c r="V414" s="24" t="n">
        <v>45674</v>
      </c>
      <c r="W414" s="19" t="inlineStr">
        <is>
          <t>N/A</t>
        </is>
      </c>
      <c r="X414" s="10">
        <f>+IFERROR(IF(VLOOKUP(Tabla2[[#This Row],[ID]],'EVALUACION DE RIESGO'!A:A,1,FALSE)=Tabla2[[#This Row],[ID]],"SI","NO"),"NO")</f>
        <v/>
      </c>
    </row>
    <row r="415">
      <c r="A415" s="91" t="inlineStr">
        <is>
          <t>36-GOP</t>
        </is>
      </c>
      <c r="B415" s="10" t="inlineStr">
        <is>
          <t>APOYO</t>
        </is>
      </c>
      <c r="C415" s="10" t="inlineStr">
        <is>
          <t xml:space="preserve">Gestión de Operaciones </t>
        </is>
      </c>
      <c r="D415" s="10" t="inlineStr">
        <is>
          <t>GOP</t>
        </is>
      </c>
      <c r="E415" s="10" t="inlineStr">
        <is>
          <t>Cuadres y Conciliaciones</t>
        </is>
      </c>
      <c r="F415" s="10" t="inlineStr">
        <is>
          <t>-</t>
        </is>
      </c>
      <c r="G415" s="10" t="inlineStr">
        <is>
          <t>Cuadre de Pago directo</t>
        </is>
      </c>
      <c r="H415" s="10" t="inlineStr">
        <is>
          <t>Formulario de Corrección de errores</t>
        </is>
      </c>
      <c r="I415" s="10" t="inlineStr">
        <is>
          <t xml:space="preserve">Formatos o papeles de trabajo que detallan fecha, oficina, tipo de trx, concepto, valor debito crédito, saldos, validación </t>
        </is>
      </c>
      <c r="J415" s="10" t="inlineStr">
        <is>
          <t>Jefe de Soporte y Cuadres</t>
        </is>
      </c>
      <c r="K415" s="10" t="inlineStr">
        <is>
          <t>Asistente Operativo</t>
        </is>
      </c>
      <c r="L415" s="10" t="inlineStr">
        <is>
          <t>UBICACIÓN DIGITAL-EQUIPO DEL CUSTODIO</t>
        </is>
      </c>
      <c r="M415" s="10" t="inlineStr">
        <is>
          <t>DISCOS DUROS, SERVIDORES, DISCOS O MEDIOS PORTÁTILES, CINTAS O MEDIOS DE VIDEO Y AUDIO, ETC.</t>
        </is>
      </c>
      <c r="N415" s="10" t="inlineStr">
        <is>
          <t>PRIMARIOS</t>
        </is>
      </c>
      <c r="O415" s="10" t="inlineStr">
        <is>
          <t>DOCUMENTOS TÉCNICOS</t>
        </is>
      </c>
      <c r="P415" s="10" t="inlineStr">
        <is>
          <t>USO INTERNO(2)</t>
        </is>
      </c>
      <c r="Q415" s="10" t="inlineStr">
        <is>
          <t>BAJA(1)</t>
        </is>
      </c>
      <c r="R415" s="10" t="inlineStr">
        <is>
          <t>MEDIA(2)</t>
        </is>
      </c>
      <c r="S415" s="10">
        <f>+(IF(P415="PUBLICA(1)",1,IF(P415="USO INTERNO(2)",2,IF(P415="RESTRINGIDO(3)",3,3))))+(IF(Q415="BAJA(1)",1,IF(Q415="MEDIA(2)",2,IF(Q415="ALTA(3)",3,3))))+(IF(R415="BAJA(1)",1,IF(R415="MEDIA(2)",2,IF(R415="ALTA(3)",3,3))))</f>
        <v/>
      </c>
      <c r="T415" s="10">
        <f>+IF(S415&lt;6,"BAJA",IF(S415&lt;8,"MEDIA","ALTA"))</f>
        <v/>
      </c>
      <c r="U415" s="10" t="inlineStr">
        <is>
          <t>-</t>
        </is>
      </c>
      <c r="V415" s="24" t="n">
        <v>45674</v>
      </c>
      <c r="W415" s="19" t="inlineStr">
        <is>
          <t>N/A</t>
        </is>
      </c>
      <c r="X415" s="10">
        <f>+IFERROR(IF(VLOOKUP(Tabla2[[#This Row],[ID]],'EVALUACION DE RIESGO'!A:A,1,FALSE)=Tabla2[[#This Row],[ID]],"SI","NO"),"NO")</f>
        <v/>
      </c>
    </row>
    <row r="416">
      <c r="A416" s="91" t="inlineStr">
        <is>
          <t>37-GOP</t>
        </is>
      </c>
      <c r="B416" s="10" t="inlineStr">
        <is>
          <t>APOYO</t>
        </is>
      </c>
      <c r="C416" s="10" t="inlineStr">
        <is>
          <t xml:space="preserve">Gestión de Operaciones </t>
        </is>
      </c>
      <c r="D416" s="10" t="inlineStr">
        <is>
          <t>GOP</t>
        </is>
      </c>
      <c r="E416" s="10" t="inlineStr">
        <is>
          <t>Cuadres y Conciliaciones</t>
        </is>
      </c>
      <c r="F416" s="10" t="inlineStr">
        <is>
          <t>-</t>
        </is>
      </c>
      <c r="G416" s="10" t="inlineStr">
        <is>
          <t>Conciliación de estado de cuenta del servicio de Servipagos</t>
        </is>
      </c>
      <c r="H416" s="10" t="inlineStr">
        <is>
          <t>Reporte de Transacciones Diarias de Servipagos</t>
        </is>
      </c>
      <c r="I416" s="10" t="inlineStr">
        <is>
          <t xml:space="preserve">Formatos o papeles de trabajo que detallan fecha, oficina, tipo de trx, concepto, valor debito crédito, saldos, validación </t>
        </is>
      </c>
      <c r="J416" s="10" t="inlineStr">
        <is>
          <t>Jefe de Soporte y Cuadres</t>
        </is>
      </c>
      <c r="K416" s="10" t="inlineStr">
        <is>
          <t>Asistente Operativo</t>
        </is>
      </c>
      <c r="L416" s="10" t="inlineStr">
        <is>
          <t>UBICACIÓN DIGITAL-EQUIPO DEL CUSTODIO</t>
        </is>
      </c>
      <c r="M416" s="10" t="inlineStr">
        <is>
          <t>DISCOS DUROS, SERVIDORES, DISCOS O MEDIOS PORTÁTILES, CINTAS O MEDIOS DE VIDEO Y AUDIO, ETC.</t>
        </is>
      </c>
      <c r="N416" s="10" t="inlineStr">
        <is>
          <t>PRIMARIOS</t>
        </is>
      </c>
      <c r="O416" s="10" t="inlineStr">
        <is>
          <t>DOCUMENTOS TÉCNICOS</t>
        </is>
      </c>
      <c r="P416" s="10" t="inlineStr">
        <is>
          <t>USO INTERNO(2)</t>
        </is>
      </c>
      <c r="Q416" s="10" t="inlineStr">
        <is>
          <t>MEDIA(2)</t>
        </is>
      </c>
      <c r="R416" s="10" t="inlineStr">
        <is>
          <t>ALTA(3)</t>
        </is>
      </c>
      <c r="S416" s="10">
        <f>+(IF(P416="PUBLICA(1)",1,IF(P416="USO INTERNO(2)",2,IF(P416="RESTRINGIDO(3)",3,3))))+(IF(Q416="BAJA(1)",1,IF(Q416="MEDIA(2)",2,IF(Q416="ALTA(3)",3,3))))+(IF(R416="BAJA(1)",1,IF(R416="MEDIA(2)",2,IF(R416="ALTA(3)",3,3))))</f>
        <v/>
      </c>
      <c r="T416" s="10">
        <f>+IF(S416&lt;6,"BAJA",IF(S416&lt;8,"MEDIA","ALTA"))</f>
        <v/>
      </c>
      <c r="U416" s="10" t="inlineStr">
        <is>
          <t>-</t>
        </is>
      </c>
      <c r="V416" s="24" t="n">
        <v>45674</v>
      </c>
      <c r="W416" s="19" t="inlineStr">
        <is>
          <t>N/A</t>
        </is>
      </c>
      <c r="X416" s="10">
        <f>+IFERROR(IF(VLOOKUP(Tabla2[[#This Row],[ID]],'EVALUACION DE RIESGO'!A:A,1,FALSE)=Tabla2[[#This Row],[ID]],"SI","NO"),"NO")</f>
        <v/>
      </c>
    </row>
    <row r="417">
      <c r="A417" s="91" t="inlineStr">
        <is>
          <t>38-GOP</t>
        </is>
      </c>
      <c r="B417" s="10" t="inlineStr">
        <is>
          <t>APOYO</t>
        </is>
      </c>
      <c r="C417" s="10" t="inlineStr">
        <is>
          <t xml:space="preserve">Gestión de Operaciones </t>
        </is>
      </c>
      <c r="D417" s="10" t="inlineStr">
        <is>
          <t>GOP</t>
        </is>
      </c>
      <c r="E417" s="10" t="inlineStr">
        <is>
          <t>Cuadres y Conciliaciones</t>
        </is>
      </c>
      <c r="F417" s="10" t="inlineStr">
        <is>
          <t>-</t>
        </is>
      </c>
      <c r="G417" s="10" t="inlineStr">
        <is>
          <t>Conciliación de estado de cuenta del servicio de Servipagos</t>
        </is>
      </c>
      <c r="H417" s="10" t="inlineStr">
        <is>
          <t>Planilla de Cuadre Diario de Servipagos</t>
        </is>
      </c>
      <c r="I417" s="10" t="inlineStr">
        <is>
          <t>Planilla que se imprime con e detalle de movimiento realizado</t>
        </is>
      </c>
      <c r="J417" s="10" t="inlineStr">
        <is>
          <t>Jefe de Soporte y Cuadres</t>
        </is>
      </c>
      <c r="K417" s="10" t="inlineStr">
        <is>
          <t>Asistente Operativo</t>
        </is>
      </c>
      <c r="L417" s="10" t="inlineStr">
        <is>
          <t>UBICACIÓN DIGITAL-EQUIPO DEL CUSTODIO</t>
        </is>
      </c>
      <c r="M417" s="10" t="inlineStr">
        <is>
          <t>DISCOS DUROS, SERVIDORES, DISCOS O MEDIOS PORTÁTILES, CINTAS O MEDIOS DE VIDEO Y AUDIO, ETC.</t>
        </is>
      </c>
      <c r="N417" s="10" t="inlineStr">
        <is>
          <t>PRIMARIOS</t>
        </is>
      </c>
      <c r="O417" s="10" t="inlineStr">
        <is>
          <t>DOCUMENTOS TÉCNICOS</t>
        </is>
      </c>
      <c r="P417" s="10" t="inlineStr">
        <is>
          <t>USO INTERNO(2)</t>
        </is>
      </c>
      <c r="Q417" s="10" t="inlineStr">
        <is>
          <t>BAJA(1)</t>
        </is>
      </c>
      <c r="R417" s="10" t="inlineStr">
        <is>
          <t>BAJA(1)</t>
        </is>
      </c>
      <c r="S417" s="10">
        <f>+(IF(P417="PUBLICA(1)",1,IF(P417="USO INTERNO(2)",2,IF(P417="RESTRINGIDO(3)",3,3))))+(IF(Q417="BAJA(1)",1,IF(Q417="MEDIA(2)",2,IF(Q417="ALTA(3)",3,3))))+(IF(R417="BAJA(1)",1,IF(R417="MEDIA(2)",2,IF(R417="ALTA(3)",3,3))))</f>
        <v/>
      </c>
      <c r="T417" s="10">
        <f>+IF(S417&lt;6,"BAJA",IF(S417&lt;8,"MEDIA","ALTA"))</f>
        <v/>
      </c>
      <c r="U417" s="10" t="inlineStr">
        <is>
          <t>-</t>
        </is>
      </c>
      <c r="V417" s="24" t="n">
        <v>45674</v>
      </c>
      <c r="W417" s="19" t="inlineStr">
        <is>
          <t>N/A</t>
        </is>
      </c>
      <c r="X417" s="10">
        <f>+IFERROR(IF(VLOOKUP(Tabla2[[#This Row],[ID]],'EVALUACION DE RIESGO'!A:A,1,FALSE)=Tabla2[[#This Row],[ID]],"SI","NO"),"NO")</f>
        <v/>
      </c>
    </row>
    <row r="418">
      <c r="A418" s="91" t="inlineStr">
        <is>
          <t>39-GOP</t>
        </is>
      </c>
      <c r="B418" s="10" t="inlineStr">
        <is>
          <t>APOYO</t>
        </is>
      </c>
      <c r="C418" s="10" t="inlineStr">
        <is>
          <t xml:space="preserve">Gestión de Operaciones </t>
        </is>
      </c>
      <c r="D418" s="10" t="inlineStr">
        <is>
          <t>GOP</t>
        </is>
      </c>
      <c r="E418" s="10" t="inlineStr">
        <is>
          <t>Cuadres y Conciliaciones</t>
        </is>
      </c>
      <c r="F418" s="10" t="inlineStr">
        <is>
          <t>-</t>
        </is>
      </c>
      <c r="G418" s="10" t="inlineStr">
        <is>
          <t>Cuadre de transacciones de la Red Facilito</t>
        </is>
      </c>
      <c r="H418" s="10" t="inlineStr">
        <is>
          <t>Registro de Transacciones de Red Facilito</t>
        </is>
      </c>
      <c r="I418" s="10" t="inlineStr">
        <is>
          <t>Reporte de transacciones que contiene usuario, servicio, tipo movimiento, producto, numero de transacciones7</t>
        </is>
      </c>
      <c r="J418" s="10" t="inlineStr">
        <is>
          <t>Jefe de Soporte y Cuadres</t>
        </is>
      </c>
      <c r="K418" s="10" t="inlineStr">
        <is>
          <t>Asistente Operativo</t>
        </is>
      </c>
      <c r="L418" s="10" t="inlineStr">
        <is>
          <t>UBICACIÓN DIGITAL-EQUIPO DEL CUSTODIO</t>
        </is>
      </c>
      <c r="M418" s="10" t="inlineStr">
        <is>
          <t>DISCOS DUROS, SERVIDORES, DISCOS O MEDIOS PORTÁTILES, CINTAS O MEDIOS DE VIDEO Y AUDIO, ETC.</t>
        </is>
      </c>
      <c r="N418" s="10" t="inlineStr">
        <is>
          <t>PRIMARIOS</t>
        </is>
      </c>
      <c r="O418" s="10" t="inlineStr">
        <is>
          <t>INFORMACIÓN DE TERCEROS</t>
        </is>
      </c>
      <c r="P418" s="10" t="inlineStr">
        <is>
          <t>USO INTERNO(2)</t>
        </is>
      </c>
      <c r="Q418" s="10" t="inlineStr">
        <is>
          <t>BAJA(1)</t>
        </is>
      </c>
      <c r="R418" s="10" t="inlineStr">
        <is>
          <t>BAJA(1)</t>
        </is>
      </c>
      <c r="S418" s="10">
        <f>+(IF(P418="PUBLICA(1)",1,IF(P418="USO INTERNO(2)",2,IF(P418="RESTRINGIDO(3)",3,3))))+(IF(Q418="BAJA(1)",1,IF(Q418="MEDIA(2)",2,IF(Q418="ALTA(3)",3,3))))+(IF(R418="BAJA(1)",1,IF(R418="MEDIA(2)",2,IF(R418="ALTA(3)",3,3))))</f>
        <v/>
      </c>
      <c r="T418" s="10">
        <f>+IF(S418&lt;6,"BAJA",IF(S418&lt;8,"MEDIA","ALTA"))</f>
        <v/>
      </c>
      <c r="U418" s="10" t="inlineStr">
        <is>
          <t>-</t>
        </is>
      </c>
      <c r="V418" s="24" t="n">
        <v>45674</v>
      </c>
      <c r="W418" s="19" t="inlineStr">
        <is>
          <t>N/A</t>
        </is>
      </c>
      <c r="X418" s="10">
        <f>+IFERROR(IF(VLOOKUP(Tabla2[[#This Row],[ID]],'EVALUACION DE RIESGO'!A:A,1,FALSE)=Tabla2[[#This Row],[ID]],"SI","NO"),"NO")</f>
        <v/>
      </c>
    </row>
    <row r="419">
      <c r="A419" s="91" t="inlineStr">
        <is>
          <t>40-GOP</t>
        </is>
      </c>
      <c r="B419" s="10" t="inlineStr">
        <is>
          <t>APOYO</t>
        </is>
      </c>
      <c r="C419" s="10" t="inlineStr">
        <is>
          <t xml:space="preserve">Gestión de Operaciones </t>
        </is>
      </c>
      <c r="D419" s="10" t="inlineStr">
        <is>
          <t>GOP</t>
        </is>
      </c>
      <c r="E419" s="10" t="inlineStr">
        <is>
          <t>Cuadres y Conciliaciones</t>
        </is>
      </c>
      <c r="F419" s="10" t="inlineStr">
        <is>
          <t>-</t>
        </is>
      </c>
      <c r="G419" s="10" t="inlineStr">
        <is>
          <t>Cuadre de transacciones de la Red Facilito</t>
        </is>
      </c>
      <c r="H419" s="10" t="inlineStr">
        <is>
          <t>Formulario de Cuadre de Red Facilito / Reporte de comisiones de Red Facilito</t>
        </is>
      </c>
      <c r="I419" s="10" t="inlineStr">
        <is>
          <t xml:space="preserve">Formulario donde se consolida las transacciones del sistema financiero y red facilito </t>
        </is>
      </c>
      <c r="J419" s="10" t="inlineStr">
        <is>
          <t>Jefe de Soporte y Cuadres</t>
        </is>
      </c>
      <c r="K419" s="10" t="inlineStr">
        <is>
          <t>Asistente Operativo</t>
        </is>
      </c>
      <c r="L419" s="10" t="inlineStr">
        <is>
          <t>UBICACIÓN DIGITAL-EQUIPO DEL CUSTODIO</t>
        </is>
      </c>
      <c r="M419" s="10" t="inlineStr">
        <is>
          <t>DISCOS DUROS, SERVIDORES, DISCOS O MEDIOS PORTÁTILES, CINTAS O MEDIOS DE VIDEO Y AUDIO, ETC.</t>
        </is>
      </c>
      <c r="N419" s="10" t="inlineStr">
        <is>
          <t>PRIMARIOS</t>
        </is>
      </c>
      <c r="O419" s="10" t="inlineStr">
        <is>
          <t>DOCUMENTOS TÉCNICOS</t>
        </is>
      </c>
      <c r="P419" s="10" t="inlineStr">
        <is>
          <t>RESTRINGIDO(3)</t>
        </is>
      </c>
      <c r="Q419" s="10" t="inlineStr">
        <is>
          <t>MEDIA(2)</t>
        </is>
      </c>
      <c r="R419" s="10" t="inlineStr">
        <is>
          <t>MEDIA(2)</t>
        </is>
      </c>
      <c r="S419" s="10">
        <f>+(IF(P419="PUBLICA(1)",1,IF(P419="USO INTERNO(2)",2,IF(P419="RESTRINGIDO(3)",3,3))))+(IF(Q419="BAJA(1)",1,IF(Q419="MEDIA(2)",2,IF(Q419="ALTA(3)",3,3))))+(IF(R419="BAJA(1)",1,IF(R419="MEDIA(2)",2,IF(R419="ALTA(3)",3,3))))</f>
        <v/>
      </c>
      <c r="T419" s="10">
        <f>+IF(S419&lt;6,"BAJA",IF(S419&lt;8,"MEDIA","ALTA"))</f>
        <v/>
      </c>
      <c r="U419" s="10" t="inlineStr">
        <is>
          <t>-</t>
        </is>
      </c>
      <c r="V419" s="24" t="n">
        <v>45674</v>
      </c>
      <c r="W419" s="19" t="inlineStr">
        <is>
          <t>N/A</t>
        </is>
      </c>
      <c r="X419" s="10">
        <f>+IFERROR(IF(VLOOKUP(Tabla2[[#This Row],[ID]],'EVALUACION DE RIESGO'!A:A,1,FALSE)=Tabla2[[#This Row],[ID]],"SI","NO"),"NO")</f>
        <v/>
      </c>
    </row>
    <row r="420">
      <c r="A420" s="91" t="inlineStr">
        <is>
          <t>41-GOP</t>
        </is>
      </c>
      <c r="B420" s="10" t="inlineStr">
        <is>
          <t>APOYO</t>
        </is>
      </c>
      <c r="C420" s="10" t="inlineStr">
        <is>
          <t xml:space="preserve">Gestión de Operaciones </t>
        </is>
      </c>
      <c r="D420" s="10" t="inlineStr">
        <is>
          <t>GOP</t>
        </is>
      </c>
      <c r="E420" s="10" t="inlineStr">
        <is>
          <t>Cuadres y Conciliaciones</t>
        </is>
      </c>
      <c r="F420" s="10" t="inlineStr">
        <is>
          <t>-</t>
        </is>
      </c>
      <c r="G420" s="10" t="inlineStr">
        <is>
          <t>Cuadre de transacciones de la Red Facilito</t>
        </is>
      </c>
      <c r="H420" s="10" t="inlineStr">
        <is>
          <t>Comprobante de transferencia de fondeo de Red Facilito</t>
        </is>
      </c>
      <c r="I420" s="10" t="inlineStr">
        <is>
          <t>Comprobante gestionado por el área de Tesorería</t>
        </is>
      </c>
      <c r="J420" s="10" t="inlineStr">
        <is>
          <t>Jefe de Soporte y Cuadres</t>
        </is>
      </c>
      <c r="K420" s="10" t="inlineStr">
        <is>
          <t>Asistente Operativo</t>
        </is>
      </c>
      <c r="L420" s="10" t="inlineStr">
        <is>
          <t>UBICACIÓN DIGITAL-EQUIPO DEL CUSTODIO</t>
        </is>
      </c>
      <c r="M420" s="10" t="inlineStr">
        <is>
          <t>DISCOS DUROS, SERVIDORES, DISCOS O MEDIOS PORTÁTILES, CINTAS O MEDIOS DE VIDEO Y AUDIO, ETC.</t>
        </is>
      </c>
      <c r="N420" s="10" t="inlineStr">
        <is>
          <t>PRIMARIOS</t>
        </is>
      </c>
      <c r="O420" s="10" t="inlineStr">
        <is>
          <t>DOCUMENTOS HABILITANTES</t>
        </is>
      </c>
      <c r="P420" s="10" t="inlineStr">
        <is>
          <t>USO INTERNO(2)</t>
        </is>
      </c>
      <c r="Q420" s="10" t="inlineStr">
        <is>
          <t>BAJA(1)</t>
        </is>
      </c>
      <c r="R420" s="10" t="inlineStr">
        <is>
          <t>BAJA(1)</t>
        </is>
      </c>
      <c r="S420" s="10">
        <f>+(IF(P420="PUBLICA(1)",1,IF(P420="USO INTERNO(2)",2,IF(P420="RESTRINGIDO(3)",3,3))))+(IF(Q420="BAJA(1)",1,IF(Q420="MEDIA(2)",2,IF(Q420="ALTA(3)",3,3))))+(IF(R420="BAJA(1)",1,IF(R420="MEDIA(2)",2,IF(R420="ALTA(3)",3,3))))</f>
        <v/>
      </c>
      <c r="T420" s="10">
        <f>+IF(S420&lt;6,"BAJA",IF(S420&lt;8,"MEDIA","ALTA"))</f>
        <v/>
      </c>
      <c r="U420" s="10" t="inlineStr">
        <is>
          <t>-</t>
        </is>
      </c>
      <c r="V420" s="24" t="n">
        <v>45674</v>
      </c>
      <c r="W420" s="19" t="inlineStr">
        <is>
          <t>N/A</t>
        </is>
      </c>
      <c r="X420" s="10">
        <f>+IFERROR(IF(VLOOKUP(Tabla2[[#This Row],[ID]],'EVALUACION DE RIESGO'!A:A,1,FALSE)=Tabla2[[#This Row],[ID]],"SI","NO"),"NO")</f>
        <v/>
      </c>
    </row>
    <row r="421">
      <c r="A421" s="91" t="inlineStr">
        <is>
          <t>42-GOP</t>
        </is>
      </c>
      <c r="B421" s="10" t="inlineStr">
        <is>
          <t>APOYO</t>
        </is>
      </c>
      <c r="C421" s="10" t="inlineStr">
        <is>
          <t xml:space="preserve">Gestión de Operaciones </t>
        </is>
      </c>
      <c r="D421" s="10" t="inlineStr">
        <is>
          <t>GOP</t>
        </is>
      </c>
      <c r="E421" s="10" t="inlineStr">
        <is>
          <t>Cuadres y Conciliaciones</t>
        </is>
      </c>
      <c r="F421" s="10" t="inlineStr">
        <is>
          <t>-</t>
        </is>
      </c>
      <c r="G421" s="10" t="inlineStr">
        <is>
          <t>Cuadre de transacciones  Puntomático-SUPA</t>
        </is>
      </c>
      <c r="H421" s="10" t="inlineStr">
        <is>
          <t>Registro de Transacciones de Puntomático / Formulario de cuadre de Puntomático</t>
        </is>
      </c>
      <c r="I421" s="10" t="inlineStr">
        <is>
          <t>Reporte de transacciones que cuadra el reporte del proveedor vs el core financiero, contiene información de la transacción, fecha, usuario, montos, oficina, tipo de transacción</t>
        </is>
      </c>
      <c r="J421" s="10" t="inlineStr">
        <is>
          <t>Jefe de Soporte y Cuadres</t>
        </is>
      </c>
      <c r="K421" s="10" t="inlineStr">
        <is>
          <t>Asistente Operativo</t>
        </is>
      </c>
      <c r="L421" s="10" t="inlineStr">
        <is>
          <t>UBICACIÓN DIGITAL-EQUIPO DEL CUSTODIO</t>
        </is>
      </c>
      <c r="M421" s="10" t="inlineStr">
        <is>
          <t>DISCOS DUROS, SERVIDORES, DISCOS O MEDIOS PORTÁTILES, CINTAS O MEDIOS DE VIDEO Y AUDIO, ETC.</t>
        </is>
      </c>
      <c r="N421" s="10" t="inlineStr">
        <is>
          <t>PRIMARIOS</t>
        </is>
      </c>
      <c r="O421" s="10" t="inlineStr">
        <is>
          <t>DOCUMENTOS TÉCNICOS</t>
        </is>
      </c>
      <c r="P421" s="10" t="inlineStr">
        <is>
          <t>USO INTERNO(2)</t>
        </is>
      </c>
      <c r="Q421" s="10" t="inlineStr">
        <is>
          <t>BAJA(1)</t>
        </is>
      </c>
      <c r="R421" s="10" t="inlineStr">
        <is>
          <t>BAJA(1)</t>
        </is>
      </c>
      <c r="S421" s="10">
        <f>+(IF(P421="PUBLICA(1)",1,IF(P421="USO INTERNO(2)",2,IF(P421="RESTRINGIDO(3)",3,3))))+(IF(Q421="BAJA(1)",1,IF(Q421="MEDIA(2)",2,IF(Q421="ALTA(3)",3,3))))+(IF(R421="BAJA(1)",1,IF(R421="MEDIA(2)",2,IF(R421="ALTA(3)",3,3))))</f>
        <v/>
      </c>
      <c r="T421" s="10">
        <f>+IF(S421&lt;6,"BAJA",IF(S421&lt;8,"MEDIA","ALTA"))</f>
        <v/>
      </c>
      <c r="U421" s="10" t="inlineStr">
        <is>
          <t>-</t>
        </is>
      </c>
      <c r="V421" s="24" t="n">
        <v>45674</v>
      </c>
      <c r="W421" s="19" t="inlineStr">
        <is>
          <t>N/A</t>
        </is>
      </c>
      <c r="X421" s="10">
        <f>+IFERROR(IF(VLOOKUP(Tabla2[[#This Row],[ID]],'EVALUACION DE RIESGO'!A:A,1,FALSE)=Tabla2[[#This Row],[ID]],"SI","NO"),"NO")</f>
        <v/>
      </c>
    </row>
    <row r="422">
      <c r="A422" s="91" t="inlineStr">
        <is>
          <t>43-GOP</t>
        </is>
      </c>
      <c r="B422" s="10" t="inlineStr">
        <is>
          <t>APOYO</t>
        </is>
      </c>
      <c r="C422" s="10" t="inlineStr">
        <is>
          <t xml:space="preserve">Gestión de Operaciones </t>
        </is>
      </c>
      <c r="D422" s="10" t="inlineStr">
        <is>
          <t>GOP</t>
        </is>
      </c>
      <c r="E422" s="10" t="inlineStr">
        <is>
          <t>Cuadres y Conciliaciones</t>
        </is>
      </c>
      <c r="F422" s="10" t="inlineStr">
        <is>
          <t>-</t>
        </is>
      </c>
      <c r="G422" s="10" t="inlineStr">
        <is>
          <t>Cuadre de Cheques</t>
        </is>
      </c>
      <c r="H422" s="10" t="inlineStr">
        <is>
          <t>Prueba departamental</t>
        </is>
      </c>
      <c r="I422" s="10" t="inlineStr">
        <is>
          <t>Reporte de transacciones que cuadra el reporte del proveedor vs el core financiero, contiene información de fecha, hora, lote, oficina, institución financiera, deposito, nro cheque, cuenta y valor</t>
        </is>
      </c>
      <c r="J422" s="10" t="inlineStr">
        <is>
          <t>Jefe de Soporte y Cuadres</t>
        </is>
      </c>
      <c r="K422" s="10" t="inlineStr">
        <is>
          <t>Asistente Operativo</t>
        </is>
      </c>
      <c r="L422" s="10" t="inlineStr">
        <is>
          <t>UBICACIÓN DIGITAL-EQUIPO DEL CUSTODIO</t>
        </is>
      </c>
      <c r="M422" s="10" t="inlineStr">
        <is>
          <t>DISCOS DUROS, SERVIDORES, DISCOS O MEDIOS PORTÁTILES, CINTAS O MEDIOS DE VIDEO Y AUDIO, ETC.</t>
        </is>
      </c>
      <c r="N422" s="10" t="inlineStr">
        <is>
          <t>PRIMARIOS</t>
        </is>
      </c>
      <c r="O422" s="10" t="inlineStr">
        <is>
          <t>DOCUMENTOS TÉCNICOS</t>
        </is>
      </c>
      <c r="P422" s="10" t="inlineStr">
        <is>
          <t>USO INTERNO(2)</t>
        </is>
      </c>
      <c r="Q422" s="10" t="inlineStr">
        <is>
          <t>BAJA(1)</t>
        </is>
      </c>
      <c r="R422" s="10" t="inlineStr">
        <is>
          <t>MEDIA(2)</t>
        </is>
      </c>
      <c r="S422" s="10">
        <f>+(IF(P422="PUBLICA(1)",1,IF(P422="USO INTERNO(2)",2,IF(P422="RESTRINGIDO(3)",3,3))))+(IF(Q422="BAJA(1)",1,IF(Q422="MEDIA(2)",2,IF(Q422="ALTA(3)",3,3))))+(IF(R422="BAJA(1)",1,IF(R422="MEDIA(2)",2,IF(R422="ALTA(3)",3,3))))</f>
        <v/>
      </c>
      <c r="T422" s="10">
        <f>+IF(S422&lt;6,"BAJA",IF(S422&lt;8,"MEDIA","ALTA"))</f>
        <v/>
      </c>
      <c r="U422" s="10" t="inlineStr">
        <is>
          <t>-</t>
        </is>
      </c>
      <c r="V422" s="24" t="n">
        <v>45674</v>
      </c>
      <c r="W422" s="19" t="inlineStr">
        <is>
          <t>N/A</t>
        </is>
      </c>
      <c r="X422" s="10">
        <f>+IFERROR(IF(VLOOKUP(Tabla2[[#This Row],[ID]],'EVALUACION DE RIESGO'!A:A,1,FALSE)=Tabla2[[#This Row],[ID]],"SI","NO"),"NO")</f>
        <v/>
      </c>
    </row>
    <row r="423">
      <c r="A423" s="91" t="inlineStr">
        <is>
          <t>44-GOP</t>
        </is>
      </c>
      <c r="B423" s="10" t="inlineStr">
        <is>
          <t>APOYO</t>
        </is>
      </c>
      <c r="C423" s="10" t="inlineStr">
        <is>
          <t xml:space="preserve">Gestión de Operaciones </t>
        </is>
      </c>
      <c r="D423" s="10" t="inlineStr">
        <is>
          <t>GOP</t>
        </is>
      </c>
      <c r="E423" s="10" t="inlineStr">
        <is>
          <t>Cuadres y Conciliaciones</t>
        </is>
      </c>
      <c r="F423" s="10" t="inlineStr">
        <is>
          <t>-</t>
        </is>
      </c>
      <c r="G423" s="10" t="inlineStr">
        <is>
          <t>Cuadre de Cheques</t>
        </is>
      </c>
      <c r="H423" s="10" t="inlineStr">
        <is>
          <t>Solicitud de ajuste Contable</t>
        </is>
      </c>
      <c r="I423" s="10" t="inlineStr">
        <is>
          <t>Solicitud de ajuste enviado tipo memorando que contiene, departamento,, solicitante, dirigido a , fecha de solicitud, detalle de la solicitud registrada por el asistente operativo</t>
        </is>
      </c>
      <c r="J423" s="10" t="inlineStr">
        <is>
          <t>Jefe de Soporte y Cuadres</t>
        </is>
      </c>
      <c r="K423" s="10" t="inlineStr">
        <is>
          <t>Asistente Operativo</t>
        </is>
      </c>
      <c r="L423" s="10" t="inlineStr">
        <is>
          <t>UBICACIÓN DIGITAL-EQUIPO DEL CUSTODIO</t>
        </is>
      </c>
      <c r="M423" s="10" t="inlineStr">
        <is>
          <t>DISCOS DUROS, SERVIDORES, DISCOS O MEDIOS PORTÁTILES, CINTAS O MEDIOS DE VIDEO Y AUDIO, ETC.</t>
        </is>
      </c>
      <c r="N423" s="10" t="inlineStr">
        <is>
          <t>PRIMARIOS</t>
        </is>
      </c>
      <c r="O423" s="10" t="inlineStr">
        <is>
          <t>DOCUMENTOS TÉCNICOS</t>
        </is>
      </c>
      <c r="P423" s="10" t="inlineStr">
        <is>
          <t>USO INTERNO(2)</t>
        </is>
      </c>
      <c r="Q423" s="10" t="inlineStr">
        <is>
          <t>BAJA(1)</t>
        </is>
      </c>
      <c r="R423" s="10" t="inlineStr">
        <is>
          <t>MEDIA(2)</t>
        </is>
      </c>
      <c r="S423" s="10">
        <f>+(IF(P423="PUBLICA(1)",1,IF(P423="USO INTERNO(2)",2,IF(P423="RESTRINGIDO(3)",3,3))))+(IF(Q423="BAJA(1)",1,IF(Q423="MEDIA(2)",2,IF(Q423="ALTA(3)",3,3))))+(IF(R423="BAJA(1)",1,IF(R423="MEDIA(2)",2,IF(R423="ALTA(3)",3,3))))</f>
        <v/>
      </c>
      <c r="T423" s="10">
        <f>+IF(S423&lt;6,"BAJA",IF(S423&lt;8,"MEDIA","ALTA"))</f>
        <v/>
      </c>
      <c r="U423" s="10" t="inlineStr">
        <is>
          <t>-</t>
        </is>
      </c>
      <c r="V423" s="24" t="n">
        <v>45674</v>
      </c>
      <c r="W423" s="19" t="inlineStr">
        <is>
          <t>N/A</t>
        </is>
      </c>
      <c r="X423" s="10">
        <f>+IFERROR(IF(VLOOKUP(Tabla2[[#This Row],[ID]],'EVALUACION DE RIESGO'!A:A,1,FALSE)=Tabla2[[#This Row],[ID]],"SI","NO"),"NO")</f>
        <v/>
      </c>
    </row>
    <row r="424">
      <c r="A424" s="91" t="inlineStr">
        <is>
          <t>45-GOP</t>
        </is>
      </c>
      <c r="B424" s="10" t="inlineStr">
        <is>
          <t>APOYO</t>
        </is>
      </c>
      <c r="C424" s="10" t="inlineStr">
        <is>
          <t xml:space="preserve">Gestión de Operaciones </t>
        </is>
      </c>
      <c r="D424" s="10" t="inlineStr">
        <is>
          <t>GOP</t>
        </is>
      </c>
      <c r="E424" s="10" t="inlineStr">
        <is>
          <t>Cuadres y Conciliaciones</t>
        </is>
      </c>
      <c r="F424" s="10" t="inlineStr">
        <is>
          <t>-</t>
        </is>
      </c>
      <c r="G424" s="10" t="inlineStr">
        <is>
          <t>Cuadre de Cheques</t>
        </is>
      </c>
      <c r="H424" s="10" t="inlineStr">
        <is>
          <t>Bitácora de Seguimiento de ajustes contables</t>
        </is>
      </c>
      <c r="I424" s="10" t="inlineStr">
        <is>
          <t xml:space="preserve">Registro de históricos de ajustes contables </t>
        </is>
      </c>
      <c r="J424" s="10" t="inlineStr">
        <is>
          <t>Jefe de Soporte y Cuadres</t>
        </is>
      </c>
      <c r="K424" s="10" t="inlineStr">
        <is>
          <t>JEFE DE INFRAESTRUCTURA OPERACIONAL</t>
        </is>
      </c>
      <c r="L424" s="10" t="inlineStr">
        <is>
          <t>UBICACIÓN DIGITAL-EQUIPO DEL CUSTODIO</t>
        </is>
      </c>
      <c r="M424" s="10" t="inlineStr">
        <is>
          <t>DISCOS DUROS, SERVIDORES, DISCOS O MEDIOS PORTÁTILES, CINTAS O MEDIOS DE VIDEO Y AUDIO, ETC.</t>
        </is>
      </c>
      <c r="N424" s="10" t="inlineStr">
        <is>
          <t>PRIMARIOS</t>
        </is>
      </c>
      <c r="O424" s="10" t="inlineStr">
        <is>
          <t>DOCUMENTOS TÉCNICOS</t>
        </is>
      </c>
      <c r="P424" s="10" t="inlineStr">
        <is>
          <t>USO INTERNO(2)</t>
        </is>
      </c>
      <c r="Q424" s="10" t="inlineStr">
        <is>
          <t>BAJA(1)</t>
        </is>
      </c>
      <c r="R424" s="10" t="inlineStr">
        <is>
          <t>BAJA(1)</t>
        </is>
      </c>
      <c r="S424" s="10">
        <f>+(IF(P424="PUBLICA(1)",1,IF(P424="USO INTERNO(2)",2,IF(P424="RESTRINGIDO(3)",3,3))))+(IF(Q424="BAJA(1)",1,IF(Q424="MEDIA(2)",2,IF(Q424="ALTA(3)",3,3))))+(IF(R424="BAJA(1)",1,IF(R424="MEDIA(2)",2,IF(R424="ALTA(3)",3,3))))</f>
        <v/>
      </c>
      <c r="T424" s="10">
        <f>+IF(S424&lt;6,"BAJA",IF(S424&lt;8,"MEDIA","ALTA"))</f>
        <v/>
      </c>
      <c r="U424" s="10" t="inlineStr">
        <is>
          <t>-</t>
        </is>
      </c>
      <c r="V424" s="24" t="n">
        <v>45674</v>
      </c>
      <c r="W424" s="19" t="inlineStr">
        <is>
          <t>N/A</t>
        </is>
      </c>
      <c r="X424" s="10">
        <f>+IFERROR(IF(VLOOKUP(Tabla2[[#This Row],[ID]],'EVALUACION DE RIESGO'!A:A,1,FALSE)=Tabla2[[#This Row],[ID]],"SI","NO"),"NO")</f>
        <v/>
      </c>
    </row>
    <row r="425">
      <c r="A425" s="91" t="inlineStr">
        <is>
          <t>46-GOP</t>
        </is>
      </c>
      <c r="B425" s="10" t="inlineStr">
        <is>
          <t>APOYO</t>
        </is>
      </c>
      <c r="C425" s="10" t="inlineStr">
        <is>
          <t xml:space="preserve">Gestión de Operaciones </t>
        </is>
      </c>
      <c r="D425" s="10" t="inlineStr">
        <is>
          <t>GOP</t>
        </is>
      </c>
      <c r="E425" s="10" t="inlineStr">
        <is>
          <t>Cuadres y Conciliaciones</t>
        </is>
      </c>
      <c r="F425" s="10" t="inlineStr">
        <is>
          <t>-</t>
        </is>
      </c>
      <c r="G425" s="10" t="inlineStr">
        <is>
          <t>Titularización de cartera VIS-VIP</t>
        </is>
      </c>
      <c r="H425" s="10" t="inlineStr">
        <is>
          <t>Reportes diarios de cartera titularizada</t>
        </is>
      </c>
      <c r="I425" s="10" t="inlineStr">
        <is>
          <t>Archivos de verificación de provisión de interés, cancelaciones, Cargo contable, cartera vencida, liquidación traspaso, paso por vencer a vencido, reajustes, reclasificación por plazo, retornos de capital, saldo, tabla de amortización cabecera, tabla amortización detalle, tasa ponderada</t>
        </is>
      </c>
      <c r="J425" s="10" t="inlineStr">
        <is>
          <t>Jefe de Soporte y Cuadres</t>
        </is>
      </c>
      <c r="K425" s="10" t="inlineStr">
        <is>
          <t>Asistente Operativo</t>
        </is>
      </c>
      <c r="L425" s="10" t="inlineStr">
        <is>
          <t>UBICACIÓN DIGITAL-EQUIPO DEL CUSTODIO</t>
        </is>
      </c>
      <c r="M425" s="10" t="inlineStr">
        <is>
          <t>DISCOS DUROS, SERVIDORES, DISCOS O MEDIOS PORTÁTILES, CINTAS O MEDIOS DE VIDEO Y AUDIO, ETC.</t>
        </is>
      </c>
      <c r="N425" s="10" t="inlineStr">
        <is>
          <t>PRIMARIOS</t>
        </is>
      </c>
      <c r="O425" s="10" t="inlineStr">
        <is>
          <t>DOCUMENTOS TÉCNICOS</t>
        </is>
      </c>
      <c r="P425" s="10" t="inlineStr">
        <is>
          <t>USO INTERNO(2)</t>
        </is>
      </c>
      <c r="Q425" s="10" t="inlineStr">
        <is>
          <t>BAJA(1)</t>
        </is>
      </c>
      <c r="R425" s="10" t="inlineStr">
        <is>
          <t>BAJA(1)</t>
        </is>
      </c>
      <c r="S425" s="10">
        <f>+(IF(P425="PUBLICA(1)",1,IF(P425="USO INTERNO(2)",2,IF(P425="RESTRINGIDO(3)",3,3))))+(IF(Q425="BAJA(1)",1,IF(Q425="MEDIA(2)",2,IF(Q425="ALTA(3)",3,3))))+(IF(R425="BAJA(1)",1,IF(R425="MEDIA(2)",2,IF(R425="ALTA(3)",3,3))))</f>
        <v/>
      </c>
      <c r="T425" s="10">
        <f>+IF(S425&lt;6,"BAJA",IF(S425&lt;8,"MEDIA","ALTA"))</f>
        <v/>
      </c>
      <c r="U425" s="10" t="inlineStr">
        <is>
          <t>-</t>
        </is>
      </c>
      <c r="V425" s="24" t="n">
        <v>45674</v>
      </c>
      <c r="W425" s="19" t="inlineStr">
        <is>
          <t>N/A</t>
        </is>
      </c>
      <c r="X425" s="10">
        <f>+IFERROR(IF(VLOOKUP(Tabla2[[#This Row],[ID]],'EVALUACION DE RIESGO'!A:A,1,FALSE)=Tabla2[[#This Row],[ID]],"SI","NO"),"NO")</f>
        <v/>
      </c>
    </row>
    <row r="426">
      <c r="A426" s="91" t="inlineStr">
        <is>
          <t>47-GOP</t>
        </is>
      </c>
      <c r="B426" s="10" t="inlineStr">
        <is>
          <t>APOYO</t>
        </is>
      </c>
      <c r="C426" s="10" t="inlineStr">
        <is>
          <t xml:space="preserve">Gestión de Operaciones </t>
        </is>
      </c>
      <c r="D426" s="10" t="inlineStr">
        <is>
          <t>GOP</t>
        </is>
      </c>
      <c r="E426" s="10" t="inlineStr">
        <is>
          <t>Cuadres y Conciliaciones</t>
        </is>
      </c>
      <c r="F426" s="10" t="inlineStr">
        <is>
          <t>-</t>
        </is>
      </c>
      <c r="G426" s="10" t="inlineStr">
        <is>
          <t xml:space="preserve">Validación de Estructuras  </t>
        </is>
      </c>
      <c r="H426" s="10" t="inlineStr">
        <is>
          <t>Acuso de recibo de validación de estructuras</t>
        </is>
      </c>
      <c r="I426" s="10" t="inlineStr">
        <is>
          <t>WCARDENAS</t>
        </is>
      </c>
      <c r="J426" s="10" t="inlineStr">
        <is>
          <t>Jefe de Soporte y Cuadres</t>
        </is>
      </c>
      <c r="K426" s="10" t="inlineStr">
        <is>
          <t>Asistente Operativo</t>
        </is>
      </c>
      <c r="L426" s="10" t="inlineStr">
        <is>
          <t>UBICACIÓN DIGITAL-EQUIPO DEL CUSTODIO</t>
        </is>
      </c>
      <c r="M426" s="10" t="inlineStr">
        <is>
          <t>DISCOS DUROS, SERVIDORES, DISCOS O MEDIOS PORTÁTILES, CINTAS O MEDIOS DE VIDEO Y AUDIO, ETC.</t>
        </is>
      </c>
      <c r="N426" s="10" t="inlineStr">
        <is>
          <t>PRIMARIOS</t>
        </is>
      </c>
      <c r="O426" s="10" t="inlineStr">
        <is>
          <t>DOCUMENTOS HABILITANTES</t>
        </is>
      </c>
      <c r="P426" s="10" t="inlineStr">
        <is>
          <t>USO INTERNO(2)</t>
        </is>
      </c>
      <c r="Q426" s="10" t="inlineStr">
        <is>
          <t>MEDIA(2)</t>
        </is>
      </c>
      <c r="R426" s="10" t="inlineStr">
        <is>
          <t>ALTA(3)</t>
        </is>
      </c>
      <c r="S426" s="10">
        <f>+(IF(P426="PUBLICA(1)",1,IF(P426="USO INTERNO(2)",2,IF(P426="RESTRINGIDO(3)",3,3))))+(IF(Q426="BAJA(1)",1,IF(Q426="MEDIA(2)",2,IF(Q426="ALTA(3)",3,3))))+(IF(R426="BAJA(1)",1,IF(R426="MEDIA(2)",2,IF(R426="ALTA(3)",3,3))))</f>
        <v/>
      </c>
      <c r="T426" s="10">
        <f>+IF(S426&lt;6,"BAJA",IF(S426&lt;8,"MEDIA","ALTA"))</f>
        <v/>
      </c>
      <c r="U426" s="10" t="inlineStr">
        <is>
          <t>-</t>
        </is>
      </c>
      <c r="V426" s="24" t="n">
        <v>45674</v>
      </c>
      <c r="W426" s="19" t="inlineStr">
        <is>
          <t>N/A</t>
        </is>
      </c>
      <c r="X426" s="10">
        <f>+IFERROR(IF(VLOOKUP(Tabla2[[#This Row],[ID]],'EVALUACION DE RIESGO'!A:A,1,FALSE)=Tabla2[[#This Row],[ID]],"SI","NO"),"NO")</f>
        <v/>
      </c>
    </row>
    <row r="427">
      <c r="A427" s="91" t="inlineStr">
        <is>
          <t>48-GOP</t>
        </is>
      </c>
      <c r="B427" s="10" t="inlineStr">
        <is>
          <t>APOYO</t>
        </is>
      </c>
      <c r="C427" s="10" t="inlineStr">
        <is>
          <t xml:space="preserve">Gestión de Operaciones </t>
        </is>
      </c>
      <c r="D427" s="10" t="inlineStr">
        <is>
          <t>GOP</t>
        </is>
      </c>
      <c r="E427" s="10" t="inlineStr">
        <is>
          <t>Cuadres y Conciliaciones</t>
        </is>
      </c>
      <c r="F427" s="10" t="inlineStr">
        <is>
          <t>-</t>
        </is>
      </c>
      <c r="G427" s="10" t="inlineStr">
        <is>
          <t xml:space="preserve">Validación de Estructuras  </t>
        </is>
      </c>
      <c r="H427" s="10" t="inlineStr">
        <is>
          <t>Bitácora de Validación de estructuras</t>
        </is>
      </c>
      <c r="I427" s="10" t="inlineStr">
        <is>
          <t>WCARDENAS</t>
        </is>
      </c>
      <c r="J427" s="10" t="inlineStr">
        <is>
          <t>Jefe de Soporte y Cuadres</t>
        </is>
      </c>
      <c r="K427" s="10" t="inlineStr">
        <is>
          <t>JEFE DE INFRAESTRUCTURA OPERACIONAL</t>
        </is>
      </c>
      <c r="L427" s="10" t="inlineStr">
        <is>
          <t>UBICACIÓN DIGITAL-EQUIPO DEL CUSTODIO</t>
        </is>
      </c>
      <c r="M427" s="10" t="inlineStr">
        <is>
          <t>DISCOS DUROS, SERVIDORES, DISCOS O MEDIOS PORTÁTILES, CINTAS O MEDIOS DE VIDEO Y AUDIO, ETC.</t>
        </is>
      </c>
      <c r="N427" s="10" t="inlineStr">
        <is>
          <t>PRIMARIOS</t>
        </is>
      </c>
      <c r="O427" s="10" t="inlineStr">
        <is>
          <t>DOCUMENTOS TÉCNICOS</t>
        </is>
      </c>
      <c r="P427" s="10" t="inlineStr">
        <is>
          <t>USO INTERNO(2)</t>
        </is>
      </c>
      <c r="Q427" s="10" t="inlineStr">
        <is>
          <t>MEDIA(2)</t>
        </is>
      </c>
      <c r="R427" s="10" t="inlineStr">
        <is>
          <t>MEDIA(2)</t>
        </is>
      </c>
      <c r="S427" s="10">
        <f>+(IF(P427="PUBLICA(1)",1,IF(P427="USO INTERNO(2)",2,IF(P427="RESTRINGIDO(3)",3,3))))+(IF(Q427="BAJA(1)",1,IF(Q427="MEDIA(2)",2,IF(Q427="ALTA(3)",3,3))))+(IF(R427="BAJA(1)",1,IF(R427="MEDIA(2)",2,IF(R427="ALTA(3)",3,3))))</f>
        <v/>
      </c>
      <c r="T427" s="10">
        <f>+IF(S427&lt;6,"BAJA",IF(S427&lt;8,"MEDIA","ALTA"))</f>
        <v/>
      </c>
      <c r="U427" s="10" t="inlineStr">
        <is>
          <t>-</t>
        </is>
      </c>
      <c r="V427" s="24" t="n">
        <v>45674</v>
      </c>
      <c r="W427" s="19" t="inlineStr">
        <is>
          <t>N/A</t>
        </is>
      </c>
      <c r="X427" s="10">
        <f>+IFERROR(IF(VLOOKUP(Tabla2[[#This Row],[ID]],'EVALUACION DE RIESGO'!A:A,1,FALSE)=Tabla2[[#This Row],[ID]],"SI","NO"),"NO")</f>
        <v/>
      </c>
    </row>
    <row r="428">
      <c r="A428" s="91" t="inlineStr">
        <is>
          <t>49-GOP</t>
        </is>
      </c>
      <c r="B428" s="10" t="inlineStr">
        <is>
          <t>APOYO</t>
        </is>
      </c>
      <c r="C428" s="10" t="inlineStr">
        <is>
          <t xml:space="preserve">Gestión de Operaciones </t>
        </is>
      </c>
      <c r="D428" s="10" t="inlineStr">
        <is>
          <t>GOP</t>
        </is>
      </c>
      <c r="E428" s="10" t="inlineStr">
        <is>
          <t>Gestión del Front Operativo</t>
        </is>
      </c>
      <c r="F428" s="10" t="inlineStr">
        <is>
          <t xml:space="preserve">Bóveda y Cajas </t>
        </is>
      </c>
      <c r="G428" s="10" t="inlineStr">
        <is>
          <t xml:space="preserve">Apertura de bóvedas y Cajas </t>
        </is>
      </c>
      <c r="H428" s="10" t="inlineStr">
        <is>
          <t>Control de ingreso al área de Cajas.</t>
        </is>
      </c>
      <c r="I428" s="10" t="inlineStr">
        <is>
          <t>Bitácora de control de accesos de cajeros y personas que ingresan al área</t>
        </is>
      </c>
      <c r="J428" s="10" t="inlineStr">
        <is>
          <t>Jefe del Front Operativo</t>
        </is>
      </c>
      <c r="K428" s="10" t="inlineStr">
        <is>
          <t>Supervisor Operativo</t>
        </is>
      </c>
      <c r="L428" s="10" t="inlineStr">
        <is>
          <t>DOCUMENTOS FISICOS-ARCHIVOS DE LA OFICINA</t>
        </is>
      </c>
      <c r="M428" s="10" t="inlineStr">
        <is>
          <t>ARCHIVOS INSTITUCIONALES-FÍSICOS</t>
        </is>
      </c>
      <c r="N428" s="10" t="inlineStr">
        <is>
          <t>PRIMARIOS</t>
        </is>
      </c>
      <c r="O428" s="10" t="inlineStr">
        <is>
          <t>DOCUMENTOS HABILITANTES</t>
        </is>
      </c>
      <c r="P428" s="10" t="inlineStr">
        <is>
          <t>USO INTERNO(2)</t>
        </is>
      </c>
      <c r="Q428" s="10" t="inlineStr">
        <is>
          <t>MEDIA(2)</t>
        </is>
      </c>
      <c r="R428" s="10" t="inlineStr">
        <is>
          <t>BAJA(1)</t>
        </is>
      </c>
      <c r="S428" s="10">
        <f>+(IF(P428="PUBLICA(1)",1,IF(P428="USO INTERNO(2)",2,IF(P428="RESTRINGIDO(3)",3,3))))+(IF(Q428="BAJA(1)",1,IF(Q428="MEDIA(2)",2,IF(Q428="ALTA(3)",3,3))))+(IF(R428="BAJA(1)",1,IF(R428="MEDIA(2)",2,IF(R428="ALTA(3)",3,3))))</f>
        <v/>
      </c>
      <c r="T428" s="10">
        <f>+IF(S428&lt;6,"BAJA",IF(S428&lt;8,"MEDIA","ALTA"))</f>
        <v/>
      </c>
      <c r="U428" s="10" t="inlineStr">
        <is>
          <t>-</t>
        </is>
      </c>
      <c r="V428" s="24" t="n">
        <v>45674</v>
      </c>
      <c r="W428" s="19" t="inlineStr">
        <is>
          <t>N/A</t>
        </is>
      </c>
      <c r="X428" s="10">
        <f>+IFERROR(IF(VLOOKUP(Tabla2[[#This Row],[ID]],'EVALUACION DE RIESGO'!A:A,1,FALSE)=Tabla2[[#This Row],[ID]],"SI","NO"),"NO")</f>
        <v/>
      </c>
    </row>
    <row r="429">
      <c r="A429" s="91" t="inlineStr">
        <is>
          <t>50-GOP</t>
        </is>
      </c>
      <c r="B429" s="10" t="inlineStr">
        <is>
          <t>APOYO</t>
        </is>
      </c>
      <c r="C429" s="10" t="inlineStr">
        <is>
          <t xml:space="preserve">Gestión de Operaciones </t>
        </is>
      </c>
      <c r="D429" s="10" t="inlineStr">
        <is>
          <t>GOP</t>
        </is>
      </c>
      <c r="E429" s="10" t="inlineStr">
        <is>
          <t>Gestión del Front Operativo</t>
        </is>
      </c>
      <c r="F429" s="10" t="inlineStr">
        <is>
          <t xml:space="preserve">Bóveda y Cajas </t>
        </is>
      </c>
      <c r="G429" s="10" t="inlineStr">
        <is>
          <t xml:space="preserve">Apertura de bóvedas y Cajas </t>
        </is>
      </c>
      <c r="H429" s="10" t="inlineStr">
        <is>
          <t>Comprobante de entrega y/o transferencia de fondos.</t>
        </is>
      </c>
      <c r="I429" s="10" t="inlineStr">
        <is>
          <t>Documento del sistema que se imprime, tiene el detalle de los usuarios que entregan reciben y el monto</t>
        </is>
      </c>
      <c r="J429" s="10" t="inlineStr">
        <is>
          <t>Jefe del Front Operativo</t>
        </is>
      </c>
      <c r="K429" s="10" t="inlineStr">
        <is>
          <t>Supervisor Operativo</t>
        </is>
      </c>
      <c r="L429" s="10" t="inlineStr">
        <is>
          <t>ARCHIVOS INSTITUCIONALES-FÍSICOS</t>
        </is>
      </c>
      <c r="M429" s="10" t="inlineStr">
        <is>
          <t>ARCHIVOS INSTITUCIONALES-FÍSICOS</t>
        </is>
      </c>
      <c r="N429" s="10" t="inlineStr">
        <is>
          <t>PRIMARIOS</t>
        </is>
      </c>
      <c r="O429" s="10" t="inlineStr">
        <is>
          <t>DOCUMENTOS TÉCNICOS</t>
        </is>
      </c>
      <c r="P429" s="10" t="inlineStr">
        <is>
          <t>USO INTERNO(2)</t>
        </is>
      </c>
      <c r="Q429" s="10" t="inlineStr">
        <is>
          <t>MEDIA(2)</t>
        </is>
      </c>
      <c r="R429" s="10" t="inlineStr">
        <is>
          <t>BAJA(1)</t>
        </is>
      </c>
      <c r="S429" s="10">
        <f>+(IF(P429="PUBLICA(1)",1,IF(P429="USO INTERNO(2)",2,IF(P429="RESTRINGIDO(3)",3,3))))+(IF(Q429="BAJA(1)",1,IF(Q429="MEDIA(2)",2,IF(Q429="ALTA(3)",3,3))))+(IF(R429="BAJA(1)",1,IF(R429="MEDIA(2)",2,IF(R429="ALTA(3)",3,3))))</f>
        <v/>
      </c>
      <c r="T429" s="10">
        <f>+IF(S429&lt;6,"BAJA",IF(S429&lt;8,"MEDIA","ALTA"))</f>
        <v/>
      </c>
      <c r="U429" s="10" t="inlineStr">
        <is>
          <t>-</t>
        </is>
      </c>
      <c r="V429" s="24" t="n">
        <v>45674</v>
      </c>
      <c r="W429" s="19" t="inlineStr">
        <is>
          <t>N/A</t>
        </is>
      </c>
      <c r="X429" s="10">
        <f>+IFERROR(IF(VLOOKUP(Tabla2[[#This Row],[ID]],'EVALUACION DE RIESGO'!A:A,1,FALSE)=Tabla2[[#This Row],[ID]],"SI","NO"),"NO")</f>
        <v/>
      </c>
    </row>
    <row r="430">
      <c r="A430" s="91" t="inlineStr">
        <is>
          <t>51-GOP</t>
        </is>
      </c>
      <c r="B430" s="10" t="inlineStr">
        <is>
          <t>APOYO</t>
        </is>
      </c>
      <c r="C430" s="10" t="inlineStr">
        <is>
          <t xml:space="preserve">Gestión de Operaciones </t>
        </is>
      </c>
      <c r="D430" s="10" t="inlineStr">
        <is>
          <t>GOP</t>
        </is>
      </c>
      <c r="E430" s="10" t="inlineStr">
        <is>
          <t>Gestión del Front Operativo</t>
        </is>
      </c>
      <c r="F430" s="10" t="inlineStr">
        <is>
          <t xml:space="preserve">Bóveda y Cajas </t>
        </is>
      </c>
      <c r="G430" s="10" t="inlineStr">
        <is>
          <t xml:space="preserve">Apertura de bóvedas y Cajas </t>
        </is>
      </c>
      <c r="H430" s="10" t="inlineStr">
        <is>
          <t>Control de libretas de ahorros.</t>
        </is>
      </c>
      <c r="I430" s="10" t="inlineStr">
        <is>
          <t>Bitácora donde hay un control del Supervisor Operativa y el Cajero. Con los socios no existen documentos porque se validan con la huella dactilar</t>
        </is>
      </c>
      <c r="J430" s="10" t="inlineStr">
        <is>
          <t>Jefe del Front Operativo</t>
        </is>
      </c>
      <c r="K430" s="10" t="inlineStr">
        <is>
          <t>Supervisor Operativo</t>
        </is>
      </c>
      <c r="L430" s="10" t="inlineStr">
        <is>
          <t>ARCHIVOS INSTITUCIONALES-FÍSICOS</t>
        </is>
      </c>
      <c r="M430" s="10" t="inlineStr">
        <is>
          <t>ARCHIVOS INSTITUCIONALES-FÍSICOS</t>
        </is>
      </c>
      <c r="N430" s="10" t="inlineStr">
        <is>
          <t>PRIMARIOS</t>
        </is>
      </c>
      <c r="O430" s="10" t="inlineStr">
        <is>
          <t>DOCUMENTOS TÉCNICOS</t>
        </is>
      </c>
      <c r="P430" s="10" t="inlineStr">
        <is>
          <t>USO INTERNO(2)</t>
        </is>
      </c>
      <c r="Q430" s="10" t="inlineStr">
        <is>
          <t>MEDIA(2)</t>
        </is>
      </c>
      <c r="R430" s="10" t="inlineStr">
        <is>
          <t>BAJA(1)</t>
        </is>
      </c>
      <c r="S430" s="10">
        <f>+(IF(P430="PUBLICA(1)",1,IF(P430="USO INTERNO(2)",2,IF(P430="RESTRINGIDO(3)",3,3))))+(IF(Q430="BAJA(1)",1,IF(Q430="MEDIA(2)",2,IF(Q430="ALTA(3)",3,3))))+(IF(R430="BAJA(1)",1,IF(R430="MEDIA(2)",2,IF(R430="ALTA(3)",3,3))))</f>
        <v/>
      </c>
      <c r="T430" s="10">
        <f>+IF(S430&lt;6,"BAJA",IF(S430&lt;8,"MEDIA","ALTA"))</f>
        <v/>
      </c>
      <c r="U430" s="10" t="inlineStr">
        <is>
          <t>-</t>
        </is>
      </c>
      <c r="V430" s="24" t="n">
        <v>45674</v>
      </c>
      <c r="W430" s="19" t="inlineStr">
        <is>
          <t>N/A</t>
        </is>
      </c>
      <c r="X430" s="10">
        <f>+IFERROR(IF(VLOOKUP(Tabla2[[#This Row],[ID]],'EVALUACION DE RIESGO'!A:A,1,FALSE)=Tabla2[[#This Row],[ID]],"SI","NO"),"NO")</f>
        <v/>
      </c>
    </row>
    <row r="431">
      <c r="A431" s="91" t="inlineStr">
        <is>
          <t>52-GOP</t>
        </is>
      </c>
      <c r="B431" s="10" t="inlineStr">
        <is>
          <t>APOYO</t>
        </is>
      </c>
      <c r="C431" s="10" t="inlineStr">
        <is>
          <t xml:space="preserve">Gestión de Operaciones </t>
        </is>
      </c>
      <c r="D431" s="10" t="inlineStr">
        <is>
          <t>GOP</t>
        </is>
      </c>
      <c r="E431" s="10" t="inlineStr">
        <is>
          <t>Gestión del Front Operativo</t>
        </is>
      </c>
      <c r="F431" s="10" t="inlineStr">
        <is>
          <t xml:space="preserve">Bóveda y Cajas </t>
        </is>
      </c>
      <c r="G431" s="10" t="inlineStr">
        <is>
          <t>Movimiento de cajas y bóvedas (incrementos y decrementos)</t>
        </is>
      </c>
      <c r="H431" s="10" t="inlineStr">
        <is>
          <t xml:space="preserve">Solicitud de fondo de bóveda. </t>
        </is>
      </c>
      <c r="I431" s="10" t="inlineStr">
        <is>
          <t>Documento que firma el Supervisor Operativo y el Jefe de oficina para realizar el requerimiento a Tesorería</t>
        </is>
      </c>
      <c r="J431" s="10" t="inlineStr">
        <is>
          <t>Jefe del Front Operativo</t>
        </is>
      </c>
      <c r="K431" s="10" t="inlineStr">
        <is>
          <t>Supervisor Operativo</t>
        </is>
      </c>
      <c r="L431" s="10" t="inlineStr">
        <is>
          <t>UBICACIÓN DIGITAL-CORE FINANCIERO</t>
        </is>
      </c>
      <c r="M431" s="10" t="inlineStr">
        <is>
          <t>SISTEMAS DE INFORMACIÓN CORPORATIVOS</t>
        </is>
      </c>
      <c r="N431" s="10" t="inlineStr">
        <is>
          <t>PRIMARIOS</t>
        </is>
      </c>
      <c r="O431" s="10" t="inlineStr">
        <is>
          <t>DOCUMENTOS HABILITANTES</t>
        </is>
      </c>
      <c r="P431" s="10" t="inlineStr">
        <is>
          <t>USO INTERNO(2)</t>
        </is>
      </c>
      <c r="Q431" s="10" t="inlineStr">
        <is>
          <t>BAJA(1)</t>
        </is>
      </c>
      <c r="R431" s="10" t="inlineStr">
        <is>
          <t>BAJA(1)</t>
        </is>
      </c>
      <c r="S431" s="10">
        <f>+(IF(P431="PUBLICA(1)",1,IF(P431="USO INTERNO(2)",2,IF(P431="RESTRINGIDO(3)",3,3))))+(IF(Q431="BAJA(1)",1,IF(Q431="MEDIA(2)",2,IF(Q431="ALTA(3)",3,3))))+(IF(R431="BAJA(1)",1,IF(R431="MEDIA(2)",2,IF(R431="ALTA(3)",3,3))))</f>
        <v/>
      </c>
      <c r="T431" s="10">
        <f>+IF(S431&lt;6,"BAJA",IF(S431&lt;8,"MEDIA","ALTA"))</f>
        <v/>
      </c>
      <c r="U431" s="10" t="inlineStr">
        <is>
          <t>-</t>
        </is>
      </c>
      <c r="V431" s="24" t="n">
        <v>45674</v>
      </c>
      <c r="W431" s="19" t="inlineStr">
        <is>
          <t>N/A</t>
        </is>
      </c>
      <c r="X431" s="10">
        <f>+IFERROR(IF(VLOOKUP(Tabla2[[#This Row],[ID]],'EVALUACION DE RIESGO'!A:A,1,FALSE)=Tabla2[[#This Row],[ID]],"SI","NO"),"NO")</f>
        <v/>
      </c>
    </row>
    <row r="432">
      <c r="A432" s="91" t="inlineStr">
        <is>
          <t>53-GOP</t>
        </is>
      </c>
      <c r="B432" s="10" t="inlineStr">
        <is>
          <t>APOYO</t>
        </is>
      </c>
      <c r="C432" s="10" t="inlineStr">
        <is>
          <t xml:space="preserve">Gestión de Operaciones </t>
        </is>
      </c>
      <c r="D432" s="10" t="inlineStr">
        <is>
          <t>GOP</t>
        </is>
      </c>
      <c r="E432" s="10" t="inlineStr">
        <is>
          <t>Gestión del Front Operativo</t>
        </is>
      </c>
      <c r="F432" s="10" t="inlineStr">
        <is>
          <t xml:space="preserve">Bóveda y Cajas </t>
        </is>
      </c>
      <c r="G432" s="10" t="inlineStr">
        <is>
          <t>Movimiento de cajas y bóvedas (incrementos y decrementos)</t>
        </is>
      </c>
      <c r="H432" s="10" t="inlineStr">
        <is>
          <t>Registro de entrega recepción de libretas y llaves</t>
        </is>
      </c>
      <c r="I432" s="10" t="inlineStr">
        <is>
          <t>Bitácora de registro, cuando el Sup Operativo entrega las libretas al inicio del día y recibe al fin del día, de igual forma con las llaves</t>
        </is>
      </c>
      <c r="J432" s="10" t="inlineStr">
        <is>
          <t>Jefe del Front Operativo</t>
        </is>
      </c>
      <c r="K432" s="10" t="inlineStr">
        <is>
          <t>Supervisor Operativo</t>
        </is>
      </c>
      <c r="L432" s="10" t="inlineStr">
        <is>
          <t>ARCHIVOS INSTITUCIONALES-FÍSICOS</t>
        </is>
      </c>
      <c r="M432" s="10" t="inlineStr">
        <is>
          <t>ARCHIVOS INSTITUCIONALES-FÍSICOS</t>
        </is>
      </c>
      <c r="N432" s="10" t="inlineStr">
        <is>
          <t>PRIMARIOS</t>
        </is>
      </c>
      <c r="O432" s="10" t="inlineStr">
        <is>
          <t>DOCUMENTOS TÉCNICOS</t>
        </is>
      </c>
      <c r="P432" s="10" t="inlineStr">
        <is>
          <t>USO INTERNO(2)</t>
        </is>
      </c>
      <c r="Q432" s="10" t="inlineStr">
        <is>
          <t>BAJA(1)</t>
        </is>
      </c>
      <c r="R432" s="10" t="inlineStr">
        <is>
          <t>BAJA(1)</t>
        </is>
      </c>
      <c r="S432" s="10">
        <f>+(IF(P432="PUBLICA(1)",1,IF(P432="USO INTERNO(2)",2,IF(P432="RESTRINGIDO(3)",3,3))))+(IF(Q432="BAJA(1)",1,IF(Q432="MEDIA(2)",2,IF(Q432="ALTA(3)",3,3))))+(IF(R432="BAJA(1)",1,IF(R432="MEDIA(2)",2,IF(R432="ALTA(3)",3,3))))</f>
        <v/>
      </c>
      <c r="T432" s="10">
        <f>+IF(S432&lt;6,"BAJA",IF(S432&lt;8,"MEDIA","ALTA"))</f>
        <v/>
      </c>
      <c r="U432" s="10" t="inlineStr">
        <is>
          <t>-</t>
        </is>
      </c>
      <c r="V432" s="24" t="n">
        <v>45674</v>
      </c>
      <c r="W432" s="19" t="inlineStr">
        <is>
          <t>N/A</t>
        </is>
      </c>
      <c r="X432" s="10">
        <f>+IFERROR(IF(VLOOKUP(Tabla2[[#This Row],[ID]],'EVALUACION DE RIESGO'!A:A,1,FALSE)=Tabla2[[#This Row],[ID]],"SI","NO"),"NO")</f>
        <v/>
      </c>
    </row>
    <row r="433">
      <c r="A433" s="91" t="inlineStr">
        <is>
          <t>54-GOP</t>
        </is>
      </c>
      <c r="B433" s="10" t="inlineStr">
        <is>
          <t>APOYO</t>
        </is>
      </c>
      <c r="C433" s="10" t="inlineStr">
        <is>
          <t xml:space="preserve">Gestión de Operaciones </t>
        </is>
      </c>
      <c r="D433" s="10" t="inlineStr">
        <is>
          <t>GOP</t>
        </is>
      </c>
      <c r="E433" s="10" t="inlineStr">
        <is>
          <t>Gestión del Front Operativo</t>
        </is>
      </c>
      <c r="F433" s="10" t="inlineStr">
        <is>
          <t xml:space="preserve">Bóveda y Cajas </t>
        </is>
      </c>
      <c r="G433" s="10" t="inlineStr">
        <is>
          <t>Movimiento de cajas y bóvedas (incrementos y decrementos)</t>
        </is>
      </c>
      <c r="H433" s="10" t="inlineStr">
        <is>
          <t>Reporte de Totales de Centrales.</t>
        </is>
      </c>
      <c r="I433" s="10" t="inlineStr">
        <is>
          <t>Planilla de fin del día, con el detalle de transacciones por usuarios y detalle de montos por bóveda</t>
        </is>
      </c>
      <c r="J433" s="10" t="inlineStr">
        <is>
          <t>Jefe del Front Operativo</t>
        </is>
      </c>
      <c r="K433" s="10" t="inlineStr">
        <is>
          <t>Supervisor Operativo</t>
        </is>
      </c>
      <c r="L433" s="10" t="inlineStr">
        <is>
          <t>DISCOS DUROS, SERVIDORES, DISCOS O MEDIOS PORTÁTILES, CINTAS O MEDIOS DE VIDEO Y AUDIO, ETC.</t>
        </is>
      </c>
      <c r="M433" s="10" t="inlineStr">
        <is>
          <t>DISCOS DUROS, SERVIDORES, DISCOS O MEDIOS PORTÁTILES, CINTAS O MEDIOS DE VIDEO Y AUDIO, ETC.</t>
        </is>
      </c>
      <c r="N433" s="10" t="inlineStr">
        <is>
          <t>PRIMARIOS</t>
        </is>
      </c>
      <c r="O433" s="10" t="inlineStr">
        <is>
          <t>DOCUMENTOS TÉCNICOS</t>
        </is>
      </c>
      <c r="P433" s="10" t="inlineStr">
        <is>
          <t>USO INTERNO(2)</t>
        </is>
      </c>
      <c r="Q433" s="10" t="inlineStr">
        <is>
          <t>MEDIA(2)</t>
        </is>
      </c>
      <c r="R433" s="10" t="inlineStr">
        <is>
          <t>MEDIA(2)</t>
        </is>
      </c>
      <c r="S433" s="10">
        <f>+(IF(P433="PUBLICA(1)",1,IF(P433="USO INTERNO(2)",2,IF(P433="RESTRINGIDO(3)",3,3))))+(IF(Q433="BAJA(1)",1,IF(Q433="MEDIA(2)",2,IF(Q433="ALTA(3)",3,3))))+(IF(R433="BAJA(1)",1,IF(R433="MEDIA(2)",2,IF(R433="ALTA(3)",3,3))))</f>
        <v/>
      </c>
      <c r="T433" s="10">
        <f>+IF(S433&lt;6,"BAJA",IF(S433&lt;8,"MEDIA","ALTA"))</f>
        <v/>
      </c>
      <c r="U433" s="10" t="inlineStr">
        <is>
          <t>-</t>
        </is>
      </c>
      <c r="V433" s="24" t="n">
        <v>45674</v>
      </c>
      <c r="W433" s="19" t="inlineStr">
        <is>
          <t>N/A</t>
        </is>
      </c>
      <c r="X433" s="10">
        <f>+IFERROR(IF(VLOOKUP(Tabla2[[#This Row],[ID]],'EVALUACION DE RIESGO'!A:A,1,FALSE)=Tabla2[[#This Row],[ID]],"SI","NO"),"NO")</f>
        <v/>
      </c>
    </row>
    <row r="434">
      <c r="A434" s="91" t="inlineStr">
        <is>
          <t>55-GOP</t>
        </is>
      </c>
      <c r="B434" s="10" t="inlineStr">
        <is>
          <t>APOYO</t>
        </is>
      </c>
      <c r="C434" s="10" t="inlineStr">
        <is>
          <t xml:space="preserve">Gestión de Operaciones </t>
        </is>
      </c>
      <c r="D434" s="10" t="inlineStr">
        <is>
          <t>GOP</t>
        </is>
      </c>
      <c r="E434" s="10" t="inlineStr">
        <is>
          <t>Gestión del Front Operativo</t>
        </is>
      </c>
      <c r="F434" s="10" t="inlineStr">
        <is>
          <t xml:space="preserve">Bóveda y Cajas </t>
        </is>
      </c>
      <c r="G434" s="10" t="inlineStr">
        <is>
          <t>Movimiento de cajas y bóvedas (incrementos y decrementos)</t>
        </is>
      </c>
      <c r="H434" s="10" t="inlineStr">
        <is>
          <t>Recibo de remisión.</t>
        </is>
      </c>
      <c r="I434" s="10" t="inlineStr">
        <is>
          <t>Guías de remisión cuando de hace envío o recepción de efectivo, detalla la fecha, datos del remitente, detalle del efectivo, firmas de responsables</t>
        </is>
      </c>
      <c r="J434" s="10" t="inlineStr">
        <is>
          <t>Jefe del Front Operativo</t>
        </is>
      </c>
      <c r="K434" s="10" t="inlineStr">
        <is>
          <t>Supervisor Operativo</t>
        </is>
      </c>
      <c r="L434" s="10" t="inlineStr">
        <is>
          <t>UBICACIÓN FISICA - ARCHIVO DEL ÁREA</t>
        </is>
      </c>
      <c r="M434" s="10" t="inlineStr">
        <is>
          <t>ARCHIVOS INSTITUCIONALES-FÍSICOS</t>
        </is>
      </c>
      <c r="N434" s="10" t="inlineStr">
        <is>
          <t>PRIMARIOS</t>
        </is>
      </c>
      <c r="O434" s="10" t="inlineStr">
        <is>
          <t>DOCUMENTOS TÉCNICOS</t>
        </is>
      </c>
      <c r="P434" s="10" t="inlineStr">
        <is>
          <t>USO INTERNO(2)</t>
        </is>
      </c>
      <c r="Q434" s="10" t="inlineStr">
        <is>
          <t>BAJA(1)</t>
        </is>
      </c>
      <c r="R434" s="10" t="inlineStr">
        <is>
          <t>MEDIA(2)</t>
        </is>
      </c>
      <c r="S434" s="10">
        <f>+(IF(P434="PUBLICA(1)",1,IF(P434="USO INTERNO(2)",2,IF(P434="RESTRINGIDO(3)",3,3))))+(IF(Q434="BAJA(1)",1,IF(Q434="MEDIA(2)",2,IF(Q434="ALTA(3)",3,3))))+(IF(R434="BAJA(1)",1,IF(R434="MEDIA(2)",2,IF(R434="ALTA(3)",3,3))))</f>
        <v/>
      </c>
      <c r="T434" s="10">
        <f>+IF(S434&lt;6,"BAJA",IF(S434&lt;8,"MEDIA","ALTA"))</f>
        <v/>
      </c>
      <c r="U434" s="10" t="inlineStr">
        <is>
          <t>-</t>
        </is>
      </c>
      <c r="V434" s="24" t="n">
        <v>45674</v>
      </c>
      <c r="W434" s="19" t="inlineStr">
        <is>
          <t>N/A</t>
        </is>
      </c>
      <c r="X434" s="10">
        <f>+IFERROR(IF(VLOOKUP(Tabla2[[#This Row],[ID]],'EVALUACION DE RIESGO'!A:A,1,FALSE)=Tabla2[[#This Row],[ID]],"SI","NO"),"NO")</f>
        <v/>
      </c>
    </row>
    <row r="435">
      <c r="A435" s="91" t="inlineStr">
        <is>
          <t>56-GOP</t>
        </is>
      </c>
      <c r="B435" s="10" t="inlineStr">
        <is>
          <t>APOYO</t>
        </is>
      </c>
      <c r="C435" s="10" t="inlineStr">
        <is>
          <t xml:space="preserve">Gestión de Operaciones </t>
        </is>
      </c>
      <c r="D435" s="10" t="inlineStr">
        <is>
          <t>GOP</t>
        </is>
      </c>
      <c r="E435" s="10" t="inlineStr">
        <is>
          <t>Gestión del Front Operativo</t>
        </is>
      </c>
      <c r="F435" s="10" t="inlineStr">
        <is>
          <t xml:space="preserve">Bóveda y Cajas </t>
        </is>
      </c>
      <c r="G435" s="10" t="inlineStr">
        <is>
          <t xml:space="preserve">Fondeo mediante el Centro de Acopio          </t>
        </is>
      </c>
      <c r="H435" s="10" t="inlineStr">
        <is>
          <t>Registro de ingresos y egresos del centro de acopio</t>
        </is>
      </c>
      <c r="I435" s="10" t="inlineStr">
        <is>
          <t>Registro contable que se realiza en el sistema automático del movimiento de efectivo entre oficinas</t>
        </is>
      </c>
      <c r="J435" s="10" t="inlineStr">
        <is>
          <t>Jefe del Front Operativo</t>
        </is>
      </c>
      <c r="K435" s="10" t="inlineStr">
        <is>
          <t>CORE FINANCIERO</t>
        </is>
      </c>
      <c r="L435" s="10" t="inlineStr">
        <is>
          <t>UBICACIÓN DIGITAL-CORE FINANCIERO</t>
        </is>
      </c>
      <c r="M435" s="10" t="inlineStr">
        <is>
          <t>SISTEMAS DE INFORMACIÓN CORPORATIVOS</t>
        </is>
      </c>
      <c r="N435" s="10" t="inlineStr">
        <is>
          <t>PRIMARIOS</t>
        </is>
      </c>
      <c r="O435" s="10" t="inlineStr">
        <is>
          <t>DOCUMENTOS HABILITANTES</t>
        </is>
      </c>
      <c r="P435" s="10" t="inlineStr">
        <is>
          <t>RESTRINGIDO(3)</t>
        </is>
      </c>
      <c r="Q435" s="10" t="inlineStr">
        <is>
          <t>BAJA(1)</t>
        </is>
      </c>
      <c r="R435" s="10" t="inlineStr">
        <is>
          <t>MEDIA(2)</t>
        </is>
      </c>
      <c r="S435" s="10">
        <f>+(IF(P435="PUBLICA(1)",1,IF(P435="USO INTERNO(2)",2,IF(P435="RESTRINGIDO(3)",3,3))))+(IF(Q435="BAJA(1)",1,IF(Q435="MEDIA(2)",2,IF(Q435="ALTA(3)",3,3))))+(IF(R435="BAJA(1)",1,IF(R435="MEDIA(2)",2,IF(R435="ALTA(3)",3,3))))</f>
        <v/>
      </c>
      <c r="T435" s="10">
        <f>+IF(S435&lt;6,"BAJA",IF(S435&lt;8,"MEDIA","ALTA"))</f>
        <v/>
      </c>
      <c r="U435" s="10" t="inlineStr">
        <is>
          <t>-</t>
        </is>
      </c>
      <c r="V435" s="24" t="n">
        <v>45674</v>
      </c>
      <c r="W435" s="19" t="inlineStr">
        <is>
          <t>N/A</t>
        </is>
      </c>
      <c r="X435" s="10">
        <f>+IFERROR(IF(VLOOKUP(Tabla2[[#This Row],[ID]],'EVALUACION DE RIESGO'!A:A,1,FALSE)=Tabla2[[#This Row],[ID]],"SI","NO"),"NO")</f>
        <v/>
      </c>
    </row>
    <row r="436">
      <c r="A436" s="91" t="inlineStr">
        <is>
          <t>57-GOP</t>
        </is>
      </c>
      <c r="B436" s="10" t="inlineStr">
        <is>
          <t>APOYO</t>
        </is>
      </c>
      <c r="C436" s="10" t="inlineStr">
        <is>
          <t xml:space="preserve">Gestión de Operaciones </t>
        </is>
      </c>
      <c r="D436" s="10" t="inlineStr">
        <is>
          <t>GOP</t>
        </is>
      </c>
      <c r="E436" s="10" t="inlineStr">
        <is>
          <t>Gestión del Front Operativo</t>
        </is>
      </c>
      <c r="F436" s="10" t="inlineStr">
        <is>
          <t xml:space="preserve">Transacciones en Ventanillas </t>
        </is>
      </c>
      <c r="G436" s="10" t="inlineStr">
        <is>
          <t xml:space="preserve">Depósito en efectivo o cheques </t>
        </is>
      </c>
      <c r="H436" s="10" t="inlineStr">
        <is>
          <t>Papeleta de depósito</t>
        </is>
      </c>
      <c r="I436" s="10" t="inlineStr">
        <is>
          <t>Papeleta donde se ingresa la información del depósito</t>
        </is>
      </c>
      <c r="J436" s="10" t="inlineStr">
        <is>
          <t>Jefe del Front Operativo</t>
        </is>
      </c>
      <c r="K436" s="10" t="inlineStr">
        <is>
          <t>CAJERO</t>
        </is>
      </c>
      <c r="L436" s="10" t="inlineStr">
        <is>
          <t>DOCUMENTOS FISICOS-ARCHIVOS DE LA OFICINA</t>
        </is>
      </c>
      <c r="M436" s="10" t="inlineStr">
        <is>
          <t>DOCUMENTO DE ARCHIVO-FÍSICO</t>
        </is>
      </c>
      <c r="N436" s="10" t="inlineStr">
        <is>
          <t>PRIMARIOS</t>
        </is>
      </c>
      <c r="O436" s="10" t="inlineStr">
        <is>
          <t>DOCUMENTOS HABILITANTES</t>
        </is>
      </c>
      <c r="P436" s="10" t="inlineStr">
        <is>
          <t>USO INTERNO(2)</t>
        </is>
      </c>
      <c r="Q436" s="10" t="inlineStr">
        <is>
          <t>MEDIA(2)</t>
        </is>
      </c>
      <c r="R436" s="10" t="inlineStr">
        <is>
          <t>ALTA(3)</t>
        </is>
      </c>
      <c r="S436" s="10">
        <f>+(IF(P436="PUBLICA(1)",1,IF(P436="USO INTERNO(2)",2,IF(P436="RESTRINGIDO(3)",3,3))))+(IF(Q436="BAJA(1)",1,IF(Q436="MEDIA(2)",2,IF(Q436="ALTA(3)",3,3))))+(IF(R436="BAJA(1)",1,IF(R436="MEDIA(2)",2,IF(R436="ALTA(3)",3,3))))</f>
        <v/>
      </c>
      <c r="T436" s="10">
        <f>+IF(S436&lt;6,"BAJA",IF(S436&lt;8,"MEDIA","ALTA"))</f>
        <v/>
      </c>
      <c r="U436" s="10" t="inlineStr">
        <is>
          <t>-</t>
        </is>
      </c>
      <c r="V436" s="24" t="n">
        <v>45674</v>
      </c>
      <c r="W436" s="19" t="inlineStr">
        <is>
          <t>N/A</t>
        </is>
      </c>
      <c r="X436" s="10">
        <f>+IFERROR(IF(VLOOKUP(Tabla2[[#This Row],[ID]],'EVALUACION DE RIESGO'!A:A,1,FALSE)=Tabla2[[#This Row],[ID]],"SI","NO"),"NO")</f>
        <v/>
      </c>
    </row>
    <row r="437" ht="30.5" customHeight="1" s="98">
      <c r="A437" s="91" t="inlineStr">
        <is>
          <t>58-GOP</t>
        </is>
      </c>
      <c r="B437" s="10" t="inlineStr">
        <is>
          <t>APOYO</t>
        </is>
      </c>
      <c r="C437" s="10" t="inlineStr">
        <is>
          <t xml:space="preserve">Gestión de Operaciones </t>
        </is>
      </c>
      <c r="D437" s="10" t="inlineStr">
        <is>
          <t>GOP</t>
        </is>
      </c>
      <c r="E437" s="10" t="inlineStr">
        <is>
          <t>Gestión del Front Operativo</t>
        </is>
      </c>
      <c r="F437" s="10" t="inlineStr">
        <is>
          <t xml:space="preserve">Transacciones en Ventanillas </t>
        </is>
      </c>
      <c r="G437" s="10" t="inlineStr">
        <is>
          <t xml:space="preserve">Depósito en efectivo o cheques </t>
        </is>
      </c>
      <c r="H437" s="17" t="inlineStr">
        <is>
          <t>Cheques / Depósito</t>
        </is>
      </c>
      <c r="I437" s="17" t="inlineStr">
        <is>
          <t>Documento contable de valor que utiliza una persona para retirar dinero de la cuenta de quien lo emite</t>
        </is>
      </c>
      <c r="J437" s="10" t="inlineStr">
        <is>
          <t>Jefe del Front Operativo</t>
        </is>
      </c>
      <c r="K437" s="10" t="inlineStr">
        <is>
          <t>SUPERVISOR OPERATIVO</t>
        </is>
      </c>
      <c r="L437" s="10" t="inlineStr">
        <is>
          <t>DOCUMENTOS FISICOS-ARCHIVOS DE LA OFICINA</t>
        </is>
      </c>
      <c r="M437" s="10" t="inlineStr">
        <is>
          <t>DOCUMENTO DE ARCHIVO-FÍSICO</t>
        </is>
      </c>
      <c r="N437" s="10" t="inlineStr">
        <is>
          <t>PRIMARIOS</t>
        </is>
      </c>
      <c r="O437" s="10" t="inlineStr">
        <is>
          <t>DOCUMENTOS HABILITANTES</t>
        </is>
      </c>
      <c r="P437" s="10" t="inlineStr">
        <is>
          <t>RESTRINGIDO(3)</t>
        </is>
      </c>
      <c r="Q437" s="10" t="inlineStr">
        <is>
          <t>ALTA(3)</t>
        </is>
      </c>
      <c r="R437" s="10" t="inlineStr">
        <is>
          <t>ALTA(3)</t>
        </is>
      </c>
      <c r="S437" s="10">
        <f>+(IF(P437="PUBLICA(1)",1,IF(P437="USO INTERNO(2)",2,IF(P437="RESTRINGIDO(3)",3,3))))+(IF(Q437="BAJA(1)",1,IF(Q437="MEDIA(2)",2,IF(Q437="ALTA(3)",3,3))))+(IF(R437="BAJA(1)",1,IF(R437="MEDIA(2)",2,IF(R437="ALTA(3)",3,3))))</f>
        <v/>
      </c>
      <c r="T437" s="10">
        <f>+IF(S437&lt;6,"BAJA",IF(S437&lt;8,"MEDIA","ALTA"))</f>
        <v/>
      </c>
      <c r="U437" s="10" t="inlineStr">
        <is>
          <t>-</t>
        </is>
      </c>
      <c r="V437" s="24" t="n">
        <v>45674</v>
      </c>
      <c r="W437" s="19" t="inlineStr">
        <is>
          <t>N/A</t>
        </is>
      </c>
      <c r="X437" s="10">
        <f>+IFERROR(IF(VLOOKUP(Tabla2[[#This Row],[ID]],'EVALUACION DE RIESGO'!A:A,1,FALSE)=Tabla2[[#This Row],[ID]],"SI","NO"),"NO")</f>
        <v/>
      </c>
    </row>
    <row r="438">
      <c r="A438" s="91" t="inlineStr">
        <is>
          <t>59-GOP</t>
        </is>
      </c>
      <c r="B438" s="10" t="inlineStr">
        <is>
          <t>APOYO</t>
        </is>
      </c>
      <c r="C438" s="10" t="inlineStr">
        <is>
          <t xml:space="preserve">Gestión de Operaciones </t>
        </is>
      </c>
      <c r="D438" s="10" t="inlineStr">
        <is>
          <t>GOP</t>
        </is>
      </c>
      <c r="E438" s="10" t="inlineStr">
        <is>
          <t>Gestión del Front Operativo</t>
        </is>
      </c>
      <c r="F438" s="10" t="inlineStr">
        <is>
          <t xml:space="preserve">Transacciones en Ventanillas </t>
        </is>
      </c>
      <c r="G438" s="10" t="inlineStr">
        <is>
          <t xml:space="preserve">Depósito en efectivo o cheques </t>
        </is>
      </c>
      <c r="H438" s="10" t="inlineStr">
        <is>
          <t>Control diario de cheques</t>
        </is>
      </c>
      <c r="I438" s="10" t="inlineStr">
        <is>
          <t>Formulario físico de control que lleva el cajero de los cheques que se depositan</t>
        </is>
      </c>
      <c r="J438" s="10" t="inlineStr">
        <is>
          <t>Jefe del Front Operativo</t>
        </is>
      </c>
      <c r="K438" s="10" t="inlineStr">
        <is>
          <t>SUPERVISOR OPERATIVO</t>
        </is>
      </c>
      <c r="L438" s="10" t="inlineStr">
        <is>
          <t>DOCUMENTOS FISICOS-ARCHIVOS DE LA OFICINA</t>
        </is>
      </c>
      <c r="M438" s="10" t="inlineStr">
        <is>
          <t>DOCUMENTO DE ARCHIVO-FÍSICO</t>
        </is>
      </c>
      <c r="N438" s="10" t="inlineStr">
        <is>
          <t>PRIMARIOS</t>
        </is>
      </c>
      <c r="O438" s="10" t="inlineStr">
        <is>
          <t>DOCUMENTOS HABILITANTES</t>
        </is>
      </c>
      <c r="P438" s="10" t="inlineStr">
        <is>
          <t>RESTRINGIDO(3)</t>
        </is>
      </c>
      <c r="Q438" s="10" t="inlineStr">
        <is>
          <t>MEDIA(2)</t>
        </is>
      </c>
      <c r="R438" s="10" t="inlineStr">
        <is>
          <t>MEDIA(2)</t>
        </is>
      </c>
      <c r="S438" s="10">
        <f>+(IF(P438="PUBLICA(1)",1,IF(P438="USO INTERNO(2)",2,IF(P438="RESTRINGIDO(3)",3,3))))+(IF(Q438="BAJA(1)",1,IF(Q438="MEDIA(2)",2,IF(Q438="ALTA(3)",3,3))))+(IF(R438="BAJA(1)",1,IF(R438="MEDIA(2)",2,IF(R438="ALTA(3)",3,3))))</f>
        <v/>
      </c>
      <c r="T438" s="10">
        <f>+IF(S438&lt;6,"BAJA",IF(S438&lt;8,"MEDIA","ALTA"))</f>
        <v/>
      </c>
      <c r="U438" s="10" t="inlineStr">
        <is>
          <t>-</t>
        </is>
      </c>
      <c r="V438" s="24" t="n">
        <v>45674</v>
      </c>
      <c r="W438" s="19" t="inlineStr">
        <is>
          <t>N/A</t>
        </is>
      </c>
      <c r="X438" s="10">
        <f>+IFERROR(IF(VLOOKUP(Tabla2[[#This Row],[ID]],'EVALUACION DE RIESGO'!A:A,1,FALSE)=Tabla2[[#This Row],[ID]],"SI","NO"),"NO")</f>
        <v/>
      </c>
    </row>
    <row r="439">
      <c r="A439" s="91" t="inlineStr">
        <is>
          <t>60-GOP</t>
        </is>
      </c>
      <c r="B439" s="10" t="inlineStr">
        <is>
          <t>APOYO</t>
        </is>
      </c>
      <c r="C439" s="10" t="inlineStr">
        <is>
          <t xml:space="preserve">Gestión de Operaciones </t>
        </is>
      </c>
      <c r="D439" s="10" t="inlineStr">
        <is>
          <t>GOP</t>
        </is>
      </c>
      <c r="E439" s="10" t="inlineStr">
        <is>
          <t>Gestión del Front Operativo</t>
        </is>
      </c>
      <c r="F439" s="10" t="inlineStr">
        <is>
          <t xml:space="preserve">Transacciones en Ventanillas </t>
        </is>
      </c>
      <c r="G439" s="10" t="inlineStr">
        <is>
          <t xml:space="preserve">Depósito en efectivo o cheques </t>
        </is>
      </c>
      <c r="H439" s="10" t="inlineStr">
        <is>
          <t>Formulario de licitud de fondos y justificación de ser el caso</t>
        </is>
      </c>
      <c r="I439" s="10" t="inlineStr">
        <is>
          <t xml:space="preserve">Formulario de licitud de fondos cuando los depósitos son iguales o superiores a los montos determinados por la UAFE (Unidad de Análisis Financiero y Económico) </t>
        </is>
      </c>
      <c r="J439" s="10" t="inlineStr">
        <is>
          <t>Jefe del Front Operativo</t>
        </is>
      </c>
      <c r="K439" s="10" t="inlineStr">
        <is>
          <t>SUPERVISOR OPERATIVO</t>
        </is>
      </c>
      <c r="L439" s="10" t="inlineStr">
        <is>
          <t>DOCUMENTOS FISICOS-ARCHIVOS DE LA OFICINA</t>
        </is>
      </c>
      <c r="M439" s="10" t="inlineStr">
        <is>
          <t>DOCUMENTO DE ARCHIVO-FÍSICO</t>
        </is>
      </c>
      <c r="N439" s="10" t="inlineStr">
        <is>
          <t>PRIMARIOS</t>
        </is>
      </c>
      <c r="O439" s="10" t="inlineStr">
        <is>
          <t>DOCUMENTOS HABILITANTES</t>
        </is>
      </c>
      <c r="P439" s="10" t="inlineStr">
        <is>
          <t>USO INTERNO(2)</t>
        </is>
      </c>
      <c r="Q439" s="10" t="inlineStr">
        <is>
          <t>MEDIA(2)</t>
        </is>
      </c>
      <c r="R439" s="10" t="inlineStr">
        <is>
          <t>MEDIA(2)</t>
        </is>
      </c>
      <c r="S439" s="10">
        <f>+(IF(P439="PUBLICA(1)",1,IF(P439="USO INTERNO(2)",2,IF(P439="RESTRINGIDO(3)",3,3))))+(IF(Q439="BAJA(1)",1,IF(Q439="MEDIA(2)",2,IF(Q439="ALTA(3)",3,3))))+(IF(R439="BAJA(1)",1,IF(R439="MEDIA(2)",2,IF(R439="ALTA(3)",3,3))))</f>
        <v/>
      </c>
      <c r="T439" s="10">
        <f>+IF(S439&lt;6,"BAJA",IF(S439&lt;8,"MEDIA","ALTA"))</f>
        <v/>
      </c>
      <c r="U439" s="10" t="inlineStr">
        <is>
          <t>-</t>
        </is>
      </c>
      <c r="V439" s="24" t="n">
        <v>45674</v>
      </c>
      <c r="W439" s="19" t="inlineStr">
        <is>
          <t>N/A</t>
        </is>
      </c>
      <c r="X439" s="10">
        <f>+IFERROR(IF(VLOOKUP(Tabla2[[#This Row],[ID]],'EVALUACION DE RIESGO'!A:A,1,FALSE)=Tabla2[[#This Row],[ID]],"SI","NO"),"NO")</f>
        <v/>
      </c>
    </row>
    <row r="440">
      <c r="A440" s="91" t="inlineStr">
        <is>
          <t>61-GOP</t>
        </is>
      </c>
      <c r="B440" s="10" t="inlineStr">
        <is>
          <t>APOYO</t>
        </is>
      </c>
      <c r="C440" s="10" t="inlineStr">
        <is>
          <t xml:space="preserve">Gestión de Operaciones </t>
        </is>
      </c>
      <c r="D440" s="10" t="inlineStr">
        <is>
          <t>GOP</t>
        </is>
      </c>
      <c r="E440" s="10" t="inlineStr">
        <is>
          <t>Gestión del Front Operativo</t>
        </is>
      </c>
      <c r="F440" s="10" t="inlineStr">
        <is>
          <t xml:space="preserve">Transacciones en Ventanillas </t>
        </is>
      </c>
      <c r="G440" s="10" t="inlineStr">
        <is>
          <t xml:space="preserve">Depósito en efectivo o cheques </t>
        </is>
      </c>
      <c r="H440" s="10" t="inlineStr">
        <is>
          <t>Libreta de Ahorros del socio / Depósito</t>
        </is>
      </c>
      <c r="I440" s="10" t="inlineStr">
        <is>
          <t>Documento donde se ingresa la información del depósito</t>
        </is>
      </c>
      <c r="J440" s="10" t="inlineStr">
        <is>
          <t>Jefe del Front Operativo</t>
        </is>
      </c>
      <c r="K440" s="10" t="inlineStr">
        <is>
          <t>SOCIO</t>
        </is>
      </c>
      <c r="L440" s="10" t="inlineStr">
        <is>
          <t>DOCUMENTOS FISICOS-ARCHIVOS DE LA OFICINA</t>
        </is>
      </c>
      <c r="M440" s="10" t="inlineStr">
        <is>
          <t>DOCUMENTO DE ARCHIVO-FÍSICO</t>
        </is>
      </c>
      <c r="N440" s="10" t="inlineStr">
        <is>
          <t>PRIMARIOS</t>
        </is>
      </c>
      <c r="O440" s="10" t="inlineStr">
        <is>
          <t>DOCUMENTOS HABILITANTES</t>
        </is>
      </c>
      <c r="P440" s="10" t="inlineStr">
        <is>
          <t>USO INTERNO(2)</t>
        </is>
      </c>
      <c r="Q440" s="10" t="inlineStr">
        <is>
          <t>MEDIA(2)</t>
        </is>
      </c>
      <c r="R440" s="10" t="inlineStr">
        <is>
          <t>MEDIA(2)</t>
        </is>
      </c>
      <c r="S440" s="10">
        <f>+(IF(P440="PUBLICA(1)",1,IF(P440="USO INTERNO(2)",2,IF(P440="RESTRINGIDO(3)",3,3))))+(IF(Q440="BAJA(1)",1,IF(Q440="MEDIA(2)",2,IF(Q440="ALTA(3)",3,3))))+(IF(R440="BAJA(1)",1,IF(R440="MEDIA(2)",2,IF(R440="ALTA(3)",3,3))))</f>
        <v/>
      </c>
      <c r="T440" s="10">
        <f>+IF(S440&lt;6,"BAJA",IF(S440&lt;8,"MEDIA","ALTA"))</f>
        <v/>
      </c>
      <c r="U440" s="10" t="inlineStr">
        <is>
          <t>-</t>
        </is>
      </c>
      <c r="V440" s="24" t="n">
        <v>45674</v>
      </c>
      <c r="W440" s="19" t="inlineStr">
        <is>
          <t>N/A</t>
        </is>
      </c>
      <c r="X440" s="10">
        <f>+IFERROR(IF(VLOOKUP(Tabla2[[#This Row],[ID]],'EVALUACION DE RIESGO'!A:A,1,FALSE)=Tabla2[[#This Row],[ID]],"SI","NO"),"NO")</f>
        <v/>
      </c>
    </row>
    <row r="441">
      <c r="A441" s="91" t="inlineStr">
        <is>
          <t>62-GOP</t>
        </is>
      </c>
      <c r="B441" s="10" t="inlineStr">
        <is>
          <t>APOYO</t>
        </is>
      </c>
      <c r="C441" s="10" t="inlineStr">
        <is>
          <t xml:space="preserve">Gestión de Operaciones </t>
        </is>
      </c>
      <c r="D441" s="10" t="inlineStr">
        <is>
          <t>GOP</t>
        </is>
      </c>
      <c r="E441" s="10" t="inlineStr">
        <is>
          <t>Gestión del Front Operativo</t>
        </is>
      </c>
      <c r="F441" s="10" t="inlineStr">
        <is>
          <t xml:space="preserve">Transacciones en Ventanillas </t>
        </is>
      </c>
      <c r="G441" s="10" t="inlineStr">
        <is>
          <t xml:space="preserve">Depósito en efectivo o cheques </t>
        </is>
      </c>
      <c r="H441" s="10" t="inlineStr">
        <is>
          <t>Control de billetes de alta denominación</t>
        </is>
      </c>
      <c r="I441" s="10" t="inlineStr">
        <is>
          <t>Formulario que firma el socio cuando deposita billetes de altas denominaciones de acuerdo a la normativa</t>
        </is>
      </c>
      <c r="J441" s="10" t="inlineStr">
        <is>
          <t>Jefe del Front Operativo</t>
        </is>
      </c>
      <c r="K441" s="10" t="inlineStr">
        <is>
          <t>SUPERVISOR OPERATIVO</t>
        </is>
      </c>
      <c r="L441" s="10" t="inlineStr">
        <is>
          <t>DOCUMENTOS FISICOS-ARCHIVOS DE LA OFICINA</t>
        </is>
      </c>
      <c r="M441" s="10" t="inlineStr">
        <is>
          <t>DOCUMENTO DE ARCHIVO-FÍSICO</t>
        </is>
      </c>
      <c r="N441" s="10" t="inlineStr">
        <is>
          <t>PRIMARIOS</t>
        </is>
      </c>
      <c r="O441" s="10" t="inlineStr">
        <is>
          <t>DOCUMENTOS HABILITANTES</t>
        </is>
      </c>
      <c r="P441" s="10" t="inlineStr">
        <is>
          <t>USO INTERNO(2)</t>
        </is>
      </c>
      <c r="Q441" s="10" t="inlineStr">
        <is>
          <t>MEDIA(2)</t>
        </is>
      </c>
      <c r="R441" s="10" t="inlineStr">
        <is>
          <t>BAJA(1)</t>
        </is>
      </c>
      <c r="S441" s="10">
        <f>+(IF(P441="PUBLICA(1)",1,IF(P441="USO INTERNO(2)",2,IF(P441="RESTRINGIDO(3)",3,3))))+(IF(Q441="BAJA(1)",1,IF(Q441="MEDIA(2)",2,IF(Q441="ALTA(3)",3,3))))+(IF(R441="BAJA(1)",1,IF(R441="MEDIA(2)",2,IF(R441="ALTA(3)",3,3))))</f>
        <v/>
      </c>
      <c r="T441" s="10">
        <f>+IF(S441&lt;6,"BAJA",IF(S441&lt;8,"MEDIA","ALTA"))</f>
        <v/>
      </c>
      <c r="U441" s="10" t="inlineStr">
        <is>
          <t>-</t>
        </is>
      </c>
      <c r="V441" s="24" t="n">
        <v>45674</v>
      </c>
      <c r="W441" s="19" t="inlineStr">
        <is>
          <t>N/A</t>
        </is>
      </c>
      <c r="X441" s="10">
        <f>+IFERROR(IF(VLOOKUP(Tabla2[[#This Row],[ID]],'EVALUACION DE RIESGO'!A:A,1,FALSE)=Tabla2[[#This Row],[ID]],"SI","NO"),"NO")</f>
        <v/>
      </c>
    </row>
    <row r="442">
      <c r="A442" s="91" t="inlineStr">
        <is>
          <t>63-GOP</t>
        </is>
      </c>
      <c r="B442" s="10" t="inlineStr">
        <is>
          <t>APOYO</t>
        </is>
      </c>
      <c r="C442" s="10" t="inlineStr">
        <is>
          <t xml:space="preserve">Gestión de Operaciones </t>
        </is>
      </c>
      <c r="D442" s="10" t="inlineStr">
        <is>
          <t>GOP</t>
        </is>
      </c>
      <c r="E442" s="10" t="inlineStr">
        <is>
          <t>Gestión del Front Operativo</t>
        </is>
      </c>
      <c r="F442" s="10" t="inlineStr">
        <is>
          <t xml:space="preserve">Transacciones en Ventanillas </t>
        </is>
      </c>
      <c r="G442" s="10" t="inlineStr">
        <is>
          <t xml:space="preserve">Retiro en efectivo </t>
        </is>
      </c>
      <c r="H442" s="10" t="inlineStr">
        <is>
          <t>Papeleta de retiro</t>
        </is>
      </c>
      <c r="I442" s="10" t="inlineStr">
        <is>
          <t>Papeleta con los datos del retiro</t>
        </is>
      </c>
      <c r="J442" s="10" t="inlineStr">
        <is>
          <t>Jefe del Front Operativo</t>
        </is>
      </c>
      <c r="K442" s="10" t="inlineStr">
        <is>
          <t>SUPERVISOR OPERATIVO</t>
        </is>
      </c>
      <c r="L442" s="10" t="inlineStr">
        <is>
          <t>DOCUMENTOS FISICOS-ARCHIVOS DE LA OFICINA</t>
        </is>
      </c>
      <c r="M442" s="10" t="inlineStr">
        <is>
          <t>DOCUMENTO DE ARCHIVO-FÍSICO</t>
        </is>
      </c>
      <c r="N442" s="10" t="inlineStr">
        <is>
          <t>PRIMARIOS</t>
        </is>
      </c>
      <c r="O442" s="10" t="inlineStr">
        <is>
          <t>DOCUMENTOS HABILITANTES</t>
        </is>
      </c>
      <c r="P442" s="10" t="inlineStr">
        <is>
          <t>USO INTERNO(2)</t>
        </is>
      </c>
      <c r="Q442" s="10" t="inlineStr">
        <is>
          <t>MEDIA(2)</t>
        </is>
      </c>
      <c r="R442" s="10" t="inlineStr">
        <is>
          <t>ALTA(3)</t>
        </is>
      </c>
      <c r="S442" s="10">
        <f>+(IF(P442="PUBLICA(1)",1,IF(P442="USO INTERNO(2)",2,IF(P442="RESTRINGIDO(3)",3,3))))+(IF(Q442="BAJA(1)",1,IF(Q442="MEDIA(2)",2,IF(Q442="ALTA(3)",3,3))))+(IF(R442="BAJA(1)",1,IF(R442="MEDIA(2)",2,IF(R442="ALTA(3)",3,3))))</f>
        <v/>
      </c>
      <c r="T442" s="10">
        <f>+IF(S442&lt;6,"BAJA",IF(S442&lt;8,"MEDIA","ALTA"))</f>
        <v/>
      </c>
      <c r="U442" s="10" t="inlineStr">
        <is>
          <t>-</t>
        </is>
      </c>
      <c r="V442" s="24" t="n">
        <v>45674</v>
      </c>
      <c r="W442" s="19" t="inlineStr">
        <is>
          <t>N/A</t>
        </is>
      </c>
      <c r="X442" s="10">
        <f>+IFERROR(IF(VLOOKUP(Tabla2[[#This Row],[ID]],'EVALUACION DE RIESGO'!A:A,1,FALSE)=Tabla2[[#This Row],[ID]],"SI","NO"),"NO")</f>
        <v/>
      </c>
    </row>
    <row r="443">
      <c r="A443" s="91" t="inlineStr">
        <is>
          <t>64-GOP</t>
        </is>
      </c>
      <c r="B443" s="10" t="inlineStr">
        <is>
          <t>APOYO</t>
        </is>
      </c>
      <c r="C443" s="10" t="inlineStr">
        <is>
          <t xml:space="preserve">Gestión de Operaciones </t>
        </is>
      </c>
      <c r="D443" s="10" t="inlineStr">
        <is>
          <t>GOP</t>
        </is>
      </c>
      <c r="E443" s="10" t="inlineStr">
        <is>
          <t>Gestión del Front Operativo</t>
        </is>
      </c>
      <c r="F443" s="10" t="inlineStr">
        <is>
          <t xml:space="preserve">Transacciones en Ventanillas </t>
        </is>
      </c>
      <c r="G443" s="10" t="inlineStr">
        <is>
          <t xml:space="preserve">Canje de libretas </t>
        </is>
      </c>
      <c r="H443" s="10" t="inlineStr">
        <is>
          <t>Control de canje de libretas</t>
        </is>
      </c>
      <c r="I443" s="10" t="inlineStr">
        <is>
          <t>Formulario de control de canje para terceros registrado en cajas / Contiene fechas, nro libreta, sello, bro cliente, nombre, parentesco, cédula, firma del socio</t>
        </is>
      </c>
      <c r="J443" s="10" t="inlineStr">
        <is>
          <t>Jefe del Front Operativo</t>
        </is>
      </c>
      <c r="K443" s="10" t="inlineStr">
        <is>
          <t>Supervisor Operativo</t>
        </is>
      </c>
      <c r="L443" s="10" t="inlineStr">
        <is>
          <t>DOCUMENTOS FISICOS-ARCHIVOS DE LA OFICINA</t>
        </is>
      </c>
      <c r="M443" s="10" t="inlineStr">
        <is>
          <t>DOCUMENTO DE ARCHIVO-FÍSICO</t>
        </is>
      </c>
      <c r="N443" s="10" t="inlineStr">
        <is>
          <t>PRIMARIOS</t>
        </is>
      </c>
      <c r="O443" s="10" t="inlineStr">
        <is>
          <t>DOCUMENTOS TÉCNICOS</t>
        </is>
      </c>
      <c r="P443" s="10" t="inlineStr">
        <is>
          <t>USO INTERNO(2)</t>
        </is>
      </c>
      <c r="Q443" s="10" t="inlineStr">
        <is>
          <t>BAJA(1)</t>
        </is>
      </c>
      <c r="R443" s="10" t="inlineStr">
        <is>
          <t>BAJA(1)</t>
        </is>
      </c>
      <c r="S443" s="10">
        <f>+(IF(P443="PUBLICA(1)",1,IF(P443="USO INTERNO(2)",2,IF(P443="RESTRINGIDO(3)",3,3))))+(IF(Q443="BAJA(1)",1,IF(Q443="MEDIA(2)",2,IF(Q443="ALTA(3)",3,3))))+(IF(R443="BAJA(1)",1,IF(R443="MEDIA(2)",2,IF(R443="ALTA(3)",3,3))))</f>
        <v/>
      </c>
      <c r="T443" s="10">
        <f>+IF(S443&lt;6,"BAJA",IF(S443&lt;8,"MEDIA","ALTA"))</f>
        <v/>
      </c>
      <c r="U443" s="10" t="inlineStr">
        <is>
          <t>-</t>
        </is>
      </c>
      <c r="V443" s="24" t="n">
        <v>45674</v>
      </c>
      <c r="W443" s="19" t="inlineStr">
        <is>
          <t>N/A</t>
        </is>
      </c>
      <c r="X443" s="10">
        <f>+IFERROR(IF(VLOOKUP(Tabla2[[#This Row],[ID]],'EVALUACION DE RIESGO'!A:A,1,FALSE)=Tabla2[[#This Row],[ID]],"SI","NO"),"NO")</f>
        <v/>
      </c>
    </row>
    <row r="444">
      <c r="A444" s="91" t="inlineStr">
        <is>
          <t>65-GOP</t>
        </is>
      </c>
      <c r="B444" s="10" t="inlineStr">
        <is>
          <t>APOYO</t>
        </is>
      </c>
      <c r="C444" s="10" t="inlineStr">
        <is>
          <t xml:space="preserve">Gestión de Operaciones </t>
        </is>
      </c>
      <c r="D444" s="10" t="inlineStr">
        <is>
          <t>GOP</t>
        </is>
      </c>
      <c r="E444" s="10" t="inlineStr">
        <is>
          <t>Gestión del Front Operativo</t>
        </is>
      </c>
      <c r="F444" s="10" t="inlineStr">
        <is>
          <t xml:space="preserve">Transacciones en Ventanillas </t>
        </is>
      </c>
      <c r="G444" s="10" t="inlineStr">
        <is>
          <t xml:space="preserve">Abonos de préstamos </t>
        </is>
      </c>
      <c r="H444" s="10" t="inlineStr">
        <is>
          <t>Copia de comprobante de ingreso y egreso a caja</t>
        </is>
      </c>
      <c r="I444" s="10" t="inlineStr">
        <is>
          <t>Comprobante que se imprime al momento de pagar un crédito con información detallada del pago, cliente monto</t>
        </is>
      </c>
      <c r="J444" s="10" t="inlineStr">
        <is>
          <t>Jefe del Front Operativo</t>
        </is>
      </c>
      <c r="K444" s="10" t="inlineStr">
        <is>
          <t>Supervisor Operativo</t>
        </is>
      </c>
      <c r="L444" s="10" t="inlineStr">
        <is>
          <t>DOCUMENTOS FISICOS-ARCHIVOS DE LA OFICINA</t>
        </is>
      </c>
      <c r="M444" s="10" t="inlineStr">
        <is>
          <t>DOCUMENTO DE ARCHIVO-FÍSICO</t>
        </is>
      </c>
      <c r="N444" s="10" t="inlineStr">
        <is>
          <t>PRIMARIOS</t>
        </is>
      </c>
      <c r="O444" s="10" t="inlineStr">
        <is>
          <t>COMUNICACIÓN INTERNA</t>
        </is>
      </c>
      <c r="P444" s="10" t="inlineStr">
        <is>
          <t>USO INTERNO(2)</t>
        </is>
      </c>
      <c r="Q444" s="10" t="inlineStr">
        <is>
          <t>MEDIA(2)</t>
        </is>
      </c>
      <c r="R444" s="10" t="inlineStr">
        <is>
          <t>BAJA(1)</t>
        </is>
      </c>
      <c r="S444" s="10">
        <f>+(IF(P444="PUBLICA(1)",1,IF(P444="USO INTERNO(2)",2,IF(P444="RESTRINGIDO(3)",3,3))))+(IF(Q444="BAJA(1)",1,IF(Q444="MEDIA(2)",2,IF(Q444="ALTA(3)",3,3))))+(IF(R444="BAJA(1)",1,IF(R444="MEDIA(2)",2,IF(R444="ALTA(3)",3,3))))</f>
        <v/>
      </c>
      <c r="T444" s="10">
        <f>+IF(S444&lt;6,"BAJA",IF(S444&lt;8,"MEDIA","ALTA"))</f>
        <v/>
      </c>
      <c r="U444" s="10" t="inlineStr">
        <is>
          <t>-</t>
        </is>
      </c>
      <c r="V444" s="24" t="n">
        <v>45674</v>
      </c>
      <c r="W444" s="19" t="inlineStr">
        <is>
          <t>N/A</t>
        </is>
      </c>
      <c r="X444" s="10">
        <f>+IFERROR(IF(VLOOKUP(Tabla2[[#This Row],[ID]],'EVALUACION DE RIESGO'!A:A,1,FALSE)=Tabla2[[#This Row],[ID]],"SI","NO"),"NO")</f>
        <v/>
      </c>
    </row>
    <row r="445">
      <c r="A445" s="91" t="inlineStr">
        <is>
          <t>66-GOP</t>
        </is>
      </c>
      <c r="B445" s="10" t="inlineStr">
        <is>
          <t>APOYO</t>
        </is>
      </c>
      <c r="C445" s="10" t="inlineStr">
        <is>
          <t xml:space="preserve">Gestión de Operaciones </t>
        </is>
      </c>
      <c r="D445" s="10" t="inlineStr">
        <is>
          <t>GOP</t>
        </is>
      </c>
      <c r="E445" s="10" t="inlineStr">
        <is>
          <t>Gestión del Front Operativo</t>
        </is>
      </c>
      <c r="F445" s="10" t="inlineStr">
        <is>
          <t xml:space="preserve">Transacciones en Ventanillas </t>
        </is>
      </c>
      <c r="G445" s="10" t="inlineStr">
        <is>
          <t xml:space="preserve">Cobro de servicios, registro de otros ingresos y otros egresos </t>
        </is>
      </c>
      <c r="H445" s="10" t="inlineStr">
        <is>
          <t>Registro digital de transacciones de cobro</t>
        </is>
      </c>
      <c r="I445" s="10" t="inlineStr">
        <is>
          <t>Registro que se almacena en el Core Financiero del ingreso de caja por el pago del servicio</t>
        </is>
      </c>
      <c r="J445" s="10" t="inlineStr">
        <is>
          <t>Jefe del Front Operativo</t>
        </is>
      </c>
      <c r="K445" s="10" t="inlineStr">
        <is>
          <t>Supervisor Operativo</t>
        </is>
      </c>
      <c r="L445" s="10" t="inlineStr">
        <is>
          <t>UBICACIÓN DIGITAL-CORE FINANCIERO</t>
        </is>
      </c>
      <c r="M445" s="10" t="inlineStr">
        <is>
          <t>DOCUMENTO DE ARCHIVO-ELECTRÓNICO</t>
        </is>
      </c>
      <c r="N445" s="10" t="inlineStr">
        <is>
          <t>PRIMARIOS</t>
        </is>
      </c>
      <c r="O445" s="10" t="inlineStr">
        <is>
          <t>COMUNICACIÓN INTERNA</t>
        </is>
      </c>
      <c r="P445" s="10" t="inlineStr">
        <is>
          <t>USO INTERNO(2)</t>
        </is>
      </c>
      <c r="Q445" s="10" t="inlineStr">
        <is>
          <t>BAJA(1)</t>
        </is>
      </c>
      <c r="R445" s="10" t="inlineStr">
        <is>
          <t>BAJA(1)</t>
        </is>
      </c>
      <c r="S445" s="10">
        <f>+(IF(P445="PUBLICA(1)",1,IF(P445="USO INTERNO(2)",2,IF(P445="RESTRINGIDO(3)",3,3))))+(IF(Q445="BAJA(1)",1,IF(Q445="MEDIA(2)",2,IF(Q445="ALTA(3)",3,3))))+(IF(R445="BAJA(1)",1,IF(R445="MEDIA(2)",2,IF(R445="ALTA(3)",3,3))))</f>
        <v/>
      </c>
      <c r="T445" s="10">
        <f>+IF(S445&lt;6,"BAJA",IF(S445&lt;8,"MEDIA","ALTA"))</f>
        <v/>
      </c>
      <c r="U445" s="10" t="inlineStr">
        <is>
          <t>-</t>
        </is>
      </c>
      <c r="V445" s="24" t="n">
        <v>45674</v>
      </c>
      <c r="W445" s="19" t="inlineStr">
        <is>
          <t>N/A</t>
        </is>
      </c>
      <c r="X445" s="10">
        <f>+IFERROR(IF(VLOOKUP(Tabla2[[#This Row],[ID]],'EVALUACION DE RIESGO'!A:A,1,FALSE)=Tabla2[[#This Row],[ID]],"SI","NO"),"NO")</f>
        <v/>
      </c>
    </row>
    <row r="446" ht="30.5" customHeight="1" s="98">
      <c r="A446" s="91" t="inlineStr">
        <is>
          <t>67-GOP</t>
        </is>
      </c>
      <c r="B446" s="10" t="inlineStr">
        <is>
          <t>APOYO</t>
        </is>
      </c>
      <c r="C446" s="10" t="inlineStr">
        <is>
          <t xml:space="preserve">Gestión de Operaciones </t>
        </is>
      </c>
      <c r="D446" s="10" t="inlineStr">
        <is>
          <t>GOP</t>
        </is>
      </c>
      <c r="E446" s="10" t="inlineStr">
        <is>
          <t>Gestión del Front Operativo</t>
        </is>
      </c>
      <c r="F446" s="10" t="inlineStr">
        <is>
          <t xml:space="preserve">Transacciones en Ventanillas </t>
        </is>
      </c>
      <c r="G446" s="10" t="inlineStr">
        <is>
          <t xml:space="preserve">Cobro de servicios, registro de otros ingresos y otros egresos </t>
        </is>
      </c>
      <c r="H446" s="17" t="inlineStr">
        <is>
          <t>Comprobante de ingreso y egreso de caja</t>
        </is>
      </c>
      <c r="I446" s="17" t="inlineStr">
        <is>
          <t>Registro de ingreso y egreso que se imprime después de la recaudación con información del servicio y valor</t>
        </is>
      </c>
      <c r="J446" s="10" t="inlineStr">
        <is>
          <t>Jefe del Front Operativo</t>
        </is>
      </c>
      <c r="K446" s="10" t="inlineStr">
        <is>
          <t>Supervisor Operativo</t>
        </is>
      </c>
      <c r="L446" s="10" t="inlineStr">
        <is>
          <t>DOCUMENTOS FISICOS-ARCHIVOS DE LA OFICINA</t>
        </is>
      </c>
      <c r="M446" s="10" t="inlineStr">
        <is>
          <t>DOCUMENTO DE ARCHIVO-FÍSICO</t>
        </is>
      </c>
      <c r="N446" s="10" t="inlineStr">
        <is>
          <t>PRIMARIOS</t>
        </is>
      </c>
      <c r="O446" s="10" t="inlineStr">
        <is>
          <t>DOCUMENTOS HABILITANTES</t>
        </is>
      </c>
      <c r="P446" s="10" t="inlineStr">
        <is>
          <t>RESTRINGIDO(3)</t>
        </is>
      </c>
      <c r="Q446" s="10" t="inlineStr">
        <is>
          <t>ALTA(3)</t>
        </is>
      </c>
      <c r="R446" s="10" t="inlineStr">
        <is>
          <t>MEDIA(2)</t>
        </is>
      </c>
      <c r="S446" s="10">
        <f>+(IF(P446="PUBLICA(1)",1,IF(P446="USO INTERNO(2)",2,IF(P446="RESTRINGIDO(3)",3,3))))+(IF(Q446="BAJA(1)",1,IF(Q446="MEDIA(2)",2,IF(Q446="ALTA(3)",3,3))))+(IF(R446="BAJA(1)",1,IF(R446="MEDIA(2)",2,IF(R446="ALTA(3)",3,3))))</f>
        <v/>
      </c>
      <c r="T446" s="10">
        <f>+IF(S446&lt;6,"BAJA",IF(S446&lt;8,"MEDIA","ALTA"))</f>
        <v/>
      </c>
      <c r="U446" s="10" t="inlineStr">
        <is>
          <t>-</t>
        </is>
      </c>
      <c r="V446" s="24" t="n">
        <v>45674</v>
      </c>
      <c r="W446" s="19" t="inlineStr">
        <is>
          <t>N/A</t>
        </is>
      </c>
      <c r="X446" s="10">
        <f>+IFERROR(IF(VLOOKUP(Tabla2[[#This Row],[ID]],'EVALUACION DE RIESGO'!A:A,1,FALSE)=Tabla2[[#This Row],[ID]],"SI","NO"),"NO")</f>
        <v/>
      </c>
    </row>
    <row r="447">
      <c r="A447" s="91" t="inlineStr">
        <is>
          <t>68-GOP</t>
        </is>
      </c>
      <c r="B447" s="10" t="inlineStr">
        <is>
          <t>APOYO</t>
        </is>
      </c>
      <c r="C447" s="10" t="inlineStr">
        <is>
          <t xml:space="preserve">Gestión de Operaciones </t>
        </is>
      </c>
      <c r="D447" s="10" t="inlineStr">
        <is>
          <t>GOP</t>
        </is>
      </c>
      <c r="E447" s="10" t="inlineStr">
        <is>
          <t>Gestión del Front Operativo</t>
        </is>
      </c>
      <c r="F447" s="10" t="inlineStr">
        <is>
          <t xml:space="preserve">Transacciones en Ventanillas </t>
        </is>
      </c>
      <c r="G447" s="10" t="inlineStr">
        <is>
          <t>Entrega de valores por cierre de cuentas</t>
        </is>
      </c>
      <c r="H447" s="10" t="inlineStr">
        <is>
          <t>Libreta de Ahorros del socio</t>
        </is>
      </c>
      <c r="I447" s="10" t="inlineStr">
        <is>
          <t>Libreta de ahorros</t>
        </is>
      </c>
      <c r="J447" s="10" t="inlineStr">
        <is>
          <t>Jefe del Front Operativo</t>
        </is>
      </c>
      <c r="K447" s="10" t="inlineStr">
        <is>
          <t>SOCIO</t>
        </is>
      </c>
      <c r="L447" s="10" t="inlineStr">
        <is>
          <t>N/A</t>
        </is>
      </c>
      <c r="M447" s="10" t="inlineStr">
        <is>
          <t>N/A</t>
        </is>
      </c>
      <c r="N447" s="10" t="inlineStr">
        <is>
          <t>PRIMARIOS</t>
        </is>
      </c>
      <c r="O447" s="10" t="inlineStr">
        <is>
          <t>DOCUMENTOS HABILITANTES</t>
        </is>
      </c>
      <c r="P447" s="10" t="inlineStr">
        <is>
          <t>RESTRINGIDO(3)</t>
        </is>
      </c>
      <c r="Q447" s="10" t="inlineStr">
        <is>
          <t>BAJA(1)</t>
        </is>
      </c>
      <c r="R447" s="10" t="inlineStr">
        <is>
          <t>BAJA(1)</t>
        </is>
      </c>
      <c r="S447" s="10">
        <f>+(IF(P447="PUBLICA(1)",1,IF(P447="USO INTERNO(2)",2,IF(P447="RESTRINGIDO(3)",3,3))))+(IF(Q447="BAJA(1)",1,IF(Q447="MEDIA(2)",2,IF(Q447="ALTA(3)",3,3))))+(IF(R447="BAJA(1)",1,IF(R447="MEDIA(2)",2,IF(R447="ALTA(3)",3,3))))</f>
        <v/>
      </c>
      <c r="T447" s="10">
        <f>+IF(S447&lt;6,"BAJA",IF(S447&lt;8,"MEDIA","ALTA"))</f>
        <v/>
      </c>
      <c r="U447" s="10" t="inlineStr">
        <is>
          <t>-</t>
        </is>
      </c>
      <c r="V447" s="24" t="n">
        <v>45674</v>
      </c>
      <c r="W447" s="19" t="inlineStr">
        <is>
          <t>N/A</t>
        </is>
      </c>
      <c r="X447" s="10">
        <f>+IFERROR(IF(VLOOKUP(Tabla2[[#This Row],[ID]],'EVALUACION DE RIESGO'!A:A,1,FALSE)=Tabla2[[#This Row],[ID]],"SI","NO"),"NO")</f>
        <v/>
      </c>
    </row>
    <row r="448">
      <c r="A448" s="91" t="inlineStr">
        <is>
          <t>69-GOP</t>
        </is>
      </c>
      <c r="B448" s="10" t="inlineStr">
        <is>
          <t>APOYO</t>
        </is>
      </c>
      <c r="C448" s="10" t="inlineStr">
        <is>
          <t xml:space="preserve">Gestión de Operaciones </t>
        </is>
      </c>
      <c r="D448" s="10" t="inlineStr">
        <is>
          <t>GOP</t>
        </is>
      </c>
      <c r="E448" s="10" t="inlineStr">
        <is>
          <t>Gestión del Front Operativo</t>
        </is>
      </c>
      <c r="F448" s="10" t="inlineStr">
        <is>
          <t xml:space="preserve">Transacciones en Ventanillas </t>
        </is>
      </c>
      <c r="G448" s="10" t="inlineStr">
        <is>
          <t>Entrega de valores por cierre de cuentas</t>
        </is>
      </c>
      <c r="H448" s="10" t="inlineStr">
        <is>
          <t>Solicitud de cierre de cuenta</t>
        </is>
      </c>
      <c r="I448" s="10" t="inlineStr">
        <is>
          <t>Solicitud de cierre de cuenta</t>
        </is>
      </c>
      <c r="J448" s="10" t="inlineStr">
        <is>
          <t>Jefe del Front Operativo</t>
        </is>
      </c>
      <c r="K448" s="10" t="inlineStr">
        <is>
          <t>SUPERVISOR OPERATIVO</t>
        </is>
      </c>
      <c r="L448" s="10" t="inlineStr">
        <is>
          <t>DOCUMENTOS FISICOS-ARCHIVOS DE LA OFICINA</t>
        </is>
      </c>
      <c r="M448" s="10" t="inlineStr">
        <is>
          <t>DOCUMENTO DE ARCHIVO-FÍSICO</t>
        </is>
      </c>
      <c r="N448" s="10" t="inlineStr">
        <is>
          <t>PRIMARIOS</t>
        </is>
      </c>
      <c r="O448" s="10" t="inlineStr">
        <is>
          <t>DOCUMENTOS HABILITANTES</t>
        </is>
      </c>
      <c r="P448" s="10" t="inlineStr">
        <is>
          <t>USO INTERNO(2)</t>
        </is>
      </c>
      <c r="Q448" s="10" t="inlineStr">
        <is>
          <t>MEDIA(2)</t>
        </is>
      </c>
      <c r="R448" s="10" t="inlineStr">
        <is>
          <t>BAJA(1)</t>
        </is>
      </c>
      <c r="S448" s="10">
        <f>+(IF(P448="PUBLICA(1)",1,IF(P448="USO INTERNO(2)",2,IF(P448="RESTRINGIDO(3)",3,3))))+(IF(Q448="BAJA(1)",1,IF(Q448="MEDIA(2)",2,IF(Q448="ALTA(3)",3,3))))+(IF(R448="BAJA(1)",1,IF(R448="MEDIA(2)",2,IF(R448="ALTA(3)",3,3))))</f>
        <v/>
      </c>
      <c r="T448" s="10">
        <f>+IF(S448&lt;6,"BAJA",IF(S448&lt;8,"MEDIA","ALTA"))</f>
        <v/>
      </c>
      <c r="U448" s="10" t="inlineStr">
        <is>
          <t>-</t>
        </is>
      </c>
      <c r="V448" s="24" t="n">
        <v>45674</v>
      </c>
      <c r="W448" s="19" t="inlineStr">
        <is>
          <t>N/A</t>
        </is>
      </c>
      <c r="X448" s="10">
        <f>+IFERROR(IF(VLOOKUP(Tabla2[[#This Row],[ID]],'EVALUACION DE RIESGO'!A:A,1,FALSE)=Tabla2[[#This Row],[ID]],"SI","NO"),"NO")</f>
        <v/>
      </c>
    </row>
    <row r="449">
      <c r="A449" s="91" t="inlineStr">
        <is>
          <t>70-GOP</t>
        </is>
      </c>
      <c r="B449" s="10" t="inlineStr">
        <is>
          <t>APOYO</t>
        </is>
      </c>
      <c r="C449" s="10" t="inlineStr">
        <is>
          <t xml:space="preserve">Gestión de Operaciones </t>
        </is>
      </c>
      <c r="D449" s="10" t="inlineStr">
        <is>
          <t>GOP</t>
        </is>
      </c>
      <c r="E449" s="10" t="inlineStr">
        <is>
          <t>Gestión del Front Operativo</t>
        </is>
      </c>
      <c r="F449" s="10" t="inlineStr">
        <is>
          <t xml:space="preserve">Transacciones en Ventanillas </t>
        </is>
      </c>
      <c r="G449" s="10" t="inlineStr">
        <is>
          <t>Entrega de valores por cierre de cuentas</t>
        </is>
      </c>
      <c r="H449" s="10" t="inlineStr">
        <is>
          <t>Comprobantes de ingreso y egreso de cajas original</t>
        </is>
      </c>
      <c r="I449" s="10" t="inlineStr">
        <is>
          <t>Comprobantes original de ingreso y egresos de cajas</t>
        </is>
      </c>
      <c r="J449" s="10" t="inlineStr">
        <is>
          <t>Jefe del Front Operativo</t>
        </is>
      </c>
      <c r="K449" s="10" t="inlineStr">
        <is>
          <t>SUPERVISOR OPERATIVO</t>
        </is>
      </c>
      <c r="L449" s="10" t="inlineStr">
        <is>
          <t>DOCUMENTOS FISICOS-ARCHIVOS DE LA OFICINA</t>
        </is>
      </c>
      <c r="M449" s="10" t="inlineStr">
        <is>
          <t>DOCUMENTO DE ARCHIVO-FÍSICO</t>
        </is>
      </c>
      <c r="N449" s="10" t="inlineStr">
        <is>
          <t>PRIMARIOS</t>
        </is>
      </c>
      <c r="O449" s="10" t="inlineStr">
        <is>
          <t>DOCUMENTOS HABILITANTES</t>
        </is>
      </c>
      <c r="P449" s="10" t="inlineStr">
        <is>
          <t>RESTRINGIDO(3)</t>
        </is>
      </c>
      <c r="Q449" s="10" t="inlineStr">
        <is>
          <t>MEDIA(2)</t>
        </is>
      </c>
      <c r="R449" s="10" t="inlineStr">
        <is>
          <t>MEDIA(2)</t>
        </is>
      </c>
      <c r="S449" s="10">
        <f>+(IF(P449="PUBLICA(1)",1,IF(P449="USO INTERNO(2)",2,IF(P449="RESTRINGIDO(3)",3,3))))+(IF(Q449="BAJA(1)",1,IF(Q449="MEDIA(2)",2,IF(Q449="ALTA(3)",3,3))))+(IF(R449="BAJA(1)",1,IF(R449="MEDIA(2)",2,IF(R449="ALTA(3)",3,3))))</f>
        <v/>
      </c>
      <c r="T449" s="10">
        <f>+IF(S449&lt;6,"BAJA",IF(S449&lt;8,"MEDIA","ALTA"))</f>
        <v/>
      </c>
      <c r="U449" s="10" t="inlineStr">
        <is>
          <t>-</t>
        </is>
      </c>
      <c r="V449" s="24" t="n">
        <v>45674</v>
      </c>
      <c r="W449" s="19" t="inlineStr">
        <is>
          <t>N/A</t>
        </is>
      </c>
      <c r="X449" s="10">
        <f>+IFERROR(IF(VLOOKUP(Tabla2[[#This Row],[ID]],'EVALUACION DE RIESGO'!A:A,1,FALSE)=Tabla2[[#This Row],[ID]],"SI","NO"),"NO")</f>
        <v/>
      </c>
    </row>
    <row r="450">
      <c r="A450" s="91" t="inlineStr">
        <is>
          <t>71-GOP</t>
        </is>
      </c>
      <c r="B450" s="10" t="inlineStr">
        <is>
          <t>APOYO</t>
        </is>
      </c>
      <c r="C450" s="10" t="inlineStr">
        <is>
          <t xml:space="preserve">Gestión de Operaciones </t>
        </is>
      </c>
      <c r="D450" s="10" t="inlineStr">
        <is>
          <t>GOP</t>
        </is>
      </c>
      <c r="E450" s="10" t="inlineStr">
        <is>
          <t>Gestión del Front Operativo</t>
        </is>
      </c>
      <c r="F450" s="10" t="inlineStr">
        <is>
          <t xml:space="preserve">Transacciones en Ventanillas </t>
        </is>
      </c>
      <c r="G450" s="10" t="inlineStr">
        <is>
          <t>Entrega de valores por cierre de cuentas</t>
        </is>
      </c>
      <c r="H450" s="10" t="inlineStr">
        <is>
          <t>Libreta de Ahorros del socio</t>
        </is>
      </c>
      <c r="I450" s="10" t="inlineStr">
        <is>
          <t>Libreta de ahorros</t>
        </is>
      </c>
      <c r="J450" s="10" t="inlineStr">
        <is>
          <t>Jefe del Front Operativo</t>
        </is>
      </c>
      <c r="K450" s="10" t="inlineStr">
        <is>
          <t>SOCIO</t>
        </is>
      </c>
      <c r="L450" s="10" t="inlineStr">
        <is>
          <t>N/A</t>
        </is>
      </c>
      <c r="M450" s="10" t="inlineStr">
        <is>
          <t>N/A</t>
        </is>
      </c>
      <c r="N450" s="10" t="inlineStr">
        <is>
          <t>PRIMARIOS</t>
        </is>
      </c>
      <c r="O450" s="10" t="inlineStr">
        <is>
          <t>DOCUMENTOS HABILITANTES</t>
        </is>
      </c>
      <c r="P450" s="10" t="inlineStr">
        <is>
          <t>RESTRINGIDO(3)</t>
        </is>
      </c>
      <c r="Q450" s="10" t="inlineStr">
        <is>
          <t>MEDIA(2)</t>
        </is>
      </c>
      <c r="R450" s="10" t="inlineStr">
        <is>
          <t>BAJA(1)</t>
        </is>
      </c>
      <c r="S450" s="10">
        <f>+(IF(P450="PUBLICA(1)",1,IF(P450="USO INTERNO(2)",2,IF(P450="RESTRINGIDO(3)",3,3))))+(IF(Q450="BAJA(1)",1,IF(Q450="MEDIA(2)",2,IF(Q450="ALTA(3)",3,3))))+(IF(R450="BAJA(1)",1,IF(R450="MEDIA(2)",2,IF(R450="ALTA(3)",3,3))))</f>
        <v/>
      </c>
      <c r="T450" s="10">
        <f>+IF(S450&lt;6,"BAJA",IF(S450&lt;8,"MEDIA","ALTA"))</f>
        <v/>
      </c>
      <c r="U450" s="10" t="inlineStr">
        <is>
          <t>-</t>
        </is>
      </c>
      <c r="V450" s="24" t="n">
        <v>45674</v>
      </c>
      <c r="W450" s="19" t="inlineStr">
        <is>
          <t>N/A</t>
        </is>
      </c>
      <c r="X450" s="10">
        <f>+IFERROR(IF(VLOOKUP(Tabla2[[#This Row],[ID]],'EVALUACION DE RIESGO'!A:A,1,FALSE)=Tabla2[[#This Row],[ID]],"SI","NO"),"NO")</f>
        <v/>
      </c>
    </row>
    <row r="451">
      <c r="A451" s="91" t="inlineStr">
        <is>
          <t>72-GOP</t>
        </is>
      </c>
      <c r="B451" s="10" t="inlineStr">
        <is>
          <t>APOYO</t>
        </is>
      </c>
      <c r="C451" s="10" t="inlineStr">
        <is>
          <t xml:space="preserve">Gestión de Operaciones </t>
        </is>
      </c>
      <c r="D451" s="10" t="inlineStr">
        <is>
          <t>GOP</t>
        </is>
      </c>
      <c r="E451" s="10" t="inlineStr">
        <is>
          <t>Gestión del Front Operativo</t>
        </is>
      </c>
      <c r="F451" s="10" t="inlineStr">
        <is>
          <t xml:space="preserve">Transacciones en Ventanillas </t>
        </is>
      </c>
      <c r="G451" s="10" t="inlineStr">
        <is>
          <t>Entrega de valores por cierre de cuentas</t>
        </is>
      </c>
      <c r="H451" s="10" t="inlineStr">
        <is>
          <t>Formularios de cierre de cuentas</t>
        </is>
      </c>
      <c r="I451" s="10" t="inlineStr">
        <is>
          <t>Formulario que genera atención al cliente para el cierre de la cuenta</t>
        </is>
      </c>
      <c r="J451" s="10" t="inlineStr">
        <is>
          <t>Jefe del Front Operativo</t>
        </is>
      </c>
      <c r="K451" s="10" t="inlineStr">
        <is>
          <t>SUPERVISOR OPERATIVO</t>
        </is>
      </c>
      <c r="L451" s="10" t="inlineStr">
        <is>
          <t>DOCUMENTOS FISICOS-ARCHIVOS DE LA OFICINA</t>
        </is>
      </c>
      <c r="M451" s="10" t="inlineStr">
        <is>
          <t>DOCUMENTO DE ARCHIVO-FÍSICO</t>
        </is>
      </c>
      <c r="N451" s="10" t="inlineStr">
        <is>
          <t>PRIMARIOS</t>
        </is>
      </c>
      <c r="O451" s="10" t="inlineStr">
        <is>
          <t>DOCUMENTOS HABILITANTES</t>
        </is>
      </c>
      <c r="P451" s="10" t="inlineStr">
        <is>
          <t>USO INTERNO(2)</t>
        </is>
      </c>
      <c r="Q451" s="10" t="inlineStr">
        <is>
          <t>MEDIA(2)</t>
        </is>
      </c>
      <c r="R451" s="10" t="inlineStr">
        <is>
          <t>MEDIA(2)</t>
        </is>
      </c>
      <c r="S451" s="10">
        <f>+(IF(P451="PUBLICA(1)",1,IF(P451="USO INTERNO(2)",2,IF(P451="RESTRINGIDO(3)",3,3))))+(IF(Q451="BAJA(1)",1,IF(Q451="MEDIA(2)",2,IF(Q451="ALTA(3)",3,3))))+(IF(R451="BAJA(1)",1,IF(R451="MEDIA(2)",2,IF(R451="ALTA(3)",3,3))))</f>
        <v/>
      </c>
      <c r="T451" s="10">
        <f>+IF(S451&lt;6,"BAJA",IF(S451&lt;8,"MEDIA","ALTA"))</f>
        <v/>
      </c>
      <c r="U451" s="10" t="inlineStr">
        <is>
          <t>-</t>
        </is>
      </c>
      <c r="V451" s="24" t="n">
        <v>45674</v>
      </c>
      <c r="W451" s="19" t="inlineStr">
        <is>
          <t>N/A</t>
        </is>
      </c>
      <c r="X451" s="10">
        <f>+IFERROR(IF(VLOOKUP(Tabla2[[#This Row],[ID]],'EVALUACION DE RIESGO'!A:A,1,FALSE)=Tabla2[[#This Row],[ID]],"SI","NO"),"NO")</f>
        <v/>
      </c>
    </row>
    <row r="452">
      <c r="A452" s="91" t="inlineStr">
        <is>
          <t>73-GOP</t>
        </is>
      </c>
      <c r="B452" s="10" t="inlineStr">
        <is>
          <t>APOYO</t>
        </is>
      </c>
      <c r="C452" s="10" t="inlineStr">
        <is>
          <t xml:space="preserve">Gestión de Operaciones </t>
        </is>
      </c>
      <c r="D452" s="10" t="inlineStr">
        <is>
          <t>GOP</t>
        </is>
      </c>
      <c r="E452" s="10" t="inlineStr">
        <is>
          <t>Gestión del Front Operativo</t>
        </is>
      </c>
      <c r="F452" s="10" t="inlineStr">
        <is>
          <t xml:space="preserve">Transacciones en Ventanillas </t>
        </is>
      </c>
      <c r="G452" s="10" t="inlineStr">
        <is>
          <t xml:space="preserve">Cierre de caja </t>
        </is>
      </c>
      <c r="H452" s="10" t="inlineStr">
        <is>
          <t>Planilla de cuadre general</t>
        </is>
      </c>
      <c r="I452" s="10" t="inlineStr">
        <is>
          <t xml:space="preserve">Planilla que se imprime con e detalle de movimiento realizado en cajas, detalle de totales en bóvedas y atm, se imprime y se firma digitalmente por cada Supervisor </t>
        </is>
      </c>
      <c r="J452" s="10" t="inlineStr">
        <is>
          <t>Jefe del Front Operativo</t>
        </is>
      </c>
      <c r="K452" s="10" t="inlineStr">
        <is>
          <t>Supervisor Operativo</t>
        </is>
      </c>
      <c r="L452" s="10" t="inlineStr">
        <is>
          <t>DOCUMENTOS FISICOS-ARCHIVOS DE LA OFICINA</t>
        </is>
      </c>
      <c r="M452" s="10" t="inlineStr">
        <is>
          <t>DOCUMENTO DE ARCHIVO-FÍSICO</t>
        </is>
      </c>
      <c r="N452" s="10" t="inlineStr">
        <is>
          <t>PRIMARIOS</t>
        </is>
      </c>
      <c r="O452" s="10" t="inlineStr">
        <is>
          <t>DOCUMENTOS TÉCNICOS</t>
        </is>
      </c>
      <c r="P452" s="10" t="inlineStr">
        <is>
          <t>RESTRINGIDO(3)</t>
        </is>
      </c>
      <c r="Q452" s="10" t="inlineStr">
        <is>
          <t>MEDIA(2)</t>
        </is>
      </c>
      <c r="R452" s="10" t="inlineStr">
        <is>
          <t>MEDIA(2)</t>
        </is>
      </c>
      <c r="S452" s="10">
        <f>+(IF(P452="PUBLICA(1)",1,IF(P452="USO INTERNO(2)",2,IF(P452="RESTRINGIDO(3)",3,3))))+(IF(Q452="BAJA(1)",1,IF(Q452="MEDIA(2)",2,IF(Q452="ALTA(3)",3,3))))+(IF(R452="BAJA(1)",1,IF(R452="MEDIA(2)",2,IF(R452="ALTA(3)",3,3))))</f>
        <v/>
      </c>
      <c r="T452" s="10">
        <f>+IF(S452&lt;6,"BAJA",IF(S452&lt;8,"MEDIA","ALTA"))</f>
        <v/>
      </c>
      <c r="U452" s="10" t="inlineStr">
        <is>
          <t>-</t>
        </is>
      </c>
      <c r="V452" s="24" t="n">
        <v>45674</v>
      </c>
      <c r="W452" s="19" t="inlineStr">
        <is>
          <t>N/A</t>
        </is>
      </c>
      <c r="X452" s="10">
        <f>+IFERROR(IF(VLOOKUP(Tabla2[[#This Row],[ID]],'EVALUACION DE RIESGO'!A:A,1,FALSE)=Tabla2[[#This Row],[ID]],"SI","NO"),"NO")</f>
        <v/>
      </c>
    </row>
    <row r="453">
      <c r="A453" s="91" t="inlineStr">
        <is>
          <t>74-GOP</t>
        </is>
      </c>
      <c r="B453" s="10" t="inlineStr">
        <is>
          <t>APOYO</t>
        </is>
      </c>
      <c r="C453" s="10" t="inlineStr">
        <is>
          <t xml:space="preserve">Gestión de Operaciones </t>
        </is>
      </c>
      <c r="D453" s="10" t="inlineStr">
        <is>
          <t>GOP</t>
        </is>
      </c>
      <c r="E453" s="10" t="inlineStr">
        <is>
          <t>Gestión del Front Operativo</t>
        </is>
      </c>
      <c r="F453" s="10" t="inlineStr">
        <is>
          <t xml:space="preserve">Transacciones en Ventanillas </t>
        </is>
      </c>
      <c r="G453" s="10" t="inlineStr">
        <is>
          <t xml:space="preserve">Cierre de caja </t>
        </is>
      </c>
      <c r="H453" s="10" t="inlineStr">
        <is>
          <t>Registro de Sobrantes y Faltantes</t>
        </is>
      </c>
      <c r="I453" s="10" t="inlineStr">
        <is>
          <t>Registro de valores sobrantes y faltantes de caja adjunto a la planilla de cuadre general</t>
        </is>
      </c>
      <c r="J453" s="10" t="inlineStr">
        <is>
          <t>Jefe del Front Operativo</t>
        </is>
      </c>
      <c r="K453" s="10" t="inlineStr">
        <is>
          <t>Supervisor Operativo</t>
        </is>
      </c>
      <c r="L453" s="10" t="inlineStr">
        <is>
          <t>DOCUMENTOS FISICOS-ARCHIVOS DE LA OFICINA</t>
        </is>
      </c>
      <c r="M453" s="10" t="inlineStr">
        <is>
          <t>DOCUMENTO DE ARCHIVO-FÍSICO</t>
        </is>
      </c>
      <c r="N453" s="10" t="inlineStr">
        <is>
          <t>PRIMARIOS</t>
        </is>
      </c>
      <c r="O453" s="10" t="inlineStr">
        <is>
          <t>COMUNICACIÓN INTERNA</t>
        </is>
      </c>
      <c r="P453" s="10" t="inlineStr">
        <is>
          <t>USO INTERNO(2)</t>
        </is>
      </c>
      <c r="Q453" s="10" t="inlineStr">
        <is>
          <t>MEDIA(2)</t>
        </is>
      </c>
      <c r="R453" s="10" t="inlineStr">
        <is>
          <t>MEDIA(2)</t>
        </is>
      </c>
      <c r="S453" s="10">
        <f>+(IF(P453="PUBLICA(1)",1,IF(P453="USO INTERNO(2)",2,IF(P453="RESTRINGIDO(3)",3,3))))+(IF(Q453="BAJA(1)",1,IF(Q453="MEDIA(2)",2,IF(Q453="ALTA(3)",3,3))))+(IF(R453="BAJA(1)",1,IF(R453="MEDIA(2)",2,IF(R453="ALTA(3)",3,3))))</f>
        <v/>
      </c>
      <c r="T453" s="10">
        <f>+IF(S453&lt;6,"BAJA",IF(S453&lt;8,"MEDIA","ALTA"))</f>
        <v/>
      </c>
      <c r="U453" s="10" t="inlineStr">
        <is>
          <t>-</t>
        </is>
      </c>
      <c r="V453" s="24" t="n">
        <v>45674</v>
      </c>
      <c r="W453" s="19" t="inlineStr">
        <is>
          <t>N/A</t>
        </is>
      </c>
      <c r="X453" s="10">
        <f>+IFERROR(IF(VLOOKUP(Tabla2[[#This Row],[ID]],'EVALUACION DE RIESGO'!A:A,1,FALSE)=Tabla2[[#This Row],[ID]],"SI","NO"),"NO")</f>
        <v/>
      </c>
    </row>
    <row r="454" ht="12" customHeight="1" s="98">
      <c r="A454" s="91" t="inlineStr">
        <is>
          <t>75-GOP</t>
        </is>
      </c>
      <c r="B454" s="10" t="inlineStr">
        <is>
          <t>APOYO</t>
        </is>
      </c>
      <c r="C454" s="10" t="inlineStr">
        <is>
          <t xml:space="preserve">Gestión de Operaciones </t>
        </is>
      </c>
      <c r="D454" s="10" t="inlineStr">
        <is>
          <t>GOP</t>
        </is>
      </c>
      <c r="E454" s="10" t="inlineStr">
        <is>
          <t>Gestión del Front Operativo</t>
        </is>
      </c>
      <c r="F454" s="10" t="inlineStr">
        <is>
          <t xml:space="preserve">Transacciones en Ventanillas </t>
        </is>
      </c>
      <c r="G454" s="10" t="inlineStr">
        <is>
          <t xml:space="preserve">Cierre de caja </t>
        </is>
      </c>
      <c r="H454" s="17" t="inlineStr">
        <is>
          <t>Cheques</t>
        </is>
      </c>
      <c r="I454" s="17" t="inlineStr">
        <is>
          <t>Cheque</t>
        </is>
      </c>
      <c r="J454" s="10" t="inlineStr">
        <is>
          <t>Jefe del Front Operativo</t>
        </is>
      </c>
      <c r="K454" s="10" t="inlineStr">
        <is>
          <t>Supervisor Operativo</t>
        </is>
      </c>
      <c r="L454" s="10" t="inlineStr">
        <is>
          <t>DOCUMENTOS FISICOS-ARCHIVOS DE LA OFICINA</t>
        </is>
      </c>
      <c r="M454" s="10" t="inlineStr">
        <is>
          <t>DOCUMENTO DE ARCHIVO-FÍSICO</t>
        </is>
      </c>
      <c r="N454" s="10" t="inlineStr">
        <is>
          <t>PRIMARIOS</t>
        </is>
      </c>
      <c r="O454" s="10" t="inlineStr">
        <is>
          <t>DOCUMENTOS HABILITANTES</t>
        </is>
      </c>
      <c r="P454" s="10" t="inlineStr">
        <is>
          <t>USO INTERNO(2)</t>
        </is>
      </c>
      <c r="Q454" s="10" t="inlineStr">
        <is>
          <t>ALTA(3)</t>
        </is>
      </c>
      <c r="R454" s="10" t="inlineStr">
        <is>
          <t>ALTA(3)</t>
        </is>
      </c>
      <c r="S454" s="10">
        <f>+(IF(P454="PUBLICA(1)",1,IF(P454="USO INTERNO(2)",2,IF(P454="RESTRINGIDO(3)",3,3))))+(IF(Q454="BAJA(1)",1,IF(Q454="MEDIA(2)",2,IF(Q454="ALTA(3)",3,3))))+(IF(R454="BAJA(1)",1,IF(R454="MEDIA(2)",2,IF(R454="ALTA(3)",3,3))))</f>
        <v/>
      </c>
      <c r="T454" s="10">
        <f>+IF(S454&lt;6,"BAJA",IF(S454&lt;8,"MEDIA","ALTA"))</f>
        <v/>
      </c>
      <c r="U454" s="10" t="inlineStr">
        <is>
          <t>-</t>
        </is>
      </c>
      <c r="V454" s="24" t="n">
        <v>45674</v>
      </c>
      <c r="W454" s="19" t="inlineStr">
        <is>
          <t>N/A</t>
        </is>
      </c>
      <c r="X454" s="10">
        <f>+IFERROR(IF(VLOOKUP(Tabla2[[#This Row],[ID]],'EVALUACION DE RIESGO'!A:A,1,FALSE)=Tabla2[[#This Row],[ID]],"SI","NO"),"NO")</f>
        <v/>
      </c>
    </row>
    <row r="455">
      <c r="A455" s="91" t="inlineStr">
        <is>
          <t>76-GOP</t>
        </is>
      </c>
      <c r="B455" s="10" t="inlineStr">
        <is>
          <t>APOYO</t>
        </is>
      </c>
      <c r="C455" s="10" t="inlineStr">
        <is>
          <t xml:space="preserve">Gestión de Operaciones </t>
        </is>
      </c>
      <c r="D455" s="10" t="inlineStr">
        <is>
          <t>GOP</t>
        </is>
      </c>
      <c r="E455" s="10" t="inlineStr">
        <is>
          <t>Gestión del Front Operativo</t>
        </is>
      </c>
      <c r="F455" s="10" t="inlineStr">
        <is>
          <t xml:space="preserve">Transacciones en Ventanillas </t>
        </is>
      </c>
      <c r="G455" s="10" t="inlineStr">
        <is>
          <t xml:space="preserve">Cierre de caja </t>
        </is>
      </c>
      <c r="H455" s="10" t="inlineStr">
        <is>
          <t>Formulario de faltantes y sobrantes</t>
        </is>
      </c>
      <c r="I455" s="10" t="inlineStr">
        <is>
          <t>Formulario donde se detallan las actividades que realiza el cajero antes de registrar el faltante/sobrante en el sistema, contiene oficina, ventanilla, total faltante sobrante, de talle de las actividades,</t>
        </is>
      </c>
      <c r="J455" s="10" t="inlineStr">
        <is>
          <t>Jefe del Front Operativo</t>
        </is>
      </c>
      <c r="K455" s="10" t="inlineStr">
        <is>
          <t>Supervisor Operativo</t>
        </is>
      </c>
      <c r="L455" s="10" t="inlineStr">
        <is>
          <t>DOCUMENTOS FISICOS-ARCHIVOS DE LA OFICINA</t>
        </is>
      </c>
      <c r="M455" s="10" t="inlineStr">
        <is>
          <t>DOCUMENTO DE ARCHIVO-FÍSICO</t>
        </is>
      </c>
      <c r="N455" s="10" t="inlineStr">
        <is>
          <t>PRIMARIOS</t>
        </is>
      </c>
      <c r="O455" s="10" t="inlineStr">
        <is>
          <t>COMUNICACIÓN INTERNA</t>
        </is>
      </c>
      <c r="P455" s="10" t="inlineStr">
        <is>
          <t>USO INTERNO(2)</t>
        </is>
      </c>
      <c r="Q455" s="10" t="inlineStr">
        <is>
          <t>MEDIA(2)</t>
        </is>
      </c>
      <c r="R455" s="10" t="inlineStr">
        <is>
          <t>MEDIA(2)</t>
        </is>
      </c>
      <c r="S455" s="10">
        <f>+(IF(P455="PUBLICA(1)",1,IF(P455="USO INTERNO(2)",2,IF(P455="RESTRINGIDO(3)",3,3))))+(IF(Q455="BAJA(1)",1,IF(Q455="MEDIA(2)",2,IF(Q455="ALTA(3)",3,3))))+(IF(R455="BAJA(1)",1,IF(R455="MEDIA(2)",2,IF(R455="ALTA(3)",3,3))))</f>
        <v/>
      </c>
      <c r="T455" s="10">
        <f>+IF(S455&lt;6,"BAJA",IF(S455&lt;8,"MEDIA","ALTA"))</f>
        <v/>
      </c>
      <c r="U455" s="10" t="inlineStr">
        <is>
          <t>-</t>
        </is>
      </c>
      <c r="V455" s="24" t="n">
        <v>45674</v>
      </c>
      <c r="W455" s="19" t="inlineStr">
        <is>
          <t>N/A</t>
        </is>
      </c>
      <c r="X455" s="10">
        <f>+IFERROR(IF(VLOOKUP(Tabla2[[#This Row],[ID]],'EVALUACION DE RIESGO'!A:A,1,FALSE)=Tabla2[[#This Row],[ID]],"SI","NO"),"NO")</f>
        <v/>
      </c>
    </row>
    <row r="456">
      <c r="A456" s="91" t="inlineStr">
        <is>
          <t>77-GOP</t>
        </is>
      </c>
      <c r="B456" s="10" t="inlineStr">
        <is>
          <t>APOYO</t>
        </is>
      </c>
      <c r="C456" s="10" t="inlineStr">
        <is>
          <t xml:space="preserve">Gestión de Operaciones </t>
        </is>
      </c>
      <c r="D456" s="10" t="inlineStr">
        <is>
          <t>GOP</t>
        </is>
      </c>
      <c r="E456" s="10" t="inlineStr">
        <is>
          <t>Gestión del Front Operativo</t>
        </is>
      </c>
      <c r="F456" s="10" t="inlineStr">
        <is>
          <t xml:space="preserve">Transacciones Operativas </t>
        </is>
      </c>
      <c r="G456" s="10" t="inlineStr">
        <is>
          <t>Transferencias interbancarias</t>
        </is>
      </c>
      <c r="H456" s="10" t="inlineStr">
        <is>
          <t>Solicitud de transferencia interbancaria</t>
        </is>
      </c>
      <c r="I456" s="10" t="inlineStr">
        <is>
          <t>Solicitud de transferencia de valores legalizada con el socio o cliente</t>
        </is>
      </c>
      <c r="J456" s="10" t="inlineStr">
        <is>
          <t>Jefe del Front Operativo</t>
        </is>
      </c>
      <c r="K456" s="10" t="inlineStr">
        <is>
          <t>SUPERVISOR OPERATIVO</t>
        </is>
      </c>
      <c r="L456" s="10" t="inlineStr">
        <is>
          <t>DOCUMENTOS FISICOS-ARCHIVOS DE LA OFICINA</t>
        </is>
      </c>
      <c r="M456" s="10" t="inlineStr">
        <is>
          <t>DOCUMENTO DE ARCHIVO-FÍSICO</t>
        </is>
      </c>
      <c r="N456" s="10" t="inlineStr">
        <is>
          <t>PRIMARIOS</t>
        </is>
      </c>
      <c r="O456" s="10" t="inlineStr">
        <is>
          <t>DOCUMENTOS HABILITANTES</t>
        </is>
      </c>
      <c r="P456" s="10" t="inlineStr">
        <is>
          <t>USO INTERNO(2)</t>
        </is>
      </c>
      <c r="Q456" s="10" t="inlineStr">
        <is>
          <t>MEDIA(2)</t>
        </is>
      </c>
      <c r="R456" s="10" t="inlineStr">
        <is>
          <t>MEDIA(2)</t>
        </is>
      </c>
      <c r="S456" s="10">
        <f>+(IF(P456="PUBLICA(1)",1,IF(P456="USO INTERNO(2)",2,IF(P456="RESTRINGIDO(3)",3,3))))+(IF(Q456="BAJA(1)",1,IF(Q456="MEDIA(2)",2,IF(Q456="ALTA(3)",3,3))))+(IF(R456="BAJA(1)",1,IF(R456="MEDIA(2)",2,IF(R456="ALTA(3)",3,3))))</f>
        <v/>
      </c>
      <c r="T456" s="10">
        <f>+IF(S456&lt;6,"BAJA",IF(S456&lt;8,"MEDIA","ALTA"))</f>
        <v/>
      </c>
      <c r="U456" s="10" t="inlineStr">
        <is>
          <t>-</t>
        </is>
      </c>
      <c r="V456" s="24" t="n">
        <v>45674</v>
      </c>
      <c r="W456" s="19" t="inlineStr">
        <is>
          <t>N/A</t>
        </is>
      </c>
      <c r="X456" s="10">
        <f>+IFERROR(IF(VLOOKUP(Tabla2[[#This Row],[ID]],'EVALUACION DE RIESGO'!A:A,1,FALSE)=Tabla2[[#This Row],[ID]],"SI","NO"),"NO")</f>
        <v/>
      </c>
    </row>
    <row r="457">
      <c r="A457" s="91" t="inlineStr">
        <is>
          <t>78-GOP</t>
        </is>
      </c>
      <c r="B457" s="10" t="inlineStr">
        <is>
          <t>APOYO</t>
        </is>
      </c>
      <c r="C457" s="10" t="inlineStr">
        <is>
          <t xml:space="preserve">Gestión de Operaciones </t>
        </is>
      </c>
      <c r="D457" s="10" t="inlineStr">
        <is>
          <t>GOP</t>
        </is>
      </c>
      <c r="E457" s="10" t="inlineStr">
        <is>
          <t>Gestión del Front Operativo</t>
        </is>
      </c>
      <c r="F457" s="10" t="inlineStr">
        <is>
          <t xml:space="preserve">Transacciones Operativas </t>
        </is>
      </c>
      <c r="G457" s="10" t="inlineStr">
        <is>
          <t>Transferencias interbancarias</t>
        </is>
      </c>
      <c r="H457" s="10" t="inlineStr">
        <is>
          <t>Documento que identifica el banco</t>
        </is>
      </c>
      <c r="I457" s="10" t="inlineStr">
        <is>
          <t>Información de relación del cliente o socio con la institución financiera a la que se va realizar la transferencia</t>
        </is>
      </c>
      <c r="J457" s="10" t="inlineStr">
        <is>
          <t>Jefe del Front Operativo</t>
        </is>
      </c>
      <c r="K457" s="10" t="inlineStr">
        <is>
          <t>SUPERVISOR OPERATIVO</t>
        </is>
      </c>
      <c r="L457" s="10" t="inlineStr">
        <is>
          <t>DOCUMENTOS FISICOS-ARCHIVOS DE LA OFICINA</t>
        </is>
      </c>
      <c r="M457" s="10" t="inlineStr">
        <is>
          <t>DOCUMENTO DE ARCHIVO-FÍSICO</t>
        </is>
      </c>
      <c r="N457" s="10" t="inlineStr">
        <is>
          <t>PRIMARIOS</t>
        </is>
      </c>
      <c r="O457" s="10" t="inlineStr">
        <is>
          <t>DOCUMENTOS HABILITANTES</t>
        </is>
      </c>
      <c r="P457" s="10" t="inlineStr">
        <is>
          <t>RESTRINGIDO(3)</t>
        </is>
      </c>
      <c r="Q457" s="10" t="inlineStr">
        <is>
          <t>MEDIA(2)</t>
        </is>
      </c>
      <c r="R457" s="10" t="inlineStr">
        <is>
          <t>BAJA(1)</t>
        </is>
      </c>
      <c r="S457" s="10">
        <f>+(IF(P457="PUBLICA(1)",1,IF(P457="USO INTERNO(2)",2,IF(P457="RESTRINGIDO(3)",3,3))))+(IF(Q457="BAJA(1)",1,IF(Q457="MEDIA(2)",2,IF(Q457="ALTA(3)",3,3))))+(IF(R457="BAJA(1)",1,IF(R457="MEDIA(2)",2,IF(R457="ALTA(3)",3,3))))</f>
        <v/>
      </c>
      <c r="T457" s="10">
        <f>+IF(S457&lt;6,"BAJA",IF(S457&lt;8,"MEDIA","ALTA"))</f>
        <v/>
      </c>
      <c r="U457" s="10" t="inlineStr">
        <is>
          <t>-</t>
        </is>
      </c>
      <c r="V457" s="24" t="n">
        <v>45674</v>
      </c>
      <c r="W457" s="19" t="inlineStr">
        <is>
          <t>N/A</t>
        </is>
      </c>
      <c r="X457" s="10">
        <f>+IFERROR(IF(VLOOKUP(Tabla2[[#This Row],[ID]],'EVALUACION DE RIESGO'!A:A,1,FALSE)=Tabla2[[#This Row],[ID]],"SI","NO"),"NO")</f>
        <v/>
      </c>
    </row>
    <row r="458">
      <c r="A458" s="91" t="inlineStr">
        <is>
          <t>79-GOP</t>
        </is>
      </c>
      <c r="B458" s="10" t="inlineStr">
        <is>
          <t>APOYO</t>
        </is>
      </c>
      <c r="C458" s="10" t="inlineStr">
        <is>
          <t xml:space="preserve">Gestión de Operaciones </t>
        </is>
      </c>
      <c r="D458" s="10" t="inlineStr">
        <is>
          <t>GOP</t>
        </is>
      </c>
      <c r="E458" s="10" t="inlineStr">
        <is>
          <t>Gestión del Front Operativo</t>
        </is>
      </c>
      <c r="F458" s="10" t="inlineStr">
        <is>
          <t xml:space="preserve">Transacciones Operativas </t>
        </is>
      </c>
      <c r="G458" s="10" t="inlineStr">
        <is>
          <t>Transferencias interbancarias</t>
        </is>
      </c>
      <c r="H458" s="10" t="inlineStr">
        <is>
          <t>Documentación de excepción de huella dactilar</t>
        </is>
      </c>
      <c r="I458" s="10" t="inlineStr">
        <is>
          <t>Autorización que se realiza en el sistema</t>
        </is>
      </c>
      <c r="J458" s="10" t="inlineStr">
        <is>
          <t>Jefe del Front Operativo</t>
        </is>
      </c>
      <c r="K458" s="10" t="inlineStr">
        <is>
          <t>GERENTE DE TI</t>
        </is>
      </c>
      <c r="L458" s="10" t="inlineStr">
        <is>
          <t>UBICACIÓN DIGITAL-CORE FINANCIERO</t>
        </is>
      </c>
      <c r="M458" s="10" t="inlineStr">
        <is>
          <t>DOCUMENTO DE ARCHIVO-ELECTRÓNICO</t>
        </is>
      </c>
      <c r="N458" s="10" t="inlineStr">
        <is>
          <t>PRIMARIOS</t>
        </is>
      </c>
      <c r="O458" s="10" t="inlineStr">
        <is>
          <t>DOCUMENTOS HABILITANTES</t>
        </is>
      </c>
      <c r="P458" s="10" t="inlineStr">
        <is>
          <t>USO INTERNO(2)</t>
        </is>
      </c>
      <c r="Q458" s="10" t="inlineStr">
        <is>
          <t>BAJA(1)</t>
        </is>
      </c>
      <c r="R458" s="10" t="inlineStr">
        <is>
          <t>BAJA(1)</t>
        </is>
      </c>
      <c r="S458" s="10">
        <f>+(IF(P458="PUBLICA(1)",1,IF(P458="USO INTERNO(2)",2,IF(P458="RESTRINGIDO(3)",3,3))))+(IF(Q458="BAJA(1)",1,IF(Q458="MEDIA(2)",2,IF(Q458="ALTA(3)",3,3))))+(IF(R458="BAJA(1)",1,IF(R458="MEDIA(2)",2,IF(R458="ALTA(3)",3,3))))</f>
        <v/>
      </c>
      <c r="T458" s="10">
        <f>+IF(S458&lt;6,"BAJA",IF(S458&lt;8,"MEDIA","ALTA"))</f>
        <v/>
      </c>
      <c r="U458" s="10" t="inlineStr">
        <is>
          <t>-</t>
        </is>
      </c>
      <c r="V458" s="24" t="n">
        <v>45674</v>
      </c>
      <c r="W458" s="19" t="inlineStr">
        <is>
          <t>N/A</t>
        </is>
      </c>
      <c r="X458" s="10">
        <f>+IFERROR(IF(VLOOKUP(Tabla2[[#This Row],[ID]],'EVALUACION DE RIESGO'!A:A,1,FALSE)=Tabla2[[#This Row],[ID]],"SI","NO"),"NO")</f>
        <v/>
      </c>
    </row>
    <row r="459">
      <c r="A459" s="91" t="inlineStr">
        <is>
          <t>80-GOP</t>
        </is>
      </c>
      <c r="B459" s="10" t="inlineStr">
        <is>
          <t>APOYO</t>
        </is>
      </c>
      <c r="C459" s="10" t="inlineStr">
        <is>
          <t xml:space="preserve">Gestión de Operaciones </t>
        </is>
      </c>
      <c r="D459" s="10" t="inlineStr">
        <is>
          <t>GOP</t>
        </is>
      </c>
      <c r="E459" s="10" t="inlineStr">
        <is>
          <t>Gestión del Front Operativo</t>
        </is>
      </c>
      <c r="F459" s="10" t="inlineStr">
        <is>
          <t xml:space="preserve">Transacciones Operativas </t>
        </is>
      </c>
      <c r="G459" s="10" t="inlineStr">
        <is>
          <t>Transferencias interbancarias</t>
        </is>
      </c>
      <c r="H459" s="10" t="inlineStr">
        <is>
          <t>Registro de excepción de transferencias y emisión de cheques</t>
        </is>
      </c>
      <c r="I459" s="10" t="inlineStr">
        <is>
          <t xml:space="preserve">Documento donde se coloca el monto y el motivo por el cual se excepciona la huella </t>
        </is>
      </c>
      <c r="J459" s="10" t="inlineStr">
        <is>
          <t>Jefe del Front Operativo</t>
        </is>
      </c>
      <c r="K459" s="10" t="inlineStr">
        <is>
          <t>SUPERVISOR OPERATIVO</t>
        </is>
      </c>
      <c r="L459" s="10" t="inlineStr">
        <is>
          <t>DOCUMENTOS FISICOS-ARCHIVOS DE LA OFICINA</t>
        </is>
      </c>
      <c r="M459" s="10" t="inlineStr">
        <is>
          <t>DOCUMENTO DE ARCHIVO-FÍSICO</t>
        </is>
      </c>
      <c r="N459" s="10" t="inlineStr">
        <is>
          <t>PRIMARIOS</t>
        </is>
      </c>
      <c r="O459" s="10" t="inlineStr">
        <is>
          <t>DOCUMENTOS HABILITANTES</t>
        </is>
      </c>
      <c r="P459" s="10" t="inlineStr">
        <is>
          <t>USO INTERNO(2)</t>
        </is>
      </c>
      <c r="Q459" s="10" t="inlineStr">
        <is>
          <t>MEDIA(2)</t>
        </is>
      </c>
      <c r="R459" s="10" t="inlineStr">
        <is>
          <t>BAJA(1)</t>
        </is>
      </c>
      <c r="S459" s="10">
        <f>+(IF(P459="PUBLICA(1)",1,IF(P459="USO INTERNO(2)",2,IF(P459="RESTRINGIDO(3)",3,3))))+(IF(Q459="BAJA(1)",1,IF(Q459="MEDIA(2)",2,IF(Q459="ALTA(3)",3,3))))+(IF(R459="BAJA(1)",1,IF(R459="MEDIA(2)",2,IF(R459="ALTA(3)",3,3))))</f>
        <v/>
      </c>
      <c r="T459" s="10">
        <f>+IF(S459&lt;6,"BAJA",IF(S459&lt;8,"MEDIA","ALTA"))</f>
        <v/>
      </c>
      <c r="U459" s="10" t="inlineStr">
        <is>
          <t>-</t>
        </is>
      </c>
      <c r="V459" s="24" t="n">
        <v>45674</v>
      </c>
      <c r="W459" s="19" t="inlineStr">
        <is>
          <t>N/A</t>
        </is>
      </c>
      <c r="X459" s="10">
        <f>+IFERROR(IF(VLOOKUP(Tabla2[[#This Row],[ID]],'EVALUACION DE RIESGO'!A:A,1,FALSE)=Tabla2[[#This Row],[ID]],"SI","NO"),"NO")</f>
        <v/>
      </c>
    </row>
    <row r="460">
      <c r="A460" s="91" t="inlineStr">
        <is>
          <t>81-GOP</t>
        </is>
      </c>
      <c r="B460" s="10" t="inlineStr">
        <is>
          <t>APOYO</t>
        </is>
      </c>
      <c r="C460" s="10" t="inlineStr">
        <is>
          <t xml:space="preserve">Gestión de Operaciones </t>
        </is>
      </c>
      <c r="D460" s="10" t="inlineStr">
        <is>
          <t>GOP</t>
        </is>
      </c>
      <c r="E460" s="10" t="inlineStr">
        <is>
          <t>Gestión del Front Operativo</t>
        </is>
      </c>
      <c r="F460" s="10" t="inlineStr">
        <is>
          <t xml:space="preserve">Transacciones Operativas </t>
        </is>
      </c>
      <c r="G460" s="10" t="inlineStr">
        <is>
          <t xml:space="preserve">Retiro en cheque </t>
        </is>
      </c>
      <c r="H460" s="10" t="inlineStr">
        <is>
          <t>Solicitud  de retiro en cheque</t>
        </is>
      </c>
      <c r="I460" s="10" t="inlineStr">
        <is>
          <t>Solicitud del socio para que se genere un cheque y se debite de su cuenta</t>
        </is>
      </c>
      <c r="J460" s="10" t="inlineStr">
        <is>
          <t>Jefe del Front Operativo</t>
        </is>
      </c>
      <c r="K460" s="10" t="inlineStr">
        <is>
          <t>SUPERVISOR OPERATIVO</t>
        </is>
      </c>
      <c r="L460" s="10" t="inlineStr">
        <is>
          <t>DOCUMENTOS FISICOS-ARCHIVOS DE LA OFICINA</t>
        </is>
      </c>
      <c r="M460" s="10" t="inlineStr">
        <is>
          <t>DOCUMENTO DE ARCHIVO-FÍSICO</t>
        </is>
      </c>
      <c r="N460" s="10" t="inlineStr">
        <is>
          <t>PRIMARIOS</t>
        </is>
      </c>
      <c r="O460" s="10" t="inlineStr">
        <is>
          <t>COMUNICACIÓN INTERNA</t>
        </is>
      </c>
      <c r="P460" s="10" t="inlineStr">
        <is>
          <t>RESTRINGIDO(3)</t>
        </is>
      </c>
      <c r="Q460" s="10" t="inlineStr">
        <is>
          <t>MEDIA(2)</t>
        </is>
      </c>
      <c r="R460" s="10" t="inlineStr">
        <is>
          <t>BAJA(1)</t>
        </is>
      </c>
      <c r="S460" s="10">
        <f>+(IF(P460="PUBLICA(1)",1,IF(P460="USO INTERNO(2)",2,IF(P460="RESTRINGIDO(3)",3,3))))+(IF(Q460="BAJA(1)",1,IF(Q460="MEDIA(2)",2,IF(Q460="ALTA(3)",3,3))))+(IF(R460="BAJA(1)",1,IF(R460="MEDIA(2)",2,IF(R460="ALTA(3)",3,3))))</f>
        <v/>
      </c>
      <c r="T460" s="10">
        <f>+IF(S460&lt;6,"BAJA",IF(S460&lt;8,"MEDIA","ALTA"))</f>
        <v/>
      </c>
      <c r="U460" s="10" t="inlineStr">
        <is>
          <t>-</t>
        </is>
      </c>
      <c r="V460" s="24" t="n">
        <v>45674</v>
      </c>
      <c r="W460" s="19" t="inlineStr">
        <is>
          <t>N/A</t>
        </is>
      </c>
      <c r="X460" s="10">
        <f>+IFERROR(IF(VLOOKUP(Tabla2[[#This Row],[ID]],'EVALUACION DE RIESGO'!A:A,1,FALSE)=Tabla2[[#This Row],[ID]],"SI","NO"),"NO")</f>
        <v/>
      </c>
    </row>
    <row r="461">
      <c r="A461" s="91" t="inlineStr">
        <is>
          <t>82-GOP</t>
        </is>
      </c>
      <c r="B461" s="10" t="inlineStr">
        <is>
          <t>APOYO</t>
        </is>
      </c>
      <c r="C461" s="10" t="inlineStr">
        <is>
          <t xml:space="preserve">Gestión de Operaciones </t>
        </is>
      </c>
      <c r="D461" s="10" t="inlineStr">
        <is>
          <t>GOP</t>
        </is>
      </c>
      <c r="E461" s="10" t="inlineStr">
        <is>
          <t>Gestión del Front Operativo</t>
        </is>
      </c>
      <c r="F461" s="10" t="inlineStr">
        <is>
          <t xml:space="preserve">Transacciones Operativas </t>
        </is>
      </c>
      <c r="G461" s="10" t="inlineStr">
        <is>
          <t xml:space="preserve">Retiro en cheque </t>
        </is>
      </c>
      <c r="H461" s="10" t="inlineStr">
        <is>
          <t>Formulario de retiro de cheque</t>
        </is>
      </c>
      <c r="I461" s="10" t="inlineStr">
        <is>
          <t>Formulario de retiro de cheque que llena el supervisor operativo</t>
        </is>
      </c>
      <c r="J461" s="10" t="inlineStr">
        <is>
          <t>Jefe del Front Operativo</t>
        </is>
      </c>
      <c r="K461" s="10" t="inlineStr">
        <is>
          <t>SUPERVISOR OPERATIVO</t>
        </is>
      </c>
      <c r="L461" s="10" t="inlineStr">
        <is>
          <t>DOCUMENTOS FISICOS-ARCHIVOS DE LA OFICINA</t>
        </is>
      </c>
      <c r="M461" s="10" t="inlineStr">
        <is>
          <t>DOCUMENTO DE ARCHIVO-FÍSICO</t>
        </is>
      </c>
      <c r="N461" s="10" t="inlineStr">
        <is>
          <t>PRIMARIOS</t>
        </is>
      </c>
      <c r="O461" s="10" t="inlineStr">
        <is>
          <t>DOCUMENTOS HABILITANTES</t>
        </is>
      </c>
      <c r="P461" s="10" t="inlineStr">
        <is>
          <t>RESTRINGIDO(3)</t>
        </is>
      </c>
      <c r="Q461" s="10" t="inlineStr">
        <is>
          <t>MEDIA(2)</t>
        </is>
      </c>
      <c r="R461" s="10" t="inlineStr">
        <is>
          <t>MEDIA(2)</t>
        </is>
      </c>
      <c r="S461" s="10">
        <f>+(IF(P461="PUBLICA(1)",1,IF(P461="USO INTERNO(2)",2,IF(P461="RESTRINGIDO(3)",3,3))))+(IF(Q461="BAJA(1)",1,IF(Q461="MEDIA(2)",2,IF(Q461="ALTA(3)",3,3))))+(IF(R461="BAJA(1)",1,IF(R461="MEDIA(2)",2,IF(R461="ALTA(3)",3,3))))</f>
        <v/>
      </c>
      <c r="T461" s="10">
        <f>+IF(S461&lt;6,"BAJA",IF(S461&lt;8,"MEDIA","ALTA"))</f>
        <v/>
      </c>
      <c r="U461" s="10" t="inlineStr">
        <is>
          <t>-</t>
        </is>
      </c>
      <c r="V461" s="24" t="n">
        <v>45674</v>
      </c>
      <c r="W461" s="19" t="inlineStr">
        <is>
          <t>N/A</t>
        </is>
      </c>
      <c r="X461" s="10">
        <f>+IFERROR(IF(VLOOKUP(Tabla2[[#This Row],[ID]],'EVALUACION DE RIESGO'!A:A,1,FALSE)=Tabla2[[#This Row],[ID]],"SI","NO"),"NO")</f>
        <v/>
      </c>
    </row>
    <row r="462">
      <c r="A462" s="91" t="inlineStr">
        <is>
          <t>83-GOP</t>
        </is>
      </c>
      <c r="B462" s="10" t="inlineStr">
        <is>
          <t>APOYO</t>
        </is>
      </c>
      <c r="C462" s="10" t="inlineStr">
        <is>
          <t xml:space="preserve">Gestión de Operaciones </t>
        </is>
      </c>
      <c r="D462" s="10" t="inlineStr">
        <is>
          <t>GOP</t>
        </is>
      </c>
      <c r="E462" s="10" t="inlineStr">
        <is>
          <t>Gestión del Front Operativo</t>
        </is>
      </c>
      <c r="F462" s="10" t="inlineStr">
        <is>
          <t xml:space="preserve">Transacciones Operativas </t>
        </is>
      </c>
      <c r="G462" s="10" t="inlineStr">
        <is>
          <t xml:space="preserve">Retiro en cheque </t>
        </is>
      </c>
      <c r="H462" s="10" t="inlineStr">
        <is>
          <t>Solicitud de emisión de cheques</t>
        </is>
      </c>
      <c r="I462" s="10" t="inlineStr">
        <is>
          <t>Solicitud de emisión de cheques mediante el débito de la cuenta de ahorro</t>
        </is>
      </c>
      <c r="J462" s="10" t="inlineStr">
        <is>
          <t>Jefe del Front Operativo</t>
        </is>
      </c>
      <c r="K462" s="10" t="inlineStr">
        <is>
          <t>SUPERVISOR OPERATIVO</t>
        </is>
      </c>
      <c r="L462" s="10" t="inlineStr">
        <is>
          <t>DOCUMENTOS FISICOS-ARCHIVOS DE LA OFICINA</t>
        </is>
      </c>
      <c r="M462" s="10" t="inlineStr">
        <is>
          <t>DOCUMENTO DE ARCHIVO-FÍSICO</t>
        </is>
      </c>
      <c r="N462" s="10" t="inlineStr">
        <is>
          <t>PRIMARIOS</t>
        </is>
      </c>
      <c r="O462" s="10" t="inlineStr">
        <is>
          <t>COMUNICACIÓN INTERNA</t>
        </is>
      </c>
      <c r="P462" s="10" t="inlineStr">
        <is>
          <t>USO INTERNO(2)</t>
        </is>
      </c>
      <c r="Q462" s="10" t="inlineStr">
        <is>
          <t>BAJA(1)</t>
        </is>
      </c>
      <c r="R462" s="10" t="inlineStr">
        <is>
          <t>MEDIA(2)</t>
        </is>
      </c>
      <c r="S462" s="10">
        <f>+(IF(P462="PUBLICA(1)",1,IF(P462="USO INTERNO(2)",2,IF(P462="RESTRINGIDO(3)",3,3))))+(IF(Q462="BAJA(1)",1,IF(Q462="MEDIA(2)",2,IF(Q462="ALTA(3)",3,3))))+(IF(R462="BAJA(1)",1,IF(R462="MEDIA(2)",2,IF(R462="ALTA(3)",3,3))))</f>
        <v/>
      </c>
      <c r="T462" s="10">
        <f>+IF(S462&lt;6,"BAJA",IF(S462&lt;8,"MEDIA","ALTA"))</f>
        <v/>
      </c>
      <c r="U462" s="10" t="inlineStr">
        <is>
          <t>-</t>
        </is>
      </c>
      <c r="V462" s="24" t="n">
        <v>45674</v>
      </c>
      <c r="W462" s="19" t="inlineStr">
        <is>
          <t>N/A</t>
        </is>
      </c>
      <c r="X462" s="10">
        <f>+IFERROR(IF(VLOOKUP(Tabla2[[#This Row],[ID]],'EVALUACION DE RIESGO'!A:A,1,FALSE)=Tabla2[[#This Row],[ID]],"SI","NO"),"NO")</f>
        <v/>
      </c>
    </row>
    <row r="463">
      <c r="A463" s="91" t="inlineStr">
        <is>
          <t>84-GOP</t>
        </is>
      </c>
      <c r="B463" s="10" t="inlineStr">
        <is>
          <t>APOYO</t>
        </is>
      </c>
      <c r="C463" s="10" t="inlineStr">
        <is>
          <t xml:space="preserve">Gestión de Operaciones </t>
        </is>
      </c>
      <c r="D463" s="10" t="inlineStr">
        <is>
          <t>GOP</t>
        </is>
      </c>
      <c r="E463" s="10" t="inlineStr">
        <is>
          <t>Gestión del Front Operativo</t>
        </is>
      </c>
      <c r="F463" s="10" t="inlineStr">
        <is>
          <t xml:space="preserve">Transacciones Operativas </t>
        </is>
      </c>
      <c r="G463" s="10" t="inlineStr">
        <is>
          <t xml:space="preserve">Retiro en cheque </t>
        </is>
      </c>
      <c r="H463" s="10" t="inlineStr">
        <is>
          <t>Documentación de excepción de huella dactilar / Retiro</t>
        </is>
      </c>
      <c r="I463" s="10" t="inlineStr">
        <is>
          <t>Autorización que se realiza en el sistema</t>
        </is>
      </c>
      <c r="J463" s="10" t="inlineStr">
        <is>
          <t>Jefe del Front Operativo</t>
        </is>
      </c>
      <c r="K463" s="10" t="inlineStr">
        <is>
          <t>GERENTE DE TI</t>
        </is>
      </c>
      <c r="L463" s="10" t="inlineStr">
        <is>
          <t>UBICACIÓN DIGITAL-CORE FINANCIERO</t>
        </is>
      </c>
      <c r="M463" s="10" t="inlineStr">
        <is>
          <t>DISCOS DUROS, SERVIDORES, DISCOS O MEDIOS PORTÁTILES, CINTAS O MEDIOS DE VIDEO Y AUDIO, ETC.</t>
        </is>
      </c>
      <c r="N463" s="10" t="inlineStr">
        <is>
          <t>PRIMARIOS</t>
        </is>
      </c>
      <c r="O463" s="10" t="inlineStr">
        <is>
          <t>DOCUMENTOS HABILITANTES</t>
        </is>
      </c>
      <c r="P463" s="10" t="inlineStr">
        <is>
          <t>USO INTERNO(2)</t>
        </is>
      </c>
      <c r="Q463" s="10" t="inlineStr">
        <is>
          <t>BAJA(1)</t>
        </is>
      </c>
      <c r="R463" s="10" t="inlineStr">
        <is>
          <t>BAJA(1)</t>
        </is>
      </c>
      <c r="S463" s="10">
        <f>+(IF(P463="PUBLICA(1)",1,IF(P463="USO INTERNO(2)",2,IF(P463="RESTRINGIDO(3)",3,3))))+(IF(Q463="BAJA(1)",1,IF(Q463="MEDIA(2)",2,IF(Q463="ALTA(3)",3,3))))+(IF(R463="BAJA(1)",1,IF(R463="MEDIA(2)",2,IF(R463="ALTA(3)",3,3))))</f>
        <v/>
      </c>
      <c r="T463" s="10">
        <f>+IF(S463&lt;6,"BAJA",IF(S463&lt;8,"MEDIA","ALTA"))</f>
        <v/>
      </c>
      <c r="U463" s="10" t="inlineStr">
        <is>
          <t>-</t>
        </is>
      </c>
      <c r="V463" s="24" t="n">
        <v>45674</v>
      </c>
      <c r="W463" s="19" t="inlineStr">
        <is>
          <t>N/A</t>
        </is>
      </c>
      <c r="X463" s="10">
        <f>+IFERROR(IF(VLOOKUP(Tabla2[[#This Row],[ID]],'EVALUACION DE RIESGO'!A:A,1,FALSE)=Tabla2[[#This Row],[ID]],"SI","NO"),"NO")</f>
        <v/>
      </c>
    </row>
    <row r="464">
      <c r="A464" s="91" t="inlineStr">
        <is>
          <t>85-GOP</t>
        </is>
      </c>
      <c r="B464" s="10" t="inlineStr">
        <is>
          <t>APOYO</t>
        </is>
      </c>
      <c r="C464" s="10" t="inlineStr">
        <is>
          <t xml:space="preserve">Gestión de Operaciones </t>
        </is>
      </c>
      <c r="D464" s="10" t="inlineStr">
        <is>
          <t>GOP</t>
        </is>
      </c>
      <c r="E464" s="10" t="inlineStr">
        <is>
          <t>Gestión del Front Operativo</t>
        </is>
      </c>
      <c r="F464" s="10" t="inlineStr">
        <is>
          <t xml:space="preserve">Transacciones Operativas </t>
        </is>
      </c>
      <c r="G464" s="10" t="inlineStr">
        <is>
          <t xml:space="preserve">Retiro en cheque </t>
        </is>
      </c>
      <c r="H464" s="10" t="inlineStr">
        <is>
          <t>Registro de excepción de transferencias y emisión de cheques / Retiro</t>
        </is>
      </c>
      <c r="I464" s="10" t="inlineStr">
        <is>
          <t xml:space="preserve">Documento donde se coloca el monto y el motivo por el cual se excepciona la huella </t>
        </is>
      </c>
      <c r="J464" s="10" t="inlineStr">
        <is>
          <t>Jefe del Front Operativo</t>
        </is>
      </c>
      <c r="K464" s="10" t="inlineStr">
        <is>
          <t>SUPERVISOR OPERATIVO</t>
        </is>
      </c>
      <c r="L464" s="10" t="inlineStr">
        <is>
          <t>DOCUMENTOS FISICOS-ARCHIVOS DE LA OFICINA</t>
        </is>
      </c>
      <c r="M464" s="10" t="inlineStr">
        <is>
          <t>DOCUMENTO DE ARCHIVO-FÍSICO</t>
        </is>
      </c>
      <c r="N464" s="10" t="inlineStr">
        <is>
          <t>PRIMARIOS</t>
        </is>
      </c>
      <c r="O464" s="10" t="inlineStr">
        <is>
          <t>DOCUMENTOS HABILITANTES</t>
        </is>
      </c>
      <c r="P464" s="10" t="inlineStr">
        <is>
          <t>USO INTERNO(2)</t>
        </is>
      </c>
      <c r="Q464" s="10" t="inlineStr">
        <is>
          <t>BAJA(1)</t>
        </is>
      </c>
      <c r="R464" s="10" t="inlineStr">
        <is>
          <t>BAJA(1)</t>
        </is>
      </c>
      <c r="S464" s="10">
        <f>+(IF(P464="PUBLICA(1)",1,IF(P464="USO INTERNO(2)",2,IF(P464="RESTRINGIDO(3)",3,3))))+(IF(Q464="BAJA(1)",1,IF(Q464="MEDIA(2)",2,IF(Q464="ALTA(3)",3,3))))+(IF(R464="BAJA(1)",1,IF(R464="MEDIA(2)",2,IF(R464="ALTA(3)",3,3))))</f>
        <v/>
      </c>
      <c r="T464" s="10">
        <f>+IF(S464&lt;6,"BAJA",IF(S464&lt;8,"MEDIA","ALTA"))</f>
        <v/>
      </c>
      <c r="U464" s="10" t="inlineStr">
        <is>
          <t>-</t>
        </is>
      </c>
      <c r="V464" s="24" t="n">
        <v>45674</v>
      </c>
      <c r="W464" s="19" t="inlineStr">
        <is>
          <t>N/A</t>
        </is>
      </c>
      <c r="X464" s="10">
        <f>+IFERROR(IF(VLOOKUP(Tabla2[[#This Row],[ID]],'EVALUACION DE RIESGO'!A:A,1,FALSE)=Tabla2[[#This Row],[ID]],"SI","NO"),"NO")</f>
        <v/>
      </c>
    </row>
    <row r="465" ht="30.5" customHeight="1" s="98">
      <c r="A465" s="91" t="inlineStr">
        <is>
          <t>86-GOP</t>
        </is>
      </c>
      <c r="B465" s="10" t="inlineStr">
        <is>
          <t>APOYO</t>
        </is>
      </c>
      <c r="C465" s="10" t="inlineStr">
        <is>
          <t xml:space="preserve">Gestión de Operaciones </t>
        </is>
      </c>
      <c r="D465" s="10" t="inlineStr">
        <is>
          <t>GOP</t>
        </is>
      </c>
      <c r="E465" s="10" t="inlineStr">
        <is>
          <t>Gestión del Front Operativo</t>
        </is>
      </c>
      <c r="F465" s="10" t="inlineStr">
        <is>
          <t xml:space="preserve">Transacciones Operativas </t>
        </is>
      </c>
      <c r="G465" s="10" t="inlineStr">
        <is>
          <t xml:space="preserve">Retiro en cheque </t>
        </is>
      </c>
      <c r="H465" s="17" t="inlineStr">
        <is>
          <t>Cheques / Retiro</t>
        </is>
      </c>
      <c r="I465" s="17" t="inlineStr">
        <is>
          <t xml:space="preserve"> Documento contable que entrega el supervisor operativo al socio luego de la autorización del retiro por las áreas correspondientes</t>
        </is>
      </c>
      <c r="J465" s="10" t="inlineStr">
        <is>
          <t>Jefe del Front Operativo</t>
        </is>
      </c>
      <c r="K465" s="10" t="inlineStr">
        <is>
          <t>SUPERVISOR OPERATIVO</t>
        </is>
      </c>
      <c r="L465" s="10" t="inlineStr">
        <is>
          <t>DOCUMENTOS FISICOS-ARCHIVOS DE LA OFICINA</t>
        </is>
      </c>
      <c r="M465" s="10" t="inlineStr">
        <is>
          <t>DOCUMENTO DE ARCHIVO-FÍSICO</t>
        </is>
      </c>
      <c r="N465" s="10" t="inlineStr">
        <is>
          <t>PRIMARIOS</t>
        </is>
      </c>
      <c r="O465" s="10" t="inlineStr">
        <is>
          <t>DOCUMENTOS HABILITANTES</t>
        </is>
      </c>
      <c r="P465" s="10" t="inlineStr">
        <is>
          <t>RESTRINGIDO(3)</t>
        </is>
      </c>
      <c r="Q465" s="10" t="inlineStr">
        <is>
          <t>ALTA(3)</t>
        </is>
      </c>
      <c r="R465" s="10" t="inlineStr">
        <is>
          <t>MEDIA(2)</t>
        </is>
      </c>
      <c r="S465" s="10">
        <f>+(IF(P465="PUBLICA(1)",1,IF(P465="USO INTERNO(2)",2,IF(P465="RESTRINGIDO(3)",3,3))))+(IF(Q465="BAJA(1)",1,IF(Q465="MEDIA(2)",2,IF(Q465="ALTA(3)",3,3))))+(IF(R465="BAJA(1)",1,IF(R465="MEDIA(2)",2,IF(R465="ALTA(3)",3,3))))</f>
        <v/>
      </c>
      <c r="T465" s="10">
        <f>+IF(S465&lt;6,"BAJA",IF(S465&lt;8,"MEDIA","ALTA"))</f>
        <v/>
      </c>
      <c r="U465" s="10" t="inlineStr">
        <is>
          <t>-</t>
        </is>
      </c>
      <c r="V465" s="24" t="n">
        <v>45674</v>
      </c>
      <c r="W465" s="19" t="inlineStr">
        <is>
          <t>N/A</t>
        </is>
      </c>
      <c r="X465" s="10">
        <f>+IFERROR(IF(VLOOKUP(Tabla2[[#This Row],[ID]],'EVALUACION DE RIESGO'!A:A,1,FALSE)=Tabla2[[#This Row],[ID]],"SI","NO"),"NO")</f>
        <v/>
      </c>
    </row>
    <row r="466">
      <c r="A466" s="91" t="inlineStr">
        <is>
          <t>87-GOP</t>
        </is>
      </c>
      <c r="B466" s="10" t="inlineStr">
        <is>
          <t>APOYO</t>
        </is>
      </c>
      <c r="C466" s="10" t="inlineStr">
        <is>
          <t xml:space="preserve">Gestión de Operaciones </t>
        </is>
      </c>
      <c r="D466" s="10" t="inlineStr">
        <is>
          <t>GOP</t>
        </is>
      </c>
      <c r="E466" s="10" t="inlineStr">
        <is>
          <t>Gestión del Front Operativo</t>
        </is>
      </c>
      <c r="F466" s="10" t="inlineStr">
        <is>
          <t xml:space="preserve">Transacciones Operativas </t>
        </is>
      </c>
      <c r="G466" s="10" t="inlineStr">
        <is>
          <t xml:space="preserve">Cámara de compensación de cheques </t>
        </is>
      </c>
      <c r="H466" s="10" t="inlineStr">
        <is>
          <t>Cheques compensados</t>
        </is>
      </c>
      <c r="I466" s="10" t="inlineStr">
        <is>
          <t xml:space="preserve">Detalle de cheques compensados obtenidos del sistema Financoop, detalla toda la información del cheque y valores </t>
        </is>
      </c>
      <c r="J466" s="10" t="inlineStr">
        <is>
          <t>Jefe del Front Operativo</t>
        </is>
      </c>
      <c r="K466" s="10" t="inlineStr">
        <is>
          <t>Supervisor Operativo</t>
        </is>
      </c>
      <c r="L466" s="10" t="inlineStr">
        <is>
          <t>DOCUMENTOS FISICOS-ARCHIVOS DE LA OFICINA</t>
        </is>
      </c>
      <c r="M466" s="10" t="inlineStr">
        <is>
          <t>DOCUMENTO DE ARCHIVO-FÍSICO</t>
        </is>
      </c>
      <c r="N466" s="10" t="inlineStr">
        <is>
          <t>PRIMARIOS</t>
        </is>
      </c>
      <c r="O466" s="10" t="inlineStr">
        <is>
          <t>COMUNICACIÓN INTERNA</t>
        </is>
      </c>
      <c r="P466" s="10" t="inlineStr">
        <is>
          <t>RESTRINGIDO(3)</t>
        </is>
      </c>
      <c r="Q466" s="10" t="inlineStr">
        <is>
          <t>MEDIA(2)</t>
        </is>
      </c>
      <c r="R466" s="10" t="inlineStr">
        <is>
          <t>MEDIA(2)</t>
        </is>
      </c>
      <c r="S466" s="10">
        <f>+(IF(P466="PUBLICA(1)",1,IF(P466="USO INTERNO(2)",2,IF(P466="RESTRINGIDO(3)",3,3))))+(IF(Q466="BAJA(1)",1,IF(Q466="MEDIA(2)",2,IF(Q466="ALTA(3)",3,3))))+(IF(R466="BAJA(1)",1,IF(R466="MEDIA(2)",2,IF(R466="ALTA(3)",3,3))))</f>
        <v/>
      </c>
      <c r="T466" s="10">
        <f>+IF(S466&lt;6,"BAJA",IF(S466&lt;8,"MEDIA","ALTA"))</f>
        <v/>
      </c>
      <c r="U466" s="10" t="inlineStr">
        <is>
          <t>-</t>
        </is>
      </c>
      <c r="V466" s="24" t="n">
        <v>45674</v>
      </c>
      <c r="W466" s="19" t="inlineStr">
        <is>
          <t>N/A</t>
        </is>
      </c>
      <c r="X466" s="10">
        <f>+IFERROR(IF(VLOOKUP(Tabla2[[#This Row],[ID]],'EVALUACION DE RIESGO'!A:A,1,FALSE)=Tabla2[[#This Row],[ID]],"SI","NO"),"NO")</f>
        <v/>
      </c>
    </row>
    <row r="467">
      <c r="A467" s="91" t="inlineStr">
        <is>
          <t>88-GOP</t>
        </is>
      </c>
      <c r="B467" s="10" t="inlineStr">
        <is>
          <t>APOYO</t>
        </is>
      </c>
      <c r="C467" s="10" t="inlineStr">
        <is>
          <t xml:space="preserve">Gestión de Operaciones </t>
        </is>
      </c>
      <c r="D467" s="10" t="inlineStr">
        <is>
          <t>GOP</t>
        </is>
      </c>
      <c r="E467" s="10" t="inlineStr">
        <is>
          <t>Gestión del Front Operativo</t>
        </is>
      </c>
      <c r="F467" s="10" t="inlineStr">
        <is>
          <t xml:space="preserve">Transacciones Operativas </t>
        </is>
      </c>
      <c r="G467" s="10" t="inlineStr">
        <is>
          <t>Arqueos de cajas y bóvedas</t>
        </is>
      </c>
      <c r="H467" s="10" t="inlineStr">
        <is>
          <t>Control de ingreso al área de Cajas.</t>
        </is>
      </c>
      <c r="I467" s="10" t="inlineStr">
        <is>
          <t>Bitácora de ingreso al área de cajas que contiene actividad, nombres, fecha y hora, firma</t>
        </is>
      </c>
      <c r="J467" s="10" t="inlineStr">
        <is>
          <t>Jefe del Front Operativo</t>
        </is>
      </c>
      <c r="K467" s="10" t="inlineStr">
        <is>
          <t>Supervisor Operativo</t>
        </is>
      </c>
      <c r="L467" s="10" t="inlineStr">
        <is>
          <t>UBICACIÓN DIGITAL-EQUIPO DEL CUSTODIO</t>
        </is>
      </c>
      <c r="M467" s="10" t="inlineStr">
        <is>
          <t>DISCOS DUROS, SERVIDORES, DISCOS O MEDIOS PORTÁTILES, CINTAS O MEDIOS DE VIDEO Y AUDIO, ETC.</t>
        </is>
      </c>
      <c r="N467" s="10" t="inlineStr">
        <is>
          <t>PRIMARIOS</t>
        </is>
      </c>
      <c r="O467" s="10" t="inlineStr">
        <is>
          <t>COMUNICACIÓN INTERNA</t>
        </is>
      </c>
      <c r="P467" s="10" t="inlineStr">
        <is>
          <t>USO INTERNO(2)</t>
        </is>
      </c>
      <c r="Q467" s="10" t="inlineStr">
        <is>
          <t>BAJA(1)</t>
        </is>
      </c>
      <c r="R467" s="10" t="inlineStr">
        <is>
          <t>MEDIA(2)</t>
        </is>
      </c>
      <c r="S467" s="10">
        <f>+(IF(P467="PUBLICA(1)",1,IF(P467="USO INTERNO(2)",2,IF(P467="RESTRINGIDO(3)",3,3))))+(IF(Q467="BAJA(1)",1,IF(Q467="MEDIA(2)",2,IF(Q467="ALTA(3)",3,3))))+(IF(R467="BAJA(1)",1,IF(R467="MEDIA(2)",2,IF(R467="ALTA(3)",3,3))))</f>
        <v/>
      </c>
      <c r="T467" s="10">
        <f>+IF(S467&lt;6,"BAJA",IF(S467&lt;8,"MEDIA","ALTA"))</f>
        <v/>
      </c>
      <c r="U467" s="10" t="inlineStr">
        <is>
          <t>-</t>
        </is>
      </c>
      <c r="V467" s="24" t="n">
        <v>45674</v>
      </c>
      <c r="W467" s="19" t="inlineStr">
        <is>
          <t>N/A</t>
        </is>
      </c>
      <c r="X467" s="10">
        <f>+IFERROR(IF(VLOOKUP(Tabla2[[#This Row],[ID]],'EVALUACION DE RIESGO'!A:A,1,FALSE)=Tabla2[[#This Row],[ID]],"SI","NO"),"NO")</f>
        <v/>
      </c>
    </row>
    <row r="468">
      <c r="A468" s="91" t="inlineStr">
        <is>
          <t>89-GOP</t>
        </is>
      </c>
      <c r="B468" s="10" t="inlineStr">
        <is>
          <t>APOYO</t>
        </is>
      </c>
      <c r="C468" s="10" t="inlineStr">
        <is>
          <t xml:space="preserve">Gestión de Operaciones </t>
        </is>
      </c>
      <c r="D468" s="10" t="inlineStr">
        <is>
          <t>GOP</t>
        </is>
      </c>
      <c r="E468" s="10" t="inlineStr">
        <is>
          <t>Gestión del Front Operativo</t>
        </is>
      </c>
      <c r="F468" s="10" t="inlineStr">
        <is>
          <t xml:space="preserve">Transacciones Operativas </t>
        </is>
      </c>
      <c r="G468" s="10" t="inlineStr">
        <is>
          <t>Arqueos de cajas y bóvedas</t>
        </is>
      </c>
      <c r="H468" s="10" t="inlineStr">
        <is>
          <t>Reporte de arqueo de caja</t>
        </is>
      </c>
      <c r="I468" s="10" t="inlineStr">
        <is>
          <t>Reporte automático que se obtiene del sistema FIT, se imprime y se firma por el supervisor operativo y cajero</t>
        </is>
      </c>
      <c r="J468" s="10" t="inlineStr">
        <is>
          <t>Jefe del Front Operativo</t>
        </is>
      </c>
      <c r="K468" s="10" t="inlineStr">
        <is>
          <t>Supervisor Operativo</t>
        </is>
      </c>
      <c r="L468" s="10" t="inlineStr">
        <is>
          <t>DOCUMENTOS FISICOS-ARCHIVOS DE LA OFICINA</t>
        </is>
      </c>
      <c r="M468" s="10" t="inlineStr">
        <is>
          <t>DOCUMENTO DE ARCHIVO-FÍSICO</t>
        </is>
      </c>
      <c r="N468" s="10" t="inlineStr">
        <is>
          <t>PRIMARIOS</t>
        </is>
      </c>
      <c r="O468" s="10" t="inlineStr">
        <is>
          <t>DOCUMENTOS TÉCNICOS</t>
        </is>
      </c>
      <c r="P468" s="10" t="inlineStr">
        <is>
          <t>RESTRINGIDO(3)</t>
        </is>
      </c>
      <c r="Q468" s="10" t="inlineStr">
        <is>
          <t>MEDIA(2)</t>
        </is>
      </c>
      <c r="R468" s="10" t="inlineStr">
        <is>
          <t>MEDIA(2)</t>
        </is>
      </c>
      <c r="S468" s="10">
        <f>+(IF(P468="PUBLICA(1)",1,IF(P468="USO INTERNO(2)",2,IF(P468="RESTRINGIDO(3)",3,3))))+(IF(Q468="BAJA(1)",1,IF(Q468="MEDIA(2)",2,IF(Q468="ALTA(3)",3,3))))+(IF(R468="BAJA(1)",1,IF(R468="MEDIA(2)",2,IF(R468="ALTA(3)",3,3))))</f>
        <v/>
      </c>
      <c r="T468" s="10">
        <f>+IF(S468&lt;6,"BAJA",IF(S468&lt;8,"MEDIA","ALTA"))</f>
        <v/>
      </c>
      <c r="U468" s="10" t="inlineStr">
        <is>
          <t>-</t>
        </is>
      </c>
      <c r="V468" s="24" t="n">
        <v>45674</v>
      </c>
      <c r="W468" s="19" t="inlineStr">
        <is>
          <t>N/A</t>
        </is>
      </c>
      <c r="X468" s="10">
        <f>+IFERROR(IF(VLOOKUP(Tabla2[[#This Row],[ID]],'EVALUACION DE RIESGO'!A:A,1,FALSE)=Tabla2[[#This Row],[ID]],"SI","NO"),"NO")</f>
        <v/>
      </c>
    </row>
    <row r="469">
      <c r="A469" s="91" t="inlineStr">
        <is>
          <t>90-GOP</t>
        </is>
      </c>
      <c r="B469" s="10" t="inlineStr">
        <is>
          <t>APOYO</t>
        </is>
      </c>
      <c r="C469" s="10" t="inlineStr">
        <is>
          <t xml:space="preserve">Gestión de Operaciones </t>
        </is>
      </c>
      <c r="D469" s="10" t="inlineStr">
        <is>
          <t>GOP</t>
        </is>
      </c>
      <c r="E469" s="10" t="inlineStr">
        <is>
          <t>Gestión del Front Operativo</t>
        </is>
      </c>
      <c r="F469" s="10" t="inlineStr">
        <is>
          <t xml:space="preserve">Transacciones Operativas </t>
        </is>
      </c>
      <c r="G469" s="10" t="inlineStr">
        <is>
          <t>Arqueos de cajas y bóvedas</t>
        </is>
      </c>
      <c r="H469" s="10" t="inlineStr">
        <is>
          <t>Matriz de registro de Arqueo de Valores de Bóveda</t>
        </is>
      </c>
      <c r="I469" s="10" t="inlineStr">
        <is>
          <t>Registro interno para dar seguimiento de arqueos realizados que contiene fechas, oficina, registro de cumplimiento</t>
        </is>
      </c>
      <c r="J469" s="10" t="inlineStr">
        <is>
          <t>Jefe del Front Operativo</t>
        </is>
      </c>
      <c r="K469" s="10" t="inlineStr">
        <is>
          <t>Supervisor Operativo</t>
        </is>
      </c>
      <c r="L469" s="10" t="inlineStr">
        <is>
          <t>UBICACIÓN DIGITAL-EQUIPO DEL CUSTODIO</t>
        </is>
      </c>
      <c r="M469" s="10" t="inlineStr">
        <is>
          <t>DISCOS DUROS, SERVIDORES, DISCOS O MEDIOS PORTÁTILES, CINTAS O MEDIOS DE VIDEO Y AUDIO, ETC.</t>
        </is>
      </c>
      <c r="N469" s="10" t="inlineStr">
        <is>
          <t>PRIMARIOS</t>
        </is>
      </c>
      <c r="O469" s="10" t="inlineStr">
        <is>
          <t>DOCUMENTOS TÉCNICOS</t>
        </is>
      </c>
      <c r="P469" s="10" t="inlineStr">
        <is>
          <t>USO INTERNO(2)</t>
        </is>
      </c>
      <c r="Q469" s="10" t="inlineStr">
        <is>
          <t>MEDIA(2)</t>
        </is>
      </c>
      <c r="R469" s="10" t="inlineStr">
        <is>
          <t>MEDIA(2)</t>
        </is>
      </c>
      <c r="S469" s="10">
        <f>+(IF(P469="PUBLICA(1)",1,IF(P469="USO INTERNO(2)",2,IF(P469="RESTRINGIDO(3)",3,3))))+(IF(Q469="BAJA(1)",1,IF(Q469="MEDIA(2)",2,IF(Q469="ALTA(3)",3,3))))+(IF(R469="BAJA(1)",1,IF(R469="MEDIA(2)",2,IF(R469="ALTA(3)",3,3))))</f>
        <v/>
      </c>
      <c r="T469" s="10">
        <f>+IF(S469&lt;6,"BAJA",IF(S469&lt;8,"MEDIA","ALTA"))</f>
        <v/>
      </c>
      <c r="U469" s="10" t="inlineStr">
        <is>
          <t>-</t>
        </is>
      </c>
      <c r="V469" s="24" t="n">
        <v>45674</v>
      </c>
      <c r="W469" s="19" t="inlineStr">
        <is>
          <t>N/A</t>
        </is>
      </c>
      <c r="X469" s="10">
        <f>+IFERROR(IF(VLOOKUP(Tabla2[[#This Row],[ID]],'EVALUACION DE RIESGO'!A:A,1,FALSE)=Tabla2[[#This Row],[ID]],"SI","NO"),"NO")</f>
        <v/>
      </c>
    </row>
    <row r="470">
      <c r="A470" s="91" t="inlineStr">
        <is>
          <t>91-GOP</t>
        </is>
      </c>
      <c r="B470" s="10" t="inlineStr">
        <is>
          <t>APOYO</t>
        </is>
      </c>
      <c r="C470" s="10" t="inlineStr">
        <is>
          <t xml:space="preserve">Gestión de Operaciones </t>
        </is>
      </c>
      <c r="D470" s="10" t="inlineStr">
        <is>
          <t>GOP</t>
        </is>
      </c>
      <c r="E470" s="10" t="inlineStr">
        <is>
          <t>Gestión del Front Operativo</t>
        </is>
      </c>
      <c r="F470" s="10" t="inlineStr">
        <is>
          <t xml:space="preserve">Transacciones Operativas </t>
        </is>
      </c>
      <c r="G470" s="10" t="inlineStr">
        <is>
          <t xml:space="preserve">Reverso de transacciones en cajas </t>
        </is>
      </c>
      <c r="H470" s="10" t="inlineStr">
        <is>
          <t>Formulario de reversos en cajas</t>
        </is>
      </c>
      <c r="I470" s="10" t="inlineStr">
        <is>
          <t>Formulario e registro que lleva el supervisor operativo que contiene fecha, tipo de transacción, cuenta reversada, valor de reverso, motivo, solicitado por, firma de autorización</t>
        </is>
      </c>
      <c r="J470" s="10" t="inlineStr">
        <is>
          <t>Jefe del Front Operativo</t>
        </is>
      </c>
      <c r="K470" s="10" t="inlineStr">
        <is>
          <t>Supervisor Operativo</t>
        </is>
      </c>
      <c r="L470" s="10" t="inlineStr">
        <is>
          <t>DOCUMENTOS FISICOS-ARCHIVOS DE LA OFICINA</t>
        </is>
      </c>
      <c r="M470" s="10" t="inlineStr">
        <is>
          <t>DOCUMENTO DE ARCHIVO-FÍSICO</t>
        </is>
      </c>
      <c r="N470" s="10" t="inlineStr">
        <is>
          <t>PRIMARIOS</t>
        </is>
      </c>
      <c r="O470" s="10" t="inlineStr">
        <is>
          <t>COMUNICACIÓN INTERNA</t>
        </is>
      </c>
      <c r="P470" s="10" t="inlineStr">
        <is>
          <t>RESTRINGIDO(3)</t>
        </is>
      </c>
      <c r="Q470" s="10" t="inlineStr">
        <is>
          <t>BAJA(1)</t>
        </is>
      </c>
      <c r="R470" s="10" t="inlineStr">
        <is>
          <t>BAJA(1)</t>
        </is>
      </c>
      <c r="S470" s="10">
        <f>+(IF(P470="PUBLICA(1)",1,IF(P470="USO INTERNO(2)",2,IF(P470="RESTRINGIDO(3)",3,3))))+(IF(Q470="BAJA(1)",1,IF(Q470="MEDIA(2)",2,IF(Q470="ALTA(3)",3,3))))+(IF(R470="BAJA(1)",1,IF(R470="MEDIA(2)",2,IF(R470="ALTA(3)",3,3))))</f>
        <v/>
      </c>
      <c r="T470" s="10">
        <f>+IF(S470&lt;6,"BAJA",IF(S470&lt;8,"MEDIA","ALTA"))</f>
        <v/>
      </c>
      <c r="U470" s="10" t="inlineStr">
        <is>
          <t>-</t>
        </is>
      </c>
      <c r="V470" s="24" t="n">
        <v>45674</v>
      </c>
      <c r="W470" s="19" t="inlineStr">
        <is>
          <t>N/A</t>
        </is>
      </c>
      <c r="X470" s="10">
        <f>+IFERROR(IF(VLOOKUP(Tabla2[[#This Row],[ID]],'EVALUACION DE RIESGO'!A:A,1,FALSE)=Tabla2[[#This Row],[ID]],"SI","NO"),"NO")</f>
        <v/>
      </c>
    </row>
    <row r="471">
      <c r="A471" s="91" t="inlineStr">
        <is>
          <t>92-GOP</t>
        </is>
      </c>
      <c r="B471" s="10" t="inlineStr">
        <is>
          <t>APOYO</t>
        </is>
      </c>
      <c r="C471" s="10" t="inlineStr">
        <is>
          <t xml:space="preserve">Gestión de Operaciones </t>
        </is>
      </c>
      <c r="D471" s="10" t="inlineStr">
        <is>
          <t>GOP</t>
        </is>
      </c>
      <c r="E471" s="10" t="inlineStr">
        <is>
          <t>Gestión del Front Operativo</t>
        </is>
      </c>
      <c r="F471" s="10" t="inlineStr">
        <is>
          <t xml:space="preserve">Transacciones Operativas </t>
        </is>
      </c>
      <c r="G471" s="10" t="inlineStr">
        <is>
          <t>Retención de especies para verificación</t>
        </is>
      </c>
      <c r="H471" s="10" t="inlineStr">
        <is>
          <t>Formulario de especies monetarias falsificadas</t>
        </is>
      </c>
      <c r="I471" s="10" t="inlineStr">
        <is>
          <t>Formulario que exporta el sistema fit que contiene datos generales del tenedor información de la cooperativa, firmas de responsabilidad</t>
        </is>
      </c>
      <c r="J471" s="10" t="inlineStr">
        <is>
          <t>Jefe del Front Operativo</t>
        </is>
      </c>
      <c r="K471" s="10" t="inlineStr">
        <is>
          <t>Supervisor Operativo</t>
        </is>
      </c>
      <c r="L471" s="10" t="inlineStr">
        <is>
          <t>UBICACIÓN DIGITAL-EQUIPO DEL CUSTODIO</t>
        </is>
      </c>
      <c r="M471" s="10" t="inlineStr">
        <is>
          <t>DISCOS DUROS, SERVIDORES, DISCOS O MEDIOS PORTÁTILES, CINTAS O MEDIOS DE VIDEO Y AUDIO, ETC.</t>
        </is>
      </c>
      <c r="N471" s="10" t="inlineStr">
        <is>
          <t>PRIMARIOS</t>
        </is>
      </c>
      <c r="O471" s="10" t="inlineStr">
        <is>
          <t>DOCUMENTOS TÉCNICOS</t>
        </is>
      </c>
      <c r="P471" s="10" t="inlineStr">
        <is>
          <t>USO INTERNO(2)</t>
        </is>
      </c>
      <c r="Q471" s="10" t="inlineStr">
        <is>
          <t>MEDIA(2)</t>
        </is>
      </c>
      <c r="R471" s="10" t="inlineStr">
        <is>
          <t>BAJA(1)</t>
        </is>
      </c>
      <c r="S471" s="10">
        <f>+(IF(P471="PUBLICA(1)",1,IF(P471="USO INTERNO(2)",2,IF(P471="RESTRINGIDO(3)",3,3))))+(IF(Q471="BAJA(1)",1,IF(Q471="MEDIA(2)",2,IF(Q471="ALTA(3)",3,3))))+(IF(R471="BAJA(1)",1,IF(R471="MEDIA(2)",2,IF(R471="ALTA(3)",3,3))))</f>
        <v/>
      </c>
      <c r="T471" s="10">
        <f>+IF(S471&lt;6,"BAJA",IF(S471&lt;8,"MEDIA","ALTA"))</f>
        <v/>
      </c>
      <c r="U471" s="10" t="inlineStr">
        <is>
          <t>-</t>
        </is>
      </c>
      <c r="V471" s="24" t="n">
        <v>45674</v>
      </c>
      <c r="W471" s="19" t="inlineStr">
        <is>
          <t>N/A</t>
        </is>
      </c>
      <c r="X471" s="10">
        <f>+IFERROR(IF(VLOOKUP(Tabla2[[#This Row],[ID]],'EVALUACION DE RIESGO'!A:A,1,FALSE)=Tabla2[[#This Row],[ID]],"SI","NO"),"NO")</f>
        <v/>
      </c>
    </row>
    <row r="472">
      <c r="A472" s="91" t="inlineStr">
        <is>
          <t>93-GOP</t>
        </is>
      </c>
      <c r="B472" s="10" t="inlineStr">
        <is>
          <t>APOYO</t>
        </is>
      </c>
      <c r="C472" s="10" t="inlineStr">
        <is>
          <t xml:space="preserve">Gestión de Operaciones </t>
        </is>
      </c>
      <c r="D472" s="10" t="inlineStr">
        <is>
          <t>GOP</t>
        </is>
      </c>
      <c r="E472" s="10" t="inlineStr">
        <is>
          <t>Gestión del Front Operativo</t>
        </is>
      </c>
      <c r="F472" s="10" t="inlineStr">
        <is>
          <t xml:space="preserve">Transacciones Operativas </t>
        </is>
      </c>
      <c r="G472" s="10" t="inlineStr">
        <is>
          <t>Evaluación de riesgo de lavado de activos</t>
        </is>
      </c>
      <c r="H472" s="10" t="inlineStr">
        <is>
          <t>Documentos de justificación de transacciones</t>
        </is>
      </c>
      <c r="I472" s="10" t="inlineStr">
        <is>
          <t>Documento de justificación, como contrato de compra venta, certificación de inversión, tabla de amortización</t>
        </is>
      </c>
      <c r="J472" s="10" t="inlineStr">
        <is>
          <t>Jefe del Front Operativo</t>
        </is>
      </c>
      <c r="K472" s="10" t="inlineStr">
        <is>
          <t>Supervisor Operativo</t>
        </is>
      </c>
      <c r="L472" s="10" t="inlineStr">
        <is>
          <t>DOCUMENTOS FISICOS-ARCHIVOS DE LA OFICINA</t>
        </is>
      </c>
      <c r="M472" s="10" t="inlineStr">
        <is>
          <t>DOCUMENTO DE ARCHIVO-FÍSICO</t>
        </is>
      </c>
      <c r="N472" s="10" t="inlineStr">
        <is>
          <t>PRIMARIOS</t>
        </is>
      </c>
      <c r="O472" s="10" t="inlineStr">
        <is>
          <t>COMUNICACIÓN INTERNA</t>
        </is>
      </c>
      <c r="P472" s="10" t="inlineStr">
        <is>
          <t>USO INTERNO(2)</t>
        </is>
      </c>
      <c r="Q472" s="10" t="inlineStr">
        <is>
          <t>MEDIA(2)</t>
        </is>
      </c>
      <c r="R472" s="10" t="inlineStr">
        <is>
          <t>MEDIA(2)</t>
        </is>
      </c>
      <c r="S472" s="10">
        <f>+(IF(P472="PUBLICA(1)",1,IF(P472="USO INTERNO(2)",2,IF(P472="RESTRINGIDO(3)",3,3))))+(IF(Q472="BAJA(1)",1,IF(Q472="MEDIA(2)",2,IF(Q472="ALTA(3)",3,3))))+(IF(R472="BAJA(1)",1,IF(R472="MEDIA(2)",2,IF(R472="ALTA(3)",3,3))))</f>
        <v/>
      </c>
      <c r="T472" s="10">
        <f>+IF(S472&lt;6,"BAJA",IF(S472&lt;8,"MEDIA","ALTA"))</f>
        <v/>
      </c>
      <c r="U472" s="10" t="inlineStr">
        <is>
          <t>-</t>
        </is>
      </c>
      <c r="V472" s="24" t="n">
        <v>45674</v>
      </c>
      <c r="W472" s="19" t="inlineStr">
        <is>
          <t>N/A</t>
        </is>
      </c>
      <c r="X472" s="10">
        <f>+IFERROR(IF(VLOOKUP(Tabla2[[#This Row],[ID]],'EVALUACION DE RIESGO'!A:A,1,FALSE)=Tabla2[[#This Row],[ID]],"SI","NO"),"NO")</f>
        <v/>
      </c>
    </row>
    <row r="473">
      <c r="A473" s="91" t="inlineStr">
        <is>
          <t>94-GOP</t>
        </is>
      </c>
      <c r="B473" s="10" t="inlineStr">
        <is>
          <t>APOYO</t>
        </is>
      </c>
      <c r="C473" s="10" t="inlineStr">
        <is>
          <t xml:space="preserve">Gestión de Operaciones </t>
        </is>
      </c>
      <c r="D473" s="10" t="inlineStr">
        <is>
          <t>GOP</t>
        </is>
      </c>
      <c r="E473" s="10" t="inlineStr">
        <is>
          <t>Gestión del Front Operativo</t>
        </is>
      </c>
      <c r="F473" s="10" t="inlineStr">
        <is>
          <t xml:space="preserve">Transacciones Operativas </t>
        </is>
      </c>
      <c r="G473" s="10" t="inlineStr">
        <is>
          <t xml:space="preserve">Custodia de libretas de ahorro </t>
        </is>
      </c>
      <c r="H473" s="10" t="inlineStr">
        <is>
          <t>Requerimiento de libretas de ahorro</t>
        </is>
      </c>
      <c r="I473" s="10" t="inlineStr">
        <is>
          <t xml:space="preserve">Requerimiento enviado por correo electrónico </t>
        </is>
      </c>
      <c r="J473" s="10" t="inlineStr">
        <is>
          <t>Jefe del Front Operativo</t>
        </is>
      </c>
      <c r="K473" s="10" t="inlineStr">
        <is>
          <t>Supervisor Operativo</t>
        </is>
      </c>
      <c r="L473" s="10" t="inlineStr">
        <is>
          <t>UBICACIÓN DIGITAL-EQUIPO DEL CUSTODIO</t>
        </is>
      </c>
      <c r="M473" s="10" t="inlineStr">
        <is>
          <t>DISCOS DUROS, SERVIDORES, DISCOS O MEDIOS PORTÁTILES, CINTAS O MEDIOS DE VIDEO Y AUDIO, ETC.</t>
        </is>
      </c>
      <c r="N473" s="10" t="inlineStr">
        <is>
          <t>PRIMARIOS</t>
        </is>
      </c>
      <c r="O473" s="10" t="inlineStr">
        <is>
          <t>COMUNICACIÓN INTERNA</t>
        </is>
      </c>
      <c r="P473" s="10" t="inlineStr">
        <is>
          <t>RESTRINGIDO(3)</t>
        </is>
      </c>
      <c r="Q473" s="10" t="inlineStr">
        <is>
          <t>BAJA(1)</t>
        </is>
      </c>
      <c r="R473" s="10" t="inlineStr">
        <is>
          <t>BAJA(1)</t>
        </is>
      </c>
      <c r="S473" s="10">
        <f>+(IF(P473="PUBLICA(1)",1,IF(P473="USO INTERNO(2)",2,IF(P473="RESTRINGIDO(3)",3,3))))+(IF(Q473="BAJA(1)",1,IF(Q473="MEDIA(2)",2,IF(Q473="ALTA(3)",3,3))))+(IF(R473="BAJA(1)",1,IF(R473="MEDIA(2)",2,IF(R473="ALTA(3)",3,3))))</f>
        <v/>
      </c>
      <c r="T473" s="10">
        <f>+IF(S473&lt;6,"BAJA",IF(S473&lt;8,"MEDIA","ALTA"))</f>
        <v/>
      </c>
      <c r="U473" s="10" t="inlineStr">
        <is>
          <t>-</t>
        </is>
      </c>
      <c r="V473" s="24" t="n">
        <v>45674</v>
      </c>
      <c r="W473" s="19" t="inlineStr">
        <is>
          <t>N/A</t>
        </is>
      </c>
      <c r="X473" s="10">
        <f>+IFERROR(IF(VLOOKUP(Tabla2[[#This Row],[ID]],'EVALUACION DE RIESGO'!A:A,1,FALSE)=Tabla2[[#This Row],[ID]],"SI","NO"),"NO")</f>
        <v/>
      </c>
    </row>
    <row r="474">
      <c r="A474" s="91" t="inlineStr">
        <is>
          <t>95-GOP</t>
        </is>
      </c>
      <c r="B474" s="10" t="inlineStr">
        <is>
          <t>APOYO</t>
        </is>
      </c>
      <c r="C474" s="10" t="inlineStr">
        <is>
          <t xml:space="preserve">Gestión de Operaciones </t>
        </is>
      </c>
      <c r="D474" s="10" t="inlineStr">
        <is>
          <t>GOP</t>
        </is>
      </c>
      <c r="E474" s="10" t="inlineStr">
        <is>
          <t>Gestión del Front Operativo</t>
        </is>
      </c>
      <c r="F474" s="10" t="inlineStr">
        <is>
          <t xml:space="preserve">Transacciones Operativas </t>
        </is>
      </c>
      <c r="G474" s="10" t="inlineStr">
        <is>
          <t xml:space="preserve">Custodia de libretas de ahorro </t>
        </is>
      </c>
      <c r="H474" s="10" t="inlineStr">
        <is>
          <t>Acta entrega recepción de libretas de ahorro</t>
        </is>
      </c>
      <c r="I474" s="10" t="inlineStr">
        <is>
          <t>Acta entrega que contiene datos del emisor y receptor, detalle de información física entregada</t>
        </is>
      </c>
      <c r="J474" s="10" t="inlineStr">
        <is>
          <t>Jefe del Front Operativo</t>
        </is>
      </c>
      <c r="K474" s="10" t="inlineStr">
        <is>
          <t>Supervisor Operativo</t>
        </is>
      </c>
      <c r="L474" s="10" t="inlineStr">
        <is>
          <t>DOCUMENTOS FISICOS-ARCHIVOS DE LA OFICINA</t>
        </is>
      </c>
      <c r="M474" s="10" t="inlineStr">
        <is>
          <t>DOCUMENTO DE ARCHIVO-FÍSICO</t>
        </is>
      </c>
      <c r="N474" s="10" t="inlineStr">
        <is>
          <t>PRIMARIOS</t>
        </is>
      </c>
      <c r="O474" s="10" t="inlineStr">
        <is>
          <t>DOCUMENTOS TÉCNICOS</t>
        </is>
      </c>
      <c r="P474" s="10" t="inlineStr">
        <is>
          <t>USO INTERNO(2)</t>
        </is>
      </c>
      <c r="Q474" s="10" t="inlineStr">
        <is>
          <t>MEDIA(2)</t>
        </is>
      </c>
      <c r="R474" s="10" t="inlineStr">
        <is>
          <t>MEDIA(2)</t>
        </is>
      </c>
      <c r="S474" s="10">
        <f>+(IF(P474="PUBLICA(1)",1,IF(P474="USO INTERNO(2)",2,IF(P474="RESTRINGIDO(3)",3,3))))+(IF(Q474="BAJA(1)",1,IF(Q474="MEDIA(2)",2,IF(Q474="ALTA(3)",3,3))))+(IF(R474="BAJA(1)",1,IF(R474="MEDIA(2)",2,IF(R474="ALTA(3)",3,3))))</f>
        <v/>
      </c>
      <c r="T474" s="10">
        <f>+IF(S474&lt;6,"BAJA",IF(S474&lt;8,"MEDIA","ALTA"))</f>
        <v/>
      </c>
      <c r="U474" s="10" t="inlineStr">
        <is>
          <t>-</t>
        </is>
      </c>
      <c r="V474" s="24" t="n">
        <v>45674</v>
      </c>
      <c r="W474" s="19" t="inlineStr">
        <is>
          <t>N/A</t>
        </is>
      </c>
      <c r="X474" s="10">
        <f>+IFERROR(IF(VLOOKUP(Tabla2[[#This Row],[ID]],'EVALUACION DE RIESGO'!A:A,1,FALSE)=Tabla2[[#This Row],[ID]],"SI","NO"),"NO")</f>
        <v/>
      </c>
    </row>
    <row r="475">
      <c r="A475" s="91" t="inlineStr">
        <is>
          <t>96-GOP</t>
        </is>
      </c>
      <c r="B475" s="10" t="inlineStr">
        <is>
          <t>APOYO</t>
        </is>
      </c>
      <c r="C475" s="10" t="inlineStr">
        <is>
          <t xml:space="preserve">Gestión de Operaciones </t>
        </is>
      </c>
      <c r="D475" s="10" t="inlineStr">
        <is>
          <t>GOP</t>
        </is>
      </c>
      <c r="E475" s="10" t="inlineStr">
        <is>
          <t xml:space="preserve">Canales Electrónicos </t>
        </is>
      </c>
      <c r="F475" s="10" t="inlineStr">
        <is>
          <t xml:space="preserve">Gestión de Cajeros Automático </t>
        </is>
      </c>
      <c r="G475" s="10" t="inlineStr">
        <is>
          <t>Cuadre inicial de cajeros automáticos y fondeo o disminución de efectivo</t>
        </is>
      </c>
      <c r="H475" s="10" t="inlineStr">
        <is>
          <t>Formulario de cuadre físico de cajero automático Formulario de cuadre transaccional del cajero automático Bitácora de verificación de cajero automático Tirillas del cajero inicial y final Acta de movimiento del cajero automático</t>
        </is>
      </c>
      <c r="I475" s="10" t="inlineStr">
        <is>
          <t>Cuadre de banred, cuadre de depósitos, cuadre de cartera, cuadre de transacciones propias, cuadre de otros atm vanred</t>
        </is>
      </c>
      <c r="J475" s="10" t="inlineStr">
        <is>
          <t xml:space="preserve">Jefe de Soporte y Cuadres </t>
        </is>
      </c>
      <c r="K475" s="10" t="inlineStr">
        <is>
          <t>Asistente Operativo</t>
        </is>
      </c>
      <c r="L475" s="10" t="inlineStr">
        <is>
          <t>UBICACIÓN DIGITAL-EQUIPO DEL CUSTODIO</t>
        </is>
      </c>
      <c r="M475" s="10" t="inlineStr">
        <is>
          <t>DISCOS DUROS, SERVIDORES, DISCOS O MEDIOS PORTÁTILES, CINTAS O MEDIOS DE VIDEO Y AUDIO, ETC.</t>
        </is>
      </c>
      <c r="N475" s="10" t="inlineStr">
        <is>
          <t>PRIMARIOS</t>
        </is>
      </c>
      <c r="O475" s="10" t="inlineStr">
        <is>
          <t>DOCUMENTOS TÉCNICOS</t>
        </is>
      </c>
      <c r="P475" s="10" t="inlineStr">
        <is>
          <t>RESTRINGIDO(3)</t>
        </is>
      </c>
      <c r="Q475" s="10" t="inlineStr">
        <is>
          <t>BAJA(1)</t>
        </is>
      </c>
      <c r="R475" s="10" t="inlineStr">
        <is>
          <t>MEDIA(2)</t>
        </is>
      </c>
      <c r="S475" s="10">
        <f>+(IF(P475="PUBLICA(1)",1,IF(P475="USO INTERNO(2)",2,IF(P475="RESTRINGIDO(3)",3,3))))+(IF(Q475="BAJA(1)",1,IF(Q475="MEDIA(2)",2,IF(Q475="ALTA(3)",3,3))))+(IF(R475="BAJA(1)",1,IF(R475="MEDIA(2)",2,IF(R475="ALTA(3)",3,3))))</f>
        <v/>
      </c>
      <c r="T475" s="10">
        <f>+IF(S475&lt;6,"BAJA",IF(S475&lt;8,"MEDIA","ALTA"))</f>
        <v/>
      </c>
      <c r="U475" s="10" t="inlineStr">
        <is>
          <t>-</t>
        </is>
      </c>
      <c r="V475" s="24" t="n">
        <v>45674</v>
      </c>
      <c r="W475" s="19" t="inlineStr">
        <is>
          <t>N/A</t>
        </is>
      </c>
      <c r="X475" s="10">
        <f>+IFERROR(IF(VLOOKUP(Tabla2[[#This Row],[ID]],'EVALUACION DE RIESGO'!A:A,1,FALSE)=Tabla2[[#This Row],[ID]],"SI","NO"),"NO")</f>
        <v/>
      </c>
    </row>
    <row r="476">
      <c r="A476" s="91" t="inlineStr">
        <is>
          <t>97-GOP</t>
        </is>
      </c>
      <c r="B476" s="10" t="inlineStr">
        <is>
          <t>APOYO</t>
        </is>
      </c>
      <c r="C476" s="10" t="inlineStr">
        <is>
          <t xml:space="preserve">Gestión de Operaciones </t>
        </is>
      </c>
      <c r="D476" s="10" t="inlineStr">
        <is>
          <t>GOP</t>
        </is>
      </c>
      <c r="E476" s="10" t="inlineStr">
        <is>
          <t xml:space="preserve">Canales Electrónicos </t>
        </is>
      </c>
      <c r="F476" s="10" t="inlineStr">
        <is>
          <t xml:space="preserve">Gestión de Cajeros Automático </t>
        </is>
      </c>
      <c r="G476" s="10" t="inlineStr">
        <is>
          <t>Cuadre inicial de cajeros automáticos y fondeo o disminución de efectivo</t>
        </is>
      </c>
      <c r="H476" s="10" t="inlineStr">
        <is>
          <t>Matriz resumen del cuadre</t>
        </is>
      </c>
      <c r="I476" s="10" t="inlineStr">
        <is>
          <t>Cuadre resumen de todos los cuadres (consolidado)</t>
        </is>
      </c>
      <c r="J476" s="10" t="inlineStr">
        <is>
          <t xml:space="preserve">Jefe de Soporte y Cuadres </t>
        </is>
      </c>
      <c r="K476" s="10" t="inlineStr">
        <is>
          <t>Asistente Operativo</t>
        </is>
      </c>
      <c r="L476" s="10" t="inlineStr">
        <is>
          <t>UBICACIÓN DIGITAL-EQUIPO DEL CUSTODIO</t>
        </is>
      </c>
      <c r="M476" s="10" t="inlineStr">
        <is>
          <t>DISCOS DUROS, SERVIDORES, DISCOS O MEDIOS PORTÁTILES, CINTAS O MEDIOS DE VIDEO Y AUDIO, ETC.</t>
        </is>
      </c>
      <c r="N476" s="10" t="inlineStr">
        <is>
          <t>PRIMARIOS</t>
        </is>
      </c>
      <c r="O476" s="10" t="inlineStr">
        <is>
          <t>DOCUMENTOS TÉCNICOS</t>
        </is>
      </c>
      <c r="P476" s="10" t="inlineStr">
        <is>
          <t>RESTRINGIDO(3)</t>
        </is>
      </c>
      <c r="Q476" s="10" t="inlineStr">
        <is>
          <t>MEDIA(2)</t>
        </is>
      </c>
      <c r="R476" s="10" t="inlineStr">
        <is>
          <t>BAJA(1)</t>
        </is>
      </c>
      <c r="S476" s="10">
        <f>+(IF(P476="PUBLICA(1)",1,IF(P476="USO INTERNO(2)",2,IF(P476="RESTRINGIDO(3)",3,3))))+(IF(Q476="BAJA(1)",1,IF(Q476="MEDIA(2)",2,IF(Q476="ALTA(3)",3,3))))+(IF(R476="BAJA(1)",1,IF(R476="MEDIA(2)",2,IF(R476="ALTA(3)",3,3))))</f>
        <v/>
      </c>
      <c r="T476" s="10">
        <f>+IF(S476&lt;6,"BAJA",IF(S476&lt;8,"MEDIA","ALTA"))</f>
        <v/>
      </c>
      <c r="U476" s="10" t="inlineStr">
        <is>
          <t>-</t>
        </is>
      </c>
      <c r="V476" s="24" t="n">
        <v>45674</v>
      </c>
      <c r="W476" s="19" t="inlineStr">
        <is>
          <t>N/A</t>
        </is>
      </c>
      <c r="X476" s="10">
        <f>+IFERROR(IF(VLOOKUP(Tabla2[[#This Row],[ID]],'EVALUACION DE RIESGO'!A:A,1,FALSE)=Tabla2[[#This Row],[ID]],"SI","NO"),"NO")</f>
        <v/>
      </c>
    </row>
    <row r="477">
      <c r="A477" s="91" t="inlineStr">
        <is>
          <t>98-GOP</t>
        </is>
      </c>
      <c r="B477" s="10" t="inlineStr">
        <is>
          <t>APOYO</t>
        </is>
      </c>
      <c r="C477" s="10" t="inlineStr">
        <is>
          <t xml:space="preserve">Gestión de Operaciones </t>
        </is>
      </c>
      <c r="D477" s="10" t="inlineStr">
        <is>
          <t>GOP</t>
        </is>
      </c>
      <c r="E477" s="10" t="inlineStr">
        <is>
          <t xml:space="preserve">Canales Electrónicos </t>
        </is>
      </c>
      <c r="F477" s="10" t="inlineStr">
        <is>
          <t xml:space="preserve">Gestión de Cajeros Automático </t>
        </is>
      </c>
      <c r="G477" s="10" t="inlineStr">
        <is>
          <t xml:space="preserve">Fondeo de efectivo en cajeros isla </t>
        </is>
      </c>
      <c r="H477" s="10" t="inlineStr">
        <is>
          <t>Formulario de cuadre de cajero automático  Bitácora de verificación de cajero automático Tirillas del cajero inicial y final Formulario de cuadre transaccional del cajero automático</t>
        </is>
      </c>
      <c r="I477" s="10" t="inlineStr">
        <is>
          <t>Formulario de cuadre de cajero automático  Bitácora de verificación de cajero automático Tirillas del cajero inicial y final Formulario de cuadre transaccional del cajero automático</t>
        </is>
      </c>
      <c r="J477" s="10" t="inlineStr">
        <is>
          <t xml:space="preserve">Jefe de Soporte y Cuadres </t>
        </is>
      </c>
      <c r="K477" s="10" t="inlineStr">
        <is>
          <t>Supervisor Operativo</t>
        </is>
      </c>
      <c r="L477" s="10" t="inlineStr">
        <is>
          <t>DOCUMENTOS FISICOS-ARCHIVOS DE LA OFICINA</t>
        </is>
      </c>
      <c r="M477" s="10" t="inlineStr">
        <is>
          <t>DOCUMENTO DE ARCHIVO-FÍSICO</t>
        </is>
      </c>
      <c r="N477" s="10" t="inlineStr">
        <is>
          <t>PRIMARIOS</t>
        </is>
      </c>
      <c r="O477" s="10" t="inlineStr">
        <is>
          <t>DOCUMENTOS TÉCNICOS</t>
        </is>
      </c>
      <c r="P477" s="10" t="inlineStr">
        <is>
          <t>RESTRINGIDO(3)</t>
        </is>
      </c>
      <c r="Q477" s="10" t="inlineStr">
        <is>
          <t>MEDIA(2)</t>
        </is>
      </c>
      <c r="R477" s="10" t="inlineStr">
        <is>
          <t>BAJA(1)</t>
        </is>
      </c>
      <c r="S477" s="10">
        <f>+(IF(P477="PUBLICA(1)",1,IF(P477="USO INTERNO(2)",2,IF(P477="RESTRINGIDO(3)",3,3))))+(IF(Q477="BAJA(1)",1,IF(Q477="MEDIA(2)",2,IF(Q477="ALTA(3)",3,3))))+(IF(R477="BAJA(1)",1,IF(R477="MEDIA(2)",2,IF(R477="ALTA(3)",3,3))))</f>
        <v/>
      </c>
      <c r="T477" s="10">
        <f>+IF(S477&lt;6,"BAJA",IF(S477&lt;8,"MEDIA","ALTA"))</f>
        <v/>
      </c>
      <c r="U477" s="10" t="inlineStr">
        <is>
          <t>-</t>
        </is>
      </c>
      <c r="V477" s="24" t="n">
        <v>45674</v>
      </c>
      <c r="W477" s="19" t="inlineStr">
        <is>
          <t>N/A</t>
        </is>
      </c>
      <c r="X477" s="10">
        <f>+IFERROR(IF(VLOOKUP(Tabla2[[#This Row],[ID]],'EVALUACION DE RIESGO'!A:A,1,FALSE)=Tabla2[[#This Row],[ID]],"SI","NO"),"NO")</f>
        <v/>
      </c>
    </row>
    <row r="478">
      <c r="A478" s="91" t="inlineStr">
        <is>
          <t>99-GOP</t>
        </is>
      </c>
      <c r="B478" s="10" t="inlineStr">
        <is>
          <t>APOYO</t>
        </is>
      </c>
      <c r="C478" s="10" t="inlineStr">
        <is>
          <t xml:space="preserve">Gestión de Operaciones </t>
        </is>
      </c>
      <c r="D478" s="10" t="inlineStr">
        <is>
          <t>GOP</t>
        </is>
      </c>
      <c r="E478" s="10" t="inlineStr">
        <is>
          <t xml:space="preserve">Canales Electrónicos </t>
        </is>
      </c>
      <c r="F478" s="10" t="inlineStr">
        <is>
          <t xml:space="preserve">Gestión de Cajeros Automático </t>
        </is>
      </c>
      <c r="G478" s="10" t="inlineStr">
        <is>
          <t>Reclamos de transacciones de cajero automático</t>
        </is>
      </c>
      <c r="H478" s="10" t="inlineStr">
        <is>
          <t>Solicitud de reclamo</t>
        </is>
      </c>
      <c r="I478" s="10" t="inlineStr">
        <is>
          <t>Formulario ingresado en la herramienta de atención al cliente QUEJAS Y RECLAMOS, detalla todos los datos de la transacción y gestión del reclamo</t>
        </is>
      </c>
      <c r="J478" s="10" t="inlineStr">
        <is>
          <t xml:space="preserve">Jefe de Soporte y Cuadres </t>
        </is>
      </c>
      <c r="K478" s="10" t="inlineStr">
        <is>
          <t>Asistente Operativo</t>
        </is>
      </c>
      <c r="L478" s="10" t="inlineStr">
        <is>
          <t>DOCUMENTOS FISICOS-ARCHIVOS DE LA OFICINA</t>
        </is>
      </c>
      <c r="M478" s="10" t="inlineStr">
        <is>
          <t>DOCUMENTO DE ARCHIVO-FÍSICO</t>
        </is>
      </c>
      <c r="N478" s="10" t="inlineStr">
        <is>
          <t>PRIMARIOS</t>
        </is>
      </c>
      <c r="O478" s="10" t="inlineStr">
        <is>
          <t>DOCUMENTOS TÉCNICOS</t>
        </is>
      </c>
      <c r="P478" s="10" t="inlineStr">
        <is>
          <t>USO INTERNO(2)</t>
        </is>
      </c>
      <c r="Q478" s="10" t="inlineStr">
        <is>
          <t>MEDIA(2)</t>
        </is>
      </c>
      <c r="R478" s="10" t="inlineStr">
        <is>
          <t>MEDIA(2)</t>
        </is>
      </c>
      <c r="S478" s="10">
        <f>+(IF(P478="PUBLICA(1)",1,IF(P478="USO INTERNO(2)",2,IF(P478="RESTRINGIDO(3)",3,3))))+(IF(Q478="BAJA(1)",1,IF(Q478="MEDIA(2)",2,IF(Q478="ALTA(3)",3,3))))+(IF(R478="BAJA(1)",1,IF(R478="MEDIA(2)",2,IF(R478="ALTA(3)",3,3))))</f>
        <v/>
      </c>
      <c r="T478" s="10">
        <f>+IF(S478&lt;6,"BAJA",IF(S478&lt;8,"MEDIA","ALTA"))</f>
        <v/>
      </c>
      <c r="U478" s="10" t="inlineStr">
        <is>
          <t>-</t>
        </is>
      </c>
      <c r="V478" s="24" t="n">
        <v>45674</v>
      </c>
      <c r="W478" s="19" t="inlineStr">
        <is>
          <t>N/A</t>
        </is>
      </c>
      <c r="X478" s="10">
        <f>+IFERROR(IF(VLOOKUP(Tabla2[[#This Row],[ID]],'EVALUACION DE RIESGO'!A:A,1,FALSE)=Tabla2[[#This Row],[ID]],"SI","NO"),"NO")</f>
        <v/>
      </c>
    </row>
    <row r="479">
      <c r="A479" s="91" t="inlineStr">
        <is>
          <t>100-GOP</t>
        </is>
      </c>
      <c r="B479" s="10" t="inlineStr">
        <is>
          <t>APOYO</t>
        </is>
      </c>
      <c r="C479" s="10" t="inlineStr">
        <is>
          <t xml:space="preserve">Gestión de Operaciones </t>
        </is>
      </c>
      <c r="D479" s="10" t="inlineStr">
        <is>
          <t>GOP</t>
        </is>
      </c>
      <c r="E479" s="10" t="inlineStr">
        <is>
          <t xml:space="preserve">Canales Electrónicos </t>
        </is>
      </c>
      <c r="F479" s="10" t="inlineStr">
        <is>
          <t xml:space="preserve">Gestión de Cajeros Automático </t>
        </is>
      </c>
      <c r="G479" s="10" t="inlineStr">
        <is>
          <t>Atención de reclamos registrados en la cámara de Banred</t>
        </is>
      </c>
      <c r="H479" s="10" t="inlineStr">
        <is>
          <t>Notificación de transacción compensada</t>
        </is>
      </c>
      <c r="I479" s="10" t="inlineStr">
        <is>
          <t>Correo de notificación enviada de banred con el detalle de las transacciones compensadas / Número de documento, valor,  fecha máxima de atención.</t>
        </is>
      </c>
      <c r="J479" s="10" t="inlineStr">
        <is>
          <t xml:space="preserve">Jefe de Soporte y Cuadres </t>
        </is>
      </c>
      <c r="K479" s="10" t="inlineStr">
        <is>
          <t>Asistente Operativo</t>
        </is>
      </c>
      <c r="L479" s="10" t="inlineStr">
        <is>
          <t>UBICACIÓN DIGITAL-EQUIPO DEL CUSTODIO</t>
        </is>
      </c>
      <c r="M479" s="10" t="inlineStr">
        <is>
          <t>DISCOS DUROS, SERVIDORES, DISCOS O MEDIOS PORTÁTILES, CINTAS O MEDIOS DE VIDEO Y AUDIO, ETC.</t>
        </is>
      </c>
      <c r="N479" s="10" t="inlineStr">
        <is>
          <t>PRIMARIOS</t>
        </is>
      </c>
      <c r="O479" s="10" t="inlineStr">
        <is>
          <t>COMUNICACIÓN INTERNA</t>
        </is>
      </c>
      <c r="P479" s="10" t="inlineStr">
        <is>
          <t>USO INTERNO(2)</t>
        </is>
      </c>
      <c r="Q479" s="10" t="inlineStr">
        <is>
          <t>BAJA(1)</t>
        </is>
      </c>
      <c r="R479" s="10" t="inlineStr">
        <is>
          <t>MEDIA(2)</t>
        </is>
      </c>
      <c r="S479" s="10">
        <f>+(IF(P479="PUBLICA(1)",1,IF(P479="USO INTERNO(2)",2,IF(P479="RESTRINGIDO(3)",3,3))))+(IF(Q479="BAJA(1)",1,IF(Q479="MEDIA(2)",2,IF(Q479="ALTA(3)",3,3))))+(IF(R479="BAJA(1)",1,IF(R479="MEDIA(2)",2,IF(R479="ALTA(3)",3,3))))</f>
        <v/>
      </c>
      <c r="T479" s="10">
        <f>+IF(S479&lt;6,"BAJA",IF(S479&lt;8,"MEDIA","ALTA"))</f>
        <v/>
      </c>
      <c r="U479" s="10" t="inlineStr">
        <is>
          <t>-</t>
        </is>
      </c>
      <c r="V479" s="24" t="n">
        <v>45674</v>
      </c>
      <c r="W479" s="19" t="inlineStr">
        <is>
          <t>N/A</t>
        </is>
      </c>
      <c r="X479" s="10">
        <f>+IFERROR(IF(VLOOKUP(Tabla2[[#This Row],[ID]],'EVALUACION DE RIESGO'!A:A,1,FALSE)=Tabla2[[#This Row],[ID]],"SI","NO"),"NO")</f>
        <v/>
      </c>
    </row>
    <row r="480">
      <c r="A480" s="91" t="inlineStr">
        <is>
          <t>101-GOP</t>
        </is>
      </c>
      <c r="B480" s="10" t="inlineStr">
        <is>
          <t>APOYO</t>
        </is>
      </c>
      <c r="C480" s="10" t="inlineStr">
        <is>
          <t xml:space="preserve">Gestión de Operaciones </t>
        </is>
      </c>
      <c r="D480" s="10" t="inlineStr">
        <is>
          <t>GOP</t>
        </is>
      </c>
      <c r="E480" s="10" t="inlineStr">
        <is>
          <t xml:space="preserve">Canales Electrónicos </t>
        </is>
      </c>
      <c r="F480" s="10" t="inlineStr">
        <is>
          <t xml:space="preserve">Gestión de Cajeros Automático </t>
        </is>
      </c>
      <c r="G480" s="10" t="inlineStr">
        <is>
          <t>Atención de reclamos registrados en la cámara de Banred</t>
        </is>
      </c>
      <c r="H480" s="10" t="inlineStr">
        <is>
          <t>Registro de la cámara de reclamos</t>
        </is>
      </c>
      <c r="I480" s="10" t="inlineStr">
        <is>
          <t>Correo de notificación enviada de banred con el detalle de las transacciones compensadas / Número de documento, valor,  fecha máxima de atención.</t>
        </is>
      </c>
      <c r="J480" s="10" t="inlineStr">
        <is>
          <t xml:space="preserve">Jefe de Soporte y Cuadres </t>
        </is>
      </c>
      <c r="K480" s="10" t="inlineStr">
        <is>
          <t>Asistente Operativo</t>
        </is>
      </c>
      <c r="L480" s="10" t="inlineStr">
        <is>
          <t>N/A</t>
        </is>
      </c>
      <c r="M480" s="10" t="inlineStr">
        <is>
          <t>DOCUMENTO DE ARCHIVO-ELECTRÓNICO</t>
        </is>
      </c>
      <c r="N480" s="10" t="inlineStr">
        <is>
          <t>PRIMARIOS</t>
        </is>
      </c>
      <c r="O480" s="10" t="inlineStr">
        <is>
          <t>COMUNICACIÓN INTERNA</t>
        </is>
      </c>
      <c r="P480" s="10" t="inlineStr">
        <is>
          <t>USO INTERNO(2)</t>
        </is>
      </c>
      <c r="Q480" s="10" t="inlineStr">
        <is>
          <t>BAJA(1)</t>
        </is>
      </c>
      <c r="R480" s="10" t="inlineStr">
        <is>
          <t>MEDIA(2)</t>
        </is>
      </c>
      <c r="S480" s="10">
        <f>+(IF(P480="PUBLICA(1)",1,IF(P480="USO INTERNO(2)",2,IF(P480="RESTRINGIDO(3)",3,3))))+(IF(Q480="BAJA(1)",1,IF(Q480="MEDIA(2)",2,IF(Q480="ALTA(3)",3,3))))+(IF(R480="BAJA(1)",1,IF(R480="MEDIA(2)",2,IF(R480="ALTA(3)",3,3))))</f>
        <v/>
      </c>
      <c r="T480" s="10">
        <f>+IF(S480&lt;6,"BAJA",IF(S480&lt;8,"MEDIA","ALTA"))</f>
        <v/>
      </c>
      <c r="U480" s="10" t="inlineStr">
        <is>
          <t>-</t>
        </is>
      </c>
      <c r="V480" s="24" t="n">
        <v>45674</v>
      </c>
      <c r="W480" s="19" t="inlineStr">
        <is>
          <t>N/A</t>
        </is>
      </c>
      <c r="X480" s="10">
        <f>+IFERROR(IF(VLOOKUP(Tabla2[[#This Row],[ID]],'EVALUACION DE RIESGO'!A:A,1,FALSE)=Tabla2[[#This Row],[ID]],"SI","NO"),"NO")</f>
        <v/>
      </c>
    </row>
    <row r="481">
      <c r="A481" s="91" t="inlineStr">
        <is>
          <t>102-GOP</t>
        </is>
      </c>
      <c r="B481" s="10" t="inlineStr">
        <is>
          <t>APOYO</t>
        </is>
      </c>
      <c r="C481" s="10" t="inlineStr">
        <is>
          <t xml:space="preserve">Gestión de Operaciones </t>
        </is>
      </c>
      <c r="D481" s="10" t="inlineStr">
        <is>
          <t>GOP</t>
        </is>
      </c>
      <c r="E481" s="10" t="inlineStr">
        <is>
          <t xml:space="preserve">Canales Electrónicos </t>
        </is>
      </c>
      <c r="F481" s="10" t="inlineStr">
        <is>
          <t xml:space="preserve">Gestión de Cajeros Automático </t>
        </is>
      </c>
      <c r="G481" s="10" t="inlineStr">
        <is>
          <t>Atención de reclamos registrados en la cámara de Banred</t>
        </is>
      </c>
      <c r="H481" s="10" t="inlineStr">
        <is>
          <t>Matriz de sobrantes y reclamos</t>
        </is>
      </c>
      <c r="I481" s="10" t="inlineStr">
        <is>
          <t>Registro de los despachos en reclamos y sobrantes</t>
        </is>
      </c>
      <c r="J481" s="10" t="inlineStr">
        <is>
          <t xml:space="preserve">Jefe de Soporte y Cuadres </t>
        </is>
      </c>
      <c r="K481" s="10" t="inlineStr">
        <is>
          <t>Asistente Operativo</t>
        </is>
      </c>
      <c r="L481" s="10" t="inlineStr">
        <is>
          <t>UBICACIÓN DIGITAL-EQUIPO DEL CUSTODIO</t>
        </is>
      </c>
      <c r="M481" s="10" t="inlineStr">
        <is>
          <t>DISCOS DUROS, SERVIDORES, DISCOS O MEDIOS PORTÁTILES, CINTAS O MEDIOS DE VIDEO Y AUDIO, ETC.</t>
        </is>
      </c>
      <c r="N481" s="10" t="inlineStr">
        <is>
          <t>PRIMARIOS</t>
        </is>
      </c>
      <c r="O481" s="10" t="inlineStr">
        <is>
          <t>DOCUMENTOS TÉCNICOS</t>
        </is>
      </c>
      <c r="P481" s="10" t="inlineStr">
        <is>
          <t>USO INTERNO(2)</t>
        </is>
      </c>
      <c r="Q481" s="10" t="inlineStr">
        <is>
          <t>BAJA(1)</t>
        </is>
      </c>
      <c r="R481" s="10" t="inlineStr">
        <is>
          <t>MEDIA(2)</t>
        </is>
      </c>
      <c r="S481" s="10">
        <f>+(IF(P481="PUBLICA(1)",1,IF(P481="USO INTERNO(2)",2,IF(P481="RESTRINGIDO(3)",3,3))))+(IF(Q481="BAJA(1)",1,IF(Q481="MEDIA(2)",2,IF(Q481="ALTA(3)",3,3))))+(IF(R481="BAJA(1)",1,IF(R481="MEDIA(2)",2,IF(R481="ALTA(3)",3,3))))</f>
        <v/>
      </c>
      <c r="T481" s="10">
        <f>+IF(S481&lt;6,"BAJA",IF(S481&lt;8,"MEDIA","ALTA"))</f>
        <v/>
      </c>
      <c r="U481" s="10" t="inlineStr">
        <is>
          <t>-</t>
        </is>
      </c>
      <c r="V481" s="24" t="n">
        <v>45674</v>
      </c>
      <c r="W481" s="19" t="inlineStr">
        <is>
          <t>N/A</t>
        </is>
      </c>
      <c r="X481" s="10">
        <f>+IFERROR(IF(VLOOKUP(Tabla2[[#This Row],[ID]],'EVALUACION DE RIESGO'!A:A,1,FALSE)=Tabla2[[#This Row],[ID]],"SI","NO"),"NO")</f>
        <v/>
      </c>
    </row>
    <row r="482">
      <c r="A482" s="91" t="inlineStr">
        <is>
          <t>103-GOP</t>
        </is>
      </c>
      <c r="B482" s="10" t="inlineStr">
        <is>
          <t>APOYO</t>
        </is>
      </c>
      <c r="C482" s="10" t="inlineStr">
        <is>
          <t xml:space="preserve">Gestión de Operaciones </t>
        </is>
      </c>
      <c r="D482" s="10" t="inlineStr">
        <is>
          <t>GOP</t>
        </is>
      </c>
      <c r="E482" s="10" t="inlineStr">
        <is>
          <t xml:space="preserve">Canales Electrónicos </t>
        </is>
      </c>
      <c r="F482" s="10" t="inlineStr">
        <is>
          <t xml:space="preserve">Gestión de Cajeros Automático </t>
        </is>
      </c>
      <c r="G482" s="10" t="inlineStr">
        <is>
          <t>Atención de reclamos por depósitos retraídos en cajeros automáticos</t>
        </is>
      </c>
      <c r="H482" s="10" t="inlineStr">
        <is>
          <t>Nota de crédito</t>
        </is>
      </c>
      <c r="I482" s="10" t="inlineStr">
        <is>
          <t>Nota del crédito o débito que se realiza al socio con información de cuenta y valor</t>
        </is>
      </c>
      <c r="J482" s="10" t="inlineStr">
        <is>
          <t xml:space="preserve">Jefe de Soporte y Cuadres </t>
        </is>
      </c>
      <c r="K482" s="10" t="inlineStr">
        <is>
          <t>Asistente Operativo</t>
        </is>
      </c>
      <c r="L482" s="10" t="inlineStr">
        <is>
          <t>UBICACIÓN DIGITAL-CORE FINANCIERO</t>
        </is>
      </c>
      <c r="M482" s="10" t="inlineStr">
        <is>
          <t>DOCUMENTO DE ARCHIVO-FÍSICO</t>
        </is>
      </c>
      <c r="N482" s="10" t="inlineStr">
        <is>
          <t>PRIMARIOS</t>
        </is>
      </c>
      <c r="O482" s="10" t="inlineStr">
        <is>
          <t>INFORMACIÓN DE SOCIOS Y CLIENTES</t>
        </is>
      </c>
      <c r="P482" s="10" t="inlineStr">
        <is>
          <t>USO INTERNO(2)</t>
        </is>
      </c>
      <c r="Q482" s="10" t="inlineStr">
        <is>
          <t>MEDIA(2)</t>
        </is>
      </c>
      <c r="R482" s="10" t="inlineStr">
        <is>
          <t>BAJA(1)</t>
        </is>
      </c>
      <c r="S482" s="10">
        <f>+(IF(P482="PUBLICA(1)",1,IF(P482="USO INTERNO(2)",2,IF(P482="RESTRINGIDO(3)",3,3))))+(IF(Q482="BAJA(1)",1,IF(Q482="MEDIA(2)",2,IF(Q482="ALTA(3)",3,3))))+(IF(R482="BAJA(1)",1,IF(R482="MEDIA(2)",2,IF(R482="ALTA(3)",3,3))))</f>
        <v/>
      </c>
      <c r="T482" s="10">
        <f>+IF(S482&lt;6,"BAJA",IF(S482&lt;8,"MEDIA","ALTA"))</f>
        <v/>
      </c>
      <c r="U482" s="10" t="inlineStr">
        <is>
          <t>-</t>
        </is>
      </c>
      <c r="V482" s="24" t="n">
        <v>45674</v>
      </c>
      <c r="W482" s="19" t="inlineStr">
        <is>
          <t>N/A</t>
        </is>
      </c>
      <c r="X482" s="10">
        <f>+IFERROR(IF(VLOOKUP(Tabla2[[#This Row],[ID]],'EVALUACION DE RIESGO'!A:A,1,FALSE)=Tabla2[[#This Row],[ID]],"SI","NO"),"NO")</f>
        <v/>
      </c>
    </row>
    <row r="483">
      <c r="A483" s="91" t="inlineStr">
        <is>
          <t>104-GOP</t>
        </is>
      </c>
      <c r="B483" s="10" t="inlineStr">
        <is>
          <t>APOYO</t>
        </is>
      </c>
      <c r="C483" s="10" t="inlineStr">
        <is>
          <t xml:space="preserve">Gestión de Operaciones </t>
        </is>
      </c>
      <c r="D483" s="10" t="inlineStr">
        <is>
          <t>GOP</t>
        </is>
      </c>
      <c r="E483" s="10" t="inlineStr">
        <is>
          <t xml:space="preserve">Canales Electrónicos </t>
        </is>
      </c>
      <c r="F483" s="10" t="inlineStr">
        <is>
          <t xml:space="preserve">Gestión de Cajeros Automático </t>
        </is>
      </c>
      <c r="G483" s="10" t="inlineStr">
        <is>
          <t>Atención de reclamos por depósitos retraídos en cajeros automáticos</t>
        </is>
      </c>
      <c r="H483" s="10" t="inlineStr">
        <is>
          <t>Matriz de Sobrantes y reclamos entregados</t>
        </is>
      </c>
      <c r="I483" s="10" t="inlineStr">
        <is>
          <t>Registro de sobrantes y reclamos entregados por número e reclamo, cuentas, nombre, valor, fechas transacción, despacho</t>
        </is>
      </c>
      <c r="J483" s="10" t="inlineStr">
        <is>
          <t xml:space="preserve">Jefe de Soporte y Cuadres </t>
        </is>
      </c>
      <c r="K483" s="10" t="inlineStr">
        <is>
          <t>Asistente Operativo</t>
        </is>
      </c>
      <c r="L483" s="10" t="inlineStr">
        <is>
          <t>UBICACIÓN DIGITAL-EQUIPO DEL CUSTODIO</t>
        </is>
      </c>
      <c r="M483" s="10" t="inlineStr">
        <is>
          <t>DISCOS DUROS, SERVIDORES, DISCOS O MEDIOS PORTÁTILES, CINTAS O MEDIOS DE VIDEO Y AUDIO, ETC.</t>
        </is>
      </c>
      <c r="N483" s="10" t="inlineStr">
        <is>
          <t>PRIMARIOS</t>
        </is>
      </c>
      <c r="O483" s="10" t="inlineStr">
        <is>
          <t>DOCUMENTOS TÉCNICOS</t>
        </is>
      </c>
      <c r="P483" s="10" t="inlineStr">
        <is>
          <t>USO INTERNO(2)</t>
        </is>
      </c>
      <c r="Q483" s="10" t="inlineStr">
        <is>
          <t>MEDIA(2)</t>
        </is>
      </c>
      <c r="R483" s="10" t="inlineStr">
        <is>
          <t>MEDIA(2)</t>
        </is>
      </c>
      <c r="S483" s="10">
        <f>+(IF(P483="PUBLICA(1)",1,IF(P483="USO INTERNO(2)",2,IF(P483="RESTRINGIDO(3)",3,3))))+(IF(Q483="BAJA(1)",1,IF(Q483="MEDIA(2)",2,IF(Q483="ALTA(3)",3,3))))+(IF(R483="BAJA(1)",1,IF(R483="MEDIA(2)",2,IF(R483="ALTA(3)",3,3))))</f>
        <v/>
      </c>
      <c r="T483" s="10">
        <f>+IF(S483&lt;6,"BAJA",IF(S483&lt;8,"MEDIA","ALTA"))</f>
        <v/>
      </c>
      <c r="U483" s="10" t="inlineStr">
        <is>
          <t>-</t>
        </is>
      </c>
      <c r="V483" s="24" t="n">
        <v>45674</v>
      </c>
      <c r="W483" s="19" t="inlineStr">
        <is>
          <t>N/A</t>
        </is>
      </c>
      <c r="X483" s="10">
        <f>+IFERROR(IF(VLOOKUP(Tabla2[[#This Row],[ID]],'EVALUACION DE RIESGO'!A:A,1,FALSE)=Tabla2[[#This Row],[ID]],"SI","NO"),"NO")</f>
        <v/>
      </c>
    </row>
    <row r="484">
      <c r="A484" s="91" t="inlineStr">
        <is>
          <t>105-GOP</t>
        </is>
      </c>
      <c r="B484" s="10" t="inlineStr">
        <is>
          <t>APOYO</t>
        </is>
      </c>
      <c r="C484" s="10" t="inlineStr">
        <is>
          <t xml:space="preserve">Gestión de Operaciones </t>
        </is>
      </c>
      <c r="D484" s="10" t="inlineStr">
        <is>
          <t>GOP</t>
        </is>
      </c>
      <c r="E484" s="10" t="inlineStr">
        <is>
          <t xml:space="preserve">Canales Electrónicos </t>
        </is>
      </c>
      <c r="F484" s="10" t="inlineStr">
        <is>
          <t xml:space="preserve">Gestión de Cajeros Automático </t>
        </is>
      </c>
      <c r="G484" s="10" t="inlineStr">
        <is>
          <t>Depósitos por confirmar</t>
        </is>
      </c>
      <c r="H484" s="10" t="inlineStr">
        <is>
          <t>Notificación de depósito por confirmar</t>
        </is>
      </c>
      <c r="I484" s="10" t="inlineStr">
        <is>
          <t>Notificación receptada por correo electrónico del depósito que está por confirmar</t>
        </is>
      </c>
      <c r="J484" s="10" t="inlineStr">
        <is>
          <t xml:space="preserve">Jefe de Soporte y Cuadres </t>
        </is>
      </c>
      <c r="K484" s="10" t="inlineStr">
        <is>
          <t>Asistente Operativo</t>
        </is>
      </c>
      <c r="L484" s="10" t="inlineStr">
        <is>
          <t>UBICACIÓN DIGITAL-CORE FINANCIERO</t>
        </is>
      </c>
      <c r="M484" s="10" t="inlineStr">
        <is>
          <t>DOCUMENTO DE ARCHIVO-FÍSICO</t>
        </is>
      </c>
      <c r="N484" s="10" t="inlineStr">
        <is>
          <t>PRIMARIOS</t>
        </is>
      </c>
      <c r="O484" s="10" t="inlineStr">
        <is>
          <t>COMUNICACIÓN INTERNA</t>
        </is>
      </c>
      <c r="P484" s="10" t="inlineStr">
        <is>
          <t>USO INTERNO(2)</t>
        </is>
      </c>
      <c r="Q484" s="10" t="inlineStr">
        <is>
          <t>BAJA(1)</t>
        </is>
      </c>
      <c r="R484" s="10" t="inlineStr">
        <is>
          <t>BAJA(1)</t>
        </is>
      </c>
      <c r="S484" s="10">
        <f>+(IF(P484="PUBLICA(1)",1,IF(P484="USO INTERNO(2)",2,IF(P484="RESTRINGIDO(3)",3,3))))+(IF(Q484="BAJA(1)",1,IF(Q484="MEDIA(2)",2,IF(Q484="ALTA(3)",3,3))))+(IF(R484="BAJA(1)",1,IF(R484="MEDIA(2)",2,IF(R484="ALTA(3)",3,3))))</f>
        <v/>
      </c>
      <c r="T484" s="10">
        <f>+IF(S484&lt;6,"BAJA",IF(S484&lt;8,"MEDIA","ALTA"))</f>
        <v/>
      </c>
      <c r="U484" s="10" t="inlineStr">
        <is>
          <t>-</t>
        </is>
      </c>
      <c r="V484" s="24" t="n">
        <v>45674</v>
      </c>
      <c r="W484" s="19" t="inlineStr">
        <is>
          <t>N/A</t>
        </is>
      </c>
      <c r="X484" s="10">
        <f>+IFERROR(IF(VLOOKUP(Tabla2[[#This Row],[ID]],'EVALUACION DE RIESGO'!A:A,1,FALSE)=Tabla2[[#This Row],[ID]],"SI","NO"),"NO")</f>
        <v/>
      </c>
    </row>
    <row r="485">
      <c r="A485" s="91" t="inlineStr">
        <is>
          <t>106-GOP</t>
        </is>
      </c>
      <c r="B485" s="10" t="inlineStr">
        <is>
          <t>APOYO</t>
        </is>
      </c>
      <c r="C485" s="10" t="inlineStr">
        <is>
          <t xml:space="preserve">Gestión de Operaciones </t>
        </is>
      </c>
      <c r="D485" s="10" t="inlineStr">
        <is>
          <t>GOP</t>
        </is>
      </c>
      <c r="E485" s="10" t="inlineStr">
        <is>
          <t xml:space="preserve">Canales Electrónicos </t>
        </is>
      </c>
      <c r="F485" s="10" t="inlineStr">
        <is>
          <t xml:space="preserve">Gestión de Cajeros Automático </t>
        </is>
      </c>
      <c r="G485" s="10" t="inlineStr">
        <is>
          <t>Depósitos por confirmar</t>
        </is>
      </c>
      <c r="H485" s="10" t="inlineStr">
        <is>
          <t>Nota de crédito</t>
        </is>
      </c>
      <c r="I485" s="10" t="inlineStr">
        <is>
          <t>Nota del crédito o débito que se realiza al socio con información de cuanta y valor</t>
        </is>
      </c>
      <c r="J485" s="10" t="inlineStr">
        <is>
          <t xml:space="preserve">Jefe de Soporte y Cuadres </t>
        </is>
      </c>
      <c r="K485" s="10" t="inlineStr">
        <is>
          <t>Asistente Operativo</t>
        </is>
      </c>
      <c r="L485" s="10" t="inlineStr">
        <is>
          <t>UBICACIÓN DIGITAL-CORE FINANCIERO</t>
        </is>
      </c>
      <c r="M485" s="10" t="inlineStr">
        <is>
          <t>DOCUMENTO DE ARCHIVO-FÍSICO</t>
        </is>
      </c>
      <c r="N485" s="10" t="inlineStr">
        <is>
          <t>PRIMARIOS</t>
        </is>
      </c>
      <c r="O485" s="10" t="inlineStr">
        <is>
          <t>INFORMACIÓN DE SOCIOS Y CLIENTES</t>
        </is>
      </c>
      <c r="P485" s="10" t="inlineStr">
        <is>
          <t>USO INTERNO(2)</t>
        </is>
      </c>
      <c r="Q485" s="10" t="inlineStr">
        <is>
          <t>MEDIA(2)</t>
        </is>
      </c>
      <c r="R485" s="10" t="inlineStr">
        <is>
          <t>MEDIA(2)</t>
        </is>
      </c>
      <c r="S485" s="10">
        <f>+(IF(P485="PUBLICA(1)",1,IF(P485="USO INTERNO(2)",2,IF(P485="RESTRINGIDO(3)",3,3))))+(IF(Q485="BAJA(1)",1,IF(Q485="MEDIA(2)",2,IF(Q485="ALTA(3)",3,3))))+(IF(R485="BAJA(1)",1,IF(R485="MEDIA(2)",2,IF(R485="ALTA(3)",3,3))))</f>
        <v/>
      </c>
      <c r="T485" s="10">
        <f>+IF(S485&lt;6,"BAJA",IF(S485&lt;8,"MEDIA","ALTA"))</f>
        <v/>
      </c>
      <c r="U485" s="10" t="inlineStr">
        <is>
          <t>-</t>
        </is>
      </c>
      <c r="V485" s="24" t="n">
        <v>45674</v>
      </c>
      <c r="W485" s="19" t="inlineStr">
        <is>
          <t>N/A</t>
        </is>
      </c>
      <c r="X485" s="10">
        <f>+IFERROR(IF(VLOOKUP(Tabla2[[#This Row],[ID]],'EVALUACION DE RIESGO'!A:A,1,FALSE)=Tabla2[[#This Row],[ID]],"SI","NO"),"NO")</f>
        <v/>
      </c>
    </row>
    <row r="486">
      <c r="A486" s="91" t="inlineStr">
        <is>
          <t>107-GOP</t>
        </is>
      </c>
      <c r="B486" s="10" t="inlineStr">
        <is>
          <t>APOYO</t>
        </is>
      </c>
      <c r="C486" s="10" t="inlineStr">
        <is>
          <t xml:space="preserve">Gestión de Operaciones </t>
        </is>
      </c>
      <c r="D486" s="10" t="inlineStr">
        <is>
          <t>GOP</t>
        </is>
      </c>
      <c r="E486" s="10" t="inlineStr">
        <is>
          <t xml:space="preserve">Canales Electrónicos </t>
        </is>
      </c>
      <c r="F486" s="10" t="inlineStr">
        <is>
          <t xml:space="preserve">Gestión de Cajeros Automático </t>
        </is>
      </c>
      <c r="G486" s="10" t="inlineStr">
        <is>
          <t>Cuadre de ATMs</t>
        </is>
      </c>
      <c r="H486" s="10" t="inlineStr">
        <is>
          <t>Compensación de Banred</t>
        </is>
      </c>
      <c r="I486" s="10" t="inlineStr">
        <is>
          <t>Cuadre de compensación banred, donde la diferencia se acredita desde BCE</t>
        </is>
      </c>
      <c r="J486" s="10" t="inlineStr">
        <is>
          <t xml:space="preserve">Jefe de Soporte y Cuadres </t>
        </is>
      </c>
      <c r="K486" s="10" t="inlineStr">
        <is>
          <t>Asistente Operativo</t>
        </is>
      </c>
      <c r="L486" s="10" t="inlineStr">
        <is>
          <t>UBICACIÓN DIGITAL-EQUIPO DEL CUSTODIO</t>
        </is>
      </c>
      <c r="M486" s="10" t="inlineStr">
        <is>
          <t>DISCOS DUROS, SERVIDORES, DISCOS O MEDIOS PORTÁTILES, CINTAS O MEDIOS DE VIDEO Y AUDIO, ETC.</t>
        </is>
      </c>
      <c r="N486" s="10" t="inlineStr">
        <is>
          <t>PRIMARIOS</t>
        </is>
      </c>
      <c r="O486" s="10" t="inlineStr">
        <is>
          <t>DOCUMENTOS TÉCNICOS</t>
        </is>
      </c>
      <c r="P486" s="10" t="inlineStr">
        <is>
          <t>USO INTERNO(2)</t>
        </is>
      </c>
      <c r="Q486" s="10" t="inlineStr">
        <is>
          <t>MEDIA(2)</t>
        </is>
      </c>
      <c r="R486" s="10" t="inlineStr">
        <is>
          <t>MEDIA(2)</t>
        </is>
      </c>
      <c r="S486" s="10">
        <f>+(IF(P486="PUBLICA(1)",1,IF(P486="USO INTERNO(2)",2,IF(P486="RESTRINGIDO(3)",3,3))))+(IF(Q486="BAJA(1)",1,IF(Q486="MEDIA(2)",2,IF(Q486="ALTA(3)",3,3))))+(IF(R486="BAJA(1)",1,IF(R486="MEDIA(2)",2,IF(R486="ALTA(3)",3,3))))</f>
        <v/>
      </c>
      <c r="T486" s="10">
        <f>+IF(S486&lt;6,"BAJA",IF(S486&lt;8,"MEDIA","ALTA"))</f>
        <v/>
      </c>
      <c r="U486" s="10" t="inlineStr">
        <is>
          <t>-</t>
        </is>
      </c>
      <c r="V486" s="24" t="n">
        <v>45674</v>
      </c>
      <c r="W486" s="19" t="inlineStr">
        <is>
          <t>N/A</t>
        </is>
      </c>
      <c r="X486" s="10">
        <f>+IFERROR(IF(VLOOKUP(Tabla2[[#This Row],[ID]],'EVALUACION DE RIESGO'!A:A,1,FALSE)=Tabla2[[#This Row],[ID]],"SI","NO"),"NO")</f>
        <v/>
      </c>
    </row>
    <row r="487">
      <c r="A487" s="91" t="inlineStr">
        <is>
          <t>108-GOP</t>
        </is>
      </c>
      <c r="B487" s="10" t="inlineStr">
        <is>
          <t>APOYO</t>
        </is>
      </c>
      <c r="C487" s="10" t="inlineStr">
        <is>
          <t xml:space="preserve">Gestión de Operaciones </t>
        </is>
      </c>
      <c r="D487" s="10" t="inlineStr">
        <is>
          <t>GOP</t>
        </is>
      </c>
      <c r="E487" s="10" t="inlineStr">
        <is>
          <t xml:space="preserve">Canales Electrónicos </t>
        </is>
      </c>
      <c r="F487" s="10" t="inlineStr">
        <is>
          <t xml:space="preserve">Gestión de Cajeros Automático </t>
        </is>
      </c>
      <c r="G487" s="10" t="inlineStr">
        <is>
          <t>Cuadre de ATMs</t>
        </is>
      </c>
      <c r="H487" s="10" t="inlineStr">
        <is>
          <t>Cuadre general de cajeros automáticos, por oficinas</t>
        </is>
      </c>
      <c r="I487" s="10" t="inlineStr">
        <is>
          <t>Cuadre de banred, cuadre de depósitos, cuadre de cartera, cuadre de transacciones propias, cuadre de otros atm vanred</t>
        </is>
      </c>
      <c r="J487" s="10" t="inlineStr">
        <is>
          <t xml:space="preserve">Jefe de Soporte y Cuadres </t>
        </is>
      </c>
      <c r="K487" s="10" t="inlineStr">
        <is>
          <t>Asistente Operativo</t>
        </is>
      </c>
      <c r="L487" s="10" t="inlineStr">
        <is>
          <t>UBICACIÓN DIGITAL-EQUIPO DEL CUSTODIO</t>
        </is>
      </c>
      <c r="M487" s="10" t="inlineStr">
        <is>
          <t>DISCOS DUROS, SERVIDORES, DISCOS O MEDIOS PORTÁTILES, CINTAS O MEDIOS DE VIDEO Y AUDIO, ETC.</t>
        </is>
      </c>
      <c r="N487" s="10" t="inlineStr">
        <is>
          <t>PRIMARIOS</t>
        </is>
      </c>
      <c r="O487" s="10" t="inlineStr">
        <is>
          <t>DOCUMENTOS TÉCNICOS</t>
        </is>
      </c>
      <c r="P487" s="10" t="inlineStr">
        <is>
          <t>USO INTERNO(2)</t>
        </is>
      </c>
      <c r="Q487" s="10" t="inlineStr">
        <is>
          <t>MEDIA(2)</t>
        </is>
      </c>
      <c r="R487" s="10" t="inlineStr">
        <is>
          <t>BAJA(1)</t>
        </is>
      </c>
      <c r="S487" s="10">
        <f>+(IF(P487="PUBLICA(1)",1,IF(P487="USO INTERNO(2)",2,IF(P487="RESTRINGIDO(3)",3,3))))+(IF(Q487="BAJA(1)",1,IF(Q487="MEDIA(2)",2,IF(Q487="ALTA(3)",3,3))))+(IF(R487="BAJA(1)",1,IF(R487="MEDIA(2)",2,IF(R487="ALTA(3)",3,3))))</f>
        <v/>
      </c>
      <c r="T487" s="10">
        <f>+IF(S487&lt;6,"BAJA",IF(S487&lt;8,"MEDIA","ALTA"))</f>
        <v/>
      </c>
      <c r="U487" s="10" t="inlineStr">
        <is>
          <t>-</t>
        </is>
      </c>
      <c r="V487" s="24" t="n">
        <v>45674</v>
      </c>
      <c r="W487" s="19" t="inlineStr">
        <is>
          <t>N/A</t>
        </is>
      </c>
      <c r="X487" s="10">
        <f>+IFERROR(IF(VLOOKUP(Tabla2[[#This Row],[ID]],'EVALUACION DE RIESGO'!A:A,1,FALSE)=Tabla2[[#This Row],[ID]],"SI","NO"),"NO")</f>
        <v/>
      </c>
    </row>
    <row r="488">
      <c r="A488" s="91" t="inlineStr">
        <is>
          <t>109-GOP</t>
        </is>
      </c>
      <c r="B488" s="10" t="inlineStr">
        <is>
          <t>APOYO</t>
        </is>
      </c>
      <c r="C488" s="10" t="inlineStr">
        <is>
          <t xml:space="preserve">Gestión de Operaciones </t>
        </is>
      </c>
      <c r="D488" s="10" t="inlineStr">
        <is>
          <t>GOP</t>
        </is>
      </c>
      <c r="E488" s="10" t="inlineStr">
        <is>
          <t xml:space="preserve">Canales Electrónicos </t>
        </is>
      </c>
      <c r="F488" s="10" t="inlineStr">
        <is>
          <t xml:space="preserve">Gestión de tarjetas de débito </t>
        </is>
      </c>
      <c r="G488" s="10" t="inlineStr">
        <is>
          <t xml:space="preserve">Solicitud y entrega de tarjeta de débito      </t>
        </is>
      </c>
      <c r="H488" s="10" t="inlineStr">
        <is>
          <t>Solicitud de tarjeta de débito</t>
        </is>
      </c>
      <c r="I488" s="10" t="inlineStr">
        <is>
          <t>Solicitud obtenido del sistema de prosupply con información del cliente y detalle de la tarjeta de débito</t>
        </is>
      </c>
      <c r="J488" s="10" t="inlineStr">
        <is>
          <t xml:space="preserve">Jefe de Soporte y Cuadres </t>
        </is>
      </c>
      <c r="K488" s="10" t="inlineStr">
        <is>
          <t>Supervisor Operativo</t>
        </is>
      </c>
      <c r="L488" s="10" t="inlineStr">
        <is>
          <t>UBICACIÓN DIGITAL-EQUIPO DEL CUSTODIO</t>
        </is>
      </c>
      <c r="M488" s="10" t="inlineStr">
        <is>
          <t>DISCOS DUROS, SERVIDORES, DISCOS O MEDIOS PORTÁTILES, CINTAS O MEDIOS DE VIDEO Y AUDIO, ETC.</t>
        </is>
      </c>
      <c r="N488" s="10" t="inlineStr">
        <is>
          <t>PRIMARIOS</t>
        </is>
      </c>
      <c r="O488" s="10" t="inlineStr">
        <is>
          <t>INFORMACIÓN DE SOCIOS Y CLIENTES</t>
        </is>
      </c>
      <c r="P488" s="10" t="inlineStr">
        <is>
          <t>USO INTERNO(2)</t>
        </is>
      </c>
      <c r="Q488" s="10" t="inlineStr">
        <is>
          <t>BAJA(1)</t>
        </is>
      </c>
      <c r="R488" s="10" t="inlineStr">
        <is>
          <t>BAJA(1)</t>
        </is>
      </c>
      <c r="S488" s="10">
        <f>+(IF(P488="PUBLICA(1)",1,IF(P488="USO INTERNO(2)",2,IF(P488="RESTRINGIDO(3)",3,3))))+(IF(Q488="BAJA(1)",1,IF(Q488="MEDIA(2)",2,IF(Q488="ALTA(3)",3,3))))+(IF(R488="BAJA(1)",1,IF(R488="MEDIA(2)",2,IF(R488="ALTA(3)",3,3))))</f>
        <v/>
      </c>
      <c r="T488" s="10">
        <f>+IF(S488&lt;6,"BAJA",IF(S488&lt;8,"MEDIA","ALTA"))</f>
        <v/>
      </c>
      <c r="U488" s="10" t="inlineStr">
        <is>
          <t>-</t>
        </is>
      </c>
      <c r="V488" s="24" t="n">
        <v>45674</v>
      </c>
      <c r="W488" s="19" t="inlineStr">
        <is>
          <t>N/A</t>
        </is>
      </c>
      <c r="X488" s="10">
        <f>+IFERROR(IF(VLOOKUP(Tabla2[[#This Row],[ID]],'EVALUACION DE RIESGO'!A:A,1,FALSE)=Tabla2[[#This Row],[ID]],"SI","NO"),"NO")</f>
        <v/>
      </c>
    </row>
    <row r="489">
      <c r="A489" s="91" t="inlineStr">
        <is>
          <t>110-GOP</t>
        </is>
      </c>
      <c r="B489" s="10" t="inlineStr">
        <is>
          <t>APOYO</t>
        </is>
      </c>
      <c r="C489" s="10" t="inlineStr">
        <is>
          <t xml:space="preserve">Gestión de Operaciones </t>
        </is>
      </c>
      <c r="D489" s="10" t="inlineStr">
        <is>
          <t>GOP</t>
        </is>
      </c>
      <c r="E489" s="10" t="inlineStr">
        <is>
          <t xml:space="preserve">Canales Electrónicos </t>
        </is>
      </c>
      <c r="F489" s="10" t="inlineStr">
        <is>
          <t xml:space="preserve">Gestión de tarjetas de débito </t>
        </is>
      </c>
      <c r="G489" s="10" t="inlineStr">
        <is>
          <t xml:space="preserve">Solicitud y entrega de tarjeta de débito      </t>
        </is>
      </c>
      <c r="H489" s="10" t="inlineStr">
        <is>
          <t>Contrato de la utilización de la tarjeta de débito</t>
        </is>
      </c>
      <c r="I489" s="10" t="inlineStr">
        <is>
          <t>Solicitud obtenido del sistema de prosupply con información del cliente y detalle de la tarjeta de débito</t>
        </is>
      </c>
      <c r="J489" s="10" t="inlineStr">
        <is>
          <t xml:space="preserve">Jefe de Soporte y Cuadres </t>
        </is>
      </c>
      <c r="K489" s="10" t="inlineStr">
        <is>
          <t>Asistente Operativo</t>
        </is>
      </c>
      <c r="L489" s="10" t="inlineStr">
        <is>
          <t>DOCUMENTOS FISICOS-ARCHIVOS DE LA OFICINA</t>
        </is>
      </c>
      <c r="M489" s="10" t="inlineStr">
        <is>
          <t>DOCUMENTO DE ARCHIVO-FÍSICO</t>
        </is>
      </c>
      <c r="N489" s="10" t="inlineStr">
        <is>
          <t>PRIMARIOS</t>
        </is>
      </c>
      <c r="O489" s="10" t="inlineStr">
        <is>
          <t>INFORMACIÓN DE SOCIOS Y CLIENTES</t>
        </is>
      </c>
      <c r="P489" s="10" t="inlineStr">
        <is>
          <t>USO INTERNO(2)</t>
        </is>
      </c>
      <c r="Q489" s="10" t="inlineStr">
        <is>
          <t>MEDIA(2)</t>
        </is>
      </c>
      <c r="R489" s="10" t="inlineStr">
        <is>
          <t>MEDIA(2)</t>
        </is>
      </c>
      <c r="S489" s="10">
        <f>+(IF(P489="PUBLICA(1)",1,IF(P489="USO INTERNO(2)",2,IF(P489="RESTRINGIDO(3)",3,3))))+(IF(Q489="BAJA(1)",1,IF(Q489="MEDIA(2)",2,IF(Q489="ALTA(3)",3,3))))+(IF(R489="BAJA(1)",1,IF(R489="MEDIA(2)",2,IF(R489="ALTA(3)",3,3))))</f>
        <v/>
      </c>
      <c r="T489" s="10">
        <f>+IF(S489&lt;6,"BAJA",IF(S489&lt;8,"MEDIA","ALTA"))</f>
        <v/>
      </c>
      <c r="U489" s="10" t="inlineStr">
        <is>
          <t>-</t>
        </is>
      </c>
      <c r="V489" s="24" t="n">
        <v>45674</v>
      </c>
      <c r="W489" s="19" t="inlineStr">
        <is>
          <t>N/A</t>
        </is>
      </c>
      <c r="X489" s="10">
        <f>+IFERROR(IF(VLOOKUP(Tabla2[[#This Row],[ID]],'EVALUACION DE RIESGO'!A:A,1,FALSE)=Tabla2[[#This Row],[ID]],"SI","NO"),"NO")</f>
        <v/>
      </c>
    </row>
    <row r="490">
      <c r="A490" s="91" t="inlineStr">
        <is>
          <t>111-GOP</t>
        </is>
      </c>
      <c r="B490" s="10" t="inlineStr">
        <is>
          <t>APOYO</t>
        </is>
      </c>
      <c r="C490" s="10" t="inlineStr">
        <is>
          <t xml:space="preserve">Gestión de Operaciones </t>
        </is>
      </c>
      <c r="D490" s="10" t="inlineStr">
        <is>
          <t>GOP</t>
        </is>
      </c>
      <c r="E490" s="10" t="inlineStr">
        <is>
          <t xml:space="preserve">Canales Electrónicos </t>
        </is>
      </c>
      <c r="F490" s="10" t="inlineStr">
        <is>
          <t xml:space="preserve">Gestión de tarjetas de débito </t>
        </is>
      </c>
      <c r="G490" s="10" t="inlineStr">
        <is>
          <t xml:space="preserve">Solicitud y entrega de tarjeta de débito      </t>
        </is>
      </c>
      <c r="H490" s="10" t="inlineStr">
        <is>
          <t>Formulario de control de tarjeta de débito</t>
        </is>
      </c>
      <c r="I490" s="10" t="inlineStr">
        <is>
          <t>Solicitud obtenido del sistema de prosupply con información del cliente y detalle de la tarjeta de débito</t>
        </is>
      </c>
      <c r="J490" s="10" t="inlineStr">
        <is>
          <t xml:space="preserve">Jefe de Soporte y Cuadres </t>
        </is>
      </c>
      <c r="K490" s="10" t="inlineStr">
        <is>
          <t>Asistente Operativo</t>
        </is>
      </c>
      <c r="L490" s="10" t="inlineStr">
        <is>
          <t>DOCUMENTOS FISICOS-ARCHIVOS DE LA OFICINA</t>
        </is>
      </c>
      <c r="M490" s="10" t="inlineStr">
        <is>
          <t>DOCUMENTO DE ARCHIVO-FÍSICO</t>
        </is>
      </c>
      <c r="N490" s="10" t="inlineStr">
        <is>
          <t>PRIMARIOS</t>
        </is>
      </c>
      <c r="O490" s="10" t="inlineStr">
        <is>
          <t>INFORMACIÓN DE SOCIOS Y CLIENTES</t>
        </is>
      </c>
      <c r="P490" s="10" t="inlineStr">
        <is>
          <t>USO INTERNO(2)</t>
        </is>
      </c>
      <c r="Q490" s="10" t="inlineStr">
        <is>
          <t>BAJA(1)</t>
        </is>
      </c>
      <c r="R490" s="10" t="inlineStr">
        <is>
          <t>MEDIA(2)</t>
        </is>
      </c>
      <c r="S490" s="10">
        <f>+(IF(P490="PUBLICA(1)",1,IF(P490="USO INTERNO(2)",2,IF(P490="RESTRINGIDO(3)",3,3))))+(IF(Q490="BAJA(1)",1,IF(Q490="MEDIA(2)",2,IF(Q490="ALTA(3)",3,3))))+(IF(R490="BAJA(1)",1,IF(R490="MEDIA(2)",2,IF(R490="ALTA(3)",3,3))))</f>
        <v/>
      </c>
      <c r="T490" s="10">
        <f>+IF(S490&lt;6,"BAJA",IF(S490&lt;8,"MEDIA","ALTA"))</f>
        <v/>
      </c>
      <c r="U490" s="10" t="inlineStr">
        <is>
          <t>-</t>
        </is>
      </c>
      <c r="V490" s="24" t="n">
        <v>45674</v>
      </c>
      <c r="W490" s="19" t="inlineStr">
        <is>
          <t>N/A</t>
        </is>
      </c>
      <c r="X490" s="10">
        <f>+IFERROR(IF(VLOOKUP(Tabla2[[#This Row],[ID]],'EVALUACION DE RIESGO'!A:A,1,FALSE)=Tabla2[[#This Row],[ID]],"SI","NO"),"NO")</f>
        <v/>
      </c>
    </row>
    <row r="491">
      <c r="A491" s="91" t="inlineStr">
        <is>
          <t>112-GOP</t>
        </is>
      </c>
      <c r="B491" s="10" t="inlineStr">
        <is>
          <t>APOYO</t>
        </is>
      </c>
      <c r="C491" s="10" t="inlineStr">
        <is>
          <t xml:space="preserve">Gestión de Operaciones </t>
        </is>
      </c>
      <c r="D491" s="10" t="inlineStr">
        <is>
          <t>GOP</t>
        </is>
      </c>
      <c r="E491" s="10" t="inlineStr">
        <is>
          <t xml:space="preserve">Canales Electrónicos </t>
        </is>
      </c>
      <c r="F491" s="10" t="inlineStr">
        <is>
          <t xml:space="preserve">Gestión de tarjetas de débito </t>
        </is>
      </c>
      <c r="G491" s="10" t="inlineStr">
        <is>
          <t xml:space="preserve">Generación de tarjetas de débito </t>
        </is>
      </c>
      <c r="H491" s="10" t="inlineStr">
        <is>
          <t>Tarjetas</t>
        </is>
      </c>
      <c r="I491" s="10" t="inlineStr">
        <is>
          <t>Tarjeta de débito física que es entregada a los clientes</t>
        </is>
      </c>
      <c r="J491" s="10" t="inlineStr">
        <is>
          <t xml:space="preserve">Jefe de Soporte y Cuadres </t>
        </is>
      </c>
      <c r="K491" s="10" t="inlineStr">
        <is>
          <t>Asesor de servicios</t>
        </is>
      </c>
      <c r="L491" s="10" t="inlineStr">
        <is>
          <t>DOCUMENTOS FISICOS-ARCHIVOS DE LA OFICINA</t>
        </is>
      </c>
      <c r="M491" s="10" t="inlineStr">
        <is>
          <t>DOCUMENTO DE ARCHIVO-FÍSICO</t>
        </is>
      </c>
      <c r="N491" s="10" t="inlineStr">
        <is>
          <t>PRIMARIOS</t>
        </is>
      </c>
      <c r="O491" s="10" t="inlineStr">
        <is>
          <t>INFORMACIÓN DE SOCIOS Y CLIENTES</t>
        </is>
      </c>
      <c r="P491" s="10" t="inlineStr">
        <is>
          <t>RESTRINGIDO(3)</t>
        </is>
      </c>
      <c r="Q491" s="10" t="inlineStr">
        <is>
          <t>MEDIA(2)</t>
        </is>
      </c>
      <c r="R491" s="10" t="inlineStr">
        <is>
          <t>MEDIA(2)</t>
        </is>
      </c>
      <c r="S491" s="10">
        <f>+(IF(P491="PUBLICA(1)",1,IF(P491="USO INTERNO(2)",2,IF(P491="RESTRINGIDO(3)",3,3))))+(IF(Q491="BAJA(1)",1,IF(Q491="MEDIA(2)",2,IF(Q491="ALTA(3)",3,3))))+(IF(R491="BAJA(1)",1,IF(R491="MEDIA(2)",2,IF(R491="ALTA(3)",3,3))))</f>
        <v/>
      </c>
      <c r="T491" s="10">
        <f>+IF(S491&lt;6,"BAJA",IF(S491&lt;8,"MEDIA","ALTA"))</f>
        <v/>
      </c>
      <c r="U491" s="10" t="inlineStr">
        <is>
          <t>-</t>
        </is>
      </c>
      <c r="V491" s="24" t="n">
        <v>45674</v>
      </c>
      <c r="W491" s="19" t="inlineStr">
        <is>
          <t>N/A</t>
        </is>
      </c>
      <c r="X491" s="10">
        <f>+IFERROR(IF(VLOOKUP(Tabla2[[#This Row],[ID]],'EVALUACION DE RIESGO'!A:A,1,FALSE)=Tabla2[[#This Row],[ID]],"SI","NO"),"NO")</f>
        <v/>
      </c>
    </row>
    <row r="492">
      <c r="A492" s="91" t="inlineStr">
        <is>
          <t>113-GOP</t>
        </is>
      </c>
      <c r="B492" s="10" t="inlineStr">
        <is>
          <t>APOYO</t>
        </is>
      </c>
      <c r="C492" s="10" t="inlineStr">
        <is>
          <t xml:space="preserve">Gestión de Operaciones </t>
        </is>
      </c>
      <c r="D492" s="10" t="inlineStr">
        <is>
          <t>GOP</t>
        </is>
      </c>
      <c r="E492" s="10" t="inlineStr">
        <is>
          <t xml:space="preserve">Canales Electrónicos </t>
        </is>
      </c>
      <c r="F492" s="10" t="inlineStr">
        <is>
          <t xml:space="preserve">Gestión de tarjetas de débito </t>
        </is>
      </c>
      <c r="G492" s="10" t="inlineStr">
        <is>
          <t xml:space="preserve">Generación de tarjetas de débito </t>
        </is>
      </c>
      <c r="H492" s="10" t="inlineStr">
        <is>
          <t>Acta entrega recepción de tarjetas</t>
        </is>
      </c>
      <c r="I492" s="10" t="inlineStr">
        <is>
          <t>Acta de entrega de la tarjeta de débito con información del cliente y asesor</t>
        </is>
      </c>
      <c r="J492" s="10" t="inlineStr">
        <is>
          <t xml:space="preserve">Jefe de Soporte y Cuadres </t>
        </is>
      </c>
      <c r="K492" s="10" t="inlineStr">
        <is>
          <t>Asistente Operativo</t>
        </is>
      </c>
      <c r="L492" s="10" t="inlineStr">
        <is>
          <t>DOCUMENTOS FISICOS-ARCHIVOS DE LA OFICINA</t>
        </is>
      </c>
      <c r="M492" s="10" t="inlineStr">
        <is>
          <t>DOCUMENTO DE ARCHIVO-FÍSICO</t>
        </is>
      </c>
      <c r="N492" s="10" t="inlineStr">
        <is>
          <t>PRIMARIOS</t>
        </is>
      </c>
      <c r="O492" s="10" t="inlineStr">
        <is>
          <t>DOCUMENTOS HABILITANTES</t>
        </is>
      </c>
      <c r="P492" s="10" t="inlineStr">
        <is>
          <t>USO INTERNO(2)</t>
        </is>
      </c>
      <c r="Q492" s="10" t="inlineStr">
        <is>
          <t>MEDIA(2)</t>
        </is>
      </c>
      <c r="R492" s="10" t="inlineStr">
        <is>
          <t>MEDIA(2)</t>
        </is>
      </c>
      <c r="S492" s="10">
        <f>+(IF(P492="PUBLICA(1)",1,IF(P492="USO INTERNO(2)",2,IF(P492="RESTRINGIDO(3)",3,3))))+(IF(Q492="BAJA(1)",1,IF(Q492="MEDIA(2)",2,IF(Q492="ALTA(3)",3,3))))+(IF(R492="BAJA(1)",1,IF(R492="MEDIA(2)",2,IF(R492="ALTA(3)",3,3))))</f>
        <v/>
      </c>
      <c r="T492" s="10">
        <f>+IF(S492&lt;6,"BAJA",IF(S492&lt;8,"MEDIA","ALTA"))</f>
        <v/>
      </c>
      <c r="U492" s="10" t="inlineStr">
        <is>
          <t>-</t>
        </is>
      </c>
      <c r="V492" s="24" t="n">
        <v>45674</v>
      </c>
      <c r="W492" s="19" t="inlineStr">
        <is>
          <t>N/A</t>
        </is>
      </c>
      <c r="X492" s="10">
        <f>+IFERROR(IF(VLOOKUP(Tabla2[[#This Row],[ID]],'EVALUACION DE RIESGO'!A:A,1,FALSE)=Tabla2[[#This Row],[ID]],"SI","NO"),"NO")</f>
        <v/>
      </c>
    </row>
    <row r="493">
      <c r="A493" s="91" t="inlineStr">
        <is>
          <t>114-GOP</t>
        </is>
      </c>
      <c r="B493" s="10" t="inlineStr">
        <is>
          <t>APOYO</t>
        </is>
      </c>
      <c r="C493" s="10" t="inlineStr">
        <is>
          <t xml:space="preserve">Gestión de Operaciones </t>
        </is>
      </c>
      <c r="D493" s="10" t="inlineStr">
        <is>
          <t>GOP</t>
        </is>
      </c>
      <c r="E493" s="10" t="inlineStr">
        <is>
          <t xml:space="preserve">Canales Electrónicos </t>
        </is>
      </c>
      <c r="F493" s="10" t="inlineStr">
        <is>
          <t xml:space="preserve">Gestión de tarjetas de débito </t>
        </is>
      </c>
      <c r="G493" s="10" t="inlineStr">
        <is>
          <t xml:space="preserve">Bloqueo, desbloqueo y anulación de tarjetas de débito    </t>
        </is>
      </c>
      <c r="H493" s="10" t="inlineStr">
        <is>
          <t>Solicitud de bloqueo y cierre de tarjeta de débito</t>
        </is>
      </c>
      <c r="I493" s="10" t="inlineStr">
        <is>
          <t>Archivo físico de solicitud de bloqueo del socio</t>
        </is>
      </c>
      <c r="J493" s="10" t="inlineStr">
        <is>
          <t xml:space="preserve">Jefe de Soporte y Cuadres </t>
        </is>
      </c>
      <c r="K493" s="10" t="inlineStr">
        <is>
          <t>Asistente Operativo</t>
        </is>
      </c>
      <c r="L493" s="10" t="inlineStr">
        <is>
          <t>DOCUMENTOS FISICOS-ARCHIVOS DE LA OFICINA</t>
        </is>
      </c>
      <c r="M493" s="10" t="inlineStr">
        <is>
          <t>DOCUMENTO DE ARCHIVO-FÍSICO</t>
        </is>
      </c>
      <c r="N493" s="10" t="inlineStr">
        <is>
          <t>PRIMARIOS</t>
        </is>
      </c>
      <c r="O493" s="10" t="inlineStr">
        <is>
          <t>DOCUMENTOS HABILITANTES</t>
        </is>
      </c>
      <c r="P493" s="10" t="inlineStr">
        <is>
          <t>USO INTERNO(2)</t>
        </is>
      </c>
      <c r="Q493" s="10" t="inlineStr">
        <is>
          <t>MEDIA(2)</t>
        </is>
      </c>
      <c r="R493" s="10" t="inlineStr">
        <is>
          <t>MEDIA(2)</t>
        </is>
      </c>
      <c r="S493" s="10">
        <f>+(IF(P493="PUBLICA(1)",1,IF(P493="USO INTERNO(2)",2,IF(P493="RESTRINGIDO(3)",3,3))))+(IF(Q493="BAJA(1)",1,IF(Q493="MEDIA(2)",2,IF(Q493="ALTA(3)",3,3))))+(IF(R493="BAJA(1)",1,IF(R493="MEDIA(2)",2,IF(R493="ALTA(3)",3,3))))</f>
        <v/>
      </c>
      <c r="T493" s="10">
        <f>+IF(S493&lt;6,"BAJA",IF(S493&lt;8,"MEDIA","ALTA"))</f>
        <v/>
      </c>
      <c r="U493" s="10" t="inlineStr">
        <is>
          <t>-</t>
        </is>
      </c>
      <c r="V493" s="24" t="n">
        <v>45674</v>
      </c>
      <c r="W493" s="19" t="inlineStr">
        <is>
          <t>N/A</t>
        </is>
      </c>
      <c r="X493" s="10">
        <f>+IFERROR(IF(VLOOKUP(Tabla2[[#This Row],[ID]],'EVALUACION DE RIESGO'!A:A,1,FALSE)=Tabla2[[#This Row],[ID]],"SI","NO"),"NO")</f>
        <v/>
      </c>
    </row>
    <row r="494">
      <c r="A494" s="91" t="inlineStr">
        <is>
          <t>115-GOP</t>
        </is>
      </c>
      <c r="B494" s="10" t="inlineStr">
        <is>
          <t>APOYO</t>
        </is>
      </c>
      <c r="C494" s="10" t="inlineStr">
        <is>
          <t xml:space="preserve">Gestión de Operaciones </t>
        </is>
      </c>
      <c r="D494" s="10" t="inlineStr">
        <is>
          <t>GOP</t>
        </is>
      </c>
      <c r="E494" s="10" t="inlineStr">
        <is>
          <t xml:space="preserve">Canales Electrónicos </t>
        </is>
      </c>
      <c r="F494" s="10" t="inlineStr">
        <is>
          <t xml:space="preserve">Gestión de tarjetas de débito </t>
        </is>
      </c>
      <c r="G494" s="10" t="inlineStr">
        <is>
          <t xml:space="preserve">Bloqueo, desbloqueo y anulación de tarjetas de débito    </t>
        </is>
      </c>
      <c r="H494" s="10" t="inlineStr">
        <is>
          <t>Solicitud de desbloqueo de tarjeta de débito</t>
        </is>
      </c>
      <c r="I494" s="10" t="inlineStr">
        <is>
          <t>Archivo físico de solicitud de desbloqueo del socio</t>
        </is>
      </c>
      <c r="J494" s="10" t="inlineStr">
        <is>
          <t xml:space="preserve">Jefe de Soporte y Cuadres </t>
        </is>
      </c>
      <c r="K494" s="10" t="inlineStr">
        <is>
          <t>Asistente Operativo</t>
        </is>
      </c>
      <c r="L494" s="10" t="inlineStr">
        <is>
          <t>DOCUMENTOS FISICOS-ARCHIVOS DE LA OFICINA</t>
        </is>
      </c>
      <c r="M494" s="10" t="inlineStr">
        <is>
          <t>DOCUMENTO DE ARCHIVO-FÍSICO</t>
        </is>
      </c>
      <c r="N494" s="10" t="inlineStr">
        <is>
          <t>PRIMARIOS</t>
        </is>
      </c>
      <c r="O494" s="10" t="inlineStr">
        <is>
          <t>DOCUMENTOS HABILITANTES</t>
        </is>
      </c>
      <c r="P494" s="10" t="inlineStr">
        <is>
          <t>USO INTERNO(2)</t>
        </is>
      </c>
      <c r="Q494" s="10" t="inlineStr">
        <is>
          <t>MEDIA(2)</t>
        </is>
      </c>
      <c r="R494" s="10" t="inlineStr">
        <is>
          <t>MEDIA(2)</t>
        </is>
      </c>
      <c r="S494" s="10">
        <f>+(IF(P494="PUBLICA(1)",1,IF(P494="USO INTERNO(2)",2,IF(P494="RESTRINGIDO(3)",3,3))))+(IF(Q494="BAJA(1)",1,IF(Q494="MEDIA(2)",2,IF(Q494="ALTA(3)",3,3))))+(IF(R494="BAJA(1)",1,IF(R494="MEDIA(2)",2,IF(R494="ALTA(3)",3,3))))</f>
        <v/>
      </c>
      <c r="T494" s="10">
        <f>+IF(S494&lt;6,"BAJA",IF(S494&lt;8,"MEDIA","ALTA"))</f>
        <v/>
      </c>
      <c r="U494" s="10" t="inlineStr">
        <is>
          <t>-</t>
        </is>
      </c>
      <c r="V494" s="24" t="n">
        <v>45674</v>
      </c>
      <c r="W494" s="19" t="inlineStr">
        <is>
          <t>N/A</t>
        </is>
      </c>
      <c r="X494" s="10">
        <f>+IFERROR(IF(VLOOKUP(Tabla2[[#This Row],[ID]],'EVALUACION DE RIESGO'!A:A,1,FALSE)=Tabla2[[#This Row],[ID]],"SI","NO"),"NO")</f>
        <v/>
      </c>
    </row>
    <row r="495">
      <c r="A495" s="91" t="inlineStr">
        <is>
          <t>116-GOP</t>
        </is>
      </c>
      <c r="B495" s="10" t="inlineStr">
        <is>
          <t>APOYO</t>
        </is>
      </c>
      <c r="C495" s="10" t="inlineStr">
        <is>
          <t xml:space="preserve">Gestión de Operaciones </t>
        </is>
      </c>
      <c r="D495" s="10" t="inlineStr">
        <is>
          <t>GOP</t>
        </is>
      </c>
      <c r="E495" s="10" t="inlineStr">
        <is>
          <t xml:space="preserve">Canales Electrónicos </t>
        </is>
      </c>
      <c r="F495" s="10" t="inlineStr">
        <is>
          <t xml:space="preserve">Gestión de tarjetas de débito </t>
        </is>
      </c>
      <c r="G495" s="10" t="inlineStr">
        <is>
          <t xml:space="preserve">Bloqueo, desbloqueo y anulación de tarjetas de débito    </t>
        </is>
      </c>
      <c r="H495" s="10" t="inlineStr">
        <is>
          <t>Tarjeta de débito cerrada</t>
        </is>
      </c>
      <c r="I495" s="10" t="inlineStr">
        <is>
          <t>Tarjetas físicas cerradas receptadas en Operaciones</t>
        </is>
      </c>
      <c r="J495" s="10" t="inlineStr">
        <is>
          <t xml:space="preserve">Jefe de Soporte y Cuadres </t>
        </is>
      </c>
      <c r="K495" s="10" t="inlineStr">
        <is>
          <t>Asistente Operativo</t>
        </is>
      </c>
      <c r="L495" s="10" t="inlineStr">
        <is>
          <t>DOCUMENTOS FISICOS-ARCHIVOS DE LA OFICINA</t>
        </is>
      </c>
      <c r="M495" s="10" t="inlineStr">
        <is>
          <t>DOCUMENTO DE ARCHIVO-FÍSICO</t>
        </is>
      </c>
      <c r="N495" s="10" t="inlineStr">
        <is>
          <t>PRIMARIOS</t>
        </is>
      </c>
      <c r="O495" s="10" t="inlineStr">
        <is>
          <t>INFORMACIÓN DE SOCIOS Y CLIENTES</t>
        </is>
      </c>
      <c r="P495" s="10" t="inlineStr">
        <is>
          <t>USO INTERNO(2)</t>
        </is>
      </c>
      <c r="Q495" s="10" t="inlineStr">
        <is>
          <t>BAJA(1)</t>
        </is>
      </c>
      <c r="R495" s="10" t="inlineStr">
        <is>
          <t>BAJA(1)</t>
        </is>
      </c>
      <c r="S495" s="10">
        <f>+(IF(P495="PUBLICA(1)",1,IF(P495="USO INTERNO(2)",2,IF(P495="RESTRINGIDO(3)",3,3))))+(IF(Q495="BAJA(1)",1,IF(Q495="MEDIA(2)",2,IF(Q495="ALTA(3)",3,3))))+(IF(R495="BAJA(1)",1,IF(R495="MEDIA(2)",2,IF(R495="ALTA(3)",3,3))))</f>
        <v/>
      </c>
      <c r="T495" s="10">
        <f>+IF(S495&lt;6,"BAJA",IF(S495&lt;8,"MEDIA","ALTA"))</f>
        <v/>
      </c>
      <c r="U495" s="10" t="inlineStr">
        <is>
          <t>-</t>
        </is>
      </c>
      <c r="V495" s="24" t="n">
        <v>45674</v>
      </c>
      <c r="W495" s="19" t="inlineStr">
        <is>
          <t>N/A</t>
        </is>
      </c>
      <c r="X495" s="10">
        <f>+IFERROR(IF(VLOOKUP(Tabla2[[#This Row],[ID]],'EVALUACION DE RIESGO'!A:A,1,FALSE)=Tabla2[[#This Row],[ID]],"SI","NO"),"NO")</f>
        <v/>
      </c>
    </row>
    <row r="496">
      <c r="A496" s="91" t="inlineStr">
        <is>
          <t>117-GOP</t>
        </is>
      </c>
      <c r="B496" s="10" t="inlineStr">
        <is>
          <t>APOYO</t>
        </is>
      </c>
      <c r="C496" s="10" t="inlineStr">
        <is>
          <t xml:space="preserve">Gestión de Operaciones </t>
        </is>
      </c>
      <c r="D496" s="10" t="inlineStr">
        <is>
          <t>GOP</t>
        </is>
      </c>
      <c r="E496" s="10" t="inlineStr">
        <is>
          <t xml:space="preserve">Canales Electrónicos </t>
        </is>
      </c>
      <c r="F496" s="10" t="inlineStr">
        <is>
          <t xml:space="preserve">Gestión de tarjetas de débito </t>
        </is>
      </c>
      <c r="G496" s="10" t="inlineStr">
        <is>
          <t>Baja de tarjetas de débito</t>
        </is>
      </c>
      <c r="H496" s="10" t="inlineStr">
        <is>
          <t>Reporte de tarjetas de débito dadas de baja</t>
        </is>
      </c>
      <c r="I496" s="10" t="inlineStr">
        <is>
          <t>Reporte recibido por prosupply con el detalle de tarjetas dadas de baja, contiene información de numero cédula nombre, numero de tarjeta enmascarado, fecha</t>
        </is>
      </c>
      <c r="J496" s="10" t="inlineStr">
        <is>
          <t xml:space="preserve">Jefe de Soporte y Cuadres </t>
        </is>
      </c>
      <c r="K496" s="10" t="inlineStr">
        <is>
          <t>Asistente Operativo</t>
        </is>
      </c>
      <c r="L496" s="10" t="inlineStr">
        <is>
          <t>DOCUMENTOS FISICOS-ARCHIVOS DE LA OFICINA</t>
        </is>
      </c>
      <c r="M496" s="10" t="inlineStr">
        <is>
          <t>DOCUMENTO DE ARCHIVO-FÍSICO</t>
        </is>
      </c>
      <c r="N496" s="10" t="inlineStr">
        <is>
          <t>PRIMARIOS</t>
        </is>
      </c>
      <c r="O496" s="10" t="inlineStr">
        <is>
          <t>INFORMACIÓN DE SOCIOS Y CLIENTES</t>
        </is>
      </c>
      <c r="P496" s="10" t="inlineStr">
        <is>
          <t>USO INTERNO(2)</t>
        </is>
      </c>
      <c r="Q496" s="10" t="inlineStr">
        <is>
          <t>BAJA(1)</t>
        </is>
      </c>
      <c r="R496" s="10" t="inlineStr">
        <is>
          <t>BAJA(1)</t>
        </is>
      </c>
      <c r="S496" s="10">
        <f>+(IF(P496="PUBLICA(1)",1,IF(P496="USO INTERNO(2)",2,IF(P496="RESTRINGIDO(3)",3,3))))+(IF(Q496="BAJA(1)",1,IF(Q496="MEDIA(2)",2,IF(Q496="ALTA(3)",3,3))))+(IF(R496="BAJA(1)",1,IF(R496="MEDIA(2)",2,IF(R496="ALTA(3)",3,3))))</f>
        <v/>
      </c>
      <c r="T496" s="10">
        <f>+IF(S496&lt;6,"BAJA",IF(S496&lt;8,"MEDIA","ALTA"))</f>
        <v/>
      </c>
      <c r="U496" s="10" t="inlineStr">
        <is>
          <t>-</t>
        </is>
      </c>
      <c r="V496" s="24" t="n">
        <v>45674</v>
      </c>
      <c r="W496" s="19" t="inlineStr">
        <is>
          <t>N/A</t>
        </is>
      </c>
      <c r="X496" s="10">
        <f>+IFERROR(IF(VLOOKUP(Tabla2[[#This Row],[ID]],'EVALUACION DE RIESGO'!A:A,1,FALSE)=Tabla2[[#This Row],[ID]],"SI","NO"),"NO")</f>
        <v/>
      </c>
    </row>
    <row r="497">
      <c r="A497" s="91" t="inlineStr">
        <is>
          <t>118-GOP</t>
        </is>
      </c>
      <c r="B497" s="10" t="inlineStr">
        <is>
          <t>APOYO</t>
        </is>
      </c>
      <c r="C497" s="10" t="inlineStr">
        <is>
          <t xml:space="preserve">Gestión de Operaciones </t>
        </is>
      </c>
      <c r="D497" s="10" t="inlineStr">
        <is>
          <t>GOP</t>
        </is>
      </c>
      <c r="E497" s="10" t="inlineStr">
        <is>
          <t xml:space="preserve">Canales Electrónicos </t>
        </is>
      </c>
      <c r="F497" s="10" t="inlineStr">
        <is>
          <t xml:space="preserve">Gestión del Cash Management </t>
        </is>
      </c>
      <c r="G497" s="10" t="inlineStr">
        <is>
          <t xml:space="preserve">Solicitud del Servicio de Cash Management </t>
        </is>
      </c>
      <c r="H497" s="10" t="inlineStr">
        <is>
          <t>Solicitud del Servicio del Cash management</t>
        </is>
      </c>
      <c r="I497" s="10" t="inlineStr">
        <is>
          <t>Información de solicitud en servicio donde se registran datos de la empresa con el representante legal, el servicio que van a adquirir, firma del representante</t>
        </is>
      </c>
      <c r="J497" s="10" t="inlineStr">
        <is>
          <t xml:space="preserve">Jefe de Soporte y Cuadres </t>
        </is>
      </c>
      <c r="K497" s="10" t="inlineStr">
        <is>
          <t>Asistente Operativo</t>
        </is>
      </c>
      <c r="L497" s="10" t="inlineStr">
        <is>
          <t>DOCUMENTOS FISICOS-ARCHIVOS DE LA OFICINA</t>
        </is>
      </c>
      <c r="M497" s="10" t="inlineStr">
        <is>
          <t>DOCUMENTO DE ARCHIVO-FÍSICO</t>
        </is>
      </c>
      <c r="N497" s="10" t="inlineStr">
        <is>
          <t>PRIMARIOS</t>
        </is>
      </c>
      <c r="O497" s="10" t="inlineStr">
        <is>
          <t>DOCUMENTOS HABILITANTES</t>
        </is>
      </c>
      <c r="P497" s="10" t="inlineStr">
        <is>
          <t>USO INTERNO(2)</t>
        </is>
      </c>
      <c r="Q497" s="10" t="inlineStr">
        <is>
          <t>MEDIA(2)</t>
        </is>
      </c>
      <c r="R497" s="10" t="inlineStr">
        <is>
          <t>MEDIA(2)</t>
        </is>
      </c>
      <c r="S497" s="10">
        <f>+(IF(P497="PUBLICA(1)",1,IF(P497="USO INTERNO(2)",2,IF(P497="RESTRINGIDO(3)",3,3))))+(IF(Q497="BAJA(1)",1,IF(Q497="MEDIA(2)",2,IF(Q497="ALTA(3)",3,3))))+(IF(R497="BAJA(1)",1,IF(R497="MEDIA(2)",2,IF(R497="ALTA(3)",3,3))))</f>
        <v/>
      </c>
      <c r="T497" s="10">
        <f>+IF(S497&lt;6,"BAJA",IF(S497&lt;8,"MEDIA","ALTA"))</f>
        <v/>
      </c>
      <c r="U497" s="10" t="inlineStr">
        <is>
          <t>-</t>
        </is>
      </c>
      <c r="V497" s="24" t="n">
        <v>45674</v>
      </c>
      <c r="W497" s="19" t="inlineStr">
        <is>
          <t>N/A</t>
        </is>
      </c>
      <c r="X497" s="10">
        <f>+IFERROR(IF(VLOOKUP(Tabla2[[#This Row],[ID]],'EVALUACION DE RIESGO'!A:A,1,FALSE)=Tabla2[[#This Row],[ID]],"SI","NO"),"NO")</f>
        <v/>
      </c>
    </row>
    <row r="498">
      <c r="A498" s="91" t="inlineStr">
        <is>
          <t>119-GOP</t>
        </is>
      </c>
      <c r="B498" s="10" t="inlineStr">
        <is>
          <t>APOYO</t>
        </is>
      </c>
      <c r="C498" s="10" t="inlineStr">
        <is>
          <t xml:space="preserve">Gestión de Operaciones </t>
        </is>
      </c>
      <c r="D498" s="10" t="inlineStr">
        <is>
          <t>GOP</t>
        </is>
      </c>
      <c r="E498" s="10" t="inlineStr">
        <is>
          <t xml:space="preserve">Canales Electrónicos </t>
        </is>
      </c>
      <c r="F498" s="10" t="inlineStr">
        <is>
          <t xml:space="preserve">Gestión del Cash Management </t>
        </is>
      </c>
      <c r="G498" s="10" t="inlineStr">
        <is>
          <t xml:space="preserve">Solicitud del Servicio de Cash Management </t>
        </is>
      </c>
      <c r="H498" s="10" t="inlineStr">
        <is>
          <t>Contrato y anexos del cash management</t>
        </is>
      </c>
      <c r="I498" s="10" t="inlineStr">
        <is>
          <t>Anexo usuario autorizados para uso de cash management cooperativa Atuntaqui, que contiene las claves que entregamos, manejo apropiado de las claves, efectos que ocasiona por la perdida, obligaciones, y firmas de responsabilidad</t>
        </is>
      </c>
      <c r="J498" s="10" t="inlineStr">
        <is>
          <t xml:space="preserve">Jefe de Soporte y Cuadres </t>
        </is>
      </c>
      <c r="K498" s="10" t="inlineStr">
        <is>
          <t>Asistente Operativo</t>
        </is>
      </c>
      <c r="L498" s="10" t="inlineStr">
        <is>
          <t>DOCUMENTOS FISICOS-ARCHIVOS DE LA OFICINA</t>
        </is>
      </c>
      <c r="M498" s="10" t="inlineStr">
        <is>
          <t>DOCUMENTO DE ARCHIVO-FÍSICO</t>
        </is>
      </c>
      <c r="N498" s="10" t="inlineStr">
        <is>
          <t>PRIMARIOS</t>
        </is>
      </c>
      <c r="O498" s="10" t="inlineStr">
        <is>
          <t>DOCUMENTOS HABILITANTES</t>
        </is>
      </c>
      <c r="P498" s="10" t="inlineStr">
        <is>
          <t>RESTRINGIDO(3)</t>
        </is>
      </c>
      <c r="Q498" s="10" t="inlineStr">
        <is>
          <t>MEDIA(2)</t>
        </is>
      </c>
      <c r="R498" s="10" t="inlineStr">
        <is>
          <t>MEDIA(2)</t>
        </is>
      </c>
      <c r="S498" s="10">
        <f>+(IF(P498="PUBLICA(1)",1,IF(P498="USO INTERNO(2)",2,IF(P498="RESTRINGIDO(3)",3,3))))+(IF(Q498="BAJA(1)",1,IF(Q498="MEDIA(2)",2,IF(Q498="ALTA(3)",3,3))))+(IF(R498="BAJA(1)",1,IF(R498="MEDIA(2)",2,IF(R498="ALTA(3)",3,3))))</f>
        <v/>
      </c>
      <c r="T498" s="10">
        <f>+IF(S498&lt;6,"BAJA",IF(S498&lt;8,"MEDIA","ALTA"))</f>
        <v/>
      </c>
      <c r="U498" s="10" t="inlineStr">
        <is>
          <t>-</t>
        </is>
      </c>
      <c r="V498" s="24" t="n">
        <v>45674</v>
      </c>
      <c r="W498" s="19" t="inlineStr">
        <is>
          <t>N/A</t>
        </is>
      </c>
      <c r="X498" s="10">
        <f>+IFERROR(IF(VLOOKUP(Tabla2[[#This Row],[ID]],'EVALUACION DE RIESGO'!A:A,1,FALSE)=Tabla2[[#This Row],[ID]],"SI","NO"),"NO")</f>
        <v/>
      </c>
    </row>
    <row r="499">
      <c r="A499" s="91" t="inlineStr">
        <is>
          <t>120-GOP</t>
        </is>
      </c>
      <c r="B499" s="10" t="inlineStr">
        <is>
          <t>APOYO</t>
        </is>
      </c>
      <c r="C499" s="10" t="inlineStr">
        <is>
          <t xml:space="preserve">Gestión de Operaciones </t>
        </is>
      </c>
      <c r="D499" s="10" t="inlineStr">
        <is>
          <t>GOP</t>
        </is>
      </c>
      <c r="E499" s="10" t="inlineStr">
        <is>
          <t xml:space="preserve">Canales Electrónicos </t>
        </is>
      </c>
      <c r="F499" s="10" t="inlineStr">
        <is>
          <t xml:space="preserve">Gestión del Cash Management </t>
        </is>
      </c>
      <c r="G499" s="10" t="inlineStr">
        <is>
          <t xml:space="preserve">Manejo del Servicio de Cash Management </t>
        </is>
      </c>
      <c r="H499" s="10" t="inlineStr">
        <is>
          <t>Matriz de cuadre de los servicios del Cash Management</t>
        </is>
      </c>
      <c r="I499" s="10" t="inlineStr">
        <is>
          <t>Cuadre del estado cuenta del banco Pichincha y el estado del core financiero</t>
        </is>
      </c>
      <c r="J499" s="10" t="inlineStr">
        <is>
          <t xml:space="preserve">Jefe de Soporte y Cuadres </t>
        </is>
      </c>
      <c r="K499" s="10" t="inlineStr">
        <is>
          <t>Asistente Operativo</t>
        </is>
      </c>
      <c r="L499" s="10" t="inlineStr">
        <is>
          <t>UBICACIÓN DIGITAL-EQUIPO DEL CUSTODIO</t>
        </is>
      </c>
      <c r="M499" s="10" t="inlineStr">
        <is>
          <t>DISCOS DUROS, SERVIDORES, DISCOS O MEDIOS PORTÁTILES, CINTAS O MEDIOS DE VIDEO Y AUDIO, ETC.</t>
        </is>
      </c>
      <c r="N499" s="10" t="inlineStr">
        <is>
          <t>PRIMARIOS</t>
        </is>
      </c>
      <c r="O499" s="10" t="inlineStr">
        <is>
          <t>DOCUMENTOS TÉCNICOS</t>
        </is>
      </c>
      <c r="P499" s="10" t="inlineStr">
        <is>
          <t>USO INTERNO(2)</t>
        </is>
      </c>
      <c r="Q499" s="10" t="inlineStr">
        <is>
          <t>BAJA(1)</t>
        </is>
      </c>
      <c r="R499" s="10" t="inlineStr">
        <is>
          <t>MEDIA(2)</t>
        </is>
      </c>
      <c r="S499" s="10">
        <f>+(IF(P499="PUBLICA(1)",1,IF(P499="USO INTERNO(2)",2,IF(P499="RESTRINGIDO(3)",3,3))))+(IF(Q499="BAJA(1)",1,IF(Q499="MEDIA(2)",2,IF(Q499="ALTA(3)",3,3))))+(IF(R499="BAJA(1)",1,IF(R499="MEDIA(2)",2,IF(R499="ALTA(3)",3,3))))</f>
        <v/>
      </c>
      <c r="T499" s="10">
        <f>+IF(S499&lt;6,"BAJA",IF(S499&lt;8,"MEDIA","ALTA"))</f>
        <v/>
      </c>
      <c r="U499" s="10" t="inlineStr">
        <is>
          <t>-</t>
        </is>
      </c>
      <c r="V499" s="24" t="n">
        <v>45674</v>
      </c>
      <c r="W499" s="19" t="inlineStr">
        <is>
          <t>N/A</t>
        </is>
      </c>
      <c r="X499" s="10">
        <f>+IFERROR(IF(VLOOKUP(Tabla2[[#This Row],[ID]],'EVALUACION DE RIESGO'!A:A,1,FALSE)=Tabla2[[#This Row],[ID]],"SI","NO"),"NO")</f>
        <v/>
      </c>
    </row>
    <row r="500">
      <c r="A500" s="91" t="inlineStr">
        <is>
          <t>121-GOP</t>
        </is>
      </c>
      <c r="B500" s="10" t="inlineStr">
        <is>
          <t>APOYO</t>
        </is>
      </c>
      <c r="C500" s="10" t="inlineStr">
        <is>
          <t xml:space="preserve">Gestión de Operaciones </t>
        </is>
      </c>
      <c r="D500" s="10" t="inlineStr">
        <is>
          <t>GOP</t>
        </is>
      </c>
      <c r="E500" s="10" t="inlineStr">
        <is>
          <t xml:space="preserve">Canales Electrónicos </t>
        </is>
      </c>
      <c r="F500" s="10" t="inlineStr">
        <is>
          <t xml:space="preserve">Gestión del Cash Management </t>
        </is>
      </c>
      <c r="G500" s="10" t="inlineStr">
        <is>
          <t xml:space="preserve">Creación, Cancelación, Bloqueo y Desbloqueo de Usuarios del Cash Management </t>
        </is>
      </c>
      <c r="H500" s="10" t="inlineStr">
        <is>
          <t>Formulario de creación, cancelación, bloqueo y desbloqueo de usuarios del Cash Management</t>
        </is>
      </c>
      <c r="I500" s="10" t="inlineStr">
        <is>
          <t>Formulario creación y mantenimiento de usuarios con el detalle de accesos que el representante da a sus subordinados.</t>
        </is>
      </c>
      <c r="J500" s="10" t="inlineStr">
        <is>
          <t xml:space="preserve">Jefe de Soporte y Cuadres </t>
        </is>
      </c>
      <c r="K500" s="10" t="inlineStr">
        <is>
          <t>Asistente Operativo</t>
        </is>
      </c>
      <c r="L500" s="10" t="inlineStr">
        <is>
          <t>DOCUMENTOS FISICOS-ARCHIVOS DE LA OFICINA</t>
        </is>
      </c>
      <c r="M500" s="10" t="inlineStr">
        <is>
          <t>DOCUMENTO DE ARCHIVO-ELECTRÓNICO</t>
        </is>
      </c>
      <c r="N500" s="10" t="inlineStr">
        <is>
          <t>PRIMARIOS</t>
        </is>
      </c>
      <c r="O500" s="10" t="inlineStr">
        <is>
          <t>DOCUMENTOS TÉCNICOS</t>
        </is>
      </c>
      <c r="P500" s="10" t="inlineStr">
        <is>
          <t>USO INTERNO(2)</t>
        </is>
      </c>
      <c r="Q500" s="10" t="inlineStr">
        <is>
          <t>MEDIA(2)</t>
        </is>
      </c>
      <c r="R500" s="10" t="inlineStr">
        <is>
          <t>MEDIA(2)</t>
        </is>
      </c>
      <c r="S500" s="10">
        <f>+(IF(P500="PUBLICA(1)",1,IF(P500="USO INTERNO(2)",2,IF(P500="RESTRINGIDO(3)",3,3))))+(IF(Q500="BAJA(1)",1,IF(Q500="MEDIA(2)",2,IF(Q500="ALTA(3)",3,3))))+(IF(R500="BAJA(1)",1,IF(R500="MEDIA(2)",2,IF(R500="ALTA(3)",3,3))))</f>
        <v/>
      </c>
      <c r="T500" s="10">
        <f>+IF(S500&lt;6,"BAJA",IF(S500&lt;8,"MEDIA","ALTA"))</f>
        <v/>
      </c>
      <c r="U500" s="10" t="inlineStr">
        <is>
          <t>-</t>
        </is>
      </c>
      <c r="V500" s="24" t="n">
        <v>45674</v>
      </c>
      <c r="W500" s="19" t="inlineStr">
        <is>
          <t>N/A</t>
        </is>
      </c>
      <c r="X500" s="10">
        <f>+IFERROR(IF(VLOOKUP(Tabla2[[#This Row],[ID]],'EVALUACION DE RIESGO'!A:A,1,FALSE)=Tabla2[[#This Row],[ID]],"SI","NO"),"NO")</f>
        <v/>
      </c>
    </row>
    <row r="501">
      <c r="A501" s="91" t="inlineStr">
        <is>
          <t>122-GOP</t>
        </is>
      </c>
      <c r="B501" s="10" t="inlineStr">
        <is>
          <t>APOYO</t>
        </is>
      </c>
      <c r="C501" s="10" t="inlineStr">
        <is>
          <t xml:space="preserve">Gestión de Operaciones </t>
        </is>
      </c>
      <c r="D501" s="10" t="inlineStr">
        <is>
          <t>GOP</t>
        </is>
      </c>
      <c r="E501" s="10" t="inlineStr">
        <is>
          <t>N/A</t>
        </is>
      </c>
      <c r="F501" s="10" t="inlineStr">
        <is>
          <t>-</t>
        </is>
      </c>
      <c r="G501" s="10" t="inlineStr">
        <is>
          <t>N/A</t>
        </is>
      </c>
      <c r="H501" s="10" t="inlineStr">
        <is>
          <t xml:space="preserve">Equipos de computación </t>
        </is>
      </c>
      <c r="I501" s="10" t="inlineStr">
        <is>
          <t>Equipos de computación donde se realiza la gestión del área</t>
        </is>
      </c>
      <c r="J501" s="10" t="inlineStr">
        <is>
          <t>Jefe de Infraestructura Operacional</t>
        </is>
      </c>
      <c r="K501" s="10" t="inlineStr">
        <is>
          <t>Jefe de Infraestructura Operacional</t>
        </is>
      </c>
      <c r="L501" s="10" t="inlineStr">
        <is>
          <t>UBICACIÓN FISICA-MATRIZ ATUNTAQUI</t>
        </is>
      </c>
      <c r="M501" s="10" t="inlineStr">
        <is>
          <t>DISCOS DUROS, SERVIDORES, DISCOS O MEDIOS PORTÁTILES, CINTAS O MEDIOS DE VIDEO Y AUDIO, ETC.</t>
        </is>
      </c>
      <c r="N501" s="10" t="inlineStr">
        <is>
          <t>APOYO</t>
        </is>
      </c>
      <c r="O501" s="10" t="inlineStr">
        <is>
          <t>HARDWARE</t>
        </is>
      </c>
      <c r="P501" s="10" t="inlineStr">
        <is>
          <t>RESTRINGIDO(3)</t>
        </is>
      </c>
      <c r="Q501" s="10" t="inlineStr">
        <is>
          <t>MEDIA(2)</t>
        </is>
      </c>
      <c r="R501" s="10" t="inlineStr">
        <is>
          <t>MEDIA(2)</t>
        </is>
      </c>
      <c r="S501" s="10">
        <f>+(IF(P501="PUBLICA(1)",1,IF(P501="USO INTERNO(2)",2,IF(P501="RESTRINGIDO(3)",3,3))))+(IF(Q501="BAJA(1)",1,IF(Q501="MEDIA(2)",2,IF(Q501="ALTA(3)",3,3))))+(IF(R501="BAJA(1)",1,IF(R501="MEDIA(2)",2,IF(R501="ALTA(3)",3,3))))</f>
        <v/>
      </c>
      <c r="T501" s="10">
        <f>+IF(S501&lt;6,"BAJA",IF(S501&lt;8,"MEDIA","ALTA"))</f>
        <v/>
      </c>
      <c r="U501" s="10" t="inlineStr">
        <is>
          <t>-</t>
        </is>
      </c>
      <c r="V501" s="24" t="n">
        <v>45712</v>
      </c>
      <c r="W501" s="19" t="inlineStr">
        <is>
          <t>N/A</t>
        </is>
      </c>
      <c r="X501" s="10">
        <f>+IFERROR(IF(VLOOKUP(Tabla2[[#This Row],[ID]],'EVALUACION DE RIESGO'!A:A,1,FALSE)=Tabla2[[#This Row],[ID]],"SI","NO"),"NO")</f>
        <v/>
      </c>
    </row>
    <row r="502">
      <c r="A502" s="91" t="inlineStr">
        <is>
          <t>123-GOP</t>
        </is>
      </c>
      <c r="B502" s="10" t="inlineStr">
        <is>
          <t>APOYO</t>
        </is>
      </c>
      <c r="C502" s="10" t="inlineStr">
        <is>
          <t xml:space="preserve">Gestión de Operaciones </t>
        </is>
      </c>
      <c r="D502" s="10" t="inlineStr">
        <is>
          <t>GOP</t>
        </is>
      </c>
      <c r="E502" s="10" t="inlineStr">
        <is>
          <t>N/A</t>
        </is>
      </c>
      <c r="F502" s="10" t="inlineStr">
        <is>
          <t>-</t>
        </is>
      </c>
      <c r="G502" s="10" t="inlineStr">
        <is>
          <t>N/A</t>
        </is>
      </c>
      <c r="H502" s="10" t="inlineStr">
        <is>
          <t>Jefe de Infraestructura Operacional</t>
        </is>
      </c>
      <c r="I502" s="10" t="inlineStr">
        <is>
          <t>N/A</t>
        </is>
      </c>
      <c r="J502" s="10" t="inlineStr">
        <is>
          <t>Jefe de Infraestructura Operacional</t>
        </is>
      </c>
      <c r="K502" s="10" t="inlineStr">
        <is>
          <t>N/A</t>
        </is>
      </c>
      <c r="L502" s="10" t="inlineStr">
        <is>
          <t>N/A</t>
        </is>
      </c>
      <c r="M502" s="10" t="inlineStr">
        <is>
          <t>N/A</t>
        </is>
      </c>
      <c r="N502" s="10" t="inlineStr">
        <is>
          <t>APOYO</t>
        </is>
      </c>
      <c r="O502" s="10" t="inlineStr">
        <is>
          <t>RECURSO HUMANO</t>
        </is>
      </c>
      <c r="P502" s="10" t="inlineStr">
        <is>
          <t>USO INTERNO(2)</t>
        </is>
      </c>
      <c r="Q502" s="10" t="inlineStr">
        <is>
          <t>MEDIA(2)</t>
        </is>
      </c>
      <c r="R502" s="10" t="inlineStr">
        <is>
          <t>MEDIA(2)</t>
        </is>
      </c>
      <c r="S502" s="10">
        <f>+(IF(P502="PUBLICA(1)",1,IF(P502="USO INTERNO(2)",2,IF(P502="RESTRINGIDO(3)",3,3))))+(IF(Q502="BAJA(1)",1,IF(Q502="MEDIA(2)",2,IF(Q502="ALTA(3)",3,3))))+(IF(R502="BAJA(1)",1,IF(R502="MEDIA(2)",2,IF(R502="ALTA(3)",3,3))))</f>
        <v/>
      </c>
      <c r="T502" s="10">
        <f>+IF(S502&lt;6,"BAJA",IF(S502&lt;8,"MEDIA","ALTA"))</f>
        <v/>
      </c>
      <c r="U502" s="10" t="inlineStr">
        <is>
          <t>-</t>
        </is>
      </c>
      <c r="V502" s="24" t="n">
        <v>45712</v>
      </c>
      <c r="W502" s="19" t="inlineStr">
        <is>
          <t>N/A</t>
        </is>
      </c>
      <c r="X502" s="10">
        <f>+IFERROR(IF(VLOOKUP(Tabla2[[#This Row],[ID]],'EVALUACION DE RIESGO'!A:A,1,FALSE)=Tabla2[[#This Row],[ID]],"SI","NO"),"NO")</f>
        <v/>
      </c>
    </row>
    <row r="503">
      <c r="A503" s="91" t="inlineStr">
        <is>
          <t>124-GOP</t>
        </is>
      </c>
      <c r="B503" s="10" t="inlineStr">
        <is>
          <t>APOYO</t>
        </is>
      </c>
      <c r="C503" s="10" t="inlineStr">
        <is>
          <t xml:space="preserve">Gestión de Operaciones </t>
        </is>
      </c>
      <c r="D503" s="10" t="inlineStr">
        <is>
          <t>GOP</t>
        </is>
      </c>
      <c r="E503" s="10" t="inlineStr">
        <is>
          <t>N/A</t>
        </is>
      </c>
      <c r="F503" s="10" t="inlineStr">
        <is>
          <t>-</t>
        </is>
      </c>
      <c r="G503" s="10" t="inlineStr">
        <is>
          <t>N/A</t>
        </is>
      </c>
      <c r="H503" s="10" t="inlineStr">
        <is>
          <t>Jefe de Front Operativo</t>
        </is>
      </c>
      <c r="I503" s="10" t="inlineStr">
        <is>
          <t>N/A</t>
        </is>
      </c>
      <c r="J503" s="10" t="inlineStr">
        <is>
          <t>Jefe de Front Operativo</t>
        </is>
      </c>
      <c r="K503" s="10" t="inlineStr">
        <is>
          <t>N/A</t>
        </is>
      </c>
      <c r="L503" s="10" t="inlineStr">
        <is>
          <t>N/A</t>
        </is>
      </c>
      <c r="M503" s="10" t="inlineStr">
        <is>
          <t>N/A</t>
        </is>
      </c>
      <c r="N503" s="10" t="inlineStr">
        <is>
          <t>APOYO</t>
        </is>
      </c>
      <c r="O503" s="10" t="inlineStr">
        <is>
          <t>RECURSO HUMANO</t>
        </is>
      </c>
      <c r="P503" s="10" t="inlineStr">
        <is>
          <t>USO INTERNO(2)</t>
        </is>
      </c>
      <c r="Q503" s="10" t="inlineStr">
        <is>
          <t>MEDIA(2)</t>
        </is>
      </c>
      <c r="R503" s="10" t="inlineStr">
        <is>
          <t>MEDIA(2)</t>
        </is>
      </c>
      <c r="S503" s="10">
        <f>+(IF(P503="PUBLICA(1)",1,IF(P503="USO INTERNO(2)",2,IF(P503="RESTRINGIDO(3)",3,3))))+(IF(Q503="BAJA(1)",1,IF(Q503="MEDIA(2)",2,IF(Q503="ALTA(3)",3,3))))+(IF(R503="BAJA(1)",1,IF(R503="MEDIA(2)",2,IF(R503="ALTA(3)",3,3))))</f>
        <v/>
      </c>
      <c r="T503" s="10">
        <f>+IF(S503&lt;6,"BAJA",IF(S503&lt;8,"MEDIA","ALTA"))</f>
        <v/>
      </c>
      <c r="U503" s="10" t="inlineStr">
        <is>
          <t>-</t>
        </is>
      </c>
      <c r="V503" s="24" t="n">
        <v>45712</v>
      </c>
      <c r="W503" s="19" t="inlineStr">
        <is>
          <t>N/A</t>
        </is>
      </c>
      <c r="X503" s="10">
        <f>+IFERROR(IF(VLOOKUP(Tabla2[[#This Row],[ID]],'EVALUACION DE RIESGO'!A:A,1,FALSE)=Tabla2[[#This Row],[ID]],"SI","NO"),"NO")</f>
        <v/>
      </c>
    </row>
    <row r="504">
      <c r="A504" s="91" t="inlineStr">
        <is>
          <t xml:space="preserve">1-GPL </t>
        </is>
      </c>
      <c r="B504" s="10" t="inlineStr">
        <is>
          <t>APOYO</t>
        </is>
      </c>
      <c r="C504" s="10" t="inlineStr">
        <is>
          <t xml:space="preserve">Gestión de Prevención de Lavado de Activos y financiamiento de delítos </t>
        </is>
      </c>
      <c r="D504" s="10" t="inlineStr">
        <is>
          <t xml:space="preserve">GPL </t>
        </is>
      </c>
      <c r="E504" s="10" t="inlineStr">
        <is>
          <t xml:space="preserve">Gestión de Prevención de Lavado de Activos </t>
        </is>
      </c>
      <c r="F504" s="10" t="inlineStr">
        <is>
          <t>Planificación del Departamento de Cumplimiento y actualización de normativa</t>
        </is>
      </c>
      <c r="G504" s="10" t="inlineStr">
        <is>
          <t xml:space="preserve">Elaboración del plan anual  de trabajo </t>
        </is>
      </c>
      <c r="H504" s="10" t="inlineStr">
        <is>
          <t>Plan anual de trabajo</t>
        </is>
      </c>
      <c r="I504" s="10" t="inlineStr">
        <is>
          <t>Plan de actividades que va a ejecuta el departamento de Cumplimeinto en el año en curso</t>
        </is>
      </c>
      <c r="J504" s="10" t="inlineStr">
        <is>
          <t>Oficial de cumplimiento</t>
        </is>
      </c>
      <c r="K504" s="10" t="inlineStr">
        <is>
          <t>Oficial de cumplimiento</t>
        </is>
      </c>
      <c r="L504" s="10" t="inlineStr">
        <is>
          <t>UBICACIÓN DIGITAL-EQUIPO DEL RESPONSABLE</t>
        </is>
      </c>
      <c r="M504" s="10" t="inlineStr">
        <is>
          <t>DISCOS DUROS, SERVIDORES, DISCOS O MEDIOS PORTÁTILES, CINTAS O MEDIOS DE VIDEO Y AUDIO, ETC.</t>
        </is>
      </c>
      <c r="N504" s="10" t="inlineStr">
        <is>
          <t>PRIMARIOS</t>
        </is>
      </c>
      <c r="O504" s="10" t="inlineStr">
        <is>
          <t>DOCUMENTOS TÉCNICOS</t>
        </is>
      </c>
      <c r="P504" s="10" t="inlineStr">
        <is>
          <t>USO INTERNO(2)</t>
        </is>
      </c>
      <c r="Q504" s="10" t="inlineStr">
        <is>
          <t>BAJA(1)</t>
        </is>
      </c>
      <c r="R504" s="10" t="inlineStr">
        <is>
          <t>MEDIA(2)</t>
        </is>
      </c>
      <c r="S504" s="10">
        <f>+(IF(P504="PUBLICA(1)",1,IF(P504="USO INTERNO(2)",2,IF(P504="RESTRINGIDO(3)",3,3))))+(IF(Q504="BAJA(1)",1,IF(Q504="MEDIA(2)",2,IF(Q504="ALTA(3)",3,3))))+(IF(R504="BAJA(1)",1,IF(R504="MEDIA(2)",2,IF(R504="ALTA(3)",3,3))))</f>
        <v/>
      </c>
      <c r="T504" s="10">
        <f>+IF(S504&lt;6,"BAJA",IF(S504&lt;8,"MEDIA","ALTA"))</f>
        <v/>
      </c>
      <c r="U504" s="10" t="inlineStr">
        <is>
          <t>-</t>
        </is>
      </c>
      <c r="V504" s="24" t="n">
        <v>45706</v>
      </c>
      <c r="W504" s="19" t="inlineStr">
        <is>
          <t>N/A</t>
        </is>
      </c>
      <c r="X504" s="10">
        <f>+IFERROR(IF(VLOOKUP(Tabla2[[#This Row],[ID]],'EVALUACION DE RIESGO'!A:A,1,FALSE)=Tabla2[[#This Row],[ID]],"SI","NO"),"NO")</f>
        <v/>
      </c>
    </row>
    <row r="505">
      <c r="A505" s="91" t="inlineStr">
        <is>
          <t xml:space="preserve">2-GPL </t>
        </is>
      </c>
      <c r="B505" s="10" t="inlineStr">
        <is>
          <t>APOYO</t>
        </is>
      </c>
      <c r="C505" s="10" t="inlineStr">
        <is>
          <t xml:space="preserve">Gestión de Prevención de Lavado de Activos y financiamiento de delítos </t>
        </is>
      </c>
      <c r="D505" s="10" t="inlineStr">
        <is>
          <t xml:space="preserve">GPL </t>
        </is>
      </c>
      <c r="E505" s="10" t="inlineStr">
        <is>
          <t xml:space="preserve">Gestión de Prevención de Lavado de Activos </t>
        </is>
      </c>
      <c r="F505" s="10" t="inlineStr">
        <is>
          <t>Planificación del Departamento de Cumplimiento y actualización de normativa</t>
        </is>
      </c>
      <c r="G505" s="10" t="inlineStr">
        <is>
          <t xml:space="preserve">Elaboración del plan anual  de trabajo </t>
        </is>
      </c>
      <c r="H505" s="10" t="inlineStr">
        <is>
          <t>Certificación CDA</t>
        </is>
      </c>
      <c r="I505" s="10" t="inlineStr">
        <is>
          <t xml:space="preserve">Certificación de la ejecución del plan anual de trabajo </t>
        </is>
      </c>
      <c r="J505" s="10" t="inlineStr">
        <is>
          <t>Oficial de cumplimiento</t>
        </is>
      </c>
      <c r="K505" s="10" t="inlineStr">
        <is>
          <t>Oficial de cumplimiento</t>
        </is>
      </c>
      <c r="L505" s="10" t="inlineStr">
        <is>
          <t>UBICACIÓN DIGITAL-EQUIPO DEL RESPONSABLE</t>
        </is>
      </c>
      <c r="M505" s="10" t="inlineStr">
        <is>
          <t>DISCOS DUROS, SERVIDORES, DISCOS O MEDIOS PORTÁTILES, CINTAS O MEDIOS DE VIDEO Y AUDIO, ETC.</t>
        </is>
      </c>
      <c r="N505" s="10" t="inlineStr">
        <is>
          <t>PRIMARIOS</t>
        </is>
      </c>
      <c r="O505" s="10" t="inlineStr">
        <is>
          <t>INFORMACIÓN DE TERCEROS</t>
        </is>
      </c>
      <c r="P505" s="10" t="inlineStr">
        <is>
          <t>USO INTERNO(2)</t>
        </is>
      </c>
      <c r="Q505" s="10" t="inlineStr">
        <is>
          <t>BAJA(1)</t>
        </is>
      </c>
      <c r="R505" s="10" t="inlineStr">
        <is>
          <t>BAJA(1)</t>
        </is>
      </c>
      <c r="S505" s="10">
        <f>+(IF(P505="PUBLICA(1)",1,IF(P505="USO INTERNO(2)",2,IF(P505="RESTRINGIDO(3)",3,3))))+(IF(Q505="BAJA(1)",1,IF(Q505="MEDIA(2)",2,IF(Q505="ALTA(3)",3,3))))+(IF(R505="BAJA(1)",1,IF(R505="MEDIA(2)",2,IF(R505="ALTA(3)",3,3))))</f>
        <v/>
      </c>
      <c r="T505" s="10">
        <f>+IF(S505&lt;6,"BAJA",IF(S505&lt;8,"MEDIA","ALTA"))</f>
        <v/>
      </c>
      <c r="U505" s="10" t="inlineStr">
        <is>
          <t>-</t>
        </is>
      </c>
      <c r="V505" s="24" t="n">
        <v>45706</v>
      </c>
      <c r="W505" s="19" t="inlineStr">
        <is>
          <t>N/A</t>
        </is>
      </c>
      <c r="X505" s="10">
        <f>+IFERROR(IF(VLOOKUP(Tabla2[[#This Row],[ID]],'EVALUACION DE RIESGO'!A:A,1,FALSE)=Tabla2[[#This Row],[ID]],"SI","NO"),"NO")</f>
        <v/>
      </c>
    </row>
    <row r="506">
      <c r="A506" s="91" t="inlineStr">
        <is>
          <t xml:space="preserve">3-GPL </t>
        </is>
      </c>
      <c r="B506" s="10" t="inlineStr">
        <is>
          <t>APOYO</t>
        </is>
      </c>
      <c r="C506" s="10" t="inlineStr">
        <is>
          <t xml:space="preserve">Gestión de Prevención de Lavado de Activos y financiamiento de delítos </t>
        </is>
      </c>
      <c r="D506" s="10" t="inlineStr">
        <is>
          <t xml:space="preserve">GPL </t>
        </is>
      </c>
      <c r="E506" s="10" t="inlineStr">
        <is>
          <t xml:space="preserve">Gestión de Prevención de Lavado de Activos </t>
        </is>
      </c>
      <c r="F506" s="10" t="inlineStr">
        <is>
          <t>Planificación del Departamento de Cumplimiento y actualización de normativa</t>
        </is>
      </c>
      <c r="G506" s="10" t="inlineStr">
        <is>
          <t xml:space="preserve">Elaboración del plan anual  de trabajo </t>
        </is>
      </c>
      <c r="H506" s="10" t="inlineStr">
        <is>
          <t>Registro SEPS</t>
        </is>
      </c>
      <c r="I506" s="10" t="inlineStr">
        <is>
          <t>Registro cargado al sistema de Monitoreo integral SEPS</t>
        </is>
      </c>
      <c r="J506" s="10" t="inlineStr">
        <is>
          <t>Oficial de cumplimiento</t>
        </is>
      </c>
      <c r="K506" s="10" t="inlineStr">
        <is>
          <t>Oficial de cumplimiento</t>
        </is>
      </c>
      <c r="L506" s="10" t="inlineStr">
        <is>
          <t>UBICACIÓN DIGITAL-EQUIPO DEL RESPONSABLE</t>
        </is>
      </c>
      <c r="M506" s="10" t="inlineStr">
        <is>
          <t>DISCOS DUROS, SERVIDORES, DISCOS O MEDIOS PORTÁTILES, CINTAS O MEDIOS DE VIDEO Y AUDIO, ETC.</t>
        </is>
      </c>
      <c r="N506" s="10" t="inlineStr">
        <is>
          <t>PRIMARIOS</t>
        </is>
      </c>
      <c r="O506" s="10" t="inlineStr">
        <is>
          <t>COMUNICACIÓN INTERNA</t>
        </is>
      </c>
      <c r="P506" s="10" t="inlineStr">
        <is>
          <t>USO INTERNO(2)</t>
        </is>
      </c>
      <c r="Q506" s="10" t="inlineStr">
        <is>
          <t>BAJA(1)</t>
        </is>
      </c>
      <c r="R506" s="10" t="inlineStr">
        <is>
          <t>MEDIA(2)</t>
        </is>
      </c>
      <c r="S506" s="10">
        <f>+(IF(P506="PUBLICA(1)",1,IF(P506="USO INTERNO(2)",2,IF(P506="RESTRINGIDO(3)",3,3))))+(IF(Q506="BAJA(1)",1,IF(Q506="MEDIA(2)",2,IF(Q506="ALTA(3)",3,3))))+(IF(R506="BAJA(1)",1,IF(R506="MEDIA(2)",2,IF(R506="ALTA(3)",3,3))))</f>
        <v/>
      </c>
      <c r="T506" s="10">
        <f>+IF(S506&lt;6,"BAJA",IF(S506&lt;8,"MEDIA","ALTA"))</f>
        <v/>
      </c>
      <c r="U506" s="10" t="inlineStr">
        <is>
          <t>-</t>
        </is>
      </c>
      <c r="V506" s="24" t="n">
        <v>45706</v>
      </c>
      <c r="W506" s="19" t="inlineStr">
        <is>
          <t>N/A</t>
        </is>
      </c>
      <c r="X506" s="10">
        <f>+IFERROR(IF(VLOOKUP(Tabla2[[#This Row],[ID]],'EVALUACION DE RIESGO'!A:A,1,FALSE)=Tabla2[[#This Row],[ID]],"SI","NO"),"NO")</f>
        <v/>
      </c>
    </row>
    <row r="507">
      <c r="A507" s="91" t="inlineStr">
        <is>
          <t xml:space="preserve">4-GPL </t>
        </is>
      </c>
      <c r="B507" s="10" t="inlineStr">
        <is>
          <t>APOYO</t>
        </is>
      </c>
      <c r="C507" s="10" t="inlineStr">
        <is>
          <t xml:space="preserve">Gestión de Prevención de Lavado de Activos y financiamiento de delítos </t>
        </is>
      </c>
      <c r="D507" s="10" t="inlineStr">
        <is>
          <t xml:space="preserve">GPL </t>
        </is>
      </c>
      <c r="E507" s="10" t="inlineStr">
        <is>
          <t xml:space="preserve">Gestión de Prevención de Lavado de Activos </t>
        </is>
      </c>
      <c r="F507" s="10" t="inlineStr">
        <is>
          <t>Planificación del Departamento de Cumplimiento y actualización de normativa</t>
        </is>
      </c>
      <c r="G507" s="10" t="inlineStr">
        <is>
          <t>Evaluación del plan anual  de trabajo</t>
        </is>
      </c>
      <c r="H507" s="10" t="inlineStr">
        <is>
          <t>Informe mensual del departamento</t>
        </is>
      </c>
      <c r="I507" s="10" t="inlineStr">
        <is>
          <t>Informe de cumplimiento de las 4 politicas de prevención, conozca a su cliente, empleado, proveedor y mercado</t>
        </is>
      </c>
      <c r="J507" s="10" t="inlineStr">
        <is>
          <t>Oficial de cumplimiento</t>
        </is>
      </c>
      <c r="K507" s="10" t="inlineStr">
        <is>
          <t>Oficial de cumplimiento</t>
        </is>
      </c>
      <c r="L507" s="10" t="inlineStr">
        <is>
          <t>UBICACIÓN DIGITAL-EQUIPO DEL RESPONSABLE</t>
        </is>
      </c>
      <c r="M507" s="10" t="inlineStr">
        <is>
          <t>DISCOS DUROS, SERVIDORES, DISCOS O MEDIOS PORTÁTILES, CINTAS O MEDIOS DE VIDEO Y AUDIO, ETC.</t>
        </is>
      </c>
      <c r="N507" s="10" t="inlineStr">
        <is>
          <t>PRIMARIOS</t>
        </is>
      </c>
      <c r="O507" s="10" t="inlineStr">
        <is>
          <t>DOCUMENTOS TÉCNICOS</t>
        </is>
      </c>
      <c r="P507" s="10" t="inlineStr">
        <is>
          <t>USO INTERNO(2)</t>
        </is>
      </c>
      <c r="Q507" s="10" t="inlineStr">
        <is>
          <t>MEDIA(2)</t>
        </is>
      </c>
      <c r="R507" s="10" t="inlineStr">
        <is>
          <t>MEDIA(2)</t>
        </is>
      </c>
      <c r="S507" s="10">
        <f>+(IF(P507="PUBLICA(1)",1,IF(P507="USO INTERNO(2)",2,IF(P507="RESTRINGIDO(3)",3,3))))+(IF(Q507="BAJA(1)",1,IF(Q507="MEDIA(2)",2,IF(Q507="ALTA(3)",3,3))))+(IF(R507="BAJA(1)",1,IF(R507="MEDIA(2)",2,IF(R507="ALTA(3)",3,3))))</f>
        <v/>
      </c>
      <c r="T507" s="10">
        <f>+IF(S507&lt;6,"BAJA",IF(S507&lt;8,"MEDIA","ALTA"))</f>
        <v/>
      </c>
      <c r="U507" s="10" t="inlineStr">
        <is>
          <t>-</t>
        </is>
      </c>
      <c r="V507" s="24" t="n">
        <v>45706</v>
      </c>
      <c r="W507" s="19" t="inlineStr">
        <is>
          <t>N/A</t>
        </is>
      </c>
      <c r="X507" s="10">
        <f>+IFERROR(IF(VLOOKUP(Tabla2[[#This Row],[ID]],'EVALUACION DE RIESGO'!A:A,1,FALSE)=Tabla2[[#This Row],[ID]],"SI","NO"),"NO")</f>
        <v/>
      </c>
    </row>
    <row r="508">
      <c r="A508" s="91" t="inlineStr">
        <is>
          <t xml:space="preserve">5-GPL </t>
        </is>
      </c>
      <c r="B508" s="10" t="inlineStr">
        <is>
          <t>APOYO</t>
        </is>
      </c>
      <c r="C508" s="10" t="inlineStr">
        <is>
          <t xml:space="preserve">Gestión de Prevención de Lavado de Activos y financiamiento de delítos </t>
        </is>
      </c>
      <c r="D508" s="10" t="inlineStr">
        <is>
          <t xml:space="preserve">GPL </t>
        </is>
      </c>
      <c r="E508" s="10" t="inlineStr">
        <is>
          <t xml:space="preserve">Gestión de Prevención de Lavado de Activos </t>
        </is>
      </c>
      <c r="F508" s="10" t="inlineStr">
        <is>
          <t>Planificación del Departamento de Cumplimiento y actualización de normativa</t>
        </is>
      </c>
      <c r="G508" s="10" t="inlineStr">
        <is>
          <t xml:space="preserve">Actualizaciones y reformas de documentos    </t>
        </is>
      </c>
      <c r="H508" s="10" t="inlineStr">
        <is>
          <t>Manual de Prevención de Lavado de Activos/Manual de Gestión de Prevención de Lavado de Activos</t>
        </is>
      </c>
      <c r="I508" s="10" t="inlineStr">
        <is>
          <t>Documentos de gestión departamental</t>
        </is>
      </c>
      <c r="J508" s="10" t="inlineStr">
        <is>
          <t>Oficial de cumplimiento</t>
        </is>
      </c>
      <c r="K508" s="10" t="inlineStr">
        <is>
          <t>Oficial de cumplimiento</t>
        </is>
      </c>
      <c r="L508" s="10" t="inlineStr">
        <is>
          <t>UBICACIÓN DIGITAL-WEBCOOP</t>
        </is>
      </c>
      <c r="M508" s="10" t="inlineStr">
        <is>
          <t>DOCUMENTO DE ARCHIVO-ELECTRÓNICO</t>
        </is>
      </c>
      <c r="N508" s="10" t="inlineStr">
        <is>
          <t>PRIMARIOS</t>
        </is>
      </c>
      <c r="O508" s="10" t="inlineStr">
        <is>
          <t>DOCUMENTOS TÉCNICOS</t>
        </is>
      </c>
      <c r="P508" s="10" t="inlineStr">
        <is>
          <t>USO INTERNO(2)</t>
        </is>
      </c>
      <c r="Q508" s="10" t="inlineStr">
        <is>
          <t>BAJA(1)</t>
        </is>
      </c>
      <c r="R508" s="10" t="inlineStr">
        <is>
          <t>BAJA(1)</t>
        </is>
      </c>
      <c r="S508" s="10">
        <f>+(IF(P508="PUBLICA(1)",1,IF(P508="USO INTERNO(2)",2,IF(P508="RESTRINGIDO(3)",3,3))))+(IF(Q508="BAJA(1)",1,IF(Q508="MEDIA(2)",2,IF(Q508="ALTA(3)",3,3))))+(IF(R508="BAJA(1)",1,IF(R508="MEDIA(2)",2,IF(R508="ALTA(3)",3,3))))</f>
        <v/>
      </c>
      <c r="T508" s="10">
        <f>+IF(S508&lt;6,"BAJA",IF(S508&lt;8,"MEDIA","ALTA"))</f>
        <v/>
      </c>
      <c r="U508" s="10" t="inlineStr">
        <is>
          <t>-</t>
        </is>
      </c>
      <c r="V508" s="24" t="n">
        <v>45706</v>
      </c>
      <c r="W508" s="19" t="inlineStr">
        <is>
          <t>N/A</t>
        </is>
      </c>
      <c r="X508" s="10">
        <f>+IFERROR(IF(VLOOKUP(Tabla2[[#This Row],[ID]],'EVALUACION DE RIESGO'!A:A,1,FALSE)=Tabla2[[#This Row],[ID]],"SI","NO"),"NO")</f>
        <v/>
      </c>
    </row>
    <row r="509">
      <c r="A509" s="91" t="inlineStr">
        <is>
          <t xml:space="preserve">6-GPL </t>
        </is>
      </c>
      <c r="B509" s="10" t="inlineStr">
        <is>
          <t>APOYO</t>
        </is>
      </c>
      <c r="C509" s="10" t="inlineStr">
        <is>
          <t xml:space="preserve">Gestión de Prevención de Lavado de Activos y financiamiento de delítos </t>
        </is>
      </c>
      <c r="D509" s="10" t="inlineStr">
        <is>
          <t xml:space="preserve">GPL </t>
        </is>
      </c>
      <c r="E509" s="10" t="inlineStr">
        <is>
          <t xml:space="preserve">Gestión de Prevención de Lavado de Activos </t>
        </is>
      </c>
      <c r="F509" s="10" t="inlineStr">
        <is>
          <t>Planificación del Departamento de Cumplimiento y actualización de normativa</t>
        </is>
      </c>
      <c r="G509" s="10" t="inlineStr">
        <is>
          <t xml:space="preserve">Actualizaciones y reformas de documentos    </t>
        </is>
      </c>
      <c r="H509" s="10" t="inlineStr">
        <is>
          <t>Metodología de Evaluación de Riesgo de Lavado de Activos/ Código de Ética y Comportamiento</t>
        </is>
      </c>
      <c r="I509" s="10" t="inlineStr">
        <is>
          <t>Documentos de gestión departamental</t>
        </is>
      </c>
      <c r="J509" s="10" t="inlineStr">
        <is>
          <t>Oficial de cumplimiento</t>
        </is>
      </c>
      <c r="K509" s="10" t="inlineStr">
        <is>
          <t>Oficial de cumplimiento</t>
        </is>
      </c>
      <c r="L509" s="10" t="inlineStr">
        <is>
          <t>UBICACIÓN DIGITAL-WEBCOOP</t>
        </is>
      </c>
      <c r="M509" s="10" t="inlineStr">
        <is>
          <t>DOCUMENTO DE ARCHIVO-ELECTRÓNICO</t>
        </is>
      </c>
      <c r="N509" s="10" t="inlineStr">
        <is>
          <t>PRIMARIOS</t>
        </is>
      </c>
      <c r="O509" s="10" t="inlineStr">
        <is>
          <t>DOCUMENTOS TÉCNICOS</t>
        </is>
      </c>
      <c r="P509" s="10" t="inlineStr">
        <is>
          <t>USO INTERNO(2)</t>
        </is>
      </c>
      <c r="Q509" s="10" t="inlineStr">
        <is>
          <t>BAJA(1)</t>
        </is>
      </c>
      <c r="R509" s="10" t="inlineStr">
        <is>
          <t>BAJA(1)</t>
        </is>
      </c>
      <c r="S509" s="10">
        <f>+(IF(P509="PUBLICA(1)",1,IF(P509="USO INTERNO(2)",2,IF(P509="RESTRINGIDO(3)",3,3))))+(IF(Q509="BAJA(1)",1,IF(Q509="MEDIA(2)",2,IF(Q509="ALTA(3)",3,3))))+(IF(R509="BAJA(1)",1,IF(R509="MEDIA(2)",2,IF(R509="ALTA(3)",3,3))))</f>
        <v/>
      </c>
      <c r="T509" s="10">
        <f>+IF(S509&lt;6,"BAJA",IF(S509&lt;8,"MEDIA","ALTA"))</f>
        <v/>
      </c>
      <c r="U509" s="10" t="inlineStr">
        <is>
          <t>-</t>
        </is>
      </c>
      <c r="V509" s="24" t="n">
        <v>45706</v>
      </c>
      <c r="W509" s="19" t="inlineStr">
        <is>
          <t>N/A</t>
        </is>
      </c>
      <c r="X509" s="10">
        <f>+IFERROR(IF(VLOOKUP(Tabla2[[#This Row],[ID]],'EVALUACION DE RIESGO'!A:A,1,FALSE)=Tabla2[[#This Row],[ID]],"SI","NO"),"NO")</f>
        <v/>
      </c>
    </row>
    <row r="510">
      <c r="A510" s="91" t="inlineStr">
        <is>
          <t xml:space="preserve">7-GPL </t>
        </is>
      </c>
      <c r="B510" s="10" t="inlineStr">
        <is>
          <t>APOYO</t>
        </is>
      </c>
      <c r="C510" s="10" t="inlineStr">
        <is>
          <t xml:space="preserve">Gestión de Prevención de Lavado de Activos y financiamiento de delítos </t>
        </is>
      </c>
      <c r="D510" s="10" t="inlineStr">
        <is>
          <t xml:space="preserve">GPL </t>
        </is>
      </c>
      <c r="E510" s="10" t="inlineStr">
        <is>
          <t xml:space="preserve">Gestión de Prevención de Lavado de Activos </t>
        </is>
      </c>
      <c r="F510" s="10" t="inlineStr">
        <is>
          <t>Planificación del Departamento de Cumplimiento y actualización de normativa</t>
        </is>
      </c>
      <c r="G510" s="10" t="inlineStr">
        <is>
          <t xml:space="preserve">Actualización  y accesos listas de control </t>
        </is>
      </c>
      <c r="H510" s="10" t="inlineStr">
        <is>
          <t>Listas de Control actualizados</t>
        </is>
      </c>
      <c r="I510" s="10" t="inlineStr">
        <is>
          <t>Listas de validación y verificación informativas y restrictivas</t>
        </is>
      </c>
      <c r="J510" s="10" t="inlineStr">
        <is>
          <t>Oficial de cumplimiento</t>
        </is>
      </c>
      <c r="K510" s="10" t="inlineStr">
        <is>
          <t>Oficial de cumplimiento suplente</t>
        </is>
      </c>
      <c r="L510" s="10" t="inlineStr">
        <is>
          <t>UBICACIÓN DIGITAL-CORE FINANCIERO</t>
        </is>
      </c>
      <c r="M510" s="10" t="inlineStr">
        <is>
          <t>DOCUMENTO DE ARCHIVO-ELECTRÓNICO</t>
        </is>
      </c>
      <c r="N510" s="10" t="inlineStr">
        <is>
          <t>PRIMARIOS</t>
        </is>
      </c>
      <c r="O510" s="10" t="inlineStr">
        <is>
          <t>DOCUMENTOS TÉCNICOS</t>
        </is>
      </c>
      <c r="P510" s="10" t="inlineStr">
        <is>
          <t>USO INTERNO(2)</t>
        </is>
      </c>
      <c r="Q510" s="10" t="inlineStr">
        <is>
          <t>MEDIA(2)</t>
        </is>
      </c>
      <c r="R510" s="10" t="inlineStr">
        <is>
          <t>MEDIA(2)</t>
        </is>
      </c>
      <c r="S510" s="10">
        <f>+(IF(P510="PUBLICA(1)",1,IF(P510="USO INTERNO(2)",2,IF(P510="RESTRINGIDO(3)",3,3))))+(IF(Q510="BAJA(1)",1,IF(Q510="MEDIA(2)",2,IF(Q510="ALTA(3)",3,3))))+(IF(R510="BAJA(1)",1,IF(R510="MEDIA(2)",2,IF(R510="ALTA(3)",3,3))))</f>
        <v/>
      </c>
      <c r="T510" s="10">
        <f>+IF(S510&lt;6,"BAJA",IF(S510&lt;8,"MEDIA","ALTA"))</f>
        <v/>
      </c>
      <c r="U510" s="10" t="inlineStr">
        <is>
          <t>-</t>
        </is>
      </c>
      <c r="V510" s="24" t="n">
        <v>45706</v>
      </c>
      <c r="W510" s="19" t="inlineStr">
        <is>
          <t>N/A</t>
        </is>
      </c>
      <c r="X510" s="10">
        <f>+IFERROR(IF(VLOOKUP(Tabla2[[#This Row],[ID]],'EVALUACION DE RIESGO'!A:A,1,FALSE)=Tabla2[[#This Row],[ID]],"SI","NO"),"NO")</f>
        <v/>
      </c>
    </row>
    <row r="511">
      <c r="A511" s="91" t="inlineStr">
        <is>
          <t xml:space="preserve">8-GPL </t>
        </is>
      </c>
      <c r="B511" s="10" t="inlineStr">
        <is>
          <t>APOYO</t>
        </is>
      </c>
      <c r="C511" s="10" t="inlineStr">
        <is>
          <t xml:space="preserve">Gestión de Prevención de Lavado de Activos y financiamiento de delítos </t>
        </is>
      </c>
      <c r="D511" s="10" t="inlineStr">
        <is>
          <t xml:space="preserve">GPL </t>
        </is>
      </c>
      <c r="E511" s="10" t="inlineStr">
        <is>
          <t xml:space="preserve">Gestión de Prevención de Lavado de Activos </t>
        </is>
      </c>
      <c r="F511" s="10" t="inlineStr">
        <is>
          <t>Planificación del Departamento de Cumplimiento y actualización de normativa</t>
        </is>
      </c>
      <c r="G511" s="10" t="inlineStr">
        <is>
          <t xml:space="preserve">Monitoreo de consultas de las listas de control </t>
        </is>
      </c>
      <c r="H511" s="10" t="inlineStr">
        <is>
          <t>Reporte de consulta de listas de control</t>
        </is>
      </c>
      <c r="I511" s="10" t="inlineStr">
        <is>
          <t>Información que se obtiene después de verificar las listas de control, contiene oficina y total de consultas de listas de control validadas</t>
        </is>
      </c>
      <c r="J511" s="10" t="inlineStr">
        <is>
          <t>Oficial de cumplimiento</t>
        </is>
      </c>
      <c r="K511" s="10" t="inlineStr">
        <is>
          <t>Oficial de cumplimiento</t>
        </is>
      </c>
      <c r="L511" s="10" t="inlineStr">
        <is>
          <t>UBICACIÓN DIGITAL-EQUIPO DEL RESPONSABLE</t>
        </is>
      </c>
      <c r="M511" s="10" t="inlineStr">
        <is>
          <t>SISTEMAS DE INFORMACIÓN CORPORATIVOS</t>
        </is>
      </c>
      <c r="N511" s="10" t="inlineStr">
        <is>
          <t>PRIMARIOS</t>
        </is>
      </c>
      <c r="O511" s="10" t="inlineStr">
        <is>
          <t>DOCUMENTOS TÉCNICOS</t>
        </is>
      </c>
      <c r="P511" s="10" t="inlineStr">
        <is>
          <t>USO INTERNO(2)</t>
        </is>
      </c>
      <c r="Q511" s="10" t="inlineStr">
        <is>
          <t>MEDIA(2)</t>
        </is>
      </c>
      <c r="R511" s="10" t="inlineStr">
        <is>
          <t>MEDIA(2)</t>
        </is>
      </c>
      <c r="S511" s="10">
        <f>+(IF(P511="PUBLICA(1)",1,IF(P511="USO INTERNO(2)",2,IF(P511="RESTRINGIDO(3)",3,3))))+(IF(Q511="BAJA(1)",1,IF(Q511="MEDIA(2)",2,IF(Q511="ALTA(3)",3,3))))+(IF(R511="BAJA(1)",1,IF(R511="MEDIA(2)",2,IF(R511="ALTA(3)",3,3))))</f>
        <v/>
      </c>
      <c r="T511" s="10">
        <f>+IF(S511&lt;6,"BAJA",IF(S511&lt;8,"MEDIA","ALTA"))</f>
        <v/>
      </c>
      <c r="U511" s="10" t="inlineStr">
        <is>
          <t>-</t>
        </is>
      </c>
      <c r="V511" s="24" t="n">
        <v>45706</v>
      </c>
      <c r="W511" s="19" t="inlineStr">
        <is>
          <t>N/A</t>
        </is>
      </c>
      <c r="X511" s="10">
        <f>+IFERROR(IF(VLOOKUP(Tabla2[[#This Row],[ID]],'EVALUACION DE RIESGO'!A:A,1,FALSE)=Tabla2[[#This Row],[ID]],"SI","NO"),"NO")</f>
        <v/>
      </c>
    </row>
    <row r="512">
      <c r="A512" s="91" t="inlineStr">
        <is>
          <t xml:space="preserve">9-GPL </t>
        </is>
      </c>
      <c r="B512" s="10" t="inlineStr">
        <is>
          <t>APOYO</t>
        </is>
      </c>
      <c r="C512" s="10" t="inlineStr">
        <is>
          <t xml:space="preserve">Gestión de Prevención de Lavado de Activos y financiamiento de delítos </t>
        </is>
      </c>
      <c r="D512" s="10" t="inlineStr">
        <is>
          <t xml:space="preserve">GPL </t>
        </is>
      </c>
      <c r="E512" s="10" t="inlineStr">
        <is>
          <t xml:space="preserve">Gestión de Prevención de Lavado de Activos </t>
        </is>
      </c>
      <c r="F512" s="10" t="inlineStr">
        <is>
          <t>Planificación del Departamento de Cumplimiento y actualización de normativa</t>
        </is>
      </c>
      <c r="G512" s="10" t="inlineStr">
        <is>
          <t xml:space="preserve">Monitoreo de consultas de las listas de control </t>
        </is>
      </c>
      <c r="H512" s="10" t="inlineStr">
        <is>
          <t>Informe mensual</t>
        </is>
      </c>
      <c r="I512" s="10" t="inlineStr">
        <is>
          <t>Estracto del informe de actividades departamentales</t>
        </is>
      </c>
      <c r="J512" s="10" t="inlineStr">
        <is>
          <t>Oficial de cumplimiento</t>
        </is>
      </c>
      <c r="K512" s="10" t="inlineStr">
        <is>
          <t>Oficial de cumplimiento</t>
        </is>
      </c>
      <c r="L512" s="10" t="inlineStr">
        <is>
          <t>UBICACIÓN DIGITAL-EQUIPO DEL RESPONSABLE</t>
        </is>
      </c>
      <c r="M512" s="10" t="inlineStr">
        <is>
          <t>DISCOS DUROS, SERVIDORES, DISCOS O MEDIOS PORTÁTILES, CINTAS O MEDIOS DE VIDEO Y AUDIO, ETC.</t>
        </is>
      </c>
      <c r="N512" s="10" t="inlineStr">
        <is>
          <t>PRIMARIOS</t>
        </is>
      </c>
      <c r="O512" s="10" t="inlineStr">
        <is>
          <t>DOCUMENTOS TÉCNICOS</t>
        </is>
      </c>
      <c r="P512" s="10" t="inlineStr">
        <is>
          <t>USO INTERNO(2)</t>
        </is>
      </c>
      <c r="Q512" s="10" t="inlineStr">
        <is>
          <t>BAJA(1)</t>
        </is>
      </c>
      <c r="R512" s="10" t="inlineStr">
        <is>
          <t>MEDIA(2)</t>
        </is>
      </c>
      <c r="S512" s="10">
        <f>+(IF(P512="PUBLICA(1)",1,IF(P512="USO INTERNO(2)",2,IF(P512="RESTRINGIDO(3)",3,3))))+(IF(Q512="BAJA(1)",1,IF(Q512="MEDIA(2)",2,IF(Q512="ALTA(3)",3,3))))+(IF(R512="BAJA(1)",1,IF(R512="MEDIA(2)",2,IF(R512="ALTA(3)",3,3))))</f>
        <v/>
      </c>
      <c r="T512" s="10">
        <f>+IF(S512&lt;6,"BAJA",IF(S512&lt;8,"MEDIA","ALTA"))</f>
        <v/>
      </c>
      <c r="U512" s="10" t="inlineStr">
        <is>
          <t>-</t>
        </is>
      </c>
      <c r="V512" s="24" t="n">
        <v>45706</v>
      </c>
      <c r="W512" s="19" t="inlineStr">
        <is>
          <t>N/A</t>
        </is>
      </c>
      <c r="X512" s="10">
        <f>+IFERROR(IF(VLOOKUP(Tabla2[[#This Row],[ID]],'EVALUACION DE RIESGO'!A:A,1,FALSE)=Tabla2[[#This Row],[ID]],"SI","NO"),"NO")</f>
        <v/>
      </c>
    </row>
    <row r="513">
      <c r="A513" s="91" t="inlineStr">
        <is>
          <t xml:space="preserve">10-GPL </t>
        </is>
      </c>
      <c r="B513" s="10" t="inlineStr">
        <is>
          <t>APOYO</t>
        </is>
      </c>
      <c r="C513" s="10" t="inlineStr">
        <is>
          <t xml:space="preserve">Gestión de Prevención de Lavado de Activos y financiamiento de delítos </t>
        </is>
      </c>
      <c r="D513" s="10" t="inlineStr">
        <is>
          <t xml:space="preserve">GPL </t>
        </is>
      </c>
      <c r="E513" s="10" t="inlineStr">
        <is>
          <t xml:space="preserve">Gestión de Prevención de Lavado de Activos </t>
        </is>
      </c>
      <c r="F513" s="10" t="inlineStr">
        <is>
          <t>Planificación del Departamento de Cumplimiento y actualización de normativa</t>
        </is>
      </c>
      <c r="G513" s="10" t="inlineStr">
        <is>
          <t>Emisión de reportes a la Unidad de Análisis Financiero y Económico</t>
        </is>
      </c>
      <c r="H513" s="10" t="inlineStr">
        <is>
          <t>Estructura de resumen de transacciones</t>
        </is>
      </c>
      <c r="I513" s="10" t="inlineStr">
        <is>
          <t>Reporte de transacciones sobre los 10000 USD enviado a la UAFE</t>
        </is>
      </c>
      <c r="J513" s="10" t="inlineStr">
        <is>
          <t>Oficial de cumplimiento</t>
        </is>
      </c>
      <c r="K513" s="10" t="inlineStr">
        <is>
          <t>Oficial de cumplimiento</t>
        </is>
      </c>
      <c r="L513" s="10" t="inlineStr">
        <is>
          <t>UBICACIÓN DIGITAL-EQUIPO DEL RESPONSABLE</t>
        </is>
      </c>
      <c r="M513" s="10" t="inlineStr">
        <is>
          <t>DISCOS DUROS, SERVIDORES, DISCOS O MEDIOS PORTÁTILES, CINTAS O MEDIOS DE VIDEO Y AUDIO, ETC.</t>
        </is>
      </c>
      <c r="N513" s="10" t="inlineStr">
        <is>
          <t>PRIMARIOS</t>
        </is>
      </c>
      <c r="O513" s="10" t="inlineStr">
        <is>
          <t>DOCUMENTOS TÉCNICOS</t>
        </is>
      </c>
      <c r="P513" s="10" t="inlineStr">
        <is>
          <t>RESTRINGIDO(3)</t>
        </is>
      </c>
      <c r="Q513" s="10" t="inlineStr">
        <is>
          <t>MEDIA(2)</t>
        </is>
      </c>
      <c r="R513" s="10" t="inlineStr">
        <is>
          <t>MEDIA(2)</t>
        </is>
      </c>
      <c r="S513" s="10">
        <f>+(IF(P513="PUBLICA(1)",1,IF(P513="USO INTERNO(2)",2,IF(P513="RESTRINGIDO(3)",3,3))))+(IF(Q513="BAJA(1)",1,IF(Q513="MEDIA(2)",2,IF(Q513="ALTA(3)",3,3))))+(IF(R513="BAJA(1)",1,IF(R513="MEDIA(2)",2,IF(R513="ALTA(3)",3,3))))</f>
        <v/>
      </c>
      <c r="T513" s="10">
        <f>+IF(S513&lt;6,"BAJA",IF(S513&lt;8,"MEDIA","ALTA"))</f>
        <v/>
      </c>
      <c r="U513" s="10" t="inlineStr">
        <is>
          <t>-</t>
        </is>
      </c>
      <c r="V513" s="24" t="n">
        <v>45706</v>
      </c>
      <c r="W513" s="19" t="inlineStr">
        <is>
          <t>N/A</t>
        </is>
      </c>
      <c r="X513" s="10">
        <f>+IFERROR(IF(VLOOKUP(Tabla2[[#This Row],[ID]],'EVALUACION DE RIESGO'!A:A,1,FALSE)=Tabla2[[#This Row],[ID]],"SI","NO"),"NO")</f>
        <v/>
      </c>
    </row>
    <row r="514">
      <c r="A514" s="91" t="inlineStr">
        <is>
          <t xml:space="preserve">11-GPL </t>
        </is>
      </c>
      <c r="B514" s="10" t="inlineStr">
        <is>
          <t>APOYO</t>
        </is>
      </c>
      <c r="C514" s="10" t="inlineStr">
        <is>
          <t xml:space="preserve">Gestión de Prevención de Lavado de Activos y financiamiento de delítos </t>
        </is>
      </c>
      <c r="D514" s="10" t="inlineStr">
        <is>
          <t xml:space="preserve">GPL </t>
        </is>
      </c>
      <c r="E514" s="10" t="inlineStr">
        <is>
          <t xml:space="preserve">Gestión de Prevención de Lavado de Activos </t>
        </is>
      </c>
      <c r="F514" s="10" t="inlineStr">
        <is>
          <t>Conozca a su socio o cliente</t>
        </is>
      </c>
      <c r="G514" s="10" t="inlineStr">
        <is>
          <t xml:space="preserve">Formularios de origen y destino de recursos </t>
        </is>
      </c>
      <c r="H514" s="10" t="inlineStr">
        <is>
          <t>Reporte de información de socios y clientes</t>
        </is>
      </c>
      <c r="I514" s="10" t="inlineStr">
        <is>
          <t>Información entregada por el cliente para el seguimiento de sus transacciones</t>
        </is>
      </c>
      <c r="J514" s="10" t="inlineStr">
        <is>
          <t>Oficial de cumplimiento</t>
        </is>
      </c>
      <c r="K514" s="10" t="inlineStr">
        <is>
          <t>Oficial de cumplimiento</t>
        </is>
      </c>
      <c r="L514" s="10" t="inlineStr">
        <is>
          <t>UBICACIÓN DIGITAL-CORE FINANCIERO</t>
        </is>
      </c>
      <c r="M514" s="10" t="inlineStr">
        <is>
          <t>DOCUMENTO DE ARCHIVO-FÍSICO</t>
        </is>
      </c>
      <c r="N514" s="10" t="inlineStr">
        <is>
          <t>PRIMARIOS</t>
        </is>
      </c>
      <c r="O514" s="10" t="inlineStr">
        <is>
          <t>DOCUMENTOS TÉCNICOS</t>
        </is>
      </c>
      <c r="P514" s="10" t="inlineStr">
        <is>
          <t>USO INTERNO(2)</t>
        </is>
      </c>
      <c r="Q514" s="10" t="inlineStr">
        <is>
          <t>MEDIA(2)</t>
        </is>
      </c>
      <c r="R514" s="10" t="inlineStr">
        <is>
          <t>MEDIA(2)</t>
        </is>
      </c>
      <c r="S514" s="10">
        <f>+(IF(P514="PUBLICA(1)",1,IF(P514="USO INTERNO(2)",2,IF(P514="RESTRINGIDO(3)",3,3))))+(IF(Q514="BAJA(1)",1,IF(Q514="MEDIA(2)",2,IF(Q514="ALTA(3)",3,3))))+(IF(R514="BAJA(1)",1,IF(R514="MEDIA(2)",2,IF(R514="ALTA(3)",3,3))))</f>
        <v/>
      </c>
      <c r="T514" s="10">
        <f>+IF(S514&lt;6,"BAJA",IF(S514&lt;8,"MEDIA","ALTA"))</f>
        <v/>
      </c>
      <c r="U514" s="10" t="inlineStr">
        <is>
          <t>-</t>
        </is>
      </c>
      <c r="V514" s="24" t="n">
        <v>45706</v>
      </c>
      <c r="W514" s="19" t="inlineStr">
        <is>
          <t>N/A</t>
        </is>
      </c>
      <c r="X514" s="10">
        <f>+IFERROR(IF(VLOOKUP(Tabla2[[#This Row],[ID]],'EVALUACION DE RIESGO'!A:A,1,FALSE)=Tabla2[[#This Row],[ID]],"SI","NO"),"NO")</f>
        <v/>
      </c>
    </row>
    <row r="515">
      <c r="A515" s="91" t="inlineStr">
        <is>
          <t xml:space="preserve">12-GPL </t>
        </is>
      </c>
      <c r="B515" s="10" t="inlineStr">
        <is>
          <t>APOYO</t>
        </is>
      </c>
      <c r="C515" s="10" t="inlineStr">
        <is>
          <t xml:space="preserve">Gestión de Prevención de Lavado de Activos y financiamiento de delítos </t>
        </is>
      </c>
      <c r="D515" s="10" t="inlineStr">
        <is>
          <t xml:space="preserve">GPL </t>
        </is>
      </c>
      <c r="E515" s="10" t="inlineStr">
        <is>
          <t xml:space="preserve">Gestión de Prevención de Lavado de Activos </t>
        </is>
      </c>
      <c r="F515" s="10" t="inlineStr">
        <is>
          <t>Conozca a su socio o cliente</t>
        </is>
      </c>
      <c r="G515" s="10" t="inlineStr">
        <is>
          <t xml:space="preserve">Formularios de origen y destino de recursos </t>
        </is>
      </c>
      <c r="H515" s="10" t="inlineStr">
        <is>
          <t>Informe de gestión mensual</t>
        </is>
      </c>
      <c r="I515" s="10" t="inlineStr">
        <is>
          <t>Estracto del informe de actividades departamentales</t>
        </is>
      </c>
      <c r="J515" s="10" t="inlineStr">
        <is>
          <t>Oficial de cumplimiento</t>
        </is>
      </c>
      <c r="K515" s="10" t="inlineStr">
        <is>
          <t>Oficial de cumplimiento</t>
        </is>
      </c>
      <c r="L515" s="10" t="inlineStr">
        <is>
          <t>UBICACIÓN DIGITAL-EQUIPO DEL RESPONSABLE</t>
        </is>
      </c>
      <c r="M515" s="10" t="inlineStr">
        <is>
          <t>DISCOS DUROS, SERVIDORES, DISCOS O MEDIOS PORTÁTILES, CINTAS O MEDIOS DE VIDEO Y AUDIO, ETC.</t>
        </is>
      </c>
      <c r="N515" s="10" t="inlineStr">
        <is>
          <t>PRIMARIOS</t>
        </is>
      </c>
      <c r="O515" s="10" t="inlineStr">
        <is>
          <t>DOCUMENTOS TÉCNICOS</t>
        </is>
      </c>
      <c r="P515" s="10" t="inlineStr">
        <is>
          <t>USO INTERNO(2)</t>
        </is>
      </c>
      <c r="Q515" s="10" t="inlineStr">
        <is>
          <t>BAJA(1)</t>
        </is>
      </c>
      <c r="R515" s="10" t="inlineStr">
        <is>
          <t>MEDIA(2)</t>
        </is>
      </c>
      <c r="S515" s="10">
        <f>+(IF(P515="PUBLICA(1)",1,IF(P515="USO INTERNO(2)",2,IF(P515="RESTRINGIDO(3)",3,3))))+(IF(Q515="BAJA(1)",1,IF(Q515="MEDIA(2)",2,IF(Q515="ALTA(3)",3,3))))+(IF(R515="BAJA(1)",1,IF(R515="MEDIA(2)",2,IF(R515="ALTA(3)",3,3))))</f>
        <v/>
      </c>
      <c r="T515" s="10">
        <f>+IF(S515&lt;6,"BAJA",IF(S515&lt;8,"MEDIA","ALTA"))</f>
        <v/>
      </c>
      <c r="U515" s="10" t="inlineStr">
        <is>
          <t>-</t>
        </is>
      </c>
      <c r="V515" s="24" t="n">
        <v>45706</v>
      </c>
      <c r="W515" s="19" t="inlineStr">
        <is>
          <t>N/A</t>
        </is>
      </c>
      <c r="X515" s="10">
        <f>+IFERROR(IF(VLOOKUP(Tabla2[[#This Row],[ID]],'EVALUACION DE RIESGO'!A:A,1,FALSE)=Tabla2[[#This Row],[ID]],"SI","NO"),"NO")</f>
        <v/>
      </c>
    </row>
    <row r="516">
      <c r="A516" s="91" t="inlineStr">
        <is>
          <t xml:space="preserve">13-GPL </t>
        </is>
      </c>
      <c r="B516" s="10" t="inlineStr">
        <is>
          <t>APOYO</t>
        </is>
      </c>
      <c r="C516" s="10" t="inlineStr">
        <is>
          <t xml:space="preserve">Gestión de Prevención de Lavado de Activos y financiamiento de delítos </t>
        </is>
      </c>
      <c r="D516" s="10" t="inlineStr">
        <is>
          <t xml:space="preserve">GPL </t>
        </is>
      </c>
      <c r="E516" s="10" t="inlineStr">
        <is>
          <t xml:space="preserve">Gestión de Prevención de Lavado de Activos </t>
        </is>
      </c>
      <c r="F516" s="10" t="inlineStr">
        <is>
          <t>Conozca a su socio o cliente</t>
        </is>
      </c>
      <c r="G516" s="10" t="inlineStr">
        <is>
          <t xml:space="preserve">Análisis transaccional del perfil alto y nivel de riesgo medio y alto     </t>
        </is>
      </c>
      <c r="H516" s="10" t="inlineStr">
        <is>
          <t>Análisis transaccional de socios/clientes</t>
        </is>
      </c>
      <c r="I516" s="10" t="inlineStr">
        <is>
          <t>Revisión de alertas de transacciones contiene Id cliente, nombre, mensaje alerta, cuenta, transaccion, fecha, valor, usuario, sucursal, oficina</t>
        </is>
      </c>
      <c r="J516" s="10" t="inlineStr">
        <is>
          <t>Oficial de cumplimiento</t>
        </is>
      </c>
      <c r="K516" s="10" t="inlineStr">
        <is>
          <t>Oficial de cumplimiento</t>
        </is>
      </c>
      <c r="L516" s="10" t="inlineStr">
        <is>
          <t>UBICACIÓN DIGITAL-EQUIPO DEL RESPONSABLE</t>
        </is>
      </c>
      <c r="M516" s="10" t="inlineStr">
        <is>
          <t>DISCOS DUROS, SERVIDORES, DISCOS O MEDIOS PORTÁTILES, CINTAS O MEDIOS DE VIDEO Y AUDIO, ETC.</t>
        </is>
      </c>
      <c r="N516" s="10" t="inlineStr">
        <is>
          <t>PRIMARIOS</t>
        </is>
      </c>
      <c r="O516" s="10" t="inlineStr">
        <is>
          <t>DOCUMENTOS TÉCNICOS</t>
        </is>
      </c>
      <c r="P516" s="10" t="inlineStr">
        <is>
          <t>RESTRINGIDO(3)</t>
        </is>
      </c>
      <c r="Q516" s="10" t="inlineStr">
        <is>
          <t>MEDIA(2)</t>
        </is>
      </c>
      <c r="R516" s="10" t="inlineStr">
        <is>
          <t>MEDIA(2)</t>
        </is>
      </c>
      <c r="S516" s="10">
        <f>+(IF(P516="PUBLICA(1)",1,IF(P516="USO INTERNO(2)",2,IF(P516="RESTRINGIDO(3)",3,3))))+(IF(Q516="BAJA(1)",1,IF(Q516="MEDIA(2)",2,IF(Q516="ALTA(3)",3,3))))+(IF(R516="BAJA(1)",1,IF(R516="MEDIA(2)",2,IF(R516="ALTA(3)",3,3))))</f>
        <v/>
      </c>
      <c r="T516" s="10">
        <f>+IF(S516&lt;6,"BAJA",IF(S516&lt;8,"MEDIA","ALTA"))</f>
        <v/>
      </c>
      <c r="U516" s="10" t="inlineStr">
        <is>
          <t>-</t>
        </is>
      </c>
      <c r="V516" s="24" t="n">
        <v>45706</v>
      </c>
      <c r="W516" s="19" t="inlineStr">
        <is>
          <t>N/A</t>
        </is>
      </c>
      <c r="X516" s="10">
        <f>+IFERROR(IF(VLOOKUP(Tabla2[[#This Row],[ID]],'EVALUACION DE RIESGO'!A:A,1,FALSE)=Tabla2[[#This Row],[ID]],"SI","NO"),"NO")</f>
        <v/>
      </c>
    </row>
    <row r="517">
      <c r="A517" s="91" t="inlineStr">
        <is>
          <t xml:space="preserve">14-GPL </t>
        </is>
      </c>
      <c r="B517" s="10" t="inlineStr">
        <is>
          <t>APOYO</t>
        </is>
      </c>
      <c r="C517" s="10" t="inlineStr">
        <is>
          <t xml:space="preserve">Gestión de Prevención de Lavado de Activos y financiamiento de delítos </t>
        </is>
      </c>
      <c r="D517" s="10" t="inlineStr">
        <is>
          <t xml:space="preserve">GPL </t>
        </is>
      </c>
      <c r="E517" s="10" t="inlineStr">
        <is>
          <t xml:space="preserve">Gestión de Prevención de Lavado de Activos </t>
        </is>
      </c>
      <c r="F517" s="10" t="inlineStr">
        <is>
          <t>Conozca a su mercado</t>
        </is>
      </c>
      <c r="G517" s="10" t="inlineStr">
        <is>
          <t xml:space="preserve">Monitoreo del cumplimiento de políticas conozca a su mercado   </t>
        </is>
      </c>
      <c r="H517" s="10" t="inlineStr">
        <is>
          <t>Informe de las variaciones presentada</t>
        </is>
      </c>
      <c r="I517" s="10" t="inlineStr">
        <is>
          <t>Estracto del informe de actividades departamentales</t>
        </is>
      </c>
      <c r="J517" s="10" t="inlineStr">
        <is>
          <t>Oficial de cumplimiento</t>
        </is>
      </c>
      <c r="K517" s="10" t="inlineStr">
        <is>
          <t>Oficial de cumplimiento</t>
        </is>
      </c>
      <c r="L517" s="10" t="inlineStr">
        <is>
          <t>UBICACIÓN DIGITAL-EQUIPO DEL RESPONSABLE</t>
        </is>
      </c>
      <c r="M517" s="10" t="inlineStr">
        <is>
          <t>DISCOS DUROS, SERVIDORES, DISCOS O MEDIOS PORTÁTILES, CINTAS O MEDIOS DE VIDEO Y AUDIO, ETC.</t>
        </is>
      </c>
      <c r="N517" s="10" t="inlineStr">
        <is>
          <t>PRIMARIOS</t>
        </is>
      </c>
      <c r="O517" s="10" t="inlineStr">
        <is>
          <t>DOCUMENTOS TÉCNICOS</t>
        </is>
      </c>
      <c r="P517" s="10" t="inlineStr">
        <is>
          <t>USO INTERNO(2)</t>
        </is>
      </c>
      <c r="Q517" s="10" t="inlineStr">
        <is>
          <t>BAJA(1)</t>
        </is>
      </c>
      <c r="R517" s="10" t="inlineStr">
        <is>
          <t>MEDIA(2)</t>
        </is>
      </c>
      <c r="S517" s="10">
        <f>+(IF(P517="PUBLICA(1)",1,IF(P517="USO INTERNO(2)",2,IF(P517="RESTRINGIDO(3)",3,3))))+(IF(Q517="BAJA(1)",1,IF(Q517="MEDIA(2)",2,IF(Q517="ALTA(3)",3,3))))+(IF(R517="BAJA(1)",1,IF(R517="MEDIA(2)",2,IF(R517="ALTA(3)",3,3))))</f>
        <v/>
      </c>
      <c r="T517" s="10">
        <f>+IF(S517&lt;6,"BAJA",IF(S517&lt;8,"MEDIA","ALTA"))</f>
        <v/>
      </c>
      <c r="U517" s="10" t="inlineStr">
        <is>
          <t>-</t>
        </is>
      </c>
      <c r="V517" s="24" t="n">
        <v>45706</v>
      </c>
      <c r="W517" s="19" t="inlineStr">
        <is>
          <t>N/A</t>
        </is>
      </c>
      <c r="X517" s="10">
        <f>+IFERROR(IF(VLOOKUP(Tabla2[[#This Row],[ID]],'EVALUACION DE RIESGO'!A:A,1,FALSE)=Tabla2[[#This Row],[ID]],"SI","NO"),"NO")</f>
        <v/>
      </c>
    </row>
    <row r="518">
      <c r="A518" s="91" t="inlineStr">
        <is>
          <t xml:space="preserve">15-GPL </t>
        </is>
      </c>
      <c r="B518" s="10" t="inlineStr">
        <is>
          <t>APOYO</t>
        </is>
      </c>
      <c r="C518" s="10" t="inlineStr">
        <is>
          <t xml:space="preserve">Gestión de Prevención de Lavado de Activos y financiamiento de delítos </t>
        </is>
      </c>
      <c r="D518" s="10" t="inlineStr">
        <is>
          <t xml:space="preserve">GPL </t>
        </is>
      </c>
      <c r="E518" s="10" t="inlineStr">
        <is>
          <t xml:space="preserve">Gestión de Prevención de Lavado de Activos </t>
        </is>
      </c>
      <c r="F518" s="10" t="inlineStr">
        <is>
          <t xml:space="preserve">Conozca a su proveedor     </t>
        </is>
      </c>
      <c r="G518" s="10" t="inlineStr">
        <is>
          <t>Monitoreo de proveedores calificados</t>
        </is>
      </c>
      <c r="H518" s="10" t="inlineStr">
        <is>
          <t>Informe de evaluación de proveedores calificados</t>
        </is>
      </c>
      <c r="I518" s="10" t="inlineStr">
        <is>
          <t>Estracto del informe de actividades departamentales</t>
        </is>
      </c>
      <c r="J518" s="10" t="inlineStr">
        <is>
          <t>Oficial de cumplimiento</t>
        </is>
      </c>
      <c r="K518" s="10" t="inlineStr">
        <is>
          <t>Oficial de cumplimiento</t>
        </is>
      </c>
      <c r="L518" s="10" t="inlineStr">
        <is>
          <t>UBICACIÓN DIGITAL-EQUIPO DEL RESPONSABLE</t>
        </is>
      </c>
      <c r="M518" s="10" t="inlineStr">
        <is>
          <t>DISCOS DUROS, SERVIDORES, DISCOS O MEDIOS PORTÁTILES, CINTAS O MEDIOS DE VIDEO Y AUDIO, ETC.</t>
        </is>
      </c>
      <c r="N518" s="10" t="inlineStr">
        <is>
          <t>PRIMARIOS</t>
        </is>
      </c>
      <c r="O518" s="10" t="inlineStr">
        <is>
          <t>DOCUMENTOS TÉCNICOS</t>
        </is>
      </c>
      <c r="P518" s="10" t="inlineStr">
        <is>
          <t>USO INTERNO(2)</t>
        </is>
      </c>
      <c r="Q518" s="10" t="inlineStr">
        <is>
          <t>MEDIA(2)</t>
        </is>
      </c>
      <c r="R518" s="10" t="inlineStr">
        <is>
          <t>MEDIA(2)</t>
        </is>
      </c>
      <c r="S518" s="10">
        <f>+(IF(P518="PUBLICA(1)",1,IF(P518="USO INTERNO(2)",2,IF(P518="RESTRINGIDO(3)",3,3))))+(IF(Q518="BAJA(1)",1,IF(Q518="MEDIA(2)",2,IF(Q518="ALTA(3)",3,3))))+(IF(R518="BAJA(1)",1,IF(R518="MEDIA(2)",2,IF(R518="ALTA(3)",3,3))))</f>
        <v/>
      </c>
      <c r="T518" s="10">
        <f>+IF(S518&lt;6,"BAJA",IF(S518&lt;8,"MEDIA","ALTA"))</f>
        <v/>
      </c>
      <c r="U518" s="10" t="inlineStr">
        <is>
          <t>-</t>
        </is>
      </c>
      <c r="V518" s="24" t="n">
        <v>45706</v>
      </c>
      <c r="W518" s="19" t="inlineStr">
        <is>
          <t>N/A</t>
        </is>
      </c>
      <c r="X518" s="10">
        <f>+IFERROR(IF(VLOOKUP(Tabla2[[#This Row],[ID]],'EVALUACION DE RIESGO'!A:A,1,FALSE)=Tabla2[[#This Row],[ID]],"SI","NO"),"NO")</f>
        <v/>
      </c>
    </row>
    <row r="519">
      <c r="A519" s="91" t="inlineStr">
        <is>
          <t xml:space="preserve">16-GPL </t>
        </is>
      </c>
      <c r="B519" s="10" t="inlineStr">
        <is>
          <t>APOYO</t>
        </is>
      </c>
      <c r="C519" s="10" t="inlineStr">
        <is>
          <t xml:space="preserve">Gestión de Prevención de Lavado de Activos y financiamiento de delítos </t>
        </is>
      </c>
      <c r="D519" s="10" t="inlineStr">
        <is>
          <t xml:space="preserve">GPL </t>
        </is>
      </c>
      <c r="E519" s="10" t="inlineStr">
        <is>
          <t>N/A</t>
        </is>
      </c>
      <c r="F519" s="10" t="inlineStr">
        <is>
          <t>-</t>
        </is>
      </c>
      <c r="G519" s="10" t="inlineStr">
        <is>
          <t>N/A</t>
        </is>
      </c>
      <c r="H519" s="10" t="inlineStr">
        <is>
          <t xml:space="preserve">Equipos de computación </t>
        </is>
      </c>
      <c r="I519" s="10" t="inlineStr">
        <is>
          <t>Equipos de computación donde se realiza la gestión del área</t>
        </is>
      </c>
      <c r="J519" s="10" t="inlineStr">
        <is>
          <t>Oficial de cumplimiento</t>
        </is>
      </c>
      <c r="K519" s="10" t="inlineStr">
        <is>
          <t>Oficial de cumplimiento</t>
        </is>
      </c>
      <c r="L519" s="10" t="inlineStr">
        <is>
          <t>UBICACIÓN FISICA-SUCURSAL IBARRA</t>
        </is>
      </c>
      <c r="M519" s="10" t="inlineStr">
        <is>
          <t>DISCOS DUROS, SERVIDORES, DISCOS O MEDIOS PORTÁTILES, CINTAS O MEDIOS DE VIDEO Y AUDIO, ETC.</t>
        </is>
      </c>
      <c r="N519" s="10" t="inlineStr">
        <is>
          <t>APOYO</t>
        </is>
      </c>
      <c r="O519" s="10" t="inlineStr">
        <is>
          <t>HARDWARE</t>
        </is>
      </c>
      <c r="P519" s="10" t="inlineStr">
        <is>
          <t>RESTRINGIDO(3)</t>
        </is>
      </c>
      <c r="Q519" s="10" t="inlineStr">
        <is>
          <t>MEDIA(2)</t>
        </is>
      </c>
      <c r="R519" s="10" t="inlineStr">
        <is>
          <t>MEDIA(2)</t>
        </is>
      </c>
      <c r="S519" s="10">
        <f>+(IF(P519="PUBLICA(1)",1,IF(P519="USO INTERNO(2)",2,IF(P519="RESTRINGIDO(3)",3,3))))+(IF(Q519="BAJA(1)",1,IF(Q519="MEDIA(2)",2,IF(Q519="ALTA(3)",3,3))))+(IF(R519="BAJA(1)",1,IF(R519="MEDIA(2)",2,IF(R519="ALTA(3)",3,3))))</f>
        <v/>
      </c>
      <c r="T519" s="10">
        <f>+IF(S519&lt;6,"BAJA",IF(S519&lt;8,"MEDIA","ALTA"))</f>
        <v/>
      </c>
      <c r="U519" s="10" t="inlineStr">
        <is>
          <t>-</t>
        </is>
      </c>
      <c r="V519" s="24" t="n">
        <v>45712</v>
      </c>
      <c r="W519" s="19" t="inlineStr">
        <is>
          <t>N/A</t>
        </is>
      </c>
      <c r="X519" s="10">
        <f>+IFERROR(IF(VLOOKUP(Tabla2[[#This Row],[ID]],'EVALUACION DE RIESGO'!A:A,1,FALSE)=Tabla2[[#This Row],[ID]],"SI","NO"),"NO")</f>
        <v/>
      </c>
    </row>
    <row r="520">
      <c r="A520" s="91" t="inlineStr">
        <is>
          <t xml:space="preserve">17-GPL </t>
        </is>
      </c>
      <c r="B520" s="10" t="inlineStr">
        <is>
          <t>APOYO</t>
        </is>
      </c>
      <c r="C520" s="10" t="inlineStr">
        <is>
          <t xml:space="preserve">Gestión de Prevención de Lavado de Activos y financiamiento de delítos </t>
        </is>
      </c>
      <c r="D520" s="10" t="inlineStr">
        <is>
          <t xml:space="preserve">GPL </t>
        </is>
      </c>
      <c r="E520" s="10" t="inlineStr">
        <is>
          <t>N/A</t>
        </is>
      </c>
      <c r="F520" s="10" t="inlineStr">
        <is>
          <t>-</t>
        </is>
      </c>
      <c r="G520" s="10" t="inlineStr">
        <is>
          <t>N/A</t>
        </is>
      </c>
      <c r="H520" s="10" t="inlineStr">
        <is>
          <t>Oficial de Seguridad de la Información</t>
        </is>
      </c>
      <c r="I520" s="10" t="inlineStr">
        <is>
          <t>N/A</t>
        </is>
      </c>
      <c r="J520" s="10" t="inlineStr">
        <is>
          <t>Oficial de cumplimiento</t>
        </is>
      </c>
      <c r="K520" s="10" t="inlineStr">
        <is>
          <t>N/A</t>
        </is>
      </c>
      <c r="L520" s="10" t="inlineStr">
        <is>
          <t>N/A</t>
        </is>
      </c>
      <c r="M520" s="10" t="inlineStr">
        <is>
          <t>N/A</t>
        </is>
      </c>
      <c r="N520" s="10" t="inlineStr">
        <is>
          <t>APOYO</t>
        </is>
      </c>
      <c r="O520" s="10" t="inlineStr">
        <is>
          <t>RECURSO HUMANO</t>
        </is>
      </c>
      <c r="P520" s="10" t="inlineStr">
        <is>
          <t>USO INTERNO(2)</t>
        </is>
      </c>
      <c r="Q520" s="10" t="inlineStr">
        <is>
          <t>MEDIA(2)</t>
        </is>
      </c>
      <c r="R520" s="10" t="inlineStr">
        <is>
          <t>MEDIA(2)</t>
        </is>
      </c>
      <c r="S520" s="10">
        <f>+(IF(P520="PUBLICA(1)",1,IF(P520="USO INTERNO(2)",2,IF(P520="RESTRINGIDO(3)",3,3))))+(IF(Q520="BAJA(1)",1,IF(Q520="MEDIA(2)",2,IF(Q520="ALTA(3)",3,3))))+(IF(R520="BAJA(1)",1,IF(R520="MEDIA(2)",2,IF(R520="ALTA(3)",3,3))))</f>
        <v/>
      </c>
      <c r="T520" s="10">
        <f>+IF(S520&lt;6,"BAJA",IF(S520&lt;8,"MEDIA","ALTA"))</f>
        <v/>
      </c>
      <c r="U520" s="10" t="inlineStr">
        <is>
          <t>-</t>
        </is>
      </c>
      <c r="V520" s="24" t="n">
        <v>45712</v>
      </c>
      <c r="W520" s="19" t="inlineStr">
        <is>
          <t>N/A</t>
        </is>
      </c>
      <c r="X520" s="10">
        <f>+IFERROR(IF(VLOOKUP(Tabla2[[#This Row],[ID]],'EVALUACION DE RIESGO'!A:A,1,FALSE)=Tabla2[[#This Row],[ID]],"SI","NO"),"NO")</f>
        <v/>
      </c>
    </row>
    <row r="521">
      <c r="A521" s="91" t="inlineStr">
        <is>
          <t xml:space="preserve">1-GRE </t>
        </is>
      </c>
      <c r="B521" s="10" t="inlineStr">
        <is>
          <t>PRODUCTIVO</t>
        </is>
      </c>
      <c r="C521" s="10" t="inlineStr">
        <is>
          <t xml:space="preserve">Gestión de Recuperación </t>
        </is>
      </c>
      <c r="D521" s="10" t="inlineStr">
        <is>
          <t xml:space="preserve">GRE </t>
        </is>
      </c>
      <c r="E521" s="10" t="inlineStr">
        <is>
          <t>Gestión de Recuperación Preventiva y Correctiva</t>
        </is>
      </c>
      <c r="F521" s="10" t="inlineStr">
        <is>
          <t>-</t>
        </is>
      </c>
      <c r="G521" s="10" t="inlineStr">
        <is>
          <t>Recuperación Preventiva</t>
        </is>
      </c>
      <c r="H521" s="10" t="inlineStr">
        <is>
          <t>Solicitud de campañas telefónicas</t>
        </is>
      </c>
      <c r="I521" s="10" t="inlineStr">
        <is>
          <t>El sistema determina atrasos para enviar el sms a los clientes automáticamente, cuando se realiza una campaña se solicita al Gerente de Negocios por correo electrónico y reporte de operaciones</t>
        </is>
      </c>
      <c r="J521" s="10" t="inlineStr">
        <is>
          <t xml:space="preserve">Jefe de Cobranzas </t>
        </is>
      </c>
      <c r="K521" s="10" t="inlineStr">
        <is>
          <t xml:space="preserve">Jefe de Cobranzas </t>
        </is>
      </c>
      <c r="L521" s="10" t="inlineStr">
        <is>
          <t>UBICACIÓN DIGITAL-EQUIPO DEL CUSTODIO</t>
        </is>
      </c>
      <c r="M521" s="10" t="inlineStr">
        <is>
          <t>DISCOS DUROS, SERVIDORES, DISCOS O MEDIOS PORTÁTILES, CINTAS O MEDIOS DE VIDEO Y AUDIO, ETC.</t>
        </is>
      </c>
      <c r="N521" s="10" t="inlineStr">
        <is>
          <t>PRIMARIOS</t>
        </is>
      </c>
      <c r="O521" s="10" t="inlineStr">
        <is>
          <t>INFORMACIÓN DE SOCIOS Y CLIENTES</t>
        </is>
      </c>
      <c r="P521" s="10" t="inlineStr">
        <is>
          <t>USO INTERNO(2)</t>
        </is>
      </c>
      <c r="Q521" s="10" t="inlineStr">
        <is>
          <t>BAJA(1)</t>
        </is>
      </c>
      <c r="R521" s="10" t="inlineStr">
        <is>
          <t>ALTA(3)</t>
        </is>
      </c>
      <c r="S521" s="10">
        <f>+(IF(P521="PUBLICA(1)",1,IF(P521="USO INTERNO(2)",2,IF(P521="RESTRINGIDO(3)",3,3))))+(IF(Q521="BAJA(1)",1,IF(Q521="MEDIA(2)",2,IF(Q521="ALTA(3)",3,3))))+(IF(R521="BAJA(1)",1,IF(R521="MEDIA(2)",2,IF(R521="ALTA(3)",3,3))))</f>
        <v/>
      </c>
      <c r="T521" s="10">
        <f>+IF(S521&lt;6,"BAJA",IF(S521&lt;8,"MEDIA","ALTA"))</f>
        <v/>
      </c>
      <c r="U521" s="10" t="inlineStr">
        <is>
          <t>-</t>
        </is>
      </c>
      <c r="V521" s="24" t="n">
        <v>45681</v>
      </c>
      <c r="W521" s="19" t="inlineStr">
        <is>
          <t>N/A</t>
        </is>
      </c>
      <c r="X521" s="10">
        <f>+IFERROR(IF(VLOOKUP(Tabla2[[#This Row],[ID]],'EVALUACION DE RIESGO'!A:A,1,FALSE)=Tabla2[[#This Row],[ID]],"SI","NO"),"NO")</f>
        <v/>
      </c>
    </row>
    <row r="522">
      <c r="A522" s="91" t="inlineStr">
        <is>
          <t xml:space="preserve">2-GRE </t>
        </is>
      </c>
      <c r="B522" s="10" t="inlineStr">
        <is>
          <t>PRODUCTIVO</t>
        </is>
      </c>
      <c r="C522" s="10" t="inlineStr">
        <is>
          <t xml:space="preserve">Gestión de Recuperación </t>
        </is>
      </c>
      <c r="D522" s="10" t="inlineStr">
        <is>
          <t xml:space="preserve">GRE </t>
        </is>
      </c>
      <c r="E522" s="10" t="inlineStr">
        <is>
          <t>Gestión de Recuperación Preventiva y Correctiva</t>
        </is>
      </c>
      <c r="F522" s="10" t="inlineStr">
        <is>
          <t>-</t>
        </is>
      </c>
      <c r="G522" s="10" t="inlineStr">
        <is>
          <t>Recuperación Correctiva Primera Etapa</t>
        </is>
      </c>
      <c r="H522" s="10" t="inlineStr">
        <is>
          <t>Registro de acciones de recuperación</t>
        </is>
      </c>
      <c r="I522" s="10" t="inlineStr">
        <is>
          <t>Registro de gestión de cobranza de cada asesor, reporte obtenido del sistema con información de operaciones, se consolida mensualmente con información de nombre del socio, relación, descripcion, fecha de gestión, usuario, oficina, gestión</t>
        </is>
      </c>
      <c r="J522" s="10" t="inlineStr">
        <is>
          <t xml:space="preserve">Jefe de Cobranzas </t>
        </is>
      </c>
      <c r="K522" s="10" t="inlineStr">
        <is>
          <t xml:space="preserve">Jefe de Cobranzas </t>
        </is>
      </c>
      <c r="L522" s="10" t="inlineStr">
        <is>
          <t>UBICACIÓN DIGITAL-EQUIPO DEL CUSTODIO</t>
        </is>
      </c>
      <c r="M522" s="10" t="inlineStr">
        <is>
          <t>DISCOS DUROS, SERVIDORES, DISCOS O MEDIOS PORTÁTILES, CINTAS O MEDIOS DE VIDEO Y AUDIO, ETC.</t>
        </is>
      </c>
      <c r="N522" s="10" t="inlineStr">
        <is>
          <t>PRIMARIOS</t>
        </is>
      </c>
      <c r="O522" s="10" t="inlineStr">
        <is>
          <t>DOCUMENTOS TÉCNICOS</t>
        </is>
      </c>
      <c r="P522" s="10" t="inlineStr">
        <is>
          <t>USO INTERNO(2)</t>
        </is>
      </c>
      <c r="Q522" s="10" t="inlineStr">
        <is>
          <t>MEDIA(2)</t>
        </is>
      </c>
      <c r="R522" s="10" t="inlineStr">
        <is>
          <t>MEDIA(2)</t>
        </is>
      </c>
      <c r="S522" s="10">
        <f>+(IF(P522="PUBLICA(1)",1,IF(P522="USO INTERNO(2)",2,IF(P522="RESTRINGIDO(3)",3,3))))+(IF(Q522="BAJA(1)",1,IF(Q522="MEDIA(2)",2,IF(Q522="ALTA(3)",3,3))))+(IF(R522="BAJA(1)",1,IF(R522="MEDIA(2)",2,IF(R522="ALTA(3)",3,3))))</f>
        <v/>
      </c>
      <c r="T522" s="10">
        <f>+IF(S522&lt;6,"BAJA",IF(S522&lt;8,"MEDIA","ALTA"))</f>
        <v/>
      </c>
      <c r="U522" s="10" t="inlineStr">
        <is>
          <t>-</t>
        </is>
      </c>
      <c r="V522" s="24" t="n">
        <v>45681</v>
      </c>
      <c r="W522" s="19" t="inlineStr">
        <is>
          <t>N/A</t>
        </is>
      </c>
      <c r="X522" s="10">
        <f>+IFERROR(IF(VLOOKUP(Tabla2[[#This Row],[ID]],'EVALUACION DE RIESGO'!A:A,1,FALSE)=Tabla2[[#This Row],[ID]],"SI","NO"),"NO")</f>
        <v/>
      </c>
    </row>
    <row r="523">
      <c r="A523" s="91" t="inlineStr">
        <is>
          <t xml:space="preserve">3-GRE </t>
        </is>
      </c>
      <c r="B523" s="10" t="inlineStr">
        <is>
          <t>PRODUCTIVO</t>
        </is>
      </c>
      <c r="C523" s="10" t="inlineStr">
        <is>
          <t xml:space="preserve">Gestión de Recuperación </t>
        </is>
      </c>
      <c r="D523" s="10" t="inlineStr">
        <is>
          <t xml:space="preserve">GRE </t>
        </is>
      </c>
      <c r="E523" s="10" t="inlineStr">
        <is>
          <t>Gestión de Recuperación Preventiva y Correctiva</t>
        </is>
      </c>
      <c r="F523" s="10" t="inlineStr">
        <is>
          <t>-</t>
        </is>
      </c>
      <c r="G523" s="10" t="inlineStr">
        <is>
          <t>Recuperación Correctiva Primera Etapa</t>
        </is>
      </c>
      <c r="H523" s="10" t="inlineStr">
        <is>
          <t>Notificación de mora</t>
        </is>
      </c>
      <c r="I523" s="10" t="inlineStr">
        <is>
          <t>Dependiendo los días de atraso se envian 4 tipos de notificaciones a los clientes, con información del cliente, credito, gestion de recuperaciob, tabla de rubros por el tiempo de atraso, control de recepción con datos del socio.</t>
        </is>
      </c>
      <c r="J523" s="10" t="inlineStr">
        <is>
          <t xml:space="preserve">Jefe de Cobranzas </t>
        </is>
      </c>
      <c r="K523" s="10" t="inlineStr">
        <is>
          <t>Gestor de Cobranza</t>
        </is>
      </c>
      <c r="L523" s="10" t="inlineStr">
        <is>
          <t>DOCUMENTOS FISICOS-ARCHIVOS DE LA OFICINA</t>
        </is>
      </c>
      <c r="M523" s="10" t="inlineStr">
        <is>
          <t>DOCUMENTO DE ARCHIVO-FÍSICO</t>
        </is>
      </c>
      <c r="N523" s="10" t="inlineStr">
        <is>
          <t>PRIMARIOS</t>
        </is>
      </c>
      <c r="O523" s="10" t="inlineStr">
        <is>
          <t>INFORMACIÓN DE SOCIOS Y CLIENTES</t>
        </is>
      </c>
      <c r="P523" s="10" t="inlineStr">
        <is>
          <t>RESTRINGIDO(3)</t>
        </is>
      </c>
      <c r="Q523" s="10" t="inlineStr">
        <is>
          <t>MEDIA(2)</t>
        </is>
      </c>
      <c r="R523" s="10" t="inlineStr">
        <is>
          <t>MEDIA(2)</t>
        </is>
      </c>
      <c r="S523" s="10">
        <f>+(IF(P523="PUBLICA(1)",1,IF(P523="USO INTERNO(2)",2,IF(P523="RESTRINGIDO(3)",3,3))))+(IF(Q523="BAJA(1)",1,IF(Q523="MEDIA(2)",2,IF(Q523="ALTA(3)",3,3))))+(IF(R523="BAJA(1)",1,IF(R523="MEDIA(2)",2,IF(R523="ALTA(3)",3,3))))</f>
        <v/>
      </c>
      <c r="T523" s="10">
        <f>+IF(S523&lt;6,"BAJA",IF(S523&lt;8,"MEDIA","ALTA"))</f>
        <v/>
      </c>
      <c r="U523" s="10" t="inlineStr">
        <is>
          <t>-</t>
        </is>
      </c>
      <c r="V523" s="24" t="n">
        <v>45681</v>
      </c>
      <c r="W523" s="19" t="inlineStr">
        <is>
          <t>N/A</t>
        </is>
      </c>
      <c r="X523" s="10">
        <f>+IFERROR(IF(VLOOKUP(Tabla2[[#This Row],[ID]],'EVALUACION DE RIESGO'!A:A,1,FALSE)=Tabla2[[#This Row],[ID]],"SI","NO"),"NO")</f>
        <v/>
      </c>
    </row>
    <row r="524">
      <c r="A524" s="91" t="inlineStr">
        <is>
          <t xml:space="preserve">4-GRE </t>
        </is>
      </c>
      <c r="B524" s="10" t="inlineStr">
        <is>
          <t>PRODUCTIVO</t>
        </is>
      </c>
      <c r="C524" s="10" t="inlineStr">
        <is>
          <t xml:space="preserve">Gestión de Recuperación </t>
        </is>
      </c>
      <c r="D524" s="10" t="inlineStr">
        <is>
          <t xml:space="preserve">GRE </t>
        </is>
      </c>
      <c r="E524" s="10" t="inlineStr">
        <is>
          <t>Gestión de Recuperación Preventiva y Correctiva</t>
        </is>
      </c>
      <c r="F524" s="10" t="inlineStr">
        <is>
          <t>-</t>
        </is>
      </c>
      <c r="G524" s="10" t="inlineStr">
        <is>
          <t>Recuperación Correctiva Primera Etapa</t>
        </is>
      </c>
      <c r="H524" s="10" t="inlineStr">
        <is>
          <t>Recibo usado</t>
        </is>
      </c>
      <c r="I524" s="10" t="inlineStr">
        <is>
          <t>Documento que registra el personal de desembolso de la notificación de mora</t>
        </is>
      </c>
      <c r="J524" s="10" t="inlineStr">
        <is>
          <t xml:space="preserve">Jefe de Cobranzas </t>
        </is>
      </c>
      <c r="K524" s="10" t="inlineStr">
        <is>
          <t>Gestor de Cobranza</t>
        </is>
      </c>
      <c r="L524" s="10" t="inlineStr">
        <is>
          <t>DOCUMENTOS FISICOS-ARCHIVOS DE LA OFICINA</t>
        </is>
      </c>
      <c r="M524" s="10" t="inlineStr">
        <is>
          <t>DOCUMENTO DE ARCHIVO-FÍSICO</t>
        </is>
      </c>
      <c r="N524" s="10" t="inlineStr">
        <is>
          <t>PRIMARIOS</t>
        </is>
      </c>
      <c r="O524" s="10" t="inlineStr">
        <is>
          <t>DOCUMENTOS HABILITANTES</t>
        </is>
      </c>
      <c r="P524" s="10" t="inlineStr">
        <is>
          <t>RESTRINGIDO(3)</t>
        </is>
      </c>
      <c r="Q524" s="10" t="inlineStr">
        <is>
          <t>MEDIA(2)</t>
        </is>
      </c>
      <c r="R524" s="10" t="inlineStr">
        <is>
          <t>MEDIA(2)</t>
        </is>
      </c>
      <c r="S524" s="10">
        <f>+(IF(P524="PUBLICA(1)",1,IF(P524="USO INTERNO(2)",2,IF(P524="RESTRINGIDO(3)",3,3))))+(IF(Q524="BAJA(1)",1,IF(Q524="MEDIA(2)",2,IF(Q524="ALTA(3)",3,3))))+(IF(R524="BAJA(1)",1,IF(R524="MEDIA(2)",2,IF(R524="ALTA(3)",3,3))))</f>
        <v/>
      </c>
      <c r="T524" s="10">
        <f>+IF(S524&lt;6,"BAJA",IF(S524&lt;8,"MEDIA","ALTA"))</f>
        <v/>
      </c>
      <c r="U524" s="10" t="inlineStr">
        <is>
          <t>-</t>
        </is>
      </c>
      <c r="V524" s="24" t="n">
        <v>45681</v>
      </c>
      <c r="W524" s="19" t="inlineStr">
        <is>
          <t>N/A</t>
        </is>
      </c>
      <c r="X524" s="10">
        <f>+IFERROR(IF(VLOOKUP(Tabla2[[#This Row],[ID]],'EVALUACION DE RIESGO'!A:A,1,FALSE)=Tabla2[[#This Row],[ID]],"SI","NO"),"NO")</f>
        <v/>
      </c>
    </row>
    <row r="525">
      <c r="A525" s="91" t="inlineStr">
        <is>
          <t xml:space="preserve">5-GRE </t>
        </is>
      </c>
      <c r="B525" s="10" t="inlineStr">
        <is>
          <t>PRODUCTIVO</t>
        </is>
      </c>
      <c r="C525" s="10" t="inlineStr">
        <is>
          <t xml:space="preserve">Gestión de Recuperación </t>
        </is>
      </c>
      <c r="D525" s="10" t="inlineStr">
        <is>
          <t xml:space="preserve">GRE </t>
        </is>
      </c>
      <c r="E525" s="10" t="inlineStr">
        <is>
          <t>Gestión de Recuperación Preventiva y Correctiva</t>
        </is>
      </c>
      <c r="F525" s="10" t="inlineStr">
        <is>
          <t>-</t>
        </is>
      </c>
      <c r="G525" s="10" t="inlineStr">
        <is>
          <t>Recuperación Correctiva Segunda Etapa</t>
        </is>
      </c>
      <c r="H525" s="10" t="inlineStr">
        <is>
          <t>Notificación de mora</t>
        </is>
      </c>
      <c r="I525" s="10" t="inlineStr">
        <is>
          <t>Dependiendo los días de atraso se envian 4 tipos de notificaciones a los clientes, con información del cliente, credito, gestion de recuperaciob, tabla de rubros por el tiempo de atraso, control de recepción con datos del socio.</t>
        </is>
      </c>
      <c r="J525" s="10" t="inlineStr">
        <is>
          <t xml:space="preserve">Jefe de Cobranzas </t>
        </is>
      </c>
      <c r="K525" s="10" t="inlineStr">
        <is>
          <t>Gestor de Cobranza</t>
        </is>
      </c>
      <c r="L525" s="10" t="inlineStr">
        <is>
          <t>DOCUMENTOS FISICOS-ARCHIVOS DE LA OFICINA</t>
        </is>
      </c>
      <c r="M525" s="10" t="inlineStr">
        <is>
          <t>DOCUMENTO DE ARCHIVO-FÍSICO</t>
        </is>
      </c>
      <c r="N525" s="10" t="inlineStr">
        <is>
          <t>PRIMARIOS</t>
        </is>
      </c>
      <c r="O525" s="10" t="inlineStr">
        <is>
          <t>INFORMACIÓN DE SOCIOS Y CLIENTES</t>
        </is>
      </c>
      <c r="P525" s="10" t="inlineStr">
        <is>
          <t>RESTRINGIDO(3)</t>
        </is>
      </c>
      <c r="Q525" s="10" t="inlineStr">
        <is>
          <t>MEDIA(2)</t>
        </is>
      </c>
      <c r="R525" s="10" t="inlineStr">
        <is>
          <t>MEDIA(2)</t>
        </is>
      </c>
      <c r="S525" s="10">
        <f>+(IF(P525="PUBLICA(1)",1,IF(P525="USO INTERNO(2)",2,IF(P525="RESTRINGIDO(3)",3,3))))+(IF(Q525="BAJA(1)",1,IF(Q525="MEDIA(2)",2,IF(Q525="ALTA(3)",3,3))))+(IF(R525="BAJA(1)",1,IF(R525="MEDIA(2)",2,IF(R525="ALTA(3)",3,3))))</f>
        <v/>
      </c>
      <c r="T525" s="10">
        <f>+IF(S525&lt;6,"BAJA",IF(S525&lt;8,"MEDIA","ALTA"))</f>
        <v/>
      </c>
      <c r="U525" s="10" t="inlineStr">
        <is>
          <t>-</t>
        </is>
      </c>
      <c r="V525" s="24" t="n">
        <v>45681</v>
      </c>
      <c r="W525" s="19" t="inlineStr">
        <is>
          <t>N/A</t>
        </is>
      </c>
      <c r="X525" s="10">
        <f>+IFERROR(IF(VLOOKUP(Tabla2[[#This Row],[ID]],'EVALUACION DE RIESGO'!A:A,1,FALSE)=Tabla2[[#This Row],[ID]],"SI","NO"),"NO")</f>
        <v/>
      </c>
    </row>
    <row r="526">
      <c r="A526" s="91" t="inlineStr">
        <is>
          <t xml:space="preserve">6-GRE </t>
        </is>
      </c>
      <c r="B526" s="10" t="inlineStr">
        <is>
          <t>PRODUCTIVO</t>
        </is>
      </c>
      <c r="C526" s="10" t="inlineStr">
        <is>
          <t xml:space="preserve">Gestión de Recuperación </t>
        </is>
      </c>
      <c r="D526" s="10" t="inlineStr">
        <is>
          <t xml:space="preserve">GRE </t>
        </is>
      </c>
      <c r="E526" s="10" t="inlineStr">
        <is>
          <t>Gestión de Recuperación Preventiva y Correctiva</t>
        </is>
      </c>
      <c r="F526" s="10" t="inlineStr">
        <is>
          <t>-</t>
        </is>
      </c>
      <c r="G526" s="10" t="inlineStr">
        <is>
          <t>Recuperación Correctiva Segunda Etapa</t>
        </is>
      </c>
      <c r="H526" s="10" t="inlineStr">
        <is>
          <t>Recibo usado</t>
        </is>
      </c>
      <c r="I526" s="10" t="inlineStr">
        <is>
          <t>Documento que registra el personal de desembolso de la notificación de mora</t>
        </is>
      </c>
      <c r="J526" s="10" t="inlineStr">
        <is>
          <t xml:space="preserve">Jefe de Cobranzas </t>
        </is>
      </c>
      <c r="K526" s="10" t="inlineStr">
        <is>
          <t>Gestor de Cobranza</t>
        </is>
      </c>
      <c r="L526" s="10" t="inlineStr">
        <is>
          <t>DOCUMENTOS FISICOS-ARCHIVOS DE LA OFICINA</t>
        </is>
      </c>
      <c r="M526" s="10" t="inlineStr">
        <is>
          <t>DOCUMENTO DE ARCHIVO-FÍSICO</t>
        </is>
      </c>
      <c r="N526" s="10" t="inlineStr">
        <is>
          <t>PRIMARIOS</t>
        </is>
      </c>
      <c r="O526" s="10" t="inlineStr">
        <is>
          <t>DOCUMENTOS HABILITANTES</t>
        </is>
      </c>
      <c r="P526" s="10" t="inlineStr">
        <is>
          <t>RESTRINGIDO(3)</t>
        </is>
      </c>
      <c r="Q526" s="10" t="inlineStr">
        <is>
          <t>MEDIA(2)</t>
        </is>
      </c>
      <c r="R526" s="10" t="inlineStr">
        <is>
          <t>MEDIA(2)</t>
        </is>
      </c>
      <c r="S526" s="10">
        <f>+(IF(P526="PUBLICA(1)",1,IF(P526="USO INTERNO(2)",2,IF(P526="RESTRINGIDO(3)",3,3))))+(IF(Q526="BAJA(1)",1,IF(Q526="MEDIA(2)",2,IF(Q526="ALTA(3)",3,3))))+(IF(R526="BAJA(1)",1,IF(R526="MEDIA(2)",2,IF(R526="ALTA(3)",3,3))))</f>
        <v/>
      </c>
      <c r="T526" s="10">
        <f>+IF(S526&lt;6,"BAJA",IF(S526&lt;8,"MEDIA","ALTA"))</f>
        <v/>
      </c>
      <c r="U526" s="10" t="inlineStr">
        <is>
          <t>-</t>
        </is>
      </c>
      <c r="V526" s="24" t="n">
        <v>45681</v>
      </c>
      <c r="W526" s="19" t="inlineStr">
        <is>
          <t>N/A</t>
        </is>
      </c>
      <c r="X526" s="10">
        <f>+IFERROR(IF(VLOOKUP(Tabla2[[#This Row],[ID]],'EVALUACION DE RIESGO'!A:A,1,FALSE)=Tabla2[[#This Row],[ID]],"SI","NO"),"NO")</f>
        <v/>
      </c>
    </row>
    <row r="527">
      <c r="A527" s="91" t="inlineStr">
        <is>
          <t xml:space="preserve">7-GRE </t>
        </is>
      </c>
      <c r="B527" s="10" t="inlineStr">
        <is>
          <t>PRODUCTIVO</t>
        </is>
      </c>
      <c r="C527" s="10" t="inlineStr">
        <is>
          <t xml:space="preserve">Gestión de Recuperación </t>
        </is>
      </c>
      <c r="D527" s="10" t="inlineStr">
        <is>
          <t xml:space="preserve">GRE </t>
        </is>
      </c>
      <c r="E527" s="10" t="inlineStr">
        <is>
          <t>Gestión de Recuperación Preventiva y Correctiva</t>
        </is>
      </c>
      <c r="F527" s="10" t="inlineStr">
        <is>
          <t>-</t>
        </is>
      </c>
      <c r="G527" s="10" t="inlineStr">
        <is>
          <t>Recuperación Correctiva Segunda Etapa</t>
        </is>
      </c>
      <c r="H527" s="10" t="inlineStr">
        <is>
          <t>Informe de gestión de cobranza de Gestor de Cobranza</t>
        </is>
      </c>
      <c r="I527" s="10" t="inlineStr">
        <is>
          <t>Cuando se pasa operaciones a Juridico se realiza el informe con infirmación de todas las operaciones gestionadas por cobranza indicando información del credito, resumen de la gestión, todas las gestiones realizadas, ubicación del socio, mapa, firmas de responsabilidad</t>
        </is>
      </c>
      <c r="J527" s="10" t="inlineStr">
        <is>
          <t xml:space="preserve">Jefe de Cobranzas </t>
        </is>
      </c>
      <c r="K527" s="10" t="inlineStr">
        <is>
          <t xml:space="preserve">Jefe de Cobranzas </t>
        </is>
      </c>
      <c r="L527" s="10" t="inlineStr">
        <is>
          <t>DOCUMENTOS FISICOS-ARCHIVOS DE LA OFICINA</t>
        </is>
      </c>
      <c r="M527" s="10" t="inlineStr">
        <is>
          <t>DOCUMENTO DE ARCHIVO-FÍSICO</t>
        </is>
      </c>
      <c r="N527" s="10" t="inlineStr">
        <is>
          <t>PRIMARIOS</t>
        </is>
      </c>
      <c r="O527" s="10" t="inlineStr">
        <is>
          <t>DOCUMENTOS TÉCNICOS</t>
        </is>
      </c>
      <c r="P527" s="10" t="inlineStr">
        <is>
          <t>RESTRINGIDO(3)</t>
        </is>
      </c>
      <c r="Q527" s="10" t="inlineStr">
        <is>
          <t>MEDIA(2)</t>
        </is>
      </c>
      <c r="R527" s="10" t="inlineStr">
        <is>
          <t>MEDIA(2)</t>
        </is>
      </c>
      <c r="S527" s="10">
        <f>+(IF(P527="PUBLICA(1)",1,IF(P527="USO INTERNO(2)",2,IF(P527="RESTRINGIDO(3)",3,3))))+(IF(Q527="BAJA(1)",1,IF(Q527="MEDIA(2)",2,IF(Q527="ALTA(3)",3,3))))+(IF(R527="BAJA(1)",1,IF(R527="MEDIA(2)",2,IF(R527="ALTA(3)",3,3))))</f>
        <v/>
      </c>
      <c r="T527" s="10">
        <f>+IF(S527&lt;6,"BAJA",IF(S527&lt;8,"MEDIA","ALTA"))</f>
        <v/>
      </c>
      <c r="U527" s="10" t="inlineStr">
        <is>
          <t>-</t>
        </is>
      </c>
      <c r="V527" s="24" t="n">
        <v>45681</v>
      </c>
      <c r="W527" s="19" t="inlineStr">
        <is>
          <t>N/A</t>
        </is>
      </c>
      <c r="X527" s="10">
        <f>+IFERROR(IF(VLOOKUP(Tabla2[[#This Row],[ID]],'EVALUACION DE RIESGO'!A:A,1,FALSE)=Tabla2[[#This Row],[ID]],"SI","NO"),"NO")</f>
        <v/>
      </c>
    </row>
    <row r="528">
      <c r="A528" s="91" t="inlineStr">
        <is>
          <t xml:space="preserve">8-GRE </t>
        </is>
      </c>
      <c r="B528" s="10" t="inlineStr">
        <is>
          <t>PRODUCTIVO</t>
        </is>
      </c>
      <c r="C528" s="10" t="inlineStr">
        <is>
          <t xml:space="preserve">Gestión de Recuperación </t>
        </is>
      </c>
      <c r="D528" s="10" t="inlineStr">
        <is>
          <t xml:space="preserve">GRE </t>
        </is>
      </c>
      <c r="E528" s="10" t="inlineStr">
        <is>
          <t>Gestión de Recuperación Preventiva y Correctiva</t>
        </is>
      </c>
      <c r="F528" s="10" t="inlineStr">
        <is>
          <t>-</t>
        </is>
      </c>
      <c r="G528" s="10" t="inlineStr">
        <is>
          <t>Recuperación Correctiva Segunda Etapa</t>
        </is>
      </c>
      <c r="H528" s="10" t="inlineStr">
        <is>
          <t>Resolución del comité de cobranza</t>
        </is>
      </c>
      <c r="I528" s="10" t="inlineStr">
        <is>
          <t>Acta Física del Comité de cobrnaza con la resolución respectiva</t>
        </is>
      </c>
      <c r="J528" s="10" t="inlineStr">
        <is>
          <t xml:space="preserve">Jefe de Cobranzas </t>
        </is>
      </c>
      <c r="K528" s="10" t="inlineStr">
        <is>
          <t xml:space="preserve">Jefe de Cobranzas </t>
        </is>
      </c>
      <c r="L528" s="10" t="inlineStr">
        <is>
          <t>DOCUMENTOS FISICOS-ARCHIVOS DE LA OFICINA</t>
        </is>
      </c>
      <c r="M528" s="10" t="inlineStr">
        <is>
          <t>DOCUMENTO DE ARCHIVO-FÍSICO</t>
        </is>
      </c>
      <c r="N528" s="10" t="inlineStr">
        <is>
          <t>PRIMARIOS</t>
        </is>
      </c>
      <c r="O528" s="10" t="inlineStr">
        <is>
          <t>DOCUMENTOS HABILITANTES</t>
        </is>
      </c>
      <c r="P528" s="10" t="inlineStr">
        <is>
          <t>USO INTERNO(2)</t>
        </is>
      </c>
      <c r="Q528" s="10" t="inlineStr">
        <is>
          <t>MEDIA(2)</t>
        </is>
      </c>
      <c r="R528" s="10" t="inlineStr">
        <is>
          <t>MEDIA(2)</t>
        </is>
      </c>
      <c r="S528" s="10">
        <f>+(IF(P528="PUBLICA(1)",1,IF(P528="USO INTERNO(2)",2,IF(P528="RESTRINGIDO(3)",3,3))))+(IF(Q528="BAJA(1)",1,IF(Q528="MEDIA(2)",2,IF(Q528="ALTA(3)",3,3))))+(IF(R528="BAJA(1)",1,IF(R528="MEDIA(2)",2,IF(R528="ALTA(3)",3,3))))</f>
        <v/>
      </c>
      <c r="T528" s="10">
        <f>+IF(S528&lt;6,"BAJA",IF(S528&lt;8,"MEDIA","ALTA"))</f>
        <v/>
      </c>
      <c r="U528" s="10" t="inlineStr">
        <is>
          <t>-</t>
        </is>
      </c>
      <c r="V528" s="24" t="n">
        <v>45681</v>
      </c>
      <c r="W528" s="19" t="inlineStr">
        <is>
          <t>N/A</t>
        </is>
      </c>
      <c r="X528" s="10">
        <f>+IFERROR(IF(VLOOKUP(Tabla2[[#This Row],[ID]],'EVALUACION DE RIESGO'!A:A,1,FALSE)=Tabla2[[#This Row],[ID]],"SI","NO"),"NO")</f>
        <v/>
      </c>
    </row>
    <row r="529">
      <c r="A529" s="91" t="inlineStr">
        <is>
          <t xml:space="preserve">9-GRE </t>
        </is>
      </c>
      <c r="B529" s="10" t="inlineStr">
        <is>
          <t>PRODUCTIVO</t>
        </is>
      </c>
      <c r="C529" s="10" t="inlineStr">
        <is>
          <t xml:space="preserve">Gestión de Recuperación </t>
        </is>
      </c>
      <c r="D529" s="10" t="inlineStr">
        <is>
          <t xml:space="preserve">GRE </t>
        </is>
      </c>
      <c r="E529" s="10" t="inlineStr">
        <is>
          <t>Gestión de Recuperación Preventiva y Correctiva</t>
        </is>
      </c>
      <c r="F529" s="10" t="inlineStr">
        <is>
          <t>-</t>
        </is>
      </c>
      <c r="G529" s="10" t="inlineStr">
        <is>
          <t>Entrega y Control de Reciberas</t>
        </is>
      </c>
      <c r="H529" s="10" t="inlineStr">
        <is>
          <t>Acta entrega de reciberas</t>
        </is>
      </c>
      <c r="I529" s="10" t="inlineStr">
        <is>
          <t>Documento recibera que manejan los gestores de cobranza para la recepción de efectivo en campo, contiene numero serial, datos del socio, cantidad, descripcion, firmas de responsabilidad</t>
        </is>
      </c>
      <c r="J529" s="10" t="inlineStr">
        <is>
          <t xml:space="preserve">Jefe de Cobranzas </t>
        </is>
      </c>
      <c r="K529" s="10" t="inlineStr">
        <is>
          <t>Supervisor de Cobranza</t>
        </is>
      </c>
      <c r="L529" s="10" t="inlineStr">
        <is>
          <t>DOCUMENTOS FISICOS-ARCHIVOS DE LA OFICINA</t>
        </is>
      </c>
      <c r="M529" s="10" t="inlineStr">
        <is>
          <t>DOCUMENTO DE ARCHIVO-FÍSICO</t>
        </is>
      </c>
      <c r="N529" s="10" t="inlineStr">
        <is>
          <t>PRIMARIOS</t>
        </is>
      </c>
      <c r="O529" s="10" t="inlineStr">
        <is>
          <t>DOCUMENTOS HABILITANTES</t>
        </is>
      </c>
      <c r="P529" s="10" t="inlineStr">
        <is>
          <t>USO INTERNO(2)</t>
        </is>
      </c>
      <c r="Q529" s="10" t="inlineStr">
        <is>
          <t>MEDIA(2)</t>
        </is>
      </c>
      <c r="R529" s="10" t="inlineStr">
        <is>
          <t>ALTA(3)</t>
        </is>
      </c>
      <c r="S529" s="10">
        <f>+(IF(P529="PUBLICA(1)",1,IF(P529="USO INTERNO(2)",2,IF(P529="RESTRINGIDO(3)",3,3))))+(IF(Q529="BAJA(1)",1,IF(Q529="MEDIA(2)",2,IF(Q529="ALTA(3)",3,3))))+(IF(R529="BAJA(1)",1,IF(R529="MEDIA(2)",2,IF(R529="ALTA(3)",3,3))))</f>
        <v/>
      </c>
      <c r="T529" s="10">
        <f>+IF(S529&lt;6,"BAJA",IF(S529&lt;8,"MEDIA","ALTA"))</f>
        <v/>
      </c>
      <c r="U529" s="10" t="inlineStr">
        <is>
          <t>-</t>
        </is>
      </c>
      <c r="V529" s="24" t="n">
        <v>45681</v>
      </c>
      <c r="W529" s="19" t="inlineStr">
        <is>
          <t>N/A</t>
        </is>
      </c>
      <c r="X529" s="10">
        <f>+IFERROR(IF(VLOOKUP(Tabla2[[#This Row],[ID]],'EVALUACION DE RIESGO'!A:A,1,FALSE)=Tabla2[[#This Row],[ID]],"SI","NO"),"NO")</f>
        <v/>
      </c>
    </row>
    <row r="530">
      <c r="A530" s="91" t="inlineStr">
        <is>
          <t xml:space="preserve">10-GRE </t>
        </is>
      </c>
      <c r="B530" s="10" t="inlineStr">
        <is>
          <t>PRODUCTIVO</t>
        </is>
      </c>
      <c r="C530" s="10" t="inlineStr">
        <is>
          <t xml:space="preserve">Gestión de Recuperación </t>
        </is>
      </c>
      <c r="D530" s="10" t="inlineStr">
        <is>
          <t xml:space="preserve">GRE </t>
        </is>
      </c>
      <c r="E530" s="10" t="inlineStr">
        <is>
          <t>Gestión de Recuperación Preventiva y Correctiva</t>
        </is>
      </c>
      <c r="F530" s="10" t="inlineStr">
        <is>
          <t>-</t>
        </is>
      </c>
      <c r="G530" s="10" t="inlineStr">
        <is>
          <t>Transferencia de cartera a empresa recuperadora</t>
        </is>
      </c>
      <c r="H530" s="10" t="inlineStr">
        <is>
          <t>Memorando</t>
        </is>
      </c>
      <c r="I530" s="10" t="inlineStr">
        <is>
          <t>Documento que se incluye el reportede cartera asignado al contrato con la emplesa, contiene información del crédito, información del socio, y ubicación, saldos, cuotas, estado detallado del crédito</t>
        </is>
      </c>
      <c r="J530" s="10" t="inlineStr">
        <is>
          <t xml:space="preserve">Jefe de Cobranzas </t>
        </is>
      </c>
      <c r="K530" s="10" t="inlineStr">
        <is>
          <t xml:space="preserve">Jefe de Cobranzas </t>
        </is>
      </c>
      <c r="L530" s="10" t="inlineStr">
        <is>
          <t>UBICACIÓN DIGITAL-EQUIPO DEL CUSTODIO</t>
        </is>
      </c>
      <c r="M530" s="10" t="inlineStr">
        <is>
          <t>DISCOS DUROS, SERVIDORES, DISCOS O MEDIOS PORTÁTILES, CINTAS O MEDIOS DE VIDEO Y AUDIO, ETC.</t>
        </is>
      </c>
      <c r="N530" s="10" t="inlineStr">
        <is>
          <t>PRIMARIOS</t>
        </is>
      </c>
      <c r="O530" s="10" t="inlineStr">
        <is>
          <t>DOCUMENTOS HABILITANTES</t>
        </is>
      </c>
      <c r="P530" s="10" t="inlineStr">
        <is>
          <t>USO INTERNO(2)</t>
        </is>
      </c>
      <c r="Q530" s="10" t="inlineStr">
        <is>
          <t>MEDIA(2)</t>
        </is>
      </c>
      <c r="R530" s="10" t="inlineStr">
        <is>
          <t>MEDIA(2)</t>
        </is>
      </c>
      <c r="S530" s="10">
        <f>+(IF(P530="PUBLICA(1)",1,IF(P530="USO INTERNO(2)",2,IF(P530="RESTRINGIDO(3)",3,3))))+(IF(Q530="BAJA(1)",1,IF(Q530="MEDIA(2)",2,IF(Q530="ALTA(3)",3,3))))+(IF(R530="BAJA(1)",1,IF(R530="MEDIA(2)",2,IF(R530="ALTA(3)",3,3))))</f>
        <v/>
      </c>
      <c r="T530" s="10">
        <f>+IF(S530&lt;6,"BAJA",IF(S530&lt;8,"MEDIA","ALTA"))</f>
        <v/>
      </c>
      <c r="U530" s="10" t="inlineStr">
        <is>
          <t>-</t>
        </is>
      </c>
      <c r="V530" s="24" t="n">
        <v>45681</v>
      </c>
      <c r="W530" s="19" t="inlineStr">
        <is>
          <t>N/A</t>
        </is>
      </c>
      <c r="X530" s="10">
        <f>+IFERROR(IF(VLOOKUP(Tabla2[[#This Row],[ID]],'EVALUACION DE RIESGO'!A:A,1,FALSE)=Tabla2[[#This Row],[ID]],"SI","NO"),"NO")</f>
        <v/>
      </c>
    </row>
    <row r="531">
      <c r="A531" s="91" t="inlineStr">
        <is>
          <t xml:space="preserve">11-GRE </t>
        </is>
      </c>
      <c r="B531" s="10" t="inlineStr">
        <is>
          <t>PRODUCTIVO</t>
        </is>
      </c>
      <c r="C531" s="10" t="inlineStr">
        <is>
          <t xml:space="preserve">Gestión de Recuperación </t>
        </is>
      </c>
      <c r="D531" s="10" t="inlineStr">
        <is>
          <t xml:space="preserve">GRE </t>
        </is>
      </c>
      <c r="E531" s="10" t="inlineStr">
        <is>
          <t>Gestión de Recuperación Preventiva y Correctiva</t>
        </is>
      </c>
      <c r="F531" s="10" t="inlineStr">
        <is>
          <t>-</t>
        </is>
      </c>
      <c r="G531" s="10" t="inlineStr">
        <is>
          <t>Análisis y pago de recuperación de la empresa recuperadora</t>
        </is>
      </c>
      <c r="H531" s="10" t="inlineStr">
        <is>
          <t>Procedimiento de pago a proveedores</t>
        </is>
      </c>
      <c r="I531" s="10" t="inlineStr">
        <is>
          <t>En base al reporte de recuperación se hace un pago de honorarios a la empresa recuperadora, el documento contiene oficina, cuanto pagó el socio, honorario, detalle por oficina, el iva y el total recuperado.</t>
        </is>
      </c>
      <c r="J531" s="10" t="inlineStr">
        <is>
          <t xml:space="preserve">Jefe de Cobranzas </t>
        </is>
      </c>
      <c r="K531" s="10" t="inlineStr">
        <is>
          <t xml:space="preserve">Jefe de Cobranzas </t>
        </is>
      </c>
      <c r="L531" s="10" t="inlineStr">
        <is>
          <t>UBICACIÓN DIGITAL-EQUIPO DEL CUSTODIO</t>
        </is>
      </c>
      <c r="M531" s="10" t="inlineStr">
        <is>
          <t>DISCOS DUROS, SERVIDORES, DISCOS O MEDIOS PORTÁTILES, CINTAS O MEDIOS DE VIDEO Y AUDIO, ETC.</t>
        </is>
      </c>
      <c r="N531" s="10" t="inlineStr">
        <is>
          <t>PRIMARIOS</t>
        </is>
      </c>
      <c r="O531" s="10" t="inlineStr">
        <is>
          <t>DOCUMENTOS HABILITANTES</t>
        </is>
      </c>
      <c r="P531" s="10" t="inlineStr">
        <is>
          <t>USO INTERNO(2)</t>
        </is>
      </c>
      <c r="Q531" s="10" t="inlineStr">
        <is>
          <t>MEDIA(2)</t>
        </is>
      </c>
      <c r="R531" s="10" t="inlineStr">
        <is>
          <t>ALTA(3)</t>
        </is>
      </c>
      <c r="S531" s="10">
        <f>+(IF(P531="PUBLICA(1)",1,IF(P531="USO INTERNO(2)",2,IF(P531="RESTRINGIDO(3)",3,3))))+(IF(Q531="BAJA(1)",1,IF(Q531="MEDIA(2)",2,IF(Q531="ALTA(3)",3,3))))+(IF(R531="BAJA(1)",1,IF(R531="MEDIA(2)",2,IF(R531="ALTA(3)",3,3))))</f>
        <v/>
      </c>
      <c r="T531" s="10">
        <f>+IF(S531&lt;6,"BAJA",IF(S531&lt;8,"MEDIA","ALTA"))</f>
        <v/>
      </c>
      <c r="U531" s="10" t="inlineStr">
        <is>
          <t>-</t>
        </is>
      </c>
      <c r="V531" s="24" t="n">
        <v>45681</v>
      </c>
      <c r="W531" s="19" t="inlineStr">
        <is>
          <t>N/A</t>
        </is>
      </c>
      <c r="X531" s="10">
        <f>+IFERROR(IF(VLOOKUP(Tabla2[[#This Row],[ID]],'EVALUACION DE RIESGO'!A:A,1,FALSE)=Tabla2[[#This Row],[ID]],"SI","NO"),"NO")</f>
        <v/>
      </c>
    </row>
    <row r="532">
      <c r="A532" s="91" t="inlineStr">
        <is>
          <t xml:space="preserve">12-GRE </t>
        </is>
      </c>
      <c r="B532" s="10" t="inlineStr">
        <is>
          <t>PRODUCTIVO</t>
        </is>
      </c>
      <c r="C532" s="10" t="inlineStr">
        <is>
          <t xml:space="preserve">Gestión de Recuperación </t>
        </is>
      </c>
      <c r="D532" s="10" t="inlineStr">
        <is>
          <t xml:space="preserve">GRE </t>
        </is>
      </c>
      <c r="E532" s="10" t="inlineStr">
        <is>
          <t>Gestión de Recuperación Preventiva y Correctiva</t>
        </is>
      </c>
      <c r="F532" s="10" t="inlineStr">
        <is>
          <t>-</t>
        </is>
      </c>
      <c r="G532" s="10" t="inlineStr">
        <is>
          <t>Retiro de cartera de la empresa recuperadora</t>
        </is>
      </c>
      <c r="H532" s="10" t="inlineStr">
        <is>
          <t>Notificación de salida de cartera</t>
        </is>
      </c>
      <c r="I532" s="10" t="inlineStr">
        <is>
          <t xml:space="preserve">Notificación que se envía a traves de un oficio las operaciones que se retiran el reporte inicial </t>
        </is>
      </c>
      <c r="J532" s="10" t="inlineStr">
        <is>
          <t xml:space="preserve">Jefe de Cobranzas </t>
        </is>
      </c>
      <c r="K532" s="10" t="inlineStr">
        <is>
          <t xml:space="preserve">Jefe de Cobranzas </t>
        </is>
      </c>
      <c r="L532" s="10" t="inlineStr">
        <is>
          <t>UBICACIÓN DIGITAL-EQUIPO DEL CUSTODIO</t>
        </is>
      </c>
      <c r="M532" s="10" t="inlineStr">
        <is>
          <t>DISCOS DUROS, SERVIDORES, DISCOS O MEDIOS PORTÁTILES, CINTAS O MEDIOS DE VIDEO Y AUDIO, ETC.</t>
        </is>
      </c>
      <c r="N532" s="10" t="inlineStr">
        <is>
          <t>PRIMARIOS</t>
        </is>
      </c>
      <c r="O532" s="10" t="inlineStr">
        <is>
          <t>INFORMACIÓN DE SOCIOS Y CLIENTES</t>
        </is>
      </c>
      <c r="P532" s="10" t="inlineStr">
        <is>
          <t>USO INTERNO(2)</t>
        </is>
      </c>
      <c r="Q532" s="10" t="inlineStr">
        <is>
          <t>MEDIA(2)</t>
        </is>
      </c>
      <c r="R532" s="10" t="inlineStr">
        <is>
          <t>ALTA(3)</t>
        </is>
      </c>
      <c r="S532" s="10">
        <f>+(IF(P532="PUBLICA(1)",1,IF(P532="USO INTERNO(2)",2,IF(P532="RESTRINGIDO(3)",3,3))))+(IF(Q532="BAJA(1)",1,IF(Q532="MEDIA(2)",2,IF(Q532="ALTA(3)",3,3))))+(IF(R532="BAJA(1)",1,IF(R532="MEDIA(2)",2,IF(R532="ALTA(3)",3,3))))</f>
        <v/>
      </c>
      <c r="T532" s="10">
        <f>+IF(S532&lt;6,"BAJA",IF(S532&lt;8,"MEDIA","ALTA"))</f>
        <v/>
      </c>
      <c r="U532" s="10" t="inlineStr">
        <is>
          <t>-</t>
        </is>
      </c>
      <c r="V532" s="24" t="n">
        <v>45681</v>
      </c>
      <c r="W532" s="19" t="inlineStr">
        <is>
          <t>N/A</t>
        </is>
      </c>
      <c r="X532" s="10">
        <f>+IFERROR(IF(VLOOKUP(Tabla2[[#This Row],[ID]],'EVALUACION DE RIESGO'!A:A,1,FALSE)=Tabla2[[#This Row],[ID]],"SI","NO"),"NO")</f>
        <v/>
      </c>
    </row>
    <row r="533">
      <c r="A533" s="91" t="inlineStr">
        <is>
          <t xml:space="preserve">13-GRE </t>
        </is>
      </c>
      <c r="B533" s="10" t="inlineStr">
        <is>
          <t>PRODUCTIVO</t>
        </is>
      </c>
      <c r="C533" s="10" t="inlineStr">
        <is>
          <t xml:space="preserve">Gestión de Recuperación </t>
        </is>
      </c>
      <c r="D533" s="10" t="inlineStr">
        <is>
          <t xml:space="preserve">GRE </t>
        </is>
      </c>
      <c r="E533" s="10" t="inlineStr">
        <is>
          <t>Gestión de Recuperación Preventiva y Correctiva</t>
        </is>
      </c>
      <c r="F533" s="10" t="inlineStr">
        <is>
          <t>-</t>
        </is>
      </c>
      <c r="G533" s="10" t="inlineStr">
        <is>
          <t xml:space="preserve">Castigo de Operaciones    </t>
        </is>
      </c>
      <c r="H533" s="10" t="inlineStr">
        <is>
          <t>Informe de análisis de viabilidad de castigo</t>
        </is>
      </c>
      <c r="I533" s="10" t="inlineStr">
        <is>
          <t>Informe de las gestiones realizadas de cobranza al área de riesgos, el informe y oficio contiene las gestiones de cobranzas de cada operación, y un oficio firmado por el Gerende de Negocios de todas las operaciones que se solicita castigar</t>
        </is>
      </c>
      <c r="J533" s="10" t="inlineStr">
        <is>
          <t xml:space="preserve">Jefe de Cobranzas </t>
        </is>
      </c>
      <c r="K533" s="10" t="inlineStr">
        <is>
          <t xml:space="preserve">Jefe de Cobranzas </t>
        </is>
      </c>
      <c r="L533" s="10" t="inlineStr">
        <is>
          <t>UBICACIÓN DIGITAL-EQUIPO DEL CUSTODIO</t>
        </is>
      </c>
      <c r="M533" s="10" t="inlineStr">
        <is>
          <t>DISCOS DUROS, SERVIDORES, DISCOS O MEDIOS PORTÁTILES, CINTAS O MEDIOS DE VIDEO Y AUDIO, ETC.</t>
        </is>
      </c>
      <c r="N533" s="10" t="inlineStr">
        <is>
          <t>PRIMARIOS</t>
        </is>
      </c>
      <c r="O533" s="10" t="inlineStr">
        <is>
          <t>DOCUMENTOS TÉCNICOS</t>
        </is>
      </c>
      <c r="P533" s="10" t="inlineStr">
        <is>
          <t>RESTRINGIDO(3)</t>
        </is>
      </c>
      <c r="Q533" s="10" t="inlineStr">
        <is>
          <t>BAJA(1)</t>
        </is>
      </c>
      <c r="R533" s="10" t="inlineStr">
        <is>
          <t>MEDIA(2)</t>
        </is>
      </c>
      <c r="S533" s="10">
        <f>+(IF(P533="PUBLICA(1)",1,IF(P533="USO INTERNO(2)",2,IF(P533="RESTRINGIDO(3)",3,3))))+(IF(Q533="BAJA(1)",1,IF(Q533="MEDIA(2)",2,IF(Q533="ALTA(3)",3,3))))+(IF(R533="BAJA(1)",1,IF(R533="MEDIA(2)",2,IF(R533="ALTA(3)",3,3))))</f>
        <v/>
      </c>
      <c r="T533" s="10">
        <f>+IF(S533&lt;6,"BAJA",IF(S533&lt;8,"MEDIA","ALTA"))</f>
        <v/>
      </c>
      <c r="U533" s="10" t="inlineStr">
        <is>
          <t>-</t>
        </is>
      </c>
      <c r="V533" s="24" t="n">
        <v>45681</v>
      </c>
      <c r="W533" s="19" t="inlineStr">
        <is>
          <t>N/A</t>
        </is>
      </c>
      <c r="X533" s="10">
        <f>+IFERROR(IF(VLOOKUP(Tabla2[[#This Row],[ID]],'EVALUACION DE RIESGO'!A:A,1,FALSE)=Tabla2[[#This Row],[ID]],"SI","NO"),"NO")</f>
        <v/>
      </c>
    </row>
    <row r="534">
      <c r="A534" s="91" t="inlineStr">
        <is>
          <t xml:space="preserve">14-GRE </t>
        </is>
      </c>
      <c r="B534" s="10" t="inlineStr">
        <is>
          <t>PRODUCTIVO</t>
        </is>
      </c>
      <c r="C534" s="10" t="inlineStr">
        <is>
          <t xml:space="preserve">Gestión de Recuperación </t>
        </is>
      </c>
      <c r="D534" s="10" t="inlineStr">
        <is>
          <t xml:space="preserve">GRE </t>
        </is>
      </c>
      <c r="E534" s="10" t="inlineStr">
        <is>
          <t>Gestión de Recuperación Preventiva y Correctiva</t>
        </is>
      </c>
      <c r="F534" s="10" t="inlineStr">
        <is>
          <t>-</t>
        </is>
      </c>
      <c r="G534" s="10" t="inlineStr">
        <is>
          <t>Débito de saldos disponibles en cuentas castigadas y judiciales</t>
        </is>
      </c>
      <c r="H534" s="10" t="inlineStr">
        <is>
          <t>Informe de pagos efectuados a operaciones castigadas y judiciales</t>
        </is>
      </c>
      <c r="I534" s="10" t="inlineStr">
        <is>
          <t>Se envia un reporte de operaciones que se debitan desde las cuentas de los clientes, el reporte de saldos minimos contiene detalle de la operación, saldos mínimos, reporta KMOROSIS que se obtiene de la transacción 16-5147</t>
        </is>
      </c>
      <c r="J534" s="10" t="inlineStr">
        <is>
          <t xml:space="preserve">Jefe de Cobranzas </t>
        </is>
      </c>
      <c r="K534" s="10" t="inlineStr">
        <is>
          <t xml:space="preserve">Jefe de Cobranzas </t>
        </is>
      </c>
      <c r="L534" s="10" t="inlineStr">
        <is>
          <t>UBICACIÓN DIGITAL-EQUIPO DEL CUSTODIO</t>
        </is>
      </c>
      <c r="M534" s="10" t="inlineStr">
        <is>
          <t>DISCOS DUROS, SERVIDORES, DISCOS O MEDIOS PORTÁTILES, CINTAS O MEDIOS DE VIDEO Y AUDIO, ETC.</t>
        </is>
      </c>
      <c r="N534" s="10" t="inlineStr">
        <is>
          <t>PRIMARIOS</t>
        </is>
      </c>
      <c r="O534" s="10" t="inlineStr">
        <is>
          <t>DOCUMENTOS TÉCNICOS</t>
        </is>
      </c>
      <c r="P534" s="10" t="inlineStr">
        <is>
          <t>RESTRINGIDO(3)</t>
        </is>
      </c>
      <c r="Q534" s="10" t="inlineStr">
        <is>
          <t>BAJA(1)</t>
        </is>
      </c>
      <c r="R534" s="10" t="inlineStr">
        <is>
          <t>ALTA(3)</t>
        </is>
      </c>
      <c r="S534" s="10">
        <f>+(IF(P534="PUBLICA(1)",1,IF(P534="USO INTERNO(2)",2,IF(P534="RESTRINGIDO(3)",3,3))))+(IF(Q534="BAJA(1)",1,IF(Q534="MEDIA(2)",2,IF(Q534="ALTA(3)",3,3))))+(IF(R534="BAJA(1)",1,IF(R534="MEDIA(2)",2,IF(R534="ALTA(3)",3,3))))</f>
        <v/>
      </c>
      <c r="T534" s="10">
        <f>+IF(S534&lt;6,"BAJA",IF(S534&lt;8,"MEDIA","ALTA"))</f>
        <v/>
      </c>
      <c r="U534" s="10" t="inlineStr">
        <is>
          <t>-</t>
        </is>
      </c>
      <c r="V534" s="24" t="n">
        <v>45681</v>
      </c>
      <c r="W534" s="19" t="inlineStr">
        <is>
          <t>N/A</t>
        </is>
      </c>
      <c r="X534" s="10">
        <f>+IFERROR(IF(VLOOKUP(Tabla2[[#This Row],[ID]],'EVALUACION DE RIESGO'!A:A,1,FALSE)=Tabla2[[#This Row],[ID]],"SI","NO"),"NO")</f>
        <v/>
      </c>
    </row>
    <row r="535">
      <c r="A535" s="91" t="inlineStr">
        <is>
          <t xml:space="preserve">15-GRE </t>
        </is>
      </c>
      <c r="B535" s="10" t="inlineStr">
        <is>
          <t>PRODUCTIVO</t>
        </is>
      </c>
      <c r="C535" s="10" t="inlineStr">
        <is>
          <t xml:space="preserve">Gestión de Recuperación </t>
        </is>
      </c>
      <c r="D535" s="10" t="inlineStr">
        <is>
          <t xml:space="preserve">GRE </t>
        </is>
      </c>
      <c r="E535" s="10" t="inlineStr">
        <is>
          <t>Gestión de Recuperación Preventiva y Correctiva</t>
        </is>
      </c>
      <c r="F535" s="10" t="inlineStr">
        <is>
          <t>-</t>
        </is>
      </c>
      <c r="G535" s="10" t="inlineStr">
        <is>
          <t>Débito de saldos disponibles en cuentas castigadas y judiciales</t>
        </is>
      </c>
      <c r="H535" s="10" t="inlineStr">
        <is>
          <t>Autorización de la activación de las cuentas de ahorro</t>
        </is>
      </c>
      <c r="I535" s="10" t="inlineStr">
        <is>
          <t>Correo electrónico de respuesta del Gerente General autorizando la gestión de cobranza</t>
        </is>
      </c>
      <c r="J535" s="10" t="inlineStr">
        <is>
          <t xml:space="preserve">Jefe de Cobranzas </t>
        </is>
      </c>
      <c r="K535" s="10" t="inlineStr">
        <is>
          <t xml:space="preserve">Jefe de Cobranzas </t>
        </is>
      </c>
      <c r="L535" s="10" t="inlineStr">
        <is>
          <t>UBICACIÓN DIGITAL-EQUIPO DEL CUSTODIO</t>
        </is>
      </c>
      <c r="M535" s="10" t="inlineStr">
        <is>
          <t>DISCOS DUROS, SERVIDORES, DISCOS O MEDIOS PORTÁTILES, CINTAS O MEDIOS DE VIDEO Y AUDIO, ETC.</t>
        </is>
      </c>
      <c r="N535" s="10" t="inlineStr">
        <is>
          <t>PRIMARIOS</t>
        </is>
      </c>
      <c r="O535" s="10" t="inlineStr">
        <is>
          <t>DOCUMENTOS HABILITANTES</t>
        </is>
      </c>
      <c r="P535" s="10" t="inlineStr">
        <is>
          <t>USO INTERNO(2)</t>
        </is>
      </c>
      <c r="Q535" s="10" t="inlineStr">
        <is>
          <t>MEDIA(2)</t>
        </is>
      </c>
      <c r="R535" s="10" t="inlineStr">
        <is>
          <t>MEDIA(2)</t>
        </is>
      </c>
      <c r="S535" s="10">
        <f>+(IF(P535="PUBLICA(1)",1,IF(P535="USO INTERNO(2)",2,IF(P535="RESTRINGIDO(3)",3,3))))+(IF(Q535="BAJA(1)",1,IF(Q535="MEDIA(2)",2,IF(Q535="ALTA(3)",3,3))))+(IF(R535="BAJA(1)",1,IF(R535="MEDIA(2)",2,IF(R535="ALTA(3)",3,3))))</f>
        <v/>
      </c>
      <c r="T535" s="10">
        <f>+IF(S535&lt;6,"BAJA",IF(S535&lt;8,"MEDIA","ALTA"))</f>
        <v/>
      </c>
      <c r="U535" s="10" t="inlineStr">
        <is>
          <t>-</t>
        </is>
      </c>
      <c r="V535" s="24" t="n">
        <v>45681</v>
      </c>
      <c r="W535" s="19" t="inlineStr">
        <is>
          <t>N/A</t>
        </is>
      </c>
      <c r="X535" s="10">
        <f>+IFERROR(IF(VLOOKUP(Tabla2[[#This Row],[ID]],'EVALUACION DE RIESGO'!A:A,1,FALSE)=Tabla2[[#This Row],[ID]],"SI","NO"),"NO")</f>
        <v/>
      </c>
    </row>
    <row r="536">
      <c r="A536" s="91" t="inlineStr">
        <is>
          <t xml:space="preserve">16-GRE </t>
        </is>
      </c>
      <c r="B536" s="10" t="inlineStr">
        <is>
          <t>PRODUCTIVO</t>
        </is>
      </c>
      <c r="C536" s="10" t="inlineStr">
        <is>
          <t xml:space="preserve">Gestión de Recuperación </t>
        </is>
      </c>
      <c r="D536" s="10" t="inlineStr">
        <is>
          <t xml:space="preserve">GRE </t>
        </is>
      </c>
      <c r="E536" s="10" t="inlineStr">
        <is>
          <t>Gestión de Recuperación Preventiva y Correctiva</t>
        </is>
      </c>
      <c r="F536" s="10" t="inlineStr">
        <is>
          <t>-</t>
        </is>
      </c>
      <c r="G536" s="10" t="inlineStr">
        <is>
          <t>Condonación de deuda</t>
        </is>
      </c>
      <c r="H536" s="10" t="inlineStr">
        <is>
          <t>Formulario de condonación de intereses</t>
        </is>
      </c>
      <c r="I536" s="10" t="inlineStr">
        <is>
          <t>Formulario de condonación donde se registran datos generales de la oficina, datos del socio, situación del credito,situación actual del deudor, criterio de verificación,, sustentos entregados</t>
        </is>
      </c>
      <c r="J536" s="10" t="inlineStr">
        <is>
          <t xml:space="preserve">Jefe de Cobranzas </t>
        </is>
      </c>
      <c r="K536" s="10" t="inlineStr">
        <is>
          <t xml:space="preserve">Jefe de Cobranzas </t>
        </is>
      </c>
      <c r="L536" s="10" t="inlineStr">
        <is>
          <t>UBICACIÓN DIGITAL-EQUIPO DEL CUSTODIO</t>
        </is>
      </c>
      <c r="M536" s="10" t="inlineStr">
        <is>
          <t>DISCOS DUROS, SERVIDORES, DISCOS O MEDIOS PORTÁTILES, CINTAS O MEDIOS DE VIDEO Y AUDIO, ETC.</t>
        </is>
      </c>
      <c r="N536" s="10" t="inlineStr">
        <is>
          <t>PRIMARIOS</t>
        </is>
      </c>
      <c r="O536" s="10" t="inlineStr">
        <is>
          <t>DOCUMENTOS HABILITANTES</t>
        </is>
      </c>
      <c r="P536" s="10" t="inlineStr">
        <is>
          <t>RESTRINGIDO(3)</t>
        </is>
      </c>
      <c r="Q536" s="10" t="inlineStr">
        <is>
          <t>MEDIA(2)</t>
        </is>
      </c>
      <c r="R536" s="10" t="inlineStr">
        <is>
          <t>MEDIA(2)</t>
        </is>
      </c>
      <c r="S536" s="10">
        <f>+(IF(P536="PUBLICA(1)",1,IF(P536="USO INTERNO(2)",2,IF(P536="RESTRINGIDO(3)",3,3))))+(IF(Q536="BAJA(1)",1,IF(Q536="MEDIA(2)",2,IF(Q536="ALTA(3)",3,3))))+(IF(R536="BAJA(1)",1,IF(R536="MEDIA(2)",2,IF(R536="ALTA(3)",3,3))))</f>
        <v/>
      </c>
      <c r="T536" s="10">
        <f>+IF(S536&lt;6,"BAJA",IF(S536&lt;8,"MEDIA","ALTA"))</f>
        <v/>
      </c>
      <c r="U536" s="10" t="inlineStr">
        <is>
          <t>-</t>
        </is>
      </c>
      <c r="V536" s="24" t="n">
        <v>45681</v>
      </c>
      <c r="W536" s="19" t="inlineStr">
        <is>
          <t>N/A</t>
        </is>
      </c>
      <c r="X536" s="10">
        <f>+IFERROR(IF(VLOOKUP(Tabla2[[#This Row],[ID]],'EVALUACION DE RIESGO'!A:A,1,FALSE)=Tabla2[[#This Row],[ID]],"SI","NO"),"NO")</f>
        <v/>
      </c>
    </row>
    <row r="537">
      <c r="A537" s="91" t="inlineStr">
        <is>
          <t xml:space="preserve">17-GRE </t>
        </is>
      </c>
      <c r="B537" s="10" t="inlineStr">
        <is>
          <t>PRODUCTIVO</t>
        </is>
      </c>
      <c r="C537" s="10" t="inlineStr">
        <is>
          <t xml:space="preserve">Gestión de Recuperación </t>
        </is>
      </c>
      <c r="D537" s="10" t="inlineStr">
        <is>
          <t xml:space="preserve">GRE </t>
        </is>
      </c>
      <c r="E537" s="10" t="inlineStr">
        <is>
          <t>Gestión de Recuperación Preventiva y Correctiva</t>
        </is>
      </c>
      <c r="F537" s="10" t="inlineStr">
        <is>
          <t>-</t>
        </is>
      </c>
      <c r="G537" s="10" t="inlineStr">
        <is>
          <t>Condonación de deuda</t>
        </is>
      </c>
      <c r="H537" s="10" t="inlineStr">
        <is>
          <t>Informe de factibilidad de condonación de intereses</t>
        </is>
      </c>
      <c r="I537" s="10" t="inlineStr">
        <is>
          <t>Informe presentado cuando se realizan campañas  para determinar la factibilidad por estrategias o campañas institucionales, contiene información como antecedente, alcance, analisis de la cartera a castigar, gestiones de recuperación, base de la cartera a castigar, conclusión</t>
        </is>
      </c>
      <c r="J537" s="10" t="inlineStr">
        <is>
          <t xml:space="preserve">Jefe de Cobranzas </t>
        </is>
      </c>
      <c r="K537" s="10" t="inlineStr">
        <is>
          <t xml:space="preserve">Jefe de Cobranzas </t>
        </is>
      </c>
      <c r="L537" s="10" t="inlineStr">
        <is>
          <t>UBICACIÓN DIGITAL-EQUIPO DEL CUSTODIO</t>
        </is>
      </c>
      <c r="M537" s="10" t="inlineStr">
        <is>
          <t>DISCOS DUROS, SERVIDORES, DISCOS O MEDIOS PORTÁTILES, CINTAS O MEDIOS DE VIDEO Y AUDIO, ETC.</t>
        </is>
      </c>
      <c r="N537" s="10" t="inlineStr">
        <is>
          <t>PRIMARIOS</t>
        </is>
      </c>
      <c r="O537" s="10" t="inlineStr">
        <is>
          <t>DOCUMENTOS TÉCNICOS</t>
        </is>
      </c>
      <c r="P537" s="10" t="inlineStr">
        <is>
          <t>RESTRINGIDO(3)</t>
        </is>
      </c>
      <c r="Q537" s="10" t="inlineStr">
        <is>
          <t>BAJA(1)</t>
        </is>
      </c>
      <c r="R537" s="10" t="inlineStr">
        <is>
          <t>MEDIA(2)</t>
        </is>
      </c>
      <c r="S537" s="10">
        <f>+(IF(P537="PUBLICA(1)",1,IF(P537="USO INTERNO(2)",2,IF(P537="RESTRINGIDO(3)",3,3))))+(IF(Q537="BAJA(1)",1,IF(Q537="MEDIA(2)",2,IF(Q537="ALTA(3)",3,3))))+(IF(R537="BAJA(1)",1,IF(R537="MEDIA(2)",2,IF(R537="ALTA(3)",3,3))))</f>
        <v/>
      </c>
      <c r="T537" s="10">
        <f>+IF(S537&lt;6,"BAJA",IF(S537&lt;8,"MEDIA","ALTA"))</f>
        <v/>
      </c>
      <c r="U537" s="10" t="inlineStr">
        <is>
          <t>-</t>
        </is>
      </c>
      <c r="V537" s="24" t="n">
        <v>45681</v>
      </c>
      <c r="W537" s="19" t="inlineStr">
        <is>
          <t>N/A</t>
        </is>
      </c>
      <c r="X537" s="10">
        <f>+IFERROR(IF(VLOOKUP(Tabla2[[#This Row],[ID]],'EVALUACION DE RIESGO'!A:A,1,FALSE)=Tabla2[[#This Row],[ID]],"SI","NO"),"NO")</f>
        <v/>
      </c>
    </row>
    <row r="538">
      <c r="A538" s="91" t="inlineStr">
        <is>
          <t xml:space="preserve">18-GRE </t>
        </is>
      </c>
      <c r="B538" s="10" t="inlineStr">
        <is>
          <t>PRODUCTIVO</t>
        </is>
      </c>
      <c r="C538" s="10" t="inlineStr">
        <is>
          <t xml:space="preserve">Gestión de Recuperación </t>
        </is>
      </c>
      <c r="D538" s="10" t="inlineStr">
        <is>
          <t xml:space="preserve">GRE </t>
        </is>
      </c>
      <c r="E538" s="10" t="inlineStr">
        <is>
          <t>Gestión de Recuperación Preventiva y Correctiva</t>
        </is>
      </c>
      <c r="F538" s="10" t="inlineStr">
        <is>
          <t>-</t>
        </is>
      </c>
      <c r="G538" s="10" t="inlineStr">
        <is>
          <t>Condonación de deuda</t>
        </is>
      </c>
      <c r="H538" s="10" t="inlineStr">
        <is>
          <t>Autorización de condonación de intereses</t>
        </is>
      </c>
      <c r="I538" s="10" t="inlineStr">
        <is>
          <t>Gestión que se realiza a travez de la Herramienta del asistente de gerencia, donde se evidencia las interacciones dealizadas de los usuarios</t>
        </is>
      </c>
      <c r="J538" s="10" t="inlineStr">
        <is>
          <t xml:space="preserve">Jefe de Cobranzas </t>
        </is>
      </c>
      <c r="K538" s="10" t="inlineStr">
        <is>
          <t xml:space="preserve">Jefe de Cobranzas </t>
        </is>
      </c>
      <c r="L538" s="10" t="inlineStr">
        <is>
          <t>UBICACIÓN DIGITAL-EQUIPO DEL CUSTODIO</t>
        </is>
      </c>
      <c r="M538" s="10" t="inlineStr">
        <is>
          <t>DISCOS DUROS, SERVIDORES, DISCOS O MEDIOS PORTÁTILES, CINTAS O MEDIOS DE VIDEO Y AUDIO, ETC.</t>
        </is>
      </c>
      <c r="N538" s="10" t="inlineStr">
        <is>
          <t>PRIMARIOS</t>
        </is>
      </c>
      <c r="O538" s="10" t="inlineStr">
        <is>
          <t>DOCUMENTOS HABILITANTES</t>
        </is>
      </c>
      <c r="P538" s="10" t="inlineStr">
        <is>
          <t>USO INTERNO(2)</t>
        </is>
      </c>
      <c r="Q538" s="10" t="inlineStr">
        <is>
          <t>MEDIA(2)</t>
        </is>
      </c>
      <c r="R538" s="10" t="inlineStr">
        <is>
          <t>ALTA(3)</t>
        </is>
      </c>
      <c r="S538" s="10">
        <f>+(IF(P538="PUBLICA(1)",1,IF(P538="USO INTERNO(2)",2,IF(P538="RESTRINGIDO(3)",3,3))))+(IF(Q538="BAJA(1)",1,IF(Q538="MEDIA(2)",2,IF(Q538="ALTA(3)",3,3))))+(IF(R538="BAJA(1)",1,IF(R538="MEDIA(2)",2,IF(R538="ALTA(3)",3,3))))</f>
        <v/>
      </c>
      <c r="T538" s="10">
        <f>+IF(S538&lt;6,"BAJA",IF(S538&lt;8,"MEDIA","ALTA"))</f>
        <v/>
      </c>
      <c r="U538" s="10" t="inlineStr">
        <is>
          <t>-</t>
        </is>
      </c>
      <c r="V538" s="24" t="n">
        <v>45681</v>
      </c>
      <c r="W538" s="19" t="inlineStr">
        <is>
          <t>N/A</t>
        </is>
      </c>
      <c r="X538" s="10">
        <f>+IFERROR(IF(VLOOKUP(Tabla2[[#This Row],[ID]],'EVALUACION DE RIESGO'!A:A,1,FALSE)=Tabla2[[#This Row],[ID]],"SI","NO"),"NO")</f>
        <v/>
      </c>
    </row>
    <row r="539" ht="20.5" customHeight="1" s="98">
      <c r="A539" s="91" t="inlineStr">
        <is>
          <t xml:space="preserve">19-GRE </t>
        </is>
      </c>
      <c r="B539" s="10" t="inlineStr">
        <is>
          <t>PRODUCTIVO</t>
        </is>
      </c>
      <c r="C539" s="10" t="inlineStr">
        <is>
          <t xml:space="preserve">Gestión de Recuperación </t>
        </is>
      </c>
      <c r="D539" s="10" t="inlineStr">
        <is>
          <t xml:space="preserve">GRE </t>
        </is>
      </c>
      <c r="E539" s="10" t="inlineStr">
        <is>
          <t>N/A</t>
        </is>
      </c>
      <c r="F539" s="10" t="inlineStr">
        <is>
          <t>-</t>
        </is>
      </c>
      <c r="G539" s="10" t="inlineStr">
        <is>
          <t>N/A</t>
        </is>
      </c>
      <c r="H539" s="17" t="inlineStr">
        <is>
          <t>Equipos de computación del Jefe de Cobranza</t>
        </is>
      </c>
      <c r="I539" s="17" t="inlineStr">
        <is>
          <t>Equipos de computación donde se realiza la gestión del área</t>
        </is>
      </c>
      <c r="J539" s="10" t="inlineStr">
        <is>
          <t xml:space="preserve">Jefe de Cobranzas </t>
        </is>
      </c>
      <c r="K539" s="10" t="inlineStr">
        <is>
          <t xml:space="preserve">Jefe de Cobranzas </t>
        </is>
      </c>
      <c r="L539" s="10" t="inlineStr">
        <is>
          <t>DOCUMENTOS FISICOS-ARCHIVOS DE LA OFICINA</t>
        </is>
      </c>
      <c r="M539" s="10" t="inlineStr">
        <is>
          <t>DOCUMENTO DE ARCHIVO-FÍSICO</t>
        </is>
      </c>
      <c r="N539" s="10" t="inlineStr">
        <is>
          <t>PRIMARIOS</t>
        </is>
      </c>
      <c r="O539" s="10" t="inlineStr">
        <is>
          <t>INFORMACIÓN DE SOCIOS Y CLIENTES</t>
        </is>
      </c>
      <c r="P539" s="10" t="inlineStr">
        <is>
          <t>RESTRINGIDO(3)</t>
        </is>
      </c>
      <c r="Q539" s="10" t="inlineStr">
        <is>
          <t>MEDIA(2)</t>
        </is>
      </c>
      <c r="R539" s="10" t="inlineStr">
        <is>
          <t>ALTA(3)</t>
        </is>
      </c>
      <c r="S539" s="10">
        <f>+(IF(P539="PUBLICA(1)",1,IF(P539="USO INTERNO(2)",2,IF(P539="RESTRINGIDO(3)",3,3))))+(IF(Q539="BAJA(1)",1,IF(Q539="MEDIA(2)",2,IF(Q539="ALTA(3)",3,3))))+(IF(R539="BAJA(1)",1,IF(R539="MEDIA(2)",2,IF(R539="ALTA(3)",3,3))))</f>
        <v/>
      </c>
      <c r="T539" s="10">
        <f>+IF(S539&lt;6,"BAJA",IF(S539&lt;8,"MEDIA","ALTA"))</f>
        <v/>
      </c>
      <c r="U539" s="10" t="inlineStr">
        <is>
          <t>-</t>
        </is>
      </c>
      <c r="V539" s="24" t="n">
        <v>45681</v>
      </c>
      <c r="W539" s="19" t="inlineStr">
        <is>
          <t>N/A</t>
        </is>
      </c>
      <c r="X539" s="10">
        <f>+IFERROR(IF(VLOOKUP(Tabla2[[#This Row],[ID]],'EVALUACION DE RIESGO'!A:A,1,FALSE)=Tabla2[[#This Row],[ID]],"SI","NO"),"NO")</f>
        <v/>
      </c>
    </row>
    <row r="540">
      <c r="A540" s="91" t="inlineStr">
        <is>
          <t xml:space="preserve">20-GRE </t>
        </is>
      </c>
      <c r="B540" s="10" t="inlineStr">
        <is>
          <t>PRODUCTIVO</t>
        </is>
      </c>
      <c r="C540" s="10" t="inlineStr">
        <is>
          <t xml:space="preserve">Gestión de Recuperación </t>
        </is>
      </c>
      <c r="D540" s="10" t="inlineStr">
        <is>
          <t xml:space="preserve">GRE </t>
        </is>
      </c>
      <c r="E540" s="10" t="inlineStr">
        <is>
          <t>N/A</t>
        </is>
      </c>
      <c r="F540" s="10" t="inlineStr">
        <is>
          <t>-</t>
        </is>
      </c>
      <c r="G540" s="10" t="inlineStr">
        <is>
          <t>N/A</t>
        </is>
      </c>
      <c r="H540" s="10" t="inlineStr">
        <is>
          <t>Jefe de Cobranza</t>
        </is>
      </c>
      <c r="I540" s="10" t="inlineStr">
        <is>
          <t>N/A</t>
        </is>
      </c>
      <c r="J540" s="10" t="inlineStr">
        <is>
          <t xml:space="preserve">Jefe de Cobranzas </t>
        </is>
      </c>
      <c r="K540" s="10" t="inlineStr">
        <is>
          <t>N/A</t>
        </is>
      </c>
      <c r="L540" s="10" t="inlineStr">
        <is>
          <t>N/A</t>
        </is>
      </c>
      <c r="M540" s="10" t="inlineStr">
        <is>
          <t>N/A</t>
        </is>
      </c>
      <c r="N540" s="10" t="inlineStr">
        <is>
          <t>APOYO</t>
        </is>
      </c>
      <c r="O540" s="10" t="inlineStr">
        <is>
          <t>RECURSO HUMANO</t>
        </is>
      </c>
      <c r="P540" s="10" t="inlineStr">
        <is>
          <t>USO INTERNO(2)</t>
        </is>
      </c>
      <c r="Q540" s="10" t="inlineStr">
        <is>
          <t>MEDIA(2)</t>
        </is>
      </c>
      <c r="R540" s="10" t="inlineStr">
        <is>
          <t>MEDIA(2)</t>
        </is>
      </c>
      <c r="S540" s="10">
        <f>+(IF(P540="PUBLICA(1)",1,IF(P540="USO INTERNO(2)",2,IF(P540="RESTRINGIDO(3)",3,3))))+(IF(Q540="BAJA(1)",1,IF(Q540="MEDIA(2)",2,IF(Q540="ALTA(3)",3,3))))+(IF(R540="BAJA(1)",1,IF(R540="MEDIA(2)",2,IF(R540="ALTA(3)",3,3))))</f>
        <v/>
      </c>
      <c r="T540" s="10">
        <f>+IF(S540&lt;6,"BAJA",IF(S540&lt;8,"MEDIA","ALTA"))</f>
        <v/>
      </c>
      <c r="U540" s="10" t="inlineStr">
        <is>
          <t>-</t>
        </is>
      </c>
      <c r="V540" s="24" t="n">
        <v>45681</v>
      </c>
      <c r="W540" s="19" t="inlineStr">
        <is>
          <t>N/A</t>
        </is>
      </c>
      <c r="X540" s="10">
        <f>+IFERROR(IF(VLOOKUP(Tabla2[[#This Row],[ID]],'EVALUACION DE RIESGO'!A:A,1,FALSE)=Tabla2[[#This Row],[ID]],"SI","NO"),"NO")</f>
        <v/>
      </c>
    </row>
    <row r="541">
      <c r="A541" s="91" t="inlineStr">
        <is>
          <t xml:space="preserve">21-GRE </t>
        </is>
      </c>
      <c r="B541" s="10" t="inlineStr">
        <is>
          <t>PRODUCTIVO</t>
        </is>
      </c>
      <c r="C541" s="10" t="inlineStr">
        <is>
          <t xml:space="preserve">Gestión de Recuperación </t>
        </is>
      </c>
      <c r="D541" s="10" t="inlineStr">
        <is>
          <t xml:space="preserve">GRE </t>
        </is>
      </c>
      <c r="E541" s="10" t="inlineStr">
        <is>
          <t>Gestión de Recuperación Judicial</t>
        </is>
      </c>
      <c r="F541" s="10" t="inlineStr">
        <is>
          <t>-</t>
        </is>
      </c>
      <c r="G541" s="10" t="inlineStr">
        <is>
          <t xml:space="preserve">Recuperación de cartera Extra Judicial        </t>
        </is>
      </c>
      <c r="H541" s="10" t="inlineStr">
        <is>
          <t>Registros en el sistema de las acciones de cobranza</t>
        </is>
      </c>
      <c r="I541" s="10" t="inlineStr">
        <is>
          <t>Registro de gestión de los asitentes jurídicos en el sistema FIT</t>
        </is>
      </c>
      <c r="J541" s="10" t="inlineStr">
        <is>
          <t>Gerente  Jurídico</t>
        </is>
      </c>
      <c r="K541" s="10" t="inlineStr">
        <is>
          <t>N/A</t>
        </is>
      </c>
      <c r="L541" s="10" t="inlineStr">
        <is>
          <t>UBICACIÓN DIGITAL-EQUIPO DEL CUSTODIO</t>
        </is>
      </c>
      <c r="M541" s="10" t="inlineStr">
        <is>
          <t>DISCOS DUROS, SERVIDORES, DISCOS O MEDIOS PORTÁTILES, CINTAS O MEDIOS DE VIDEO Y AUDIO, ETC.</t>
        </is>
      </c>
      <c r="N541" s="10" t="inlineStr">
        <is>
          <t>PRIMARIOS</t>
        </is>
      </c>
      <c r="O541" s="10" t="inlineStr">
        <is>
          <t>INFORMACIÓN DE SOCIOS Y CLIENTES</t>
        </is>
      </c>
      <c r="P541" s="10" t="inlineStr">
        <is>
          <t>USO INTERNO(2)</t>
        </is>
      </c>
      <c r="Q541" s="10" t="inlineStr">
        <is>
          <t>BAJA(1)</t>
        </is>
      </c>
      <c r="R541" s="10" t="inlineStr">
        <is>
          <t>MEDIA(2)</t>
        </is>
      </c>
      <c r="S541" s="10">
        <f>+(IF(P541="PUBLICA(1)",1,IF(P541="USO INTERNO(2)",2,IF(P541="RESTRINGIDO(3)",3,3))))+(IF(Q541="BAJA(1)",1,IF(Q541="MEDIA(2)",2,IF(Q541="ALTA(3)",3,3))))+(IF(R541="BAJA(1)",1,IF(R541="MEDIA(2)",2,IF(R541="ALTA(3)",3,3))))</f>
        <v/>
      </c>
      <c r="T541" s="10">
        <f>+IF(S541&lt;6,"BAJA",IF(S541&lt;8,"MEDIA","ALTA"))</f>
        <v/>
      </c>
      <c r="U541" s="10" t="inlineStr">
        <is>
          <t>-</t>
        </is>
      </c>
      <c r="V541" s="24" t="n">
        <v>45681</v>
      </c>
      <c r="W541" s="19" t="inlineStr">
        <is>
          <t>N/A</t>
        </is>
      </c>
      <c r="X541" s="10">
        <f>+IFERROR(IF(VLOOKUP(Tabla2[[#This Row],[ID]],'EVALUACION DE RIESGO'!A:A,1,FALSE)=Tabla2[[#This Row],[ID]],"SI","NO"),"NO")</f>
        <v/>
      </c>
    </row>
    <row r="542">
      <c r="A542" s="91" t="inlineStr">
        <is>
          <t xml:space="preserve">22-GRE </t>
        </is>
      </c>
      <c r="B542" s="10" t="inlineStr">
        <is>
          <t>PRODUCTIVO</t>
        </is>
      </c>
      <c r="C542" s="10" t="inlineStr">
        <is>
          <t xml:space="preserve">Gestión de Recuperación </t>
        </is>
      </c>
      <c r="D542" s="10" t="inlineStr">
        <is>
          <t xml:space="preserve">GRE </t>
        </is>
      </c>
      <c r="E542" s="10" t="inlineStr">
        <is>
          <t>Gestión de Recuperación Judicial</t>
        </is>
      </c>
      <c r="F542" s="10" t="inlineStr">
        <is>
          <t>-</t>
        </is>
      </c>
      <c r="G542" s="10" t="inlineStr">
        <is>
          <t xml:space="preserve">Recuperación de cartera Extra Judicial        </t>
        </is>
      </c>
      <c r="H542" s="10" t="inlineStr">
        <is>
          <t>Autorización de cambio de estado a judicial</t>
        </is>
      </c>
      <c r="I542" s="10" t="inlineStr">
        <is>
          <t>Autorización del cambio de estado a judicial enviado de asistente jurídico a Gerente Jurídico, registro en FIT</t>
        </is>
      </c>
      <c r="J542" s="10" t="inlineStr">
        <is>
          <t>Gerente  Jurídico</t>
        </is>
      </c>
      <c r="K542" s="10" t="inlineStr">
        <is>
          <t>N/A</t>
        </is>
      </c>
      <c r="L542" s="10" t="inlineStr">
        <is>
          <t>UBICACIÓN DIGITAL-EQUIPO DEL CUSTODIO</t>
        </is>
      </c>
      <c r="M542" s="10" t="inlineStr">
        <is>
          <t>DISCOS DUROS, SERVIDORES, DISCOS O MEDIOS PORTÁTILES, CINTAS O MEDIOS DE VIDEO Y AUDIO, ETC.</t>
        </is>
      </c>
      <c r="N542" s="10" t="inlineStr">
        <is>
          <t>PRIMARIOS</t>
        </is>
      </c>
      <c r="O542" s="10" t="inlineStr">
        <is>
          <t>COMUNICACIÓN INTERNA</t>
        </is>
      </c>
      <c r="P542" s="10" t="inlineStr">
        <is>
          <t>USO INTERNO(2)</t>
        </is>
      </c>
      <c r="Q542" s="10" t="inlineStr">
        <is>
          <t>MEDIA(2)</t>
        </is>
      </c>
      <c r="R542" s="10" t="inlineStr">
        <is>
          <t>MEDIA(2)</t>
        </is>
      </c>
      <c r="S542" s="10">
        <f>+(IF(P542="PUBLICA(1)",1,IF(P542="USO INTERNO(2)",2,IF(P542="RESTRINGIDO(3)",3,3))))+(IF(Q542="BAJA(1)",1,IF(Q542="MEDIA(2)",2,IF(Q542="ALTA(3)",3,3))))+(IF(R542="BAJA(1)",1,IF(R542="MEDIA(2)",2,IF(R542="ALTA(3)",3,3))))</f>
        <v/>
      </c>
      <c r="T542" s="10">
        <f>+IF(S542&lt;6,"BAJA",IF(S542&lt;8,"MEDIA","ALTA"))</f>
        <v/>
      </c>
      <c r="U542" s="10" t="inlineStr">
        <is>
          <t>-</t>
        </is>
      </c>
      <c r="V542" s="24" t="n">
        <v>45681</v>
      </c>
      <c r="W542" s="19" t="inlineStr">
        <is>
          <t>N/A</t>
        </is>
      </c>
      <c r="X542" s="10">
        <f>+IFERROR(IF(VLOOKUP(Tabla2[[#This Row],[ID]],'EVALUACION DE RIESGO'!A:A,1,FALSE)=Tabla2[[#This Row],[ID]],"SI","NO"),"NO")</f>
        <v/>
      </c>
    </row>
    <row r="543" ht="30.5" customHeight="1" s="98">
      <c r="A543" s="91" t="inlineStr">
        <is>
          <t xml:space="preserve">23-GRE </t>
        </is>
      </c>
      <c r="B543" s="10" t="inlineStr">
        <is>
          <t>PRODUCTIVO</t>
        </is>
      </c>
      <c r="C543" s="10" t="inlineStr">
        <is>
          <t xml:space="preserve">Gestión de Recuperación </t>
        </is>
      </c>
      <c r="D543" s="10" t="inlineStr">
        <is>
          <t xml:space="preserve">GRE </t>
        </is>
      </c>
      <c r="E543" s="10" t="inlineStr">
        <is>
          <t>Gestión de Recuperación Judicial</t>
        </is>
      </c>
      <c r="F543" s="10" t="inlineStr">
        <is>
          <t>-</t>
        </is>
      </c>
      <c r="G543" s="10" t="inlineStr">
        <is>
          <t xml:space="preserve">Recuperación de cartera Extra Judicial        </t>
        </is>
      </c>
      <c r="H543" s="17" t="inlineStr">
        <is>
          <t>Documentos para el inicio de tramites judiciales</t>
        </is>
      </c>
      <c r="I543" s="17" t="inlineStr">
        <is>
          <t>Pagaré, escritura de hipoteca, tabla de amortización, liquidación actualizada, tabla de pagos actualizada</t>
        </is>
      </c>
      <c r="J543" s="10" t="inlineStr">
        <is>
          <t>Gerente  Jurídico</t>
        </is>
      </c>
      <c r="K543" s="10" t="inlineStr">
        <is>
          <t>Asistente Juridico</t>
        </is>
      </c>
      <c r="L543" s="10" t="inlineStr">
        <is>
          <t>DOCUMENTOS FISICOS-ARCHIVOS DE LA OFICINA</t>
        </is>
      </c>
      <c r="M543" s="10" t="inlineStr">
        <is>
          <t>DOCUMENTO DE ARCHIVO-FÍSICO</t>
        </is>
      </c>
      <c r="N543" s="10" t="inlineStr">
        <is>
          <t>PRIMARIOS</t>
        </is>
      </c>
      <c r="O543" s="10" t="inlineStr">
        <is>
          <t>DOCUMENTOS TÉCNICOS</t>
        </is>
      </c>
      <c r="P543" s="10" t="inlineStr">
        <is>
          <t>RESTRINGIDO(3)</t>
        </is>
      </c>
      <c r="Q543" s="10" t="inlineStr">
        <is>
          <t>MEDIA(2)</t>
        </is>
      </c>
      <c r="R543" s="10" t="inlineStr">
        <is>
          <t>ALTA(3)</t>
        </is>
      </c>
      <c r="S543" s="10">
        <f>+(IF(P543="PUBLICA(1)",1,IF(P543="USO INTERNO(2)",2,IF(P543="RESTRINGIDO(3)",3,3))))+(IF(Q543="BAJA(1)",1,IF(Q543="MEDIA(2)",2,IF(Q543="ALTA(3)",3,3))))+(IF(R543="BAJA(1)",1,IF(R543="MEDIA(2)",2,IF(R543="ALTA(3)",3,3))))</f>
        <v/>
      </c>
      <c r="T543" s="10">
        <f>+IF(S543&lt;6,"BAJA",IF(S543&lt;8,"MEDIA","ALTA"))</f>
        <v/>
      </c>
      <c r="U543" s="10" t="inlineStr">
        <is>
          <t>-</t>
        </is>
      </c>
      <c r="V543" s="24" t="n">
        <v>45681</v>
      </c>
      <c r="W543" s="19" t="inlineStr">
        <is>
          <t>N/A</t>
        </is>
      </c>
      <c r="X543" s="10">
        <f>+IFERROR(IF(VLOOKUP(Tabla2[[#This Row],[ID]],'EVALUACION DE RIESGO'!A:A,1,FALSE)=Tabla2[[#This Row],[ID]],"SI","NO"),"NO")</f>
        <v/>
      </c>
    </row>
    <row r="544">
      <c r="A544" s="91" t="inlineStr">
        <is>
          <t xml:space="preserve">24-GRE </t>
        </is>
      </c>
      <c r="B544" s="10" t="inlineStr">
        <is>
          <t>PRODUCTIVO</t>
        </is>
      </c>
      <c r="C544" s="10" t="inlineStr">
        <is>
          <t xml:space="preserve">Gestión de Recuperación </t>
        </is>
      </c>
      <c r="D544" s="10" t="inlineStr">
        <is>
          <t xml:space="preserve">GRE </t>
        </is>
      </c>
      <c r="E544" s="10" t="inlineStr">
        <is>
          <t>Gestión de Recuperación Judicial</t>
        </is>
      </c>
      <c r="F544" s="10" t="inlineStr">
        <is>
          <t>-</t>
        </is>
      </c>
      <c r="G544" s="10" t="inlineStr">
        <is>
          <t xml:space="preserve">Recuperación de cartera Extra Judicial        </t>
        </is>
      </c>
      <c r="H544" s="10" t="inlineStr">
        <is>
          <t>Acta entrega recepción de documentos</t>
        </is>
      </c>
      <c r="I544" s="10" t="inlineStr">
        <is>
          <t>Acta de entrega recepción con información de la cooperativa, socio, antecedentes,  detalle de docuemntos entregados, aceptación y firmas de responsabilidad</t>
        </is>
      </c>
      <c r="J544" s="10" t="inlineStr">
        <is>
          <t>Gerente  Jurídico</t>
        </is>
      </c>
      <c r="K544" s="10" t="inlineStr">
        <is>
          <t>Asistente Juridico</t>
        </is>
      </c>
      <c r="L544" s="10" t="inlineStr">
        <is>
          <t>DOCUMENTOS FISICOS-ARCHIVOS DE LA OFICINA</t>
        </is>
      </c>
      <c r="M544" s="10" t="inlineStr">
        <is>
          <t>DOCUMENTO DE ARCHIVO-FÍSICO</t>
        </is>
      </c>
      <c r="N544" s="10" t="inlineStr">
        <is>
          <t>PRIMARIOS</t>
        </is>
      </c>
      <c r="O544" s="10" t="inlineStr">
        <is>
          <t>DOCUMENTOS HABILITANTES</t>
        </is>
      </c>
      <c r="P544" s="10" t="inlineStr">
        <is>
          <t>USO INTERNO(2)</t>
        </is>
      </c>
      <c r="Q544" s="10" t="inlineStr">
        <is>
          <t>MEDIA(2)</t>
        </is>
      </c>
      <c r="R544" s="10" t="inlineStr">
        <is>
          <t>MEDIA(2)</t>
        </is>
      </c>
      <c r="S544" s="10">
        <f>+(IF(P544="PUBLICA(1)",1,IF(P544="USO INTERNO(2)",2,IF(P544="RESTRINGIDO(3)",3,3))))+(IF(Q544="BAJA(1)",1,IF(Q544="MEDIA(2)",2,IF(Q544="ALTA(3)",3,3))))+(IF(R544="BAJA(1)",1,IF(R544="MEDIA(2)",2,IF(R544="ALTA(3)",3,3))))</f>
        <v/>
      </c>
      <c r="T544" s="10">
        <f>+IF(S544&lt;6,"BAJA",IF(S544&lt;8,"MEDIA","ALTA"))</f>
        <v/>
      </c>
      <c r="U544" s="10" t="inlineStr">
        <is>
          <t>-</t>
        </is>
      </c>
      <c r="V544" s="24" t="n">
        <v>45681</v>
      </c>
      <c r="W544" s="19" t="inlineStr">
        <is>
          <t>N/A</t>
        </is>
      </c>
      <c r="X544" s="10">
        <f>+IFERROR(IF(VLOOKUP(Tabla2[[#This Row],[ID]],'EVALUACION DE RIESGO'!A:A,1,FALSE)=Tabla2[[#This Row],[ID]],"SI","NO"),"NO")</f>
        <v/>
      </c>
    </row>
    <row r="545">
      <c r="A545" s="91" t="inlineStr">
        <is>
          <t xml:space="preserve">25-GRE </t>
        </is>
      </c>
      <c r="B545" s="10" t="inlineStr">
        <is>
          <t>PRODUCTIVO</t>
        </is>
      </c>
      <c r="C545" s="10" t="inlineStr">
        <is>
          <t xml:space="preserve">Gestión de Recuperación </t>
        </is>
      </c>
      <c r="D545" s="10" t="inlineStr">
        <is>
          <t xml:space="preserve">GRE </t>
        </is>
      </c>
      <c r="E545" s="10" t="inlineStr">
        <is>
          <t>Gestión de Recuperación Judicial</t>
        </is>
      </c>
      <c r="F545" s="10" t="inlineStr">
        <is>
          <t>-</t>
        </is>
      </c>
      <c r="G545" s="10" t="inlineStr">
        <is>
          <t xml:space="preserve">Recuperación de cartera Extra Judicial        </t>
        </is>
      </c>
      <c r="H545" s="10" t="inlineStr">
        <is>
          <t>Anexo de asignación de cartera abogados externos</t>
        </is>
      </c>
      <c r="I545" s="10" t="inlineStr">
        <is>
          <t>Anexo que contiene numero de contrato, responsable, tabla con información de socios, cuentas, tipo cartera, fecha inicio fecha ultimo pago, fecha vencimiento, monto prestamo,saldo capital, valor total vencido, estatus, abogado, letra</t>
        </is>
      </c>
      <c r="J545" s="10" t="inlineStr">
        <is>
          <t>Gerente  Jurídico</t>
        </is>
      </c>
      <c r="K545" s="10" t="inlineStr">
        <is>
          <t>Asistente Juridico</t>
        </is>
      </c>
      <c r="L545" s="10" t="inlineStr">
        <is>
          <t>DOCUMENTOS FISICOS-ARCHIVOS DE LA OFICINA</t>
        </is>
      </c>
      <c r="M545" s="10" t="inlineStr">
        <is>
          <t>DOCUMENTO DE ARCHIVO-FÍSICO</t>
        </is>
      </c>
      <c r="N545" s="10" t="inlineStr">
        <is>
          <t>PRIMARIOS</t>
        </is>
      </c>
      <c r="O545" s="10" t="inlineStr">
        <is>
          <t>INFORMACIÓN DE SOCIOS Y CLIENTES</t>
        </is>
      </c>
      <c r="P545" s="10" t="inlineStr">
        <is>
          <t>RESTRINGIDO(3)</t>
        </is>
      </c>
      <c r="Q545" s="10" t="inlineStr">
        <is>
          <t>MEDIA(2)</t>
        </is>
      </c>
      <c r="R545" s="10" t="inlineStr">
        <is>
          <t>MEDIA(2)</t>
        </is>
      </c>
      <c r="S545" s="10">
        <f>+(IF(P545="PUBLICA(1)",1,IF(P545="USO INTERNO(2)",2,IF(P545="RESTRINGIDO(3)",3,3))))+(IF(Q545="BAJA(1)",1,IF(Q545="MEDIA(2)",2,IF(Q545="ALTA(3)",3,3))))+(IF(R545="BAJA(1)",1,IF(R545="MEDIA(2)",2,IF(R545="ALTA(3)",3,3))))</f>
        <v/>
      </c>
      <c r="T545" s="10">
        <f>+IF(S545&lt;6,"BAJA",IF(S545&lt;8,"MEDIA","ALTA"))</f>
        <v/>
      </c>
      <c r="U545" s="10" t="inlineStr">
        <is>
          <t>-</t>
        </is>
      </c>
      <c r="V545" s="24" t="n">
        <v>45681</v>
      </c>
      <c r="W545" s="19" t="inlineStr">
        <is>
          <t>N/A</t>
        </is>
      </c>
      <c r="X545" s="10">
        <f>+IFERROR(IF(VLOOKUP(Tabla2[[#This Row],[ID]],'EVALUACION DE RIESGO'!A:A,1,FALSE)=Tabla2[[#This Row],[ID]],"SI","NO"),"NO")</f>
        <v/>
      </c>
    </row>
    <row r="546" ht="41" customHeight="1" s="98">
      <c r="A546" s="91" t="inlineStr">
        <is>
          <t xml:space="preserve">26-GRE </t>
        </is>
      </c>
      <c r="B546" s="10" t="inlineStr">
        <is>
          <t>PRODUCTIVO</t>
        </is>
      </c>
      <c r="C546" s="10" t="inlineStr">
        <is>
          <t xml:space="preserve">Gestión de Recuperación </t>
        </is>
      </c>
      <c r="D546" s="10" t="inlineStr">
        <is>
          <t xml:space="preserve">GRE </t>
        </is>
      </c>
      <c r="E546" s="10" t="inlineStr">
        <is>
          <t>Gestión de Recuperación Judicial</t>
        </is>
      </c>
      <c r="F546" s="10" t="inlineStr">
        <is>
          <t>-</t>
        </is>
      </c>
      <c r="G546" s="10" t="inlineStr">
        <is>
          <t xml:space="preserve">Recuperación de cartera judicial </t>
        </is>
      </c>
      <c r="H546" s="17" t="inlineStr">
        <is>
          <t>Documentos habilitantes para la demanda</t>
        </is>
      </c>
      <c r="I546" s="17" t="inlineStr">
        <is>
          <t>Documentos entregados al abogado externo Anexo de asignación de cartera abogados externos/Acta entrega recepción de documentos/Documentos para el inicio de tramites judiciales</t>
        </is>
      </c>
      <c r="J546" s="10" t="inlineStr">
        <is>
          <t>Gerente  Jurídico</t>
        </is>
      </c>
      <c r="K546" s="10" t="inlineStr">
        <is>
          <t>Abogado externo</t>
        </is>
      </c>
      <c r="L546" s="10" t="inlineStr">
        <is>
          <t>DOCUMENTOS FISICOS-ARCHIVOS DE LA OFICINA</t>
        </is>
      </c>
      <c r="M546" s="10" t="inlineStr">
        <is>
          <t>DOCUMENTO DE ARCHIVO-FÍSICO</t>
        </is>
      </c>
      <c r="N546" s="10" t="inlineStr">
        <is>
          <t>PRIMARIOS</t>
        </is>
      </c>
      <c r="O546" s="10" t="inlineStr">
        <is>
          <t>DOCUMENTOS HABILITANTES</t>
        </is>
      </c>
      <c r="P546" s="10" t="inlineStr">
        <is>
          <t>RESTRINGIDO(3)</t>
        </is>
      </c>
      <c r="Q546" s="10" t="inlineStr">
        <is>
          <t>MEDIA(2)</t>
        </is>
      </c>
      <c r="R546" s="10" t="inlineStr">
        <is>
          <t>ALTA(3)</t>
        </is>
      </c>
      <c r="S546" s="10">
        <f>+(IF(P546="PUBLICA(1)",1,IF(P546="USO INTERNO(2)",2,IF(P546="RESTRINGIDO(3)",3,3))))+(IF(Q546="BAJA(1)",1,IF(Q546="MEDIA(2)",2,IF(Q546="ALTA(3)",3,3))))+(IF(R546="BAJA(1)",1,IF(R546="MEDIA(2)",2,IF(R546="ALTA(3)",3,3))))</f>
        <v/>
      </c>
      <c r="T546" s="10">
        <f>+IF(S546&lt;6,"BAJA",IF(S546&lt;8,"MEDIA","ALTA"))</f>
        <v/>
      </c>
      <c r="U546" s="10" t="inlineStr">
        <is>
          <t>-</t>
        </is>
      </c>
      <c r="V546" s="24" t="n">
        <v>45681</v>
      </c>
      <c r="W546" s="19" t="inlineStr">
        <is>
          <t>N/A</t>
        </is>
      </c>
      <c r="X546" s="10">
        <f>+IFERROR(IF(VLOOKUP(Tabla2[[#This Row],[ID]],'EVALUACION DE RIESGO'!A:A,1,FALSE)=Tabla2[[#This Row],[ID]],"SI","NO"),"NO")</f>
        <v/>
      </c>
    </row>
    <row r="547" ht="20.5" customHeight="1" s="98">
      <c r="A547" s="91" t="inlineStr">
        <is>
          <t xml:space="preserve">27-GRE </t>
        </is>
      </c>
      <c r="B547" s="10" t="inlineStr">
        <is>
          <t>PRODUCTIVO</t>
        </is>
      </c>
      <c r="C547" s="10" t="inlineStr">
        <is>
          <t xml:space="preserve">Gestión de Recuperación </t>
        </is>
      </c>
      <c r="D547" s="10" t="inlineStr">
        <is>
          <t xml:space="preserve">GRE </t>
        </is>
      </c>
      <c r="E547" s="10" t="inlineStr">
        <is>
          <t>Gestión de Recuperación Judicial</t>
        </is>
      </c>
      <c r="F547" s="10" t="inlineStr">
        <is>
          <t>-</t>
        </is>
      </c>
      <c r="G547" s="10" t="inlineStr">
        <is>
          <t xml:space="preserve">Recuperación de cartera judicial </t>
        </is>
      </c>
      <c r="H547" s="17" t="inlineStr">
        <is>
          <t>Registro de cartera asignada a abogados externos</t>
        </is>
      </c>
      <c r="I547" s="17" t="inlineStr">
        <is>
          <t>Registro de cartera asignada obtenida del sistema FIT</t>
        </is>
      </c>
      <c r="J547" s="10" t="inlineStr">
        <is>
          <t>Gerente  Jurídico</t>
        </is>
      </c>
      <c r="K547" s="10" t="inlineStr">
        <is>
          <t>N/A</t>
        </is>
      </c>
      <c r="L547" s="10" t="inlineStr">
        <is>
          <t>UBICACIÓN DIGITAL-EQUIPO DEL CUSTODIO</t>
        </is>
      </c>
      <c r="M547" s="10" t="inlineStr">
        <is>
          <t>DISCOS DUROS, SERVIDORES, DISCOS O MEDIOS PORTÁTILES, CINTAS O MEDIOS DE VIDEO Y AUDIO, ETC.</t>
        </is>
      </c>
      <c r="N547" s="10" t="inlineStr">
        <is>
          <t>PRIMARIOS</t>
        </is>
      </c>
      <c r="O547" s="10" t="inlineStr">
        <is>
          <t>INFORMACIÓN DE SOCIOS Y CLIENTES</t>
        </is>
      </c>
      <c r="P547" s="10" t="inlineStr">
        <is>
          <t>RESTRINGIDO(3)</t>
        </is>
      </c>
      <c r="Q547" s="10" t="inlineStr">
        <is>
          <t>MEDIA(2)</t>
        </is>
      </c>
      <c r="R547" s="10" t="inlineStr">
        <is>
          <t>ALTA(3)</t>
        </is>
      </c>
      <c r="S547" s="10">
        <f>+(IF(P547="PUBLICA(1)",1,IF(P547="USO INTERNO(2)",2,IF(P547="RESTRINGIDO(3)",3,3))))+(IF(Q547="BAJA(1)",1,IF(Q547="MEDIA(2)",2,IF(Q547="ALTA(3)",3,3))))+(IF(R547="BAJA(1)",1,IF(R547="MEDIA(2)",2,IF(R547="ALTA(3)",3,3))))</f>
        <v/>
      </c>
      <c r="T547" s="10">
        <f>+IF(S547&lt;6,"BAJA",IF(S547&lt;8,"MEDIA","ALTA"))</f>
        <v/>
      </c>
      <c r="U547" s="10" t="inlineStr">
        <is>
          <t>-</t>
        </is>
      </c>
      <c r="V547" s="24" t="n">
        <v>45681</v>
      </c>
      <c r="W547" s="19" t="inlineStr">
        <is>
          <t>N/A</t>
        </is>
      </c>
      <c r="X547" s="10">
        <f>+IFERROR(IF(VLOOKUP(Tabla2[[#This Row],[ID]],'EVALUACION DE RIESGO'!A:A,1,FALSE)=Tabla2[[#This Row],[ID]],"SI","NO"),"NO")</f>
        <v/>
      </c>
    </row>
    <row r="548">
      <c r="A548" s="91" t="inlineStr">
        <is>
          <t xml:space="preserve">28-GRE </t>
        </is>
      </c>
      <c r="B548" s="10" t="inlineStr">
        <is>
          <t>PRODUCTIVO</t>
        </is>
      </c>
      <c r="C548" s="10" t="inlineStr">
        <is>
          <t xml:space="preserve">Gestión de Recuperación </t>
        </is>
      </c>
      <c r="D548" s="10" t="inlineStr">
        <is>
          <t xml:space="preserve">GRE </t>
        </is>
      </c>
      <c r="E548" s="10" t="inlineStr">
        <is>
          <t>Gestión de Recuperación Judicial</t>
        </is>
      </c>
      <c r="F548" s="10" t="inlineStr">
        <is>
          <t>-</t>
        </is>
      </c>
      <c r="G548" s="10" t="inlineStr">
        <is>
          <t xml:space="preserve">Recuperación de cartera judicial </t>
        </is>
      </c>
      <c r="H548" s="10" t="inlineStr">
        <is>
          <t>Informe de Juicio Concluido sin Recuperación</t>
        </is>
      </c>
      <c r="I548" s="10" t="inlineStr">
        <is>
          <t>Correo electrónico indicando que el juicio se ha terminado y no se logrado recuperar, no es un informe como tal, es una comunicación</t>
        </is>
      </c>
      <c r="J548" s="10" t="inlineStr">
        <is>
          <t>Gerente  Jurídico</t>
        </is>
      </c>
      <c r="K548" s="10" t="inlineStr">
        <is>
          <t>Asistente Juridico</t>
        </is>
      </c>
      <c r="L548" s="10" t="inlineStr">
        <is>
          <t>UBICACIÓN DIGITAL-EQUIPO DEL CUSTODIO</t>
        </is>
      </c>
      <c r="M548" s="10" t="inlineStr">
        <is>
          <t>DISCOS DUROS, SERVIDORES, DISCOS O MEDIOS PORTÁTILES, CINTAS O MEDIOS DE VIDEO Y AUDIO, ETC.</t>
        </is>
      </c>
      <c r="N548" s="10" t="inlineStr">
        <is>
          <t>PRIMARIOS</t>
        </is>
      </c>
      <c r="O548" s="10" t="inlineStr">
        <is>
          <t>DOCUMENTOS TÉCNICOS</t>
        </is>
      </c>
      <c r="P548" s="10" t="inlineStr">
        <is>
          <t>USO INTERNO(2)</t>
        </is>
      </c>
      <c r="Q548" s="10" t="inlineStr">
        <is>
          <t>MEDIA(2)</t>
        </is>
      </c>
      <c r="R548" s="10" t="inlineStr">
        <is>
          <t>MEDIA(2)</t>
        </is>
      </c>
      <c r="S548" s="10">
        <f>+(IF(P548="PUBLICA(1)",1,IF(P548="USO INTERNO(2)",2,IF(P548="RESTRINGIDO(3)",3,3))))+(IF(Q548="BAJA(1)",1,IF(Q548="MEDIA(2)",2,IF(Q548="ALTA(3)",3,3))))+(IF(R548="BAJA(1)",1,IF(R548="MEDIA(2)",2,IF(R548="ALTA(3)",3,3))))</f>
        <v/>
      </c>
      <c r="T548" s="10">
        <f>+IF(S548&lt;6,"BAJA",IF(S548&lt;8,"MEDIA","ALTA"))</f>
        <v/>
      </c>
      <c r="U548" s="10" t="inlineStr">
        <is>
          <t>-</t>
        </is>
      </c>
      <c r="V548" s="24" t="n">
        <v>45681</v>
      </c>
      <c r="W548" s="19" t="inlineStr">
        <is>
          <t>N/A</t>
        </is>
      </c>
      <c r="X548" s="10">
        <f>+IFERROR(IF(VLOOKUP(Tabla2[[#This Row],[ID]],'EVALUACION DE RIESGO'!A:A,1,FALSE)=Tabla2[[#This Row],[ID]],"SI","NO"),"NO")</f>
        <v/>
      </c>
    </row>
    <row r="549">
      <c r="A549" s="91" t="inlineStr">
        <is>
          <t xml:space="preserve">29-GRE </t>
        </is>
      </c>
      <c r="B549" s="10" t="inlineStr">
        <is>
          <t>PRODUCTIVO</t>
        </is>
      </c>
      <c r="C549" s="10" t="inlineStr">
        <is>
          <t xml:space="preserve">Gestión de Recuperación </t>
        </is>
      </c>
      <c r="D549" s="10" t="inlineStr">
        <is>
          <t xml:space="preserve">GRE </t>
        </is>
      </c>
      <c r="E549" s="10" t="inlineStr">
        <is>
          <t>Gestión de Recuperación Judicial</t>
        </is>
      </c>
      <c r="F549" s="10" t="inlineStr">
        <is>
          <t>-</t>
        </is>
      </c>
      <c r="G549" s="10" t="inlineStr">
        <is>
          <t xml:space="preserve">Adjudicación de bienes por remate judicial                </t>
        </is>
      </c>
      <c r="H549" s="10" t="inlineStr">
        <is>
          <t>Informe de análisis costo beneficio de adquisición del bien</t>
        </is>
      </c>
      <c r="I549" s="10" t="inlineStr">
        <is>
          <t xml:space="preserve">Informe en el caso de que alguna propiedad a travez de remate como cooperativa se quiere adquirir, se anexa evaluacion realizada y anexos necesarios de la evaluación del bien </t>
        </is>
      </c>
      <c r="J549" s="10" t="inlineStr">
        <is>
          <t>Gerente  Jurídico</t>
        </is>
      </c>
      <c r="K549" s="10" t="inlineStr">
        <is>
          <t>Especialista Juridico</t>
        </is>
      </c>
      <c r="L549" s="10" t="inlineStr">
        <is>
          <t>UBICACIÓN DIGITAL-EQUIPO DEL CUSTODIO</t>
        </is>
      </c>
      <c r="M549" s="10" t="inlineStr">
        <is>
          <t>DISCOS DUROS, SERVIDORES, DISCOS O MEDIOS PORTÁTILES, CINTAS O MEDIOS DE VIDEO Y AUDIO, ETC.</t>
        </is>
      </c>
      <c r="N549" s="10" t="inlineStr">
        <is>
          <t>PRIMARIOS</t>
        </is>
      </c>
      <c r="O549" s="10" t="inlineStr">
        <is>
          <t>DOCUMENTOS TÉCNICOS</t>
        </is>
      </c>
      <c r="P549" s="10" t="inlineStr">
        <is>
          <t>USO INTERNO(2)</t>
        </is>
      </c>
      <c r="Q549" s="10" t="inlineStr">
        <is>
          <t>BAJA(1)</t>
        </is>
      </c>
      <c r="R549" s="10" t="inlineStr">
        <is>
          <t>MEDIA(2)</t>
        </is>
      </c>
      <c r="S549" s="10">
        <f>+(IF(P549="PUBLICA(1)",1,IF(P549="USO INTERNO(2)",2,IF(P549="RESTRINGIDO(3)",3,3))))+(IF(Q549="BAJA(1)",1,IF(Q549="MEDIA(2)",2,IF(Q549="ALTA(3)",3,3))))+(IF(R549="BAJA(1)",1,IF(R549="MEDIA(2)",2,IF(R549="ALTA(3)",3,3))))</f>
        <v/>
      </c>
      <c r="T549" s="10">
        <f>+IF(S549&lt;6,"BAJA",IF(S549&lt;8,"MEDIA","ALTA"))</f>
        <v/>
      </c>
      <c r="U549" s="10" t="inlineStr">
        <is>
          <t>-</t>
        </is>
      </c>
      <c r="V549" s="24" t="n">
        <v>45681</v>
      </c>
      <c r="W549" s="19" t="inlineStr">
        <is>
          <t>N/A</t>
        </is>
      </c>
      <c r="X549" s="10">
        <f>+IFERROR(IF(VLOOKUP(Tabla2[[#This Row],[ID]],'EVALUACION DE RIESGO'!A:A,1,FALSE)=Tabla2[[#This Row],[ID]],"SI","NO"),"NO")</f>
        <v/>
      </c>
    </row>
    <row r="550" ht="12" customHeight="1" s="98">
      <c r="A550" s="91" t="inlineStr">
        <is>
          <t xml:space="preserve">30-GRE </t>
        </is>
      </c>
      <c r="B550" s="10" t="inlineStr">
        <is>
          <t>PRODUCTIVO</t>
        </is>
      </c>
      <c r="C550" s="10" t="inlineStr">
        <is>
          <t xml:space="preserve">Gestión de Recuperación </t>
        </is>
      </c>
      <c r="D550" s="10" t="inlineStr">
        <is>
          <t xml:space="preserve">GRE </t>
        </is>
      </c>
      <c r="E550" s="10" t="inlineStr">
        <is>
          <t>Gestión de Recuperación Judicial</t>
        </is>
      </c>
      <c r="F550" s="10" t="inlineStr">
        <is>
          <t>-</t>
        </is>
      </c>
      <c r="G550" s="10" t="inlineStr">
        <is>
          <t xml:space="preserve">Adjudicación de bienes por remate judicial                </t>
        </is>
      </c>
      <c r="H550" s="17" t="inlineStr">
        <is>
          <t>Escritura de adjudicación del bien</t>
        </is>
      </c>
      <c r="I550" s="17" t="inlineStr">
        <is>
          <t>Escritura del bien correctamente legalizada</t>
        </is>
      </c>
      <c r="J550" s="10" t="inlineStr">
        <is>
          <t>Gerente  Jurídico</t>
        </is>
      </c>
      <c r="K550" s="10" t="inlineStr">
        <is>
          <t>Especialista Juridico</t>
        </is>
      </c>
      <c r="L550" s="10" t="inlineStr">
        <is>
          <t>DOCUMENTOS FISICOS-ARCHIVOS DE LA OFICINA</t>
        </is>
      </c>
      <c r="M550" s="10" t="inlineStr">
        <is>
          <t>DOCUMENTO DE ARCHIVO-FÍSICO</t>
        </is>
      </c>
      <c r="N550" s="10" t="inlineStr">
        <is>
          <t>PRIMARIOS</t>
        </is>
      </c>
      <c r="O550" s="10" t="inlineStr">
        <is>
          <t>INFORMACIÓN DE SOCIOS Y CLIENTES</t>
        </is>
      </c>
      <c r="P550" s="10" t="inlineStr">
        <is>
          <t>USO INTERNO(2)</t>
        </is>
      </c>
      <c r="Q550" s="10" t="inlineStr">
        <is>
          <t>ALTA(3)</t>
        </is>
      </c>
      <c r="R550" s="10" t="inlineStr">
        <is>
          <t>ALTA(3)</t>
        </is>
      </c>
      <c r="S550" s="10">
        <f>+(IF(P550="PUBLICA(1)",1,IF(P550="USO INTERNO(2)",2,IF(P550="RESTRINGIDO(3)",3,3))))+(IF(Q550="BAJA(1)",1,IF(Q550="MEDIA(2)",2,IF(Q550="ALTA(3)",3,3))))+(IF(R550="BAJA(1)",1,IF(R550="MEDIA(2)",2,IF(R550="ALTA(3)",3,3))))</f>
        <v/>
      </c>
      <c r="T550" s="10">
        <f>+IF(S550&lt;6,"BAJA",IF(S550&lt;8,"MEDIA","ALTA"))</f>
        <v/>
      </c>
      <c r="U550" s="10" t="inlineStr">
        <is>
          <t>-</t>
        </is>
      </c>
      <c r="V550" s="24" t="n">
        <v>45681</v>
      </c>
      <c r="W550" s="19" t="inlineStr">
        <is>
          <t>N/A</t>
        </is>
      </c>
      <c r="X550" s="10">
        <f>+IFERROR(IF(VLOOKUP(Tabla2[[#This Row],[ID]],'EVALUACION DE RIESGO'!A:A,1,FALSE)=Tabla2[[#This Row],[ID]],"SI","NO"),"NO")</f>
        <v/>
      </c>
    </row>
    <row r="551">
      <c r="A551" s="91" t="inlineStr">
        <is>
          <t xml:space="preserve">31-GRE </t>
        </is>
      </c>
      <c r="B551" s="10" t="inlineStr">
        <is>
          <t>PRODUCTIVO</t>
        </is>
      </c>
      <c r="C551" s="10" t="inlineStr">
        <is>
          <t xml:space="preserve">Gestión de Recuperación </t>
        </is>
      </c>
      <c r="D551" s="10" t="inlineStr">
        <is>
          <t xml:space="preserve">GRE </t>
        </is>
      </c>
      <c r="E551" s="10" t="inlineStr">
        <is>
          <t>Gestión de Recuperación Judicial</t>
        </is>
      </c>
      <c r="F551" s="10" t="inlineStr">
        <is>
          <t>-</t>
        </is>
      </c>
      <c r="G551" s="10" t="inlineStr">
        <is>
          <t xml:space="preserve">Juicios de concurso de acreedores </t>
        </is>
      </c>
      <c r="H551" s="10" t="inlineStr">
        <is>
          <t>Informe de sentencia emitida por el Juez en sentencia</t>
        </is>
      </c>
      <c r="I551" s="10" t="inlineStr">
        <is>
          <t>comunicación inidicando que sobre cierto cuicio se ha llegado una etapa especifica, e indica el pago acordado</t>
        </is>
      </c>
      <c r="J551" s="10" t="inlineStr">
        <is>
          <t>Gerente  Jurídico</t>
        </is>
      </c>
      <c r="K551" s="10" t="inlineStr">
        <is>
          <t>Especialista Juridico</t>
        </is>
      </c>
      <c r="L551" s="10" t="inlineStr">
        <is>
          <t>UBICACIÓN DIGITAL-EQUIPO DEL CUSTODIO</t>
        </is>
      </c>
      <c r="M551" s="10" t="inlineStr">
        <is>
          <t>DISCOS DUROS, SERVIDORES, DISCOS O MEDIOS PORTÁTILES, CINTAS O MEDIOS DE VIDEO Y AUDIO, ETC.</t>
        </is>
      </c>
      <c r="N551" s="10" t="inlineStr">
        <is>
          <t>PRIMARIOS</t>
        </is>
      </c>
      <c r="O551" s="10" t="inlineStr">
        <is>
          <t>DOCUMENTOS TÉCNICOS</t>
        </is>
      </c>
      <c r="P551" s="10" t="inlineStr">
        <is>
          <t>USO INTERNO(2)</t>
        </is>
      </c>
      <c r="Q551" s="10" t="inlineStr">
        <is>
          <t>MEDIA(2)</t>
        </is>
      </c>
      <c r="R551" s="10" t="inlineStr">
        <is>
          <t>MEDIA(2)</t>
        </is>
      </c>
      <c r="S551" s="10">
        <f>+(IF(P551="PUBLICA(1)",1,IF(P551="USO INTERNO(2)",2,IF(P551="RESTRINGIDO(3)",3,3))))+(IF(Q551="BAJA(1)",1,IF(Q551="MEDIA(2)",2,IF(Q551="ALTA(3)",3,3))))+(IF(R551="BAJA(1)",1,IF(R551="MEDIA(2)",2,IF(R551="ALTA(3)",3,3))))</f>
        <v/>
      </c>
      <c r="T551" s="10">
        <f>+IF(S551&lt;6,"BAJA",IF(S551&lt;8,"MEDIA","ALTA"))</f>
        <v/>
      </c>
      <c r="U551" s="10" t="inlineStr">
        <is>
          <t>-</t>
        </is>
      </c>
      <c r="V551" s="24" t="n">
        <v>45681</v>
      </c>
      <c r="W551" s="19" t="inlineStr">
        <is>
          <t>N/A</t>
        </is>
      </c>
      <c r="X551" s="10">
        <f>+IFERROR(IF(VLOOKUP(Tabla2[[#This Row],[ID]],'EVALUACION DE RIESGO'!A:A,1,FALSE)=Tabla2[[#This Row],[ID]],"SI","NO"),"NO")</f>
        <v/>
      </c>
    </row>
    <row r="552">
      <c r="A552" s="91" t="inlineStr">
        <is>
          <t xml:space="preserve">32-GRE </t>
        </is>
      </c>
      <c r="B552" s="10" t="inlineStr">
        <is>
          <t>PRODUCTIVO</t>
        </is>
      </c>
      <c r="C552" s="10" t="inlineStr">
        <is>
          <t xml:space="preserve">Gestión de Recuperación </t>
        </is>
      </c>
      <c r="D552" s="10" t="inlineStr">
        <is>
          <t xml:space="preserve">GRE </t>
        </is>
      </c>
      <c r="E552" s="10" t="inlineStr">
        <is>
          <t>Gestión de Recuperación Judicial</t>
        </is>
      </c>
      <c r="F552" s="10" t="inlineStr">
        <is>
          <t>-</t>
        </is>
      </c>
      <c r="G552" s="10" t="inlineStr">
        <is>
          <t xml:space="preserve">Liquidación de crédito </t>
        </is>
      </c>
      <c r="H552" s="10" t="inlineStr">
        <is>
          <t>Autorización de liquidación de saldos de deuda</t>
        </is>
      </c>
      <c r="I552" s="10" t="inlineStr">
        <is>
          <t>En ciertos jucios se ordena pagar un valor inferior al que reporta el sistema, entonces se autoriza una liquidación del crédito que autoriza la Gerencia General</t>
        </is>
      </c>
      <c r="J552" s="10" t="inlineStr">
        <is>
          <t>Gerente  Jurídico</t>
        </is>
      </c>
      <c r="K552" s="10" t="inlineStr">
        <is>
          <t>Especialista Juridico</t>
        </is>
      </c>
      <c r="L552" s="10" t="inlineStr">
        <is>
          <t>UBICACIÓN DIGITAL-EQUIPO DEL CUSTODIO</t>
        </is>
      </c>
      <c r="M552" s="10" t="inlineStr">
        <is>
          <t>DISCOS DUROS, SERVIDORES, DISCOS O MEDIOS PORTÁTILES, CINTAS O MEDIOS DE VIDEO Y AUDIO, ETC.</t>
        </is>
      </c>
      <c r="N552" s="10" t="inlineStr">
        <is>
          <t>PRIMARIOS</t>
        </is>
      </c>
      <c r="O552" s="10" t="inlineStr">
        <is>
          <t>DOCUMENTOS HABILITANTES</t>
        </is>
      </c>
      <c r="P552" s="10" t="inlineStr">
        <is>
          <t>USO INTERNO(2)</t>
        </is>
      </c>
      <c r="Q552" s="10" t="inlineStr">
        <is>
          <t>ALTA(3)</t>
        </is>
      </c>
      <c r="R552" s="10" t="inlineStr">
        <is>
          <t>MEDIA(2)</t>
        </is>
      </c>
      <c r="S552" s="10">
        <f>+(IF(P552="PUBLICA(1)",1,IF(P552="USO INTERNO(2)",2,IF(P552="RESTRINGIDO(3)",3,3))))+(IF(Q552="BAJA(1)",1,IF(Q552="MEDIA(2)",2,IF(Q552="ALTA(3)",3,3))))+(IF(R552="BAJA(1)",1,IF(R552="MEDIA(2)",2,IF(R552="ALTA(3)",3,3))))</f>
        <v/>
      </c>
      <c r="T552" s="10">
        <f>+IF(S552&lt;6,"BAJA",IF(S552&lt;8,"MEDIA","ALTA"))</f>
        <v/>
      </c>
      <c r="U552" s="10" t="inlineStr">
        <is>
          <t>-</t>
        </is>
      </c>
      <c r="V552" s="24" t="n">
        <v>45681</v>
      </c>
      <c r="W552" s="19" t="inlineStr">
        <is>
          <t>N/A</t>
        </is>
      </c>
      <c r="X552" s="10">
        <f>+IFERROR(IF(VLOOKUP(Tabla2[[#This Row],[ID]],'EVALUACION DE RIESGO'!A:A,1,FALSE)=Tabla2[[#This Row],[ID]],"SI","NO"),"NO")</f>
        <v/>
      </c>
    </row>
    <row r="553">
      <c r="A553" s="91" t="inlineStr">
        <is>
          <t xml:space="preserve">33-GRE </t>
        </is>
      </c>
      <c r="B553" s="10" t="inlineStr">
        <is>
          <t>PRODUCTIVO</t>
        </is>
      </c>
      <c r="C553" s="10" t="inlineStr">
        <is>
          <t xml:space="preserve">Gestión de Recuperación </t>
        </is>
      </c>
      <c r="D553" s="10" t="inlineStr">
        <is>
          <t xml:space="preserve">GRE </t>
        </is>
      </c>
      <c r="E553" s="10" t="inlineStr">
        <is>
          <t>Gestión de Recuperación Judicial</t>
        </is>
      </c>
      <c r="F553" s="10" t="inlineStr">
        <is>
          <t>-</t>
        </is>
      </c>
      <c r="G553" s="10" t="inlineStr">
        <is>
          <t>Recuperación de valores consignados en Unidades Judiciales</t>
        </is>
      </c>
      <c r="H553" s="10" t="inlineStr">
        <is>
          <t>Comprobante de depósito/ transferencia</t>
        </is>
      </c>
      <c r="I553" s="10" t="inlineStr">
        <is>
          <t>Comprobante de deposito con información del cliente y valor</t>
        </is>
      </c>
      <c r="J553" s="10" t="inlineStr">
        <is>
          <t>Gerente  Jurídico</t>
        </is>
      </c>
      <c r="K553" s="10" t="inlineStr">
        <is>
          <t>Especialista Juridico</t>
        </is>
      </c>
      <c r="L553" s="10" t="inlineStr">
        <is>
          <t>DOCUMENTOS FISICOS-ARCHIVOS DE LA OFICINA</t>
        </is>
      </c>
      <c r="M553" s="10" t="inlineStr">
        <is>
          <t>DOCUMENTO DE ARCHIVO-FÍSICO</t>
        </is>
      </c>
      <c r="N553" s="10" t="inlineStr">
        <is>
          <t>PRIMARIOS</t>
        </is>
      </c>
      <c r="O553" s="10" t="inlineStr">
        <is>
          <t>DOCUMENTOS HABILITANTES</t>
        </is>
      </c>
      <c r="P553" s="10" t="inlineStr">
        <is>
          <t>USO INTERNO(2)</t>
        </is>
      </c>
      <c r="Q553" s="10" t="inlineStr">
        <is>
          <t>MEDIA(2)</t>
        </is>
      </c>
      <c r="R553" s="10" t="inlineStr">
        <is>
          <t>MEDIA(2)</t>
        </is>
      </c>
      <c r="S553" s="10">
        <f>+(IF(P553="PUBLICA(1)",1,IF(P553="USO INTERNO(2)",2,IF(P553="RESTRINGIDO(3)",3,3))))+(IF(Q553="BAJA(1)",1,IF(Q553="MEDIA(2)",2,IF(Q553="ALTA(3)",3,3))))+(IF(R553="BAJA(1)",1,IF(R553="MEDIA(2)",2,IF(R553="ALTA(3)",3,3))))</f>
        <v/>
      </c>
      <c r="T553" s="10">
        <f>+IF(S553&lt;6,"BAJA",IF(S553&lt;8,"MEDIA","ALTA"))</f>
        <v/>
      </c>
      <c r="U553" s="10" t="inlineStr">
        <is>
          <t>-</t>
        </is>
      </c>
      <c r="V553" s="24" t="n">
        <v>45681</v>
      </c>
      <c r="W553" s="19" t="inlineStr">
        <is>
          <t>N/A</t>
        </is>
      </c>
      <c r="X553" s="10">
        <f>+IFERROR(IF(VLOOKUP(Tabla2[[#This Row],[ID]],'EVALUACION DE RIESGO'!A:A,1,FALSE)=Tabla2[[#This Row],[ID]],"SI","NO"),"NO")</f>
        <v/>
      </c>
    </row>
    <row r="554">
      <c r="A554" s="91" t="inlineStr">
        <is>
          <t xml:space="preserve">34-GRE </t>
        </is>
      </c>
      <c r="B554" s="10" t="inlineStr">
        <is>
          <t>PRODUCTIVO</t>
        </is>
      </c>
      <c r="C554" s="10" t="inlineStr">
        <is>
          <t xml:space="preserve">Gestión de Recuperación </t>
        </is>
      </c>
      <c r="D554" s="10" t="inlineStr">
        <is>
          <t xml:space="preserve">GRE </t>
        </is>
      </c>
      <c r="E554" s="10" t="inlineStr">
        <is>
          <t>Gestión de Recuperación Judicial</t>
        </is>
      </c>
      <c r="F554" s="10" t="inlineStr">
        <is>
          <t>-</t>
        </is>
      </c>
      <c r="G554" s="10" t="inlineStr">
        <is>
          <t>Pago de honorario a abogados externos</t>
        </is>
      </c>
      <c r="H554" s="10" t="inlineStr">
        <is>
          <t>Reporte de pagos en las operaciones crediticias</t>
        </is>
      </c>
      <c r="I554" s="10" t="inlineStr">
        <is>
          <t>Reporte que se obtiene del sistema y se procede con el pago de honorarios, detalla abobados y valores</t>
        </is>
      </c>
      <c r="J554" s="10" t="inlineStr">
        <is>
          <t>Gerente  Jurídico</t>
        </is>
      </c>
      <c r="K554" s="10" t="inlineStr">
        <is>
          <t>N/A</t>
        </is>
      </c>
      <c r="L554" s="10" t="inlineStr">
        <is>
          <t>UBICACIÓN DIGITAL-EQUIPO DEL CUSTODIO</t>
        </is>
      </c>
      <c r="M554" s="10" t="inlineStr">
        <is>
          <t>DISCOS DUROS, SERVIDORES, DISCOS O MEDIOS PORTÁTILES, CINTAS O MEDIOS DE VIDEO Y AUDIO, ETC.</t>
        </is>
      </c>
      <c r="N554" s="10" t="inlineStr">
        <is>
          <t>PRIMARIOS</t>
        </is>
      </c>
      <c r="O554" s="10" t="inlineStr">
        <is>
          <t>COMUNICACIÓN INTERNA</t>
        </is>
      </c>
      <c r="P554" s="10" t="inlineStr">
        <is>
          <t>USO INTERNO(2)</t>
        </is>
      </c>
      <c r="Q554" s="10" t="inlineStr">
        <is>
          <t>MEDIA(2)</t>
        </is>
      </c>
      <c r="R554" s="10" t="inlineStr">
        <is>
          <t>MEDIA(2)</t>
        </is>
      </c>
      <c r="S554" s="10">
        <f>+(IF(P554="PUBLICA(1)",1,IF(P554="USO INTERNO(2)",2,IF(P554="RESTRINGIDO(3)",3,3))))+(IF(Q554="BAJA(1)",1,IF(Q554="MEDIA(2)",2,IF(Q554="ALTA(3)",3,3))))+(IF(R554="BAJA(1)",1,IF(R554="MEDIA(2)",2,IF(R554="ALTA(3)",3,3))))</f>
        <v/>
      </c>
      <c r="T554" s="10">
        <f>+IF(S554&lt;6,"BAJA",IF(S554&lt;8,"MEDIA","ALTA"))</f>
        <v/>
      </c>
      <c r="U554" s="10" t="inlineStr">
        <is>
          <t>-</t>
        </is>
      </c>
      <c r="V554" s="24" t="n">
        <v>45681</v>
      </c>
      <c r="W554" s="19" t="inlineStr">
        <is>
          <t>N/A</t>
        </is>
      </c>
      <c r="X554" s="10">
        <f>+IFERROR(IF(VLOOKUP(Tabla2[[#This Row],[ID]],'EVALUACION DE RIESGO'!A:A,1,FALSE)=Tabla2[[#This Row],[ID]],"SI","NO"),"NO")</f>
        <v/>
      </c>
    </row>
    <row r="555">
      <c r="A555" s="91" t="inlineStr">
        <is>
          <t xml:space="preserve">35-GRE </t>
        </is>
      </c>
      <c r="B555" s="10" t="inlineStr">
        <is>
          <t>PRODUCTIVO</t>
        </is>
      </c>
      <c r="C555" s="10" t="inlineStr">
        <is>
          <t xml:space="preserve">Gestión de Recuperación </t>
        </is>
      </c>
      <c r="D555" s="10" t="inlineStr">
        <is>
          <t xml:space="preserve">GRE </t>
        </is>
      </c>
      <c r="E555" s="10" t="inlineStr">
        <is>
          <t>Gestión de Recuperación Judicial</t>
        </is>
      </c>
      <c r="F555" s="10" t="inlineStr">
        <is>
          <t>-</t>
        </is>
      </c>
      <c r="G555" s="10" t="inlineStr">
        <is>
          <t>Pago de honorario a abogados externos</t>
        </is>
      </c>
      <c r="H555" s="10" t="inlineStr">
        <is>
          <t>Aval Técnico de Recepción, Informe Peritajes y publicaciones y otros gastos judiciales</t>
        </is>
      </c>
      <c r="I555" s="10" t="inlineStr">
        <is>
          <t>Formulario e informe del aval técnico entreago en el juincio del cual se recepta la paftura  para proceder con el pago</t>
        </is>
      </c>
      <c r="J555" s="10" t="inlineStr">
        <is>
          <t>Gerente  Jurídico</t>
        </is>
      </c>
      <c r="K555" s="10" t="inlineStr">
        <is>
          <t>Especialista Juridico</t>
        </is>
      </c>
      <c r="L555" s="10" t="inlineStr">
        <is>
          <t>DOCUMENTOS FISICOS-ARCHIVOS DE LA OFICINA</t>
        </is>
      </c>
      <c r="M555" s="10" t="inlineStr">
        <is>
          <t>DOCUMENTO DE ARCHIVO-FÍSICO</t>
        </is>
      </c>
      <c r="N555" s="10" t="inlineStr">
        <is>
          <t>PRIMARIOS</t>
        </is>
      </c>
      <c r="O555" s="10" t="inlineStr">
        <is>
          <t>DOCUMENTOS HABILITANTES</t>
        </is>
      </c>
      <c r="P555" s="10" t="inlineStr">
        <is>
          <t>USO INTERNO(2)</t>
        </is>
      </c>
      <c r="Q555" s="10" t="inlineStr">
        <is>
          <t>MEDIA(2)</t>
        </is>
      </c>
      <c r="R555" s="10" t="inlineStr">
        <is>
          <t>MEDIA(2)</t>
        </is>
      </c>
      <c r="S555" s="10">
        <f>+(IF(P555="PUBLICA(1)",1,IF(P555="USO INTERNO(2)",2,IF(P555="RESTRINGIDO(3)",3,3))))+(IF(Q555="BAJA(1)",1,IF(Q555="MEDIA(2)",2,IF(Q555="ALTA(3)",3,3))))+(IF(R555="BAJA(1)",1,IF(R555="MEDIA(2)",2,IF(R555="ALTA(3)",3,3))))</f>
        <v/>
      </c>
      <c r="T555" s="10">
        <f>+IF(S555&lt;6,"BAJA",IF(S555&lt;8,"MEDIA","ALTA"))</f>
        <v/>
      </c>
      <c r="U555" s="10" t="inlineStr">
        <is>
          <t>-</t>
        </is>
      </c>
      <c r="V555" s="24" t="n">
        <v>45681</v>
      </c>
      <c r="W555" s="19" t="inlineStr">
        <is>
          <t>N/A</t>
        </is>
      </c>
      <c r="X555" s="10">
        <f>+IFERROR(IF(VLOOKUP(Tabla2[[#This Row],[ID]],'EVALUACION DE RIESGO'!A:A,1,FALSE)=Tabla2[[#This Row],[ID]],"SI","NO"),"NO")</f>
        <v/>
      </c>
    </row>
    <row r="556">
      <c r="A556" s="91" t="inlineStr">
        <is>
          <t xml:space="preserve">36-GRE </t>
        </is>
      </c>
      <c r="B556" s="10" t="inlineStr">
        <is>
          <t>PRODUCTIVO</t>
        </is>
      </c>
      <c r="C556" s="10" t="inlineStr">
        <is>
          <t xml:space="preserve">Gestión de Recuperación </t>
        </is>
      </c>
      <c r="D556" s="10" t="inlineStr">
        <is>
          <t xml:space="preserve">GRE </t>
        </is>
      </c>
      <c r="E556" s="10" t="inlineStr">
        <is>
          <t>Gestión de Recuperación Judicial</t>
        </is>
      </c>
      <c r="F556" s="10" t="inlineStr">
        <is>
          <t>-</t>
        </is>
      </c>
      <c r="G556" s="10" t="inlineStr">
        <is>
          <t>Pago de honorario a abogados externos</t>
        </is>
      </c>
      <c r="H556" s="10" t="inlineStr">
        <is>
          <t>Reporte de pagos en las operaciones crediticias</t>
        </is>
      </c>
      <c r="I556" s="10" t="inlineStr">
        <is>
          <t>Reporte que se obtiene del sistema trx 06-4024 que detalla los valores y operación</t>
        </is>
      </c>
      <c r="J556" s="10" t="inlineStr">
        <is>
          <t>Gerente  Jurídico</t>
        </is>
      </c>
      <c r="K556" s="10" t="inlineStr">
        <is>
          <t>N/A</t>
        </is>
      </c>
      <c r="L556" s="10" t="inlineStr">
        <is>
          <t>UBICACIÓN DIGITAL-EQUIPO DEL CUSTODIO</t>
        </is>
      </c>
      <c r="M556" s="10" t="inlineStr">
        <is>
          <t>DISCOS DUROS, SERVIDORES, DISCOS O MEDIOS PORTÁTILES, CINTAS O MEDIOS DE VIDEO Y AUDIO, ETC.</t>
        </is>
      </c>
      <c r="N556" s="10" t="inlineStr">
        <is>
          <t>PRIMARIOS</t>
        </is>
      </c>
      <c r="O556" s="10" t="inlineStr">
        <is>
          <t>INFORMACIÓN DE SOCIOS Y CLIENTES</t>
        </is>
      </c>
      <c r="P556" s="10" t="inlineStr">
        <is>
          <t>USO INTERNO(2)</t>
        </is>
      </c>
      <c r="Q556" s="10" t="inlineStr">
        <is>
          <t>MEDIA(2)</t>
        </is>
      </c>
      <c r="R556" s="10" t="inlineStr">
        <is>
          <t>MEDIA(2)</t>
        </is>
      </c>
      <c r="S556" s="10">
        <f>+(IF(P556="PUBLICA(1)",1,IF(P556="USO INTERNO(2)",2,IF(P556="RESTRINGIDO(3)",3,3))))+(IF(Q556="BAJA(1)",1,IF(Q556="MEDIA(2)",2,IF(Q556="ALTA(3)",3,3))))+(IF(R556="BAJA(1)",1,IF(R556="MEDIA(2)",2,IF(R556="ALTA(3)",3,3))))</f>
        <v/>
      </c>
      <c r="T556" s="10">
        <f>+IF(S556&lt;6,"BAJA",IF(S556&lt;8,"MEDIA","ALTA"))</f>
        <v/>
      </c>
      <c r="U556" s="10" t="inlineStr">
        <is>
          <t>-</t>
        </is>
      </c>
      <c r="V556" s="24" t="n">
        <v>45681</v>
      </c>
      <c r="W556" s="19" t="inlineStr">
        <is>
          <t>N/A</t>
        </is>
      </c>
      <c r="X556" s="10">
        <f>+IFERROR(IF(VLOOKUP(Tabla2[[#This Row],[ID]],'EVALUACION DE RIESGO'!A:A,1,FALSE)=Tabla2[[#This Row],[ID]],"SI","NO"),"NO")</f>
        <v/>
      </c>
    </row>
    <row r="557">
      <c r="A557" s="91" t="inlineStr">
        <is>
          <t xml:space="preserve">37-GRE </t>
        </is>
      </c>
      <c r="B557" s="10" t="inlineStr">
        <is>
          <t>PRODUCTIVO</t>
        </is>
      </c>
      <c r="C557" s="10" t="inlineStr">
        <is>
          <t xml:space="preserve">Gestión de Recuperación </t>
        </is>
      </c>
      <c r="D557" s="10" t="inlineStr">
        <is>
          <t xml:space="preserve">GRE </t>
        </is>
      </c>
      <c r="E557" s="10" t="inlineStr">
        <is>
          <t>Gestión de Recuperación Judicial</t>
        </is>
      </c>
      <c r="F557" s="10" t="inlineStr">
        <is>
          <t>-</t>
        </is>
      </c>
      <c r="G557" s="10" t="inlineStr">
        <is>
          <t>Seguimiento y evaluación de la Gestión Judicial</t>
        </is>
      </c>
      <c r="H557" s="10" t="inlineStr">
        <is>
          <t>Informe de evaluación</t>
        </is>
      </c>
      <c r="I557" s="10" t="inlineStr">
        <is>
          <t>Analisis de la recuperación de los abogados donde se emite observaciones de la gestión.</t>
        </is>
      </c>
      <c r="J557" s="10" t="inlineStr">
        <is>
          <t>Gerente  Jurídico</t>
        </is>
      </c>
      <c r="K557" s="10" t="inlineStr">
        <is>
          <t>Especialista Juridico</t>
        </is>
      </c>
      <c r="L557" s="10" t="inlineStr">
        <is>
          <t>UBICACIÓN DIGITAL-EQUIPO DEL CUSTODIO</t>
        </is>
      </c>
      <c r="M557" s="10" t="inlineStr">
        <is>
          <t>DISCOS DUROS, SERVIDORES, DISCOS O MEDIOS PORTÁTILES, CINTAS O MEDIOS DE VIDEO Y AUDIO, ETC.</t>
        </is>
      </c>
      <c r="N557" s="10" t="inlineStr">
        <is>
          <t>PRIMARIOS</t>
        </is>
      </c>
      <c r="O557" s="10" t="inlineStr">
        <is>
          <t>DOCUMENTOS TÉCNICOS</t>
        </is>
      </c>
      <c r="P557" s="10" t="inlineStr">
        <is>
          <t>USO INTERNO(2)</t>
        </is>
      </c>
      <c r="Q557" s="10" t="inlineStr">
        <is>
          <t>MEDIA(2)</t>
        </is>
      </c>
      <c r="R557" s="10" t="inlineStr">
        <is>
          <t>MEDIA(2)</t>
        </is>
      </c>
      <c r="S557" s="10">
        <f>+(IF(P557="PUBLICA(1)",1,IF(P557="USO INTERNO(2)",2,IF(P557="RESTRINGIDO(3)",3,3))))+(IF(Q557="BAJA(1)",1,IF(Q557="MEDIA(2)",2,IF(Q557="ALTA(3)",3,3))))+(IF(R557="BAJA(1)",1,IF(R557="MEDIA(2)",2,IF(R557="ALTA(3)",3,3))))</f>
        <v/>
      </c>
      <c r="T557" s="10">
        <f>+IF(S557&lt;6,"BAJA",IF(S557&lt;8,"MEDIA","ALTA"))</f>
        <v/>
      </c>
      <c r="U557" s="10" t="inlineStr">
        <is>
          <t>-</t>
        </is>
      </c>
      <c r="V557" s="24" t="n">
        <v>45681</v>
      </c>
      <c r="W557" s="19" t="inlineStr">
        <is>
          <t>N/A</t>
        </is>
      </c>
      <c r="X557" s="10">
        <f>+IFERROR(IF(VLOOKUP(Tabla2[[#This Row],[ID]],'EVALUACION DE RIESGO'!A:A,1,FALSE)=Tabla2[[#This Row],[ID]],"SI","NO"),"NO")</f>
        <v/>
      </c>
    </row>
    <row r="558" ht="20.5" customHeight="1" s="98">
      <c r="A558" s="91" t="inlineStr">
        <is>
          <t xml:space="preserve">38-GRE </t>
        </is>
      </c>
      <c r="B558" s="10" t="inlineStr">
        <is>
          <t>PRODUCTIVO</t>
        </is>
      </c>
      <c r="C558" s="10" t="inlineStr">
        <is>
          <t xml:space="preserve">Gestión de Recuperación </t>
        </is>
      </c>
      <c r="D558" s="10" t="inlineStr">
        <is>
          <t xml:space="preserve">GRE </t>
        </is>
      </c>
      <c r="E558" s="10" t="inlineStr">
        <is>
          <t>N/A</t>
        </is>
      </c>
      <c r="F558" s="10" t="inlineStr">
        <is>
          <t>-</t>
        </is>
      </c>
      <c r="G558" s="10" t="inlineStr">
        <is>
          <t>N/A</t>
        </is>
      </c>
      <c r="H558" s="17" t="inlineStr">
        <is>
          <t>Equipos de computación del Gerente Jurídico</t>
        </is>
      </c>
      <c r="I558" s="17" t="inlineStr">
        <is>
          <t>Equipos de computación donde se realiza la gestión del área</t>
        </is>
      </c>
      <c r="J558" s="10" t="inlineStr">
        <is>
          <t>Gerente  Jurídico</t>
        </is>
      </c>
      <c r="K558" s="10" t="inlineStr">
        <is>
          <t>Gerente  Jurídico</t>
        </is>
      </c>
      <c r="L558" s="10" t="inlineStr">
        <is>
          <t>DOCUMENTOS FISICOS-ARCHIVOS DE LA OFICINA</t>
        </is>
      </c>
      <c r="M558" s="10" t="inlineStr">
        <is>
          <t>DOCUMENTO DE ARCHIVO-FÍSICO</t>
        </is>
      </c>
      <c r="N558" s="10" t="inlineStr">
        <is>
          <t>PRIMARIOS</t>
        </is>
      </c>
      <c r="O558" s="10" t="inlineStr">
        <is>
          <t>INFORMACIÓN DE SOCIOS Y CLIENTES</t>
        </is>
      </c>
      <c r="P558" s="10" t="inlineStr">
        <is>
          <t>USO INTERNO(2)</t>
        </is>
      </c>
      <c r="Q558" s="10" t="inlineStr">
        <is>
          <t>ALTA(3)</t>
        </is>
      </c>
      <c r="R558" s="10" t="inlineStr">
        <is>
          <t>ALTA(3)</t>
        </is>
      </c>
      <c r="S558" s="10">
        <f>+(IF(P558="PUBLICA(1)",1,IF(P558="USO INTERNO(2)",2,IF(P558="RESTRINGIDO(3)",3,3))))+(IF(Q558="BAJA(1)",1,IF(Q558="MEDIA(2)",2,IF(Q558="ALTA(3)",3,3))))+(IF(R558="BAJA(1)",1,IF(R558="MEDIA(2)",2,IF(R558="ALTA(3)",3,3))))</f>
        <v/>
      </c>
      <c r="T558" s="10">
        <f>+IF(S558&lt;6,"BAJA",IF(S558&lt;8,"MEDIA","ALTA"))</f>
        <v/>
      </c>
      <c r="U558" s="10" t="inlineStr">
        <is>
          <t>-</t>
        </is>
      </c>
      <c r="V558" s="24" t="n">
        <v>45681</v>
      </c>
      <c r="W558" s="19" t="inlineStr">
        <is>
          <t>N/A</t>
        </is>
      </c>
      <c r="X558" s="10">
        <f>+IFERROR(IF(VLOOKUP(Tabla2[[#This Row],[ID]],'EVALUACION DE RIESGO'!A:A,1,FALSE)=Tabla2[[#This Row],[ID]],"SI","NO"),"NO")</f>
        <v/>
      </c>
    </row>
    <row r="559">
      <c r="A559" s="91" t="inlineStr">
        <is>
          <t xml:space="preserve">39-GRE </t>
        </is>
      </c>
      <c r="B559" s="10" t="inlineStr">
        <is>
          <t>PRODUCTIVO</t>
        </is>
      </c>
      <c r="C559" s="10" t="inlineStr">
        <is>
          <t xml:space="preserve">Gestión de Recuperación </t>
        </is>
      </c>
      <c r="D559" s="10" t="inlineStr">
        <is>
          <t xml:space="preserve">GRE </t>
        </is>
      </c>
      <c r="E559" s="10" t="inlineStr">
        <is>
          <t>N/A</t>
        </is>
      </c>
      <c r="F559" s="10" t="inlineStr">
        <is>
          <t>-</t>
        </is>
      </c>
      <c r="G559" s="10" t="inlineStr">
        <is>
          <t>N/A</t>
        </is>
      </c>
      <c r="H559" s="10" t="inlineStr">
        <is>
          <t>Gerente Jurídico</t>
        </is>
      </c>
      <c r="I559" s="10" t="inlineStr">
        <is>
          <t>N/A</t>
        </is>
      </c>
      <c r="J559" s="10" t="inlineStr">
        <is>
          <t>Gerente  Jurídico</t>
        </is>
      </c>
      <c r="K559" s="10" t="inlineStr">
        <is>
          <t>N/A</t>
        </is>
      </c>
      <c r="L559" s="10" t="inlineStr">
        <is>
          <t>N/A</t>
        </is>
      </c>
      <c r="M559" s="10" t="inlineStr">
        <is>
          <t>N/A</t>
        </is>
      </c>
      <c r="N559" s="10" t="inlineStr">
        <is>
          <t>APOYO</t>
        </is>
      </c>
      <c r="O559" s="10" t="inlineStr">
        <is>
          <t>RECURSO HUMANO</t>
        </is>
      </c>
      <c r="P559" s="10" t="inlineStr">
        <is>
          <t>USO INTERNO(2)</t>
        </is>
      </c>
      <c r="Q559" s="10" t="inlineStr">
        <is>
          <t>MEDIA(2)</t>
        </is>
      </c>
      <c r="R559" s="10" t="inlineStr">
        <is>
          <t>MEDIA(2)</t>
        </is>
      </c>
      <c r="S559" s="10">
        <f>+(IF(P559="PUBLICA(1)",1,IF(P559="USO INTERNO(2)",2,IF(P559="RESTRINGIDO(3)",3,3))))+(IF(Q559="BAJA(1)",1,IF(Q559="MEDIA(2)",2,IF(Q559="ALTA(3)",3,3))))+(IF(R559="BAJA(1)",1,IF(R559="MEDIA(2)",2,IF(R559="ALTA(3)",3,3))))</f>
        <v/>
      </c>
      <c r="T559" s="10">
        <f>+IF(S559&lt;6,"BAJA",IF(S559&lt;8,"MEDIA","ALTA"))</f>
        <v/>
      </c>
      <c r="U559" s="10" t="inlineStr">
        <is>
          <t>-</t>
        </is>
      </c>
      <c r="V559" s="24" t="n">
        <v>45681</v>
      </c>
      <c r="W559" s="19" t="inlineStr">
        <is>
          <t>N/A</t>
        </is>
      </c>
      <c r="X559" s="10">
        <f>+IFERROR(IF(VLOOKUP(Tabla2[[#This Row],[ID]],'EVALUACION DE RIESGO'!A:A,1,FALSE)=Tabla2[[#This Row],[ID]],"SI","NO"),"NO")</f>
        <v/>
      </c>
    </row>
    <row r="560">
      <c r="A560" s="91" t="inlineStr">
        <is>
          <t>1-GTH</t>
        </is>
      </c>
      <c r="B560" s="10" t="inlineStr">
        <is>
          <t>APOYO</t>
        </is>
      </c>
      <c r="C560" s="10" t="inlineStr">
        <is>
          <t>Gestión del Talento Humano</t>
        </is>
      </c>
      <c r="D560" s="10" t="inlineStr">
        <is>
          <t>GTH</t>
        </is>
      </c>
      <c r="E560" s="10" t="inlineStr">
        <is>
          <t>Gestión de Seguridad y Salud Ocupacional</t>
        </is>
      </c>
      <c r="F560" s="10" t="inlineStr">
        <is>
          <t xml:space="preserve">Seguridad Ocupacional </t>
        </is>
      </c>
      <c r="G560" s="10" t="inlineStr">
        <is>
          <t xml:space="preserve">Planificación Anual de Seguridad y Salud Ocupacional  </t>
        </is>
      </c>
      <c r="H560" s="10" t="inlineStr">
        <is>
          <t>Planificación anual de SSO</t>
        </is>
      </c>
      <c r="I560" s="10" t="inlineStr">
        <is>
          <t>Actividades claves para gestionar los riesgos laborales y cumplir los requisitos regulatorios y  establecer un cronograma de actividades de SSO a realizarse en el año</t>
        </is>
      </c>
      <c r="J560" s="10" t="inlineStr">
        <is>
          <t>Técnico en Seguridad y Salud Ocupacional</t>
        </is>
      </c>
      <c r="K560" s="10" t="inlineStr">
        <is>
          <t>Técnico en Seguridad y Salud Ocupacional</t>
        </is>
      </c>
      <c r="L560" s="10" t="inlineStr">
        <is>
          <t>UBICACIÓN DIGITAL-EQUIPO DEL CUSTODIO</t>
        </is>
      </c>
      <c r="M560" s="10" t="inlineStr">
        <is>
          <t>DISCOS DUROS, SERVIDORES, DISCOS O MEDIOS PORTÁTILES, CINTAS O MEDIOS DE VIDEO Y AUDIO, ETC.</t>
        </is>
      </c>
      <c r="N560" s="10" t="inlineStr">
        <is>
          <t>PRIMARIOS</t>
        </is>
      </c>
      <c r="O560" s="10" t="inlineStr">
        <is>
          <t>DOCUMENTOS TÉCNICOS</t>
        </is>
      </c>
      <c r="P560" s="10" t="inlineStr">
        <is>
          <t>PUBLICA(1)</t>
        </is>
      </c>
      <c r="Q560" s="10" t="inlineStr">
        <is>
          <t>BAJA(1)</t>
        </is>
      </c>
      <c r="R560" s="10" t="inlineStr">
        <is>
          <t>BAJA(1)</t>
        </is>
      </c>
      <c r="S560" s="10">
        <f>+(IF(P560="PUBLICA(1)",1,IF(P560="USO INTERNO(2)",2,IF(P560="RESTRINGIDO(3)",3,3))))+(IF(Q560="BAJA(1)",1,IF(Q560="MEDIA(2)",2,IF(Q560="ALTA(3)",3,3))))+(IF(R560="BAJA(1)",1,IF(R560="MEDIA(2)",2,IF(R560="ALTA(3)",3,3))))</f>
        <v/>
      </c>
      <c r="T560" s="10">
        <f>+IF(S560&lt;6,"BAJA",IF(S560&lt;8,"MEDIA","ALTA"))</f>
        <v/>
      </c>
      <c r="U560" s="10" t="inlineStr">
        <is>
          <t>-</t>
        </is>
      </c>
      <c r="V560" s="24" t="n">
        <v>45673</v>
      </c>
      <c r="W560" s="19" t="inlineStr">
        <is>
          <t>N/A</t>
        </is>
      </c>
      <c r="X560" s="10">
        <f>+IFERROR(IF(VLOOKUP(Tabla2[[#This Row],[ID]],'EVALUACION DE RIESGO'!A:A,1,FALSE)=Tabla2[[#This Row],[ID]],"SI","NO"),"NO")</f>
        <v/>
      </c>
    </row>
    <row r="561">
      <c r="A561" s="91" t="inlineStr">
        <is>
          <t>2-GTH</t>
        </is>
      </c>
      <c r="B561" s="10" t="inlineStr">
        <is>
          <t>APOYO</t>
        </is>
      </c>
      <c r="C561" s="10" t="inlineStr">
        <is>
          <t>Gestión del Talento Humano</t>
        </is>
      </c>
      <c r="D561" s="10" t="inlineStr">
        <is>
          <t>GTH</t>
        </is>
      </c>
      <c r="E561" s="10" t="inlineStr">
        <is>
          <t>Gestión de Seguridad y Salud Ocupacional</t>
        </is>
      </c>
      <c r="F561" s="10" t="inlineStr">
        <is>
          <t xml:space="preserve">Seguridad Ocupacional </t>
        </is>
      </c>
      <c r="G561" s="10" t="inlineStr">
        <is>
          <t xml:space="preserve">Planificación Anual de Seguridad y Salud Ocupacional  </t>
        </is>
      </c>
      <c r="H561" s="10" t="inlineStr">
        <is>
          <t>Informe mensual de actividades de SSO</t>
        </is>
      </c>
      <c r="I561" s="10" t="inlineStr">
        <is>
          <t>Recopila las actividades realizadas por SSO durante el mes, así como los indicadores del Sistema de Gestión</t>
        </is>
      </c>
      <c r="J561" s="10" t="inlineStr">
        <is>
          <t>Técnico en Seguridad y Salud Ocupacional</t>
        </is>
      </c>
      <c r="K561" s="10" t="inlineStr">
        <is>
          <t>Técnico en Seguridad y Salud Ocupacional/Médico Ocupacional</t>
        </is>
      </c>
      <c r="L561" s="10" t="inlineStr">
        <is>
          <t>UBICACIÓN DIGITAL-EQUIPO DEL CUSTODIO</t>
        </is>
      </c>
      <c r="M561" s="10" t="inlineStr">
        <is>
          <t>DISCOS DUROS, SERVIDORES, DISCOS O MEDIOS PORTÁTILES, CINTAS O MEDIOS DE VIDEO Y AUDIO, ETC.</t>
        </is>
      </c>
      <c r="N561" s="10" t="inlineStr">
        <is>
          <t>PRIMARIOS</t>
        </is>
      </c>
      <c r="O561" s="10" t="inlineStr">
        <is>
          <t>DOCUMENTOS TÉCNICOS</t>
        </is>
      </c>
      <c r="P561" s="10" t="inlineStr">
        <is>
          <t>PUBLICA(1)</t>
        </is>
      </c>
      <c r="Q561" s="10" t="inlineStr">
        <is>
          <t>BAJA(1)</t>
        </is>
      </c>
      <c r="R561" s="10" t="inlineStr">
        <is>
          <t>MEDIA(2)</t>
        </is>
      </c>
      <c r="S561" s="10">
        <f>+(IF(P561="PUBLICA(1)",1,IF(P561="USO INTERNO(2)",2,IF(P561="RESTRINGIDO(3)",3,3))))+(IF(Q561="BAJA(1)",1,IF(Q561="MEDIA(2)",2,IF(Q561="ALTA(3)",3,3))))+(IF(R561="BAJA(1)",1,IF(R561="MEDIA(2)",2,IF(R561="ALTA(3)",3,3))))</f>
        <v/>
      </c>
      <c r="T561" s="10">
        <f>+IF(S561&lt;6,"BAJA",IF(S561&lt;8,"MEDIA","ALTA"))</f>
        <v/>
      </c>
      <c r="U561" s="10" t="inlineStr">
        <is>
          <t>-</t>
        </is>
      </c>
      <c r="V561" s="24" t="n">
        <v>45673</v>
      </c>
      <c r="W561" s="19" t="inlineStr">
        <is>
          <t>N/A</t>
        </is>
      </c>
      <c r="X561" s="10">
        <f>+IFERROR(IF(VLOOKUP(Tabla2[[#This Row],[ID]],'EVALUACION DE RIESGO'!A:A,1,FALSE)=Tabla2[[#This Row],[ID]],"SI","NO"),"NO")</f>
        <v/>
      </c>
    </row>
    <row r="562">
      <c r="A562" s="91" t="inlineStr">
        <is>
          <t>3-GTH</t>
        </is>
      </c>
      <c r="B562" s="10" t="inlineStr">
        <is>
          <t>APOYO</t>
        </is>
      </c>
      <c r="C562" s="10" t="inlineStr">
        <is>
          <t>Gestión del Talento Humano</t>
        </is>
      </c>
      <c r="D562" s="10" t="inlineStr">
        <is>
          <t>GTH</t>
        </is>
      </c>
      <c r="E562" s="10" t="inlineStr">
        <is>
          <t>Gestión de Seguridad y Salud Ocupacional</t>
        </is>
      </c>
      <c r="F562" s="10" t="inlineStr">
        <is>
          <t xml:space="preserve">Seguridad Ocupacional </t>
        </is>
      </c>
      <c r="G562" s="10" t="inlineStr">
        <is>
          <t>Identificación, medición, evaluación y control de riesgos laborales</t>
        </is>
      </c>
      <c r="H562" s="10" t="inlineStr">
        <is>
          <t>Matriz de identificación de riesgos laborales</t>
        </is>
      </c>
      <c r="I562" s="10" t="inlineStr">
        <is>
          <t xml:space="preserve">Permite realizar la identificación de riesgos laborales de los diferentes cargos de la institución, así como indicar el plan de acción para controlar los riesgos una vez priorizados </t>
        </is>
      </c>
      <c r="J562" s="10" t="inlineStr">
        <is>
          <t>Técnico en Seguridad y Salud Ocupacional</t>
        </is>
      </c>
      <c r="K562" s="10" t="inlineStr">
        <is>
          <t>Técnico en Seguridad y Salud Ocupacional</t>
        </is>
      </c>
      <c r="L562" s="10" t="inlineStr">
        <is>
          <t>UBICACIÓN DIGITAL-EQUIPO DEL CUSTODIO</t>
        </is>
      </c>
      <c r="M562" s="10" t="inlineStr">
        <is>
          <t>DISCOS DUROS, SERVIDORES, DISCOS O MEDIOS PORTÁTILES, CINTAS O MEDIOS DE VIDEO Y AUDIO, ETC.</t>
        </is>
      </c>
      <c r="N562" s="10" t="inlineStr">
        <is>
          <t>PRIMARIOS</t>
        </is>
      </c>
      <c r="O562" s="10" t="inlineStr">
        <is>
          <t>DOCUMENTOS TÉCNICOS</t>
        </is>
      </c>
      <c r="P562" s="10" t="inlineStr">
        <is>
          <t>USO INTERNO(2)</t>
        </is>
      </c>
      <c r="Q562" s="10" t="inlineStr">
        <is>
          <t>BAJA(1)</t>
        </is>
      </c>
      <c r="R562" s="10" t="inlineStr">
        <is>
          <t>BAJA(1)</t>
        </is>
      </c>
      <c r="S562" s="10">
        <f>+(IF(P562="PUBLICA(1)",1,IF(P562="USO INTERNO(2)",2,IF(P562="RESTRINGIDO(3)",3,3))))+(IF(Q562="BAJA(1)",1,IF(Q562="MEDIA(2)",2,IF(Q562="ALTA(3)",3,3))))+(IF(R562="BAJA(1)",1,IF(R562="MEDIA(2)",2,IF(R562="ALTA(3)",3,3))))</f>
        <v/>
      </c>
      <c r="T562" s="10">
        <f>+IF(S562&lt;6,"BAJA",IF(S562&lt;8,"MEDIA","ALTA"))</f>
        <v/>
      </c>
      <c r="U562" s="10" t="inlineStr">
        <is>
          <t>-</t>
        </is>
      </c>
      <c r="V562" s="24" t="n">
        <v>45673</v>
      </c>
      <c r="W562" s="19" t="inlineStr">
        <is>
          <t>N/A</t>
        </is>
      </c>
      <c r="X562" s="10">
        <f>+IFERROR(IF(VLOOKUP(Tabla2[[#This Row],[ID]],'EVALUACION DE RIESGO'!A:A,1,FALSE)=Tabla2[[#This Row],[ID]],"SI","NO"),"NO")</f>
        <v/>
      </c>
    </row>
    <row r="563">
      <c r="A563" s="91" t="inlineStr">
        <is>
          <t>4-GTH</t>
        </is>
      </c>
      <c r="B563" s="10" t="inlineStr">
        <is>
          <t>APOYO</t>
        </is>
      </c>
      <c r="C563" s="10" t="inlineStr">
        <is>
          <t>Gestión del Talento Humano</t>
        </is>
      </c>
      <c r="D563" s="10" t="inlineStr">
        <is>
          <t>GTH</t>
        </is>
      </c>
      <c r="E563" s="10" t="inlineStr">
        <is>
          <t>Gestión de Seguridad y Salud Ocupacional</t>
        </is>
      </c>
      <c r="F563" s="10" t="inlineStr">
        <is>
          <t xml:space="preserve">Seguridad Ocupacional </t>
        </is>
      </c>
      <c r="G563" s="10" t="inlineStr">
        <is>
          <t>Identificación, medición, evaluación y control de riesgos laborales</t>
        </is>
      </c>
      <c r="H563" s="10" t="inlineStr">
        <is>
          <t>Plan de Mediciones y Evaluación de Riesgos de SSO</t>
        </is>
      </c>
      <c r="I563" s="10" t="inlineStr">
        <is>
          <t>Cronograma de medición y evaluación de riesgos laborales de acuerdo a las necesidades establecidas en la matriz de riesgos laborales</t>
        </is>
      </c>
      <c r="J563" s="10" t="inlineStr">
        <is>
          <t>Técnico en Seguridad y Salud Ocupacional</t>
        </is>
      </c>
      <c r="K563" s="10" t="inlineStr">
        <is>
          <t>Técnico en Seguridad y Salud Ocupacional</t>
        </is>
      </c>
      <c r="L563" s="10" t="inlineStr">
        <is>
          <t>UBICACIÓN DIGITAL-EQUIPO DEL CUSTODIO</t>
        </is>
      </c>
      <c r="M563" s="10" t="inlineStr">
        <is>
          <t>DISCOS DUROS, SERVIDORES, DISCOS O MEDIOS PORTÁTILES, CINTAS O MEDIOS DE VIDEO Y AUDIO, ETC.</t>
        </is>
      </c>
      <c r="N563" s="10" t="inlineStr">
        <is>
          <t>PRIMARIOS</t>
        </is>
      </c>
      <c r="O563" s="10" t="inlineStr">
        <is>
          <t>DOCUMENTOS TÉCNICOS</t>
        </is>
      </c>
      <c r="P563" s="10" t="inlineStr">
        <is>
          <t>PUBLICA(1)</t>
        </is>
      </c>
      <c r="Q563" s="10" t="inlineStr">
        <is>
          <t>BAJA(1)</t>
        </is>
      </c>
      <c r="R563" s="10" t="inlineStr">
        <is>
          <t>BAJA(1)</t>
        </is>
      </c>
      <c r="S563" s="10">
        <f>+(IF(P563="PUBLICA(1)",1,IF(P563="USO INTERNO(2)",2,IF(P563="RESTRINGIDO(3)",3,3))))+(IF(Q563="BAJA(1)",1,IF(Q563="MEDIA(2)",2,IF(Q563="ALTA(3)",3,3))))+(IF(R563="BAJA(1)",1,IF(R563="MEDIA(2)",2,IF(R563="ALTA(3)",3,3))))</f>
        <v/>
      </c>
      <c r="T563" s="10">
        <f>+IF(S563&lt;6,"BAJA",IF(S563&lt;8,"MEDIA","ALTA"))</f>
        <v/>
      </c>
      <c r="U563" s="10" t="inlineStr">
        <is>
          <t>-</t>
        </is>
      </c>
      <c r="V563" s="24" t="n">
        <v>45673</v>
      </c>
      <c r="W563" s="19" t="inlineStr">
        <is>
          <t>N/A</t>
        </is>
      </c>
      <c r="X563" s="10">
        <f>+IFERROR(IF(VLOOKUP(Tabla2[[#This Row],[ID]],'EVALUACION DE RIESGO'!A:A,1,FALSE)=Tabla2[[#This Row],[ID]],"SI","NO"),"NO")</f>
        <v/>
      </c>
    </row>
    <row r="564">
      <c r="A564" s="91" t="inlineStr">
        <is>
          <t>5-GTH</t>
        </is>
      </c>
      <c r="B564" s="10" t="inlineStr">
        <is>
          <t>APOYO</t>
        </is>
      </c>
      <c r="C564" s="10" t="inlineStr">
        <is>
          <t>Gestión del Talento Humano</t>
        </is>
      </c>
      <c r="D564" s="10" t="inlineStr">
        <is>
          <t>GTH</t>
        </is>
      </c>
      <c r="E564" s="10" t="inlineStr">
        <is>
          <t>Gestión de Seguridad y Salud Ocupacional</t>
        </is>
      </c>
      <c r="F564" s="10" t="inlineStr">
        <is>
          <t xml:space="preserve">Seguridad Ocupacional </t>
        </is>
      </c>
      <c r="G564" s="10" t="inlineStr">
        <is>
          <t>Identificación, medición, evaluación y control de riesgos laborales</t>
        </is>
      </c>
      <c r="H564" s="10" t="inlineStr">
        <is>
          <t>Informe de Mediciones y Evaluación de Riesgos de SSO</t>
        </is>
      </c>
      <c r="I564" s="10" t="inlineStr">
        <is>
          <t>Resultados de la medición y evaluación de riesgos laborales</t>
        </is>
      </c>
      <c r="J564" s="10" t="inlineStr">
        <is>
          <t>Técnico en Seguridad y Salud Ocupacional</t>
        </is>
      </c>
      <c r="K564" s="10" t="inlineStr">
        <is>
          <t>Técnico en Seguridad y Salud Ocupacional</t>
        </is>
      </c>
      <c r="L564" s="10" t="inlineStr">
        <is>
          <t>UBICACIÓN DIGITAL-EQUIPO DEL CUSTODIO</t>
        </is>
      </c>
      <c r="M564" s="10" t="inlineStr">
        <is>
          <t>DISCOS DUROS, SERVIDORES, DISCOS O MEDIOS PORTÁTILES, CINTAS O MEDIOS DE VIDEO Y AUDIO, ETC.</t>
        </is>
      </c>
      <c r="N564" s="10" t="inlineStr">
        <is>
          <t>PRIMARIOS</t>
        </is>
      </c>
      <c r="O564" s="10" t="inlineStr">
        <is>
          <t>DOCUMENTOS TÉCNICOS</t>
        </is>
      </c>
      <c r="P564" s="10" t="inlineStr">
        <is>
          <t>PUBLICA(1)</t>
        </is>
      </c>
      <c r="Q564" s="10" t="inlineStr">
        <is>
          <t>BAJA(1)</t>
        </is>
      </c>
      <c r="R564" s="10" t="inlineStr">
        <is>
          <t>MEDIA(2)</t>
        </is>
      </c>
      <c r="S564" s="10">
        <f>+(IF(P564="PUBLICA(1)",1,IF(P564="USO INTERNO(2)",2,IF(P564="RESTRINGIDO(3)",3,3))))+(IF(Q564="BAJA(1)",1,IF(Q564="MEDIA(2)",2,IF(Q564="ALTA(3)",3,3))))+(IF(R564="BAJA(1)",1,IF(R564="MEDIA(2)",2,IF(R564="ALTA(3)",3,3))))</f>
        <v/>
      </c>
      <c r="T564" s="10">
        <f>+IF(S564&lt;6,"BAJA",IF(S564&lt;8,"MEDIA","ALTA"))</f>
        <v/>
      </c>
      <c r="U564" s="10" t="inlineStr">
        <is>
          <t>-</t>
        </is>
      </c>
      <c r="V564" s="24" t="n">
        <v>45673</v>
      </c>
      <c r="W564" s="19" t="inlineStr">
        <is>
          <t>N/A</t>
        </is>
      </c>
      <c r="X564" s="10">
        <f>+IFERROR(IF(VLOOKUP(Tabla2[[#This Row],[ID]],'EVALUACION DE RIESGO'!A:A,1,FALSE)=Tabla2[[#This Row],[ID]],"SI","NO"),"NO")</f>
        <v/>
      </c>
    </row>
    <row r="565">
      <c r="A565" s="91" t="inlineStr">
        <is>
          <t>6-GTH</t>
        </is>
      </c>
      <c r="B565" s="10" t="inlineStr">
        <is>
          <t>APOYO</t>
        </is>
      </c>
      <c r="C565" s="10" t="inlineStr">
        <is>
          <t>Gestión del Talento Humano</t>
        </is>
      </c>
      <c r="D565" s="10" t="inlineStr">
        <is>
          <t>GTH</t>
        </is>
      </c>
      <c r="E565" s="10" t="inlineStr">
        <is>
          <t>Gestión de Seguridad y Salud Ocupacional</t>
        </is>
      </c>
      <c r="F565" s="10" t="inlineStr">
        <is>
          <t xml:space="preserve">Seguridad Ocupacional </t>
        </is>
      </c>
      <c r="G565" s="10" t="inlineStr">
        <is>
          <t>Identificación, medición, evaluación y control de riesgos laborales</t>
        </is>
      </c>
      <c r="H565" s="10" t="inlineStr">
        <is>
          <t>Plan de acción de acuerdo a resultados de mediciones</t>
        </is>
      </c>
      <c r="I565" s="10" t="inlineStr">
        <is>
          <t>Establece las acciones necesarias para controlar los riesgos identificados en los informes de medición y evaluación</t>
        </is>
      </c>
      <c r="J565" s="10" t="inlineStr">
        <is>
          <t>Técnico en Seguridad y Salud Ocupacional</t>
        </is>
      </c>
      <c r="K565" s="10" t="inlineStr">
        <is>
          <t>Técnico en Seguridad y Salud Ocupacional</t>
        </is>
      </c>
      <c r="L565" s="10" t="inlineStr">
        <is>
          <t>UBICACIÓN DIGITAL-EQUIPO DEL CUSTODIO</t>
        </is>
      </c>
      <c r="M565" s="10" t="inlineStr">
        <is>
          <t>DISCOS DUROS, SERVIDORES, DISCOS O MEDIOS PORTÁTILES, CINTAS O MEDIOS DE VIDEO Y AUDIO, ETC.</t>
        </is>
      </c>
      <c r="N565" s="10" t="inlineStr">
        <is>
          <t>PRIMARIOS</t>
        </is>
      </c>
      <c r="O565" s="10" t="inlineStr">
        <is>
          <t>DOCUMENTOS TÉCNICOS</t>
        </is>
      </c>
      <c r="P565" s="10" t="inlineStr">
        <is>
          <t>PUBLICA(1)</t>
        </is>
      </c>
      <c r="Q565" s="10" t="inlineStr">
        <is>
          <t>BAJA(1)</t>
        </is>
      </c>
      <c r="R565" s="10" t="inlineStr">
        <is>
          <t>BAJA(1)</t>
        </is>
      </c>
      <c r="S565" s="10">
        <f>+(IF(P565="PUBLICA(1)",1,IF(P565="USO INTERNO(2)",2,IF(P565="RESTRINGIDO(3)",3,3))))+(IF(Q565="BAJA(1)",1,IF(Q565="MEDIA(2)",2,IF(Q565="ALTA(3)",3,3))))+(IF(R565="BAJA(1)",1,IF(R565="MEDIA(2)",2,IF(R565="ALTA(3)",3,3))))</f>
        <v/>
      </c>
      <c r="T565" s="10">
        <f>+IF(S565&lt;6,"BAJA",IF(S565&lt;8,"MEDIA","ALTA"))</f>
        <v/>
      </c>
      <c r="U565" s="10" t="inlineStr">
        <is>
          <t>-</t>
        </is>
      </c>
      <c r="V565" s="24" t="n">
        <v>45673</v>
      </c>
      <c r="W565" s="19" t="inlineStr">
        <is>
          <t>N/A</t>
        </is>
      </c>
      <c r="X565" s="10">
        <f>+IFERROR(IF(VLOOKUP(Tabla2[[#This Row],[ID]],'EVALUACION DE RIESGO'!A:A,1,FALSE)=Tabla2[[#This Row],[ID]],"SI","NO"),"NO")</f>
        <v/>
      </c>
    </row>
    <row r="566">
      <c r="A566" s="91" t="inlineStr">
        <is>
          <t>7-GTH</t>
        </is>
      </c>
      <c r="B566" s="10" t="inlineStr">
        <is>
          <t>APOYO</t>
        </is>
      </c>
      <c r="C566" s="10" t="inlineStr">
        <is>
          <t>Gestión del Talento Humano</t>
        </is>
      </c>
      <c r="D566" s="10" t="inlineStr">
        <is>
          <t>GTH</t>
        </is>
      </c>
      <c r="E566" s="10" t="inlineStr">
        <is>
          <t>Gestión de Seguridad y Salud Ocupacional</t>
        </is>
      </c>
      <c r="F566" s="10" t="inlineStr">
        <is>
          <t xml:space="preserve">Seguridad Ocupacional </t>
        </is>
      </c>
      <c r="G566" s="10" t="inlineStr">
        <is>
          <t>Identificación, medición, evaluación y control de riesgos laborales</t>
        </is>
      </c>
      <c r="H566" s="10" t="inlineStr">
        <is>
          <t>Acta entrega de elementos de ergonomía</t>
        </is>
      </c>
      <c r="I566" s="10" t="inlineStr">
        <is>
          <t xml:space="preserve">Descripción de elementos de ergonomía entregados a los colaboradores </t>
        </is>
      </c>
      <c r="J566" s="10" t="inlineStr">
        <is>
          <t>Técnico en Seguridad y Salud Ocupacional</t>
        </is>
      </c>
      <c r="K566" s="10" t="inlineStr">
        <is>
          <t>Técnico en Seguridad y Salud Ocupacional</t>
        </is>
      </c>
      <c r="L566" s="10" t="inlineStr">
        <is>
          <t>DOCUMENTOS FISICOS-ARCHIVOS DE LA OFICINA</t>
        </is>
      </c>
      <c r="M566" s="10" t="inlineStr">
        <is>
          <t>ARCHIVOS INSTITUCIONALES-FÍSICOS</t>
        </is>
      </c>
      <c r="N566" s="10" t="inlineStr">
        <is>
          <t>PRIMARIOS</t>
        </is>
      </c>
      <c r="O566" s="10" t="inlineStr">
        <is>
          <t>DOCUMENTOS HABILITANTES</t>
        </is>
      </c>
      <c r="P566" s="10" t="inlineStr">
        <is>
          <t>PUBLICA(1)</t>
        </is>
      </c>
      <c r="Q566" s="10" t="inlineStr">
        <is>
          <t>BAJA(1)</t>
        </is>
      </c>
      <c r="R566" s="10" t="inlineStr">
        <is>
          <t>BAJA(1)</t>
        </is>
      </c>
      <c r="S566" s="10">
        <f>+(IF(P566="PUBLICA(1)",1,IF(P566="USO INTERNO(2)",2,IF(P566="RESTRINGIDO(3)",3,3))))+(IF(Q566="BAJA(1)",1,IF(Q566="MEDIA(2)",2,IF(Q566="ALTA(3)",3,3))))+(IF(R566="BAJA(1)",1,IF(R566="MEDIA(2)",2,IF(R566="ALTA(3)",3,3))))</f>
        <v/>
      </c>
      <c r="T566" s="10">
        <f>+IF(S566&lt;6,"BAJA",IF(S566&lt;8,"MEDIA","ALTA"))</f>
        <v/>
      </c>
      <c r="U566" s="10" t="inlineStr">
        <is>
          <t>-</t>
        </is>
      </c>
      <c r="V566" s="24" t="n">
        <v>45673</v>
      </c>
      <c r="W566" s="19" t="inlineStr">
        <is>
          <t>N/A</t>
        </is>
      </c>
      <c r="X566" s="10">
        <f>+IFERROR(IF(VLOOKUP(Tabla2[[#This Row],[ID]],'EVALUACION DE RIESGO'!A:A,1,FALSE)=Tabla2[[#This Row],[ID]],"SI","NO"),"NO")</f>
        <v/>
      </c>
    </row>
    <row r="567">
      <c r="A567" s="91" t="inlineStr">
        <is>
          <t>8-GTH</t>
        </is>
      </c>
      <c r="B567" s="10" t="inlineStr">
        <is>
          <t>APOYO</t>
        </is>
      </c>
      <c r="C567" s="10" t="inlineStr">
        <is>
          <t>Gestión del Talento Humano</t>
        </is>
      </c>
      <c r="D567" s="10" t="inlineStr">
        <is>
          <t>GTH</t>
        </is>
      </c>
      <c r="E567" s="10" t="inlineStr">
        <is>
          <t>Gestión de Seguridad y Salud Ocupacional</t>
        </is>
      </c>
      <c r="F567" s="10" t="inlineStr">
        <is>
          <t xml:space="preserve">Seguridad Ocupacional </t>
        </is>
      </c>
      <c r="G567" s="10" t="inlineStr">
        <is>
          <t>Comunicación de Seguridad y Salud Ocupacional</t>
        </is>
      </c>
      <c r="H567" s="10" t="inlineStr">
        <is>
          <t>Artículos para publicación</t>
        </is>
      </c>
      <c r="I567" s="10" t="inlineStr">
        <is>
          <t>Informativos referentes a los principales riesgos laborales identificados en la institución</t>
        </is>
      </c>
      <c r="J567" s="10" t="inlineStr">
        <is>
          <t>Técnico en Seguridad y Salud Ocupacional</t>
        </is>
      </c>
      <c r="K567" s="10" t="inlineStr">
        <is>
          <t>Técnico en Seguridad y Salud Ocupacional</t>
        </is>
      </c>
      <c r="L567" s="10" t="inlineStr">
        <is>
          <t>UBICACIÓN DIGITAL-EQUIPO DEL CUSTODIO</t>
        </is>
      </c>
      <c r="M567" s="10" t="inlineStr">
        <is>
          <t>DISCOS DUROS, SERVIDORES, DISCOS O MEDIOS PORTÁTILES, CINTAS O MEDIOS DE VIDEO Y AUDIO, ETC.</t>
        </is>
      </c>
      <c r="N567" s="10" t="inlineStr">
        <is>
          <t>PRIMARIOS</t>
        </is>
      </c>
      <c r="O567" s="10" t="inlineStr">
        <is>
          <t>COMUNICACIÓN INTERNA</t>
        </is>
      </c>
      <c r="P567" s="10" t="inlineStr">
        <is>
          <t>PUBLICA(1)</t>
        </is>
      </c>
      <c r="Q567" s="10" t="inlineStr">
        <is>
          <t>BAJA(1)</t>
        </is>
      </c>
      <c r="R567" s="10" t="inlineStr">
        <is>
          <t>BAJA(1)</t>
        </is>
      </c>
      <c r="S567" s="10">
        <f>+(IF(P567="PUBLICA(1)",1,IF(P567="USO INTERNO(2)",2,IF(P567="RESTRINGIDO(3)",3,3))))+(IF(Q567="BAJA(1)",1,IF(Q567="MEDIA(2)",2,IF(Q567="ALTA(3)",3,3))))+(IF(R567="BAJA(1)",1,IF(R567="MEDIA(2)",2,IF(R567="ALTA(3)",3,3))))</f>
        <v/>
      </c>
      <c r="T567" s="10">
        <f>+IF(S567&lt;6,"BAJA",IF(S567&lt;8,"MEDIA","ALTA"))</f>
        <v/>
      </c>
      <c r="U567" s="10" t="inlineStr">
        <is>
          <t>-</t>
        </is>
      </c>
      <c r="V567" s="24" t="n">
        <v>45673</v>
      </c>
      <c r="W567" s="19" t="inlineStr">
        <is>
          <t>N/A</t>
        </is>
      </c>
      <c r="X567" s="10">
        <f>+IFERROR(IF(VLOOKUP(Tabla2[[#This Row],[ID]],'EVALUACION DE RIESGO'!A:A,1,FALSE)=Tabla2[[#This Row],[ID]],"SI","NO"),"NO")</f>
        <v/>
      </c>
    </row>
    <row r="568">
      <c r="A568" s="91" t="inlineStr">
        <is>
          <t>9-GTH</t>
        </is>
      </c>
      <c r="B568" s="10" t="inlineStr">
        <is>
          <t>APOYO</t>
        </is>
      </c>
      <c r="C568" s="10" t="inlineStr">
        <is>
          <t>Gestión del Talento Humano</t>
        </is>
      </c>
      <c r="D568" s="10" t="inlineStr">
        <is>
          <t>GTH</t>
        </is>
      </c>
      <c r="E568" s="10" t="inlineStr">
        <is>
          <t>Gestión de Seguridad y Salud Ocupacional</t>
        </is>
      </c>
      <c r="F568" s="10" t="inlineStr">
        <is>
          <t xml:space="preserve">Seguridad Ocupacional </t>
        </is>
      </c>
      <c r="G568" s="10" t="inlineStr">
        <is>
          <t xml:space="preserve">Capacitación , charlas y entrenamiento en Seguridad y Salud Ocupacional  </t>
        </is>
      </c>
      <c r="H568" s="10" t="inlineStr">
        <is>
          <t>Acta Entrega Política y Reglamento SSO</t>
        </is>
      </c>
      <c r="I568" s="10" t="inlineStr">
        <is>
          <t>Permite dejar constancia de la inducción de SSO realizada al personal</t>
        </is>
      </c>
      <c r="J568" s="10" t="inlineStr">
        <is>
          <t>Técnico en Seguridad y Salud Ocupacional</t>
        </is>
      </c>
      <c r="K568" s="10" t="inlineStr">
        <is>
          <t>Técnico en Seguridad y Salud Ocupacional</t>
        </is>
      </c>
      <c r="L568" s="10" t="inlineStr">
        <is>
          <t>DOCUMENTOS FISICOS-ARCHIVOS DE LA OFICINA</t>
        </is>
      </c>
      <c r="M568" s="10" t="inlineStr">
        <is>
          <t>ARCHIVOS INSTITUCIONALES-FÍSICOS</t>
        </is>
      </c>
      <c r="N568" s="10" t="inlineStr">
        <is>
          <t>PRIMARIOS</t>
        </is>
      </c>
      <c r="O568" s="10" t="inlineStr">
        <is>
          <t>DOCUMENTOS HABILITANTES</t>
        </is>
      </c>
      <c r="P568" s="10" t="inlineStr">
        <is>
          <t>PUBLICA(1)</t>
        </is>
      </c>
      <c r="Q568" s="10" t="inlineStr">
        <is>
          <t>BAJA(1)</t>
        </is>
      </c>
      <c r="R568" s="10" t="inlineStr">
        <is>
          <t>MEDIA(2)</t>
        </is>
      </c>
      <c r="S568" s="10">
        <f>+(IF(P568="PUBLICA(1)",1,IF(P568="USO INTERNO(2)",2,IF(P568="RESTRINGIDO(3)",3,3))))+(IF(Q568="BAJA(1)",1,IF(Q568="MEDIA(2)",2,IF(Q568="ALTA(3)",3,3))))+(IF(R568="BAJA(1)",1,IF(R568="MEDIA(2)",2,IF(R568="ALTA(3)",3,3))))</f>
        <v/>
      </c>
      <c r="T568" s="10">
        <f>+IF(S568&lt;6,"BAJA",IF(S568&lt;8,"MEDIA","ALTA"))</f>
        <v/>
      </c>
      <c r="U568" s="10" t="inlineStr">
        <is>
          <t>-</t>
        </is>
      </c>
      <c r="V568" s="24" t="n">
        <v>45673</v>
      </c>
      <c r="W568" s="19" t="inlineStr">
        <is>
          <t>N/A</t>
        </is>
      </c>
      <c r="X568" s="10">
        <f>+IFERROR(IF(VLOOKUP(Tabla2[[#This Row],[ID]],'EVALUACION DE RIESGO'!A:A,1,FALSE)=Tabla2[[#This Row],[ID]],"SI","NO"),"NO")</f>
        <v/>
      </c>
    </row>
    <row r="569">
      <c r="A569" s="91" t="inlineStr">
        <is>
          <t>10-GTH</t>
        </is>
      </c>
      <c r="B569" s="10" t="inlineStr">
        <is>
          <t>APOYO</t>
        </is>
      </c>
      <c r="C569" s="10" t="inlineStr">
        <is>
          <t>Gestión del Talento Humano</t>
        </is>
      </c>
      <c r="D569" s="10" t="inlineStr">
        <is>
          <t>GTH</t>
        </is>
      </c>
      <c r="E569" s="10" t="inlineStr">
        <is>
          <t>Gestión de Seguridad y Salud Ocupacional</t>
        </is>
      </c>
      <c r="F569" s="10" t="inlineStr">
        <is>
          <t xml:space="preserve">Seguridad Ocupacional </t>
        </is>
      </c>
      <c r="G569" s="10" t="inlineStr">
        <is>
          <t xml:space="preserve">Capacitación , charlas y entrenamiento en Seguridad y Salud Ocupacional  </t>
        </is>
      </c>
      <c r="H569" s="10" t="inlineStr">
        <is>
          <t>Registro de asistencia</t>
        </is>
      </c>
      <c r="I569" s="10" t="inlineStr">
        <is>
          <t>Permite identificar el personal asistente</t>
        </is>
      </c>
      <c r="J569" s="10" t="inlineStr">
        <is>
          <t>Técnico en Seguridad y Salud Ocupacional</t>
        </is>
      </c>
      <c r="K569" s="10" t="inlineStr">
        <is>
          <t>Técnico en Seguridad y Salud Ocupacional</t>
        </is>
      </c>
      <c r="L569" s="10" t="inlineStr">
        <is>
          <t>DOCUMENTOS FISICOS-ARCHIVOS DE LA OFICINA</t>
        </is>
      </c>
      <c r="M569" s="10" t="inlineStr">
        <is>
          <t>ARCHIVOS INSTITUCIONALES-FÍSICOS</t>
        </is>
      </c>
      <c r="N569" s="10" t="inlineStr">
        <is>
          <t>PRIMARIOS</t>
        </is>
      </c>
      <c r="O569" s="10" t="inlineStr">
        <is>
          <t>DOCUMENTOS HABILITANTES</t>
        </is>
      </c>
      <c r="P569" s="10" t="inlineStr">
        <is>
          <t>PUBLICA(1)</t>
        </is>
      </c>
      <c r="Q569" s="10" t="inlineStr">
        <is>
          <t>BAJA(1)</t>
        </is>
      </c>
      <c r="R569" s="10" t="inlineStr">
        <is>
          <t>MEDIA(2)</t>
        </is>
      </c>
      <c r="S569" s="10">
        <f>+(IF(P569="PUBLICA(1)",1,IF(P569="USO INTERNO(2)",2,IF(P569="RESTRINGIDO(3)",3,3))))+(IF(Q569="BAJA(1)",1,IF(Q569="MEDIA(2)",2,IF(Q569="ALTA(3)",3,3))))+(IF(R569="BAJA(1)",1,IF(R569="MEDIA(2)",2,IF(R569="ALTA(3)",3,3))))</f>
        <v/>
      </c>
      <c r="T569" s="10">
        <f>+IF(S569&lt;6,"BAJA",IF(S569&lt;8,"MEDIA","ALTA"))</f>
        <v/>
      </c>
      <c r="U569" s="10" t="inlineStr">
        <is>
          <t>-</t>
        </is>
      </c>
      <c r="V569" s="24" t="n">
        <v>45673</v>
      </c>
      <c r="W569" s="19" t="inlineStr">
        <is>
          <t>N/A</t>
        </is>
      </c>
      <c r="X569" s="10">
        <f>+IFERROR(IF(VLOOKUP(Tabla2[[#This Row],[ID]],'EVALUACION DE RIESGO'!A:A,1,FALSE)=Tabla2[[#This Row],[ID]],"SI","NO"),"NO")</f>
        <v/>
      </c>
    </row>
    <row r="570">
      <c r="A570" s="91" t="inlineStr">
        <is>
          <t>11-GTH</t>
        </is>
      </c>
      <c r="B570" s="10" t="inlineStr">
        <is>
          <t>APOYO</t>
        </is>
      </c>
      <c r="C570" s="10" t="inlineStr">
        <is>
          <t>Gestión del Talento Humano</t>
        </is>
      </c>
      <c r="D570" s="10" t="inlineStr">
        <is>
          <t>GTH</t>
        </is>
      </c>
      <c r="E570" s="10" t="inlineStr">
        <is>
          <t>Gestión de Seguridad y Salud Ocupacional</t>
        </is>
      </c>
      <c r="F570" s="10" t="inlineStr">
        <is>
          <t xml:space="preserve">Seguridad Ocupacional </t>
        </is>
      </c>
      <c r="G570" s="10" t="inlineStr">
        <is>
          <t xml:space="preserve">Capacitación , charlas y entrenamiento en Seguridad y Salud Ocupacional  </t>
        </is>
      </c>
      <c r="H570" s="10" t="inlineStr">
        <is>
          <t>Informe de capacitación</t>
        </is>
      </c>
      <c r="I570" s="10" t="inlineStr">
        <is>
          <t>Informe que permite indicar el objetivo de la capacitación realizada y los resultados obtenidos</t>
        </is>
      </c>
      <c r="J570" s="10" t="inlineStr">
        <is>
          <t>Técnico en Seguridad y Salud Ocupacional</t>
        </is>
      </c>
      <c r="K570" s="10" t="inlineStr">
        <is>
          <t>Técnico en Seguridad y Salud Ocupacional</t>
        </is>
      </c>
      <c r="L570" s="10" t="inlineStr">
        <is>
          <t>UBICACIÓN DIGITAL-EQUIPO DEL CUSTODIO</t>
        </is>
      </c>
      <c r="M570" s="10" t="inlineStr">
        <is>
          <t>DISCOS DUROS, SERVIDORES, DISCOS O MEDIOS PORTÁTILES, CINTAS O MEDIOS DE VIDEO Y AUDIO, ETC.</t>
        </is>
      </c>
      <c r="N570" s="10" t="inlineStr">
        <is>
          <t>PRIMARIOS</t>
        </is>
      </c>
      <c r="O570" s="10" t="inlineStr">
        <is>
          <t>DOCUMENTOS TÉCNICOS</t>
        </is>
      </c>
      <c r="P570" s="10" t="inlineStr">
        <is>
          <t>PUBLICA(1)</t>
        </is>
      </c>
      <c r="Q570" s="10" t="inlineStr">
        <is>
          <t>BAJA(1)</t>
        </is>
      </c>
      <c r="R570" s="10" t="inlineStr">
        <is>
          <t>BAJA(1)</t>
        </is>
      </c>
      <c r="S570" s="10">
        <f>+(IF(P570="PUBLICA(1)",1,IF(P570="USO INTERNO(2)",2,IF(P570="RESTRINGIDO(3)",3,3))))+(IF(Q570="BAJA(1)",1,IF(Q570="MEDIA(2)",2,IF(Q570="ALTA(3)",3,3))))+(IF(R570="BAJA(1)",1,IF(R570="MEDIA(2)",2,IF(R570="ALTA(3)",3,3))))</f>
        <v/>
      </c>
      <c r="T570" s="10">
        <f>+IF(S570&lt;6,"BAJA",IF(S570&lt;8,"MEDIA","ALTA"))</f>
        <v/>
      </c>
      <c r="U570" s="10" t="inlineStr">
        <is>
          <t>-</t>
        </is>
      </c>
      <c r="V570" s="24" t="n">
        <v>45673</v>
      </c>
      <c r="W570" s="19" t="inlineStr">
        <is>
          <t>N/A</t>
        </is>
      </c>
      <c r="X570" s="10">
        <f>+IFERROR(IF(VLOOKUP(Tabla2[[#This Row],[ID]],'EVALUACION DE RIESGO'!A:A,1,FALSE)=Tabla2[[#This Row],[ID]],"SI","NO"),"NO")</f>
        <v/>
      </c>
    </row>
    <row r="571">
      <c r="A571" s="91" t="inlineStr">
        <is>
          <t>12-GTH</t>
        </is>
      </c>
      <c r="B571" s="10" t="inlineStr">
        <is>
          <t>APOYO</t>
        </is>
      </c>
      <c r="C571" s="10" t="inlineStr">
        <is>
          <t>Gestión del Talento Humano</t>
        </is>
      </c>
      <c r="D571" s="10" t="inlineStr">
        <is>
          <t>GTH</t>
        </is>
      </c>
      <c r="E571" s="10" t="inlineStr">
        <is>
          <t>Gestión de Seguridad y Salud Ocupacional</t>
        </is>
      </c>
      <c r="F571" s="10" t="inlineStr">
        <is>
          <t xml:space="preserve">Seguridad Ocupacional </t>
        </is>
      </c>
      <c r="G571" s="10" t="inlineStr">
        <is>
          <t xml:space="preserve">Capacitación , charlas y entrenamiento en Seguridad y Salud Ocupacional  </t>
        </is>
      </c>
      <c r="H571" s="10" t="inlineStr">
        <is>
          <t>Bitácora de personal con inducción inicial</t>
        </is>
      </c>
      <c r="I571" s="10" t="inlineStr">
        <is>
          <t>Registro que permite llevar el control de que todo el personal recibe la inducción inicial</t>
        </is>
      </c>
      <c r="J571" s="10" t="inlineStr">
        <is>
          <t>Técnico en Seguridad y Salud Ocupacional</t>
        </is>
      </c>
      <c r="K571" s="10" t="inlineStr">
        <is>
          <t>Técnico en Seguridad y Salud Ocupacional</t>
        </is>
      </c>
      <c r="L571" s="10" t="inlineStr">
        <is>
          <t>UBICACIÓN DIGITAL-EQUIPO DEL CUSTODIO</t>
        </is>
      </c>
      <c r="M571" s="10" t="inlineStr">
        <is>
          <t>DISCOS DUROS, SERVIDORES, DISCOS O MEDIOS PORTÁTILES, CINTAS O MEDIOS DE VIDEO Y AUDIO, ETC.</t>
        </is>
      </c>
      <c r="N571" s="10" t="inlineStr">
        <is>
          <t>PRIMARIOS</t>
        </is>
      </c>
      <c r="O571" s="10" t="inlineStr">
        <is>
          <t>DOCUMENTOS HABILITANTES</t>
        </is>
      </c>
      <c r="P571" s="10" t="inlineStr">
        <is>
          <t>PUBLICA(1)</t>
        </is>
      </c>
      <c r="Q571" s="10" t="inlineStr">
        <is>
          <t>BAJA(1)</t>
        </is>
      </c>
      <c r="R571" s="10" t="inlineStr">
        <is>
          <t>BAJA(1)</t>
        </is>
      </c>
      <c r="S571" s="10">
        <f>+(IF(P571="PUBLICA(1)",1,IF(P571="USO INTERNO(2)",2,IF(P571="RESTRINGIDO(3)",3,3))))+(IF(Q571="BAJA(1)",1,IF(Q571="MEDIA(2)",2,IF(Q571="ALTA(3)",3,3))))+(IF(R571="BAJA(1)",1,IF(R571="MEDIA(2)",2,IF(R571="ALTA(3)",3,3))))</f>
        <v/>
      </c>
      <c r="T571" s="10">
        <f>+IF(S571&lt;6,"BAJA",IF(S571&lt;8,"MEDIA","ALTA"))</f>
        <v/>
      </c>
      <c r="U571" s="10" t="inlineStr">
        <is>
          <t>-</t>
        </is>
      </c>
      <c r="V571" s="24" t="n">
        <v>45673</v>
      </c>
      <c r="W571" s="19" t="inlineStr">
        <is>
          <t>N/A</t>
        </is>
      </c>
      <c r="X571" s="10">
        <f>+IFERROR(IF(VLOOKUP(Tabla2[[#This Row],[ID]],'EVALUACION DE RIESGO'!A:A,1,FALSE)=Tabla2[[#This Row],[ID]],"SI","NO"),"NO")</f>
        <v/>
      </c>
    </row>
    <row r="572">
      <c r="A572" s="91" t="inlineStr">
        <is>
          <t>13-GTH</t>
        </is>
      </c>
      <c r="B572" s="10" t="inlineStr">
        <is>
          <t>APOYO</t>
        </is>
      </c>
      <c r="C572" s="10" t="inlineStr">
        <is>
          <t>Gestión del Talento Humano</t>
        </is>
      </c>
      <c r="D572" s="10" t="inlineStr">
        <is>
          <t>GTH</t>
        </is>
      </c>
      <c r="E572" s="10" t="inlineStr">
        <is>
          <t>Gestión de Seguridad y Salud Ocupacional</t>
        </is>
      </c>
      <c r="F572" s="10" t="inlineStr">
        <is>
          <t xml:space="preserve">Seguridad Ocupacional </t>
        </is>
      </c>
      <c r="G572" s="10" t="inlineStr">
        <is>
          <t xml:space="preserve">Investigación de incidentes y accidentes de trabajo   </t>
        </is>
      </c>
      <c r="H572" s="10" t="inlineStr">
        <is>
          <t>Informe de Investigación de Incidentes y Accidentes de trabajo</t>
        </is>
      </c>
      <c r="I572" s="10" t="inlineStr">
        <is>
          <t>Informe que permite describir los datos del accidente, persona accidentada, acciones  y condiciones, acciones correctivas referente al evento</t>
        </is>
      </c>
      <c r="J572" s="10" t="inlineStr">
        <is>
          <t>Técnico en Seguridad y Salud Ocupacional</t>
        </is>
      </c>
      <c r="K572" s="10" t="inlineStr">
        <is>
          <t>Técnico en Seguridad y Salud Ocupacional</t>
        </is>
      </c>
      <c r="L572" s="10" t="inlineStr">
        <is>
          <t>UBICACIÓN DIGITAL-EQUIPO DEL CUSTODIO</t>
        </is>
      </c>
      <c r="M572" s="10" t="inlineStr">
        <is>
          <t>DISCOS DUROS, SERVIDORES, DISCOS O MEDIOS PORTÁTILES, CINTAS O MEDIOS DE VIDEO Y AUDIO, ETC.</t>
        </is>
      </c>
      <c r="N572" s="10" t="inlineStr">
        <is>
          <t>PRIMARIOS</t>
        </is>
      </c>
      <c r="O572" s="10" t="inlineStr">
        <is>
          <t>DOCUMENTOS TÉCNICOS</t>
        </is>
      </c>
      <c r="P572" s="10" t="inlineStr">
        <is>
          <t>PUBLICA(1)</t>
        </is>
      </c>
      <c r="Q572" s="10" t="inlineStr">
        <is>
          <t>BAJA(1)</t>
        </is>
      </c>
      <c r="R572" s="10" t="inlineStr">
        <is>
          <t>MEDIA(2)</t>
        </is>
      </c>
      <c r="S572" s="10">
        <f>+(IF(P572="PUBLICA(1)",1,IF(P572="USO INTERNO(2)",2,IF(P572="RESTRINGIDO(3)",3,3))))+(IF(Q572="BAJA(1)",1,IF(Q572="MEDIA(2)",2,IF(Q572="ALTA(3)",3,3))))+(IF(R572="BAJA(1)",1,IF(R572="MEDIA(2)",2,IF(R572="ALTA(3)",3,3))))</f>
        <v/>
      </c>
      <c r="T572" s="10">
        <f>+IF(S572&lt;6,"BAJA",IF(S572&lt;8,"MEDIA","ALTA"))</f>
        <v/>
      </c>
      <c r="U572" s="10" t="inlineStr">
        <is>
          <t>-</t>
        </is>
      </c>
      <c r="V572" s="24" t="n">
        <v>45673</v>
      </c>
      <c r="W572" s="19" t="inlineStr">
        <is>
          <t>N/A</t>
        </is>
      </c>
      <c r="X572" s="10">
        <f>+IFERROR(IF(VLOOKUP(Tabla2[[#This Row],[ID]],'EVALUACION DE RIESGO'!A:A,1,FALSE)=Tabla2[[#This Row],[ID]],"SI","NO"),"NO")</f>
        <v/>
      </c>
    </row>
    <row r="573">
      <c r="A573" s="91" t="inlineStr">
        <is>
          <t>14-GTH</t>
        </is>
      </c>
      <c r="B573" s="10" t="inlineStr">
        <is>
          <t>APOYO</t>
        </is>
      </c>
      <c r="C573" s="10" t="inlineStr">
        <is>
          <t>Gestión del Talento Humano</t>
        </is>
      </c>
      <c r="D573" s="10" t="inlineStr">
        <is>
          <t>GTH</t>
        </is>
      </c>
      <c r="E573" s="10" t="inlineStr">
        <is>
          <t>Gestión de Seguridad y Salud Ocupacional</t>
        </is>
      </c>
      <c r="F573" s="10" t="inlineStr">
        <is>
          <t xml:space="preserve">Seguridad Ocupacional </t>
        </is>
      </c>
      <c r="G573" s="10" t="inlineStr">
        <is>
          <t xml:space="preserve">Investigación de incidentes y accidentes de trabajo   </t>
        </is>
      </c>
      <c r="H573" s="10" t="inlineStr">
        <is>
          <t>Informe ampliado del accidente laboral</t>
        </is>
      </c>
      <c r="I573" s="10" t="inlineStr">
        <is>
          <t>Informe que permite describir los datos del accidente, persona accidentada, acciones  y condiciones, acciones correctivas referente al evento con detalles para presentar al IESS</t>
        </is>
      </c>
      <c r="J573" s="10" t="inlineStr">
        <is>
          <t>Técnico en Seguridad y Salud Ocupacional</t>
        </is>
      </c>
      <c r="K573" s="10" t="inlineStr">
        <is>
          <t>Técnico en Seguridad y Salud Ocupacional</t>
        </is>
      </c>
      <c r="L573" s="10" t="inlineStr">
        <is>
          <t>UBICACIÓN DIGITAL-EQUIPO DEL CUSTODIO</t>
        </is>
      </c>
      <c r="M573" s="10" t="inlineStr">
        <is>
          <t>DISCOS DUROS, SERVIDORES, DISCOS O MEDIOS PORTÁTILES, CINTAS O MEDIOS DE VIDEO Y AUDIO, ETC.</t>
        </is>
      </c>
      <c r="N573" s="10" t="inlineStr">
        <is>
          <t>PRIMARIOS</t>
        </is>
      </c>
      <c r="O573" s="10" t="inlineStr">
        <is>
          <t>DOCUMENTOS TÉCNICOS</t>
        </is>
      </c>
      <c r="P573" s="10" t="inlineStr">
        <is>
          <t>USO INTERNO(2)</t>
        </is>
      </c>
      <c r="Q573" s="10" t="inlineStr">
        <is>
          <t>BAJA(1)</t>
        </is>
      </c>
      <c r="R573" s="10" t="inlineStr">
        <is>
          <t>MEDIA(2)</t>
        </is>
      </c>
      <c r="S573" s="10">
        <f>+(IF(P573="PUBLICA(1)",1,IF(P573="USO INTERNO(2)",2,IF(P573="RESTRINGIDO(3)",3,3))))+(IF(Q573="BAJA(1)",1,IF(Q573="MEDIA(2)",2,IF(Q573="ALTA(3)",3,3))))+(IF(R573="BAJA(1)",1,IF(R573="MEDIA(2)",2,IF(R573="ALTA(3)",3,3))))</f>
        <v/>
      </c>
      <c r="T573" s="10">
        <f>+IF(S573&lt;6,"BAJA",IF(S573&lt;8,"MEDIA","ALTA"))</f>
        <v/>
      </c>
      <c r="U573" s="10" t="inlineStr">
        <is>
          <t>-</t>
        </is>
      </c>
      <c r="V573" s="24" t="n">
        <v>45673</v>
      </c>
      <c r="W573" s="19" t="inlineStr">
        <is>
          <t>N/A</t>
        </is>
      </c>
      <c r="X573" s="10">
        <f>+IFERROR(IF(VLOOKUP(Tabla2[[#This Row],[ID]],'EVALUACION DE RIESGO'!A:A,1,FALSE)=Tabla2[[#This Row],[ID]],"SI","NO"),"NO")</f>
        <v/>
      </c>
    </row>
    <row r="574">
      <c r="A574" s="91" t="inlineStr">
        <is>
          <t>15-GTH</t>
        </is>
      </c>
      <c r="B574" s="10" t="inlineStr">
        <is>
          <t>APOYO</t>
        </is>
      </c>
      <c r="C574" s="10" t="inlineStr">
        <is>
          <t>Gestión del Talento Humano</t>
        </is>
      </c>
      <c r="D574" s="10" t="inlineStr">
        <is>
          <t>GTH</t>
        </is>
      </c>
      <c r="E574" s="10" t="inlineStr">
        <is>
          <t>Gestión de Seguridad y Salud Ocupacional</t>
        </is>
      </c>
      <c r="F574" s="10" t="inlineStr">
        <is>
          <t xml:space="preserve">Seguridad Ocupacional </t>
        </is>
      </c>
      <c r="G574" s="10" t="inlineStr">
        <is>
          <t xml:space="preserve">Investigación de incidentes y accidentes de trabajo   </t>
        </is>
      </c>
      <c r="H574" s="10" t="inlineStr">
        <is>
          <t>Sumilla de Resoluciones del Comté de SSO</t>
        </is>
      </c>
      <c r="I574" s="10" t="inlineStr">
        <is>
          <t xml:space="preserve">Se presenta al Comité de SSO quienes emiten la resolución que consta es las actas de reunión </t>
        </is>
      </c>
      <c r="J574" s="10" t="inlineStr">
        <is>
          <t>Técnico en Seguridad y Salud Ocupacional</t>
        </is>
      </c>
      <c r="K574" s="10" t="inlineStr">
        <is>
          <t>Técnico en Seguridad y Salud Ocupacional</t>
        </is>
      </c>
      <c r="L574" s="10" t="inlineStr">
        <is>
          <t>DOCUMENTOS FISICOS-ARCHIVOS DE LA OFICINA</t>
        </is>
      </c>
      <c r="M574" s="10" t="inlineStr">
        <is>
          <t>DOCUMENTO DE ARCHIVO-FÍSICO</t>
        </is>
      </c>
      <c r="N574" s="10" t="inlineStr">
        <is>
          <t>PRIMARIOS</t>
        </is>
      </c>
      <c r="O574" s="10" t="inlineStr">
        <is>
          <t>DOCUMENTOS HABILITANTES</t>
        </is>
      </c>
      <c r="P574" s="10" t="inlineStr">
        <is>
          <t>USO INTERNO(2)</t>
        </is>
      </c>
      <c r="Q574" s="10" t="inlineStr">
        <is>
          <t>BAJA(1)</t>
        </is>
      </c>
      <c r="R574" s="10" t="inlineStr">
        <is>
          <t>MEDIA(2)</t>
        </is>
      </c>
      <c r="S574" s="10">
        <f>+(IF(P574="PUBLICA(1)",1,IF(P574="USO INTERNO(2)",2,IF(P574="RESTRINGIDO(3)",3,3))))+(IF(Q574="BAJA(1)",1,IF(Q574="MEDIA(2)",2,IF(Q574="ALTA(3)",3,3))))+(IF(R574="BAJA(1)",1,IF(R574="MEDIA(2)",2,IF(R574="ALTA(3)",3,3))))</f>
        <v/>
      </c>
      <c r="T574" s="10">
        <f>+IF(S574&lt;6,"BAJA",IF(S574&lt;8,"MEDIA","ALTA"))</f>
        <v/>
      </c>
      <c r="U574" s="10" t="inlineStr">
        <is>
          <t>-</t>
        </is>
      </c>
      <c r="V574" s="24" t="n">
        <v>45673</v>
      </c>
      <c r="W574" s="19" t="inlineStr">
        <is>
          <t>N/A</t>
        </is>
      </c>
      <c r="X574" s="10">
        <f>+IFERROR(IF(VLOOKUP(Tabla2[[#This Row],[ID]],'EVALUACION DE RIESGO'!A:A,1,FALSE)=Tabla2[[#This Row],[ID]],"SI","NO"),"NO")</f>
        <v/>
      </c>
    </row>
    <row r="575">
      <c r="A575" s="91" t="inlineStr">
        <is>
          <t>16-GTH</t>
        </is>
      </c>
      <c r="B575" s="10" t="inlineStr">
        <is>
          <t>APOYO</t>
        </is>
      </c>
      <c r="C575" s="10" t="inlineStr">
        <is>
          <t>Gestión del Talento Humano</t>
        </is>
      </c>
      <c r="D575" s="10" t="inlineStr">
        <is>
          <t>GTH</t>
        </is>
      </c>
      <c r="E575" s="10" t="inlineStr">
        <is>
          <t>Gestión de Seguridad y Salud Ocupacional</t>
        </is>
      </c>
      <c r="F575" s="10" t="inlineStr">
        <is>
          <t xml:space="preserve">Seguridad Ocupacional </t>
        </is>
      </c>
      <c r="G575" s="10" t="inlineStr">
        <is>
          <t xml:space="preserve">Investigación de incidentes y accidentes de trabajo   </t>
        </is>
      </c>
      <c r="H575" s="10" t="inlineStr">
        <is>
          <t>Certificado médico</t>
        </is>
      </c>
      <c r="I575" s="10" t="inlineStr">
        <is>
          <t>Documento emitido por un médico donde se evidencia el diagnostico de la persona accidentada y los días de reposo en los casos que aplique</t>
        </is>
      </c>
      <c r="J575" s="10" t="inlineStr">
        <is>
          <t>Técnico en Seguridad y Salud Ocupacional</t>
        </is>
      </c>
      <c r="K575" s="10" t="inlineStr">
        <is>
          <t>Técnico en Seguridad y Salud Ocupacional</t>
        </is>
      </c>
      <c r="L575" s="10" t="inlineStr">
        <is>
          <t>DOCUMENTOS FISICOS-ARCHIVOS DE LA OFICINA</t>
        </is>
      </c>
      <c r="M575" s="10" t="inlineStr">
        <is>
          <t>DOCUMENTO DE ARCHIVO-FÍSICO</t>
        </is>
      </c>
      <c r="N575" s="10" t="inlineStr">
        <is>
          <t>PRIMARIOS</t>
        </is>
      </c>
      <c r="O575" s="10" t="inlineStr">
        <is>
          <t>OTROS</t>
        </is>
      </c>
      <c r="P575" s="10" t="inlineStr">
        <is>
          <t>RESTRINGIDO(3)</t>
        </is>
      </c>
      <c r="Q575" s="10" t="inlineStr">
        <is>
          <t>BAJA(1)</t>
        </is>
      </c>
      <c r="R575" s="10" t="inlineStr">
        <is>
          <t>MEDIA(2)</t>
        </is>
      </c>
      <c r="S575" s="10">
        <f>+(IF(P575="PUBLICA(1)",1,IF(P575="USO INTERNO(2)",2,IF(P575="RESTRINGIDO(3)",3,3))))+(IF(Q575="BAJA(1)",1,IF(Q575="MEDIA(2)",2,IF(Q575="ALTA(3)",3,3))))+(IF(R575="BAJA(1)",1,IF(R575="MEDIA(2)",2,IF(R575="ALTA(3)",3,3))))</f>
        <v/>
      </c>
      <c r="T575" s="10">
        <f>+IF(S575&lt;6,"BAJA",IF(S575&lt;8,"MEDIA","ALTA"))</f>
        <v/>
      </c>
      <c r="U575" s="10" t="inlineStr">
        <is>
          <t>-</t>
        </is>
      </c>
      <c r="V575" s="24" t="n">
        <v>45673</v>
      </c>
      <c r="W575" s="19" t="inlineStr">
        <is>
          <t>N/A</t>
        </is>
      </c>
      <c r="X575" s="10">
        <f>+IFERROR(IF(VLOOKUP(Tabla2[[#This Row],[ID]],'EVALUACION DE RIESGO'!A:A,1,FALSE)=Tabla2[[#This Row],[ID]],"SI","NO"),"NO")</f>
        <v/>
      </c>
    </row>
    <row r="576">
      <c r="A576" s="91" t="inlineStr">
        <is>
          <t>17-GTH</t>
        </is>
      </c>
      <c r="B576" s="10" t="inlineStr">
        <is>
          <t>APOYO</t>
        </is>
      </c>
      <c r="C576" s="10" t="inlineStr">
        <is>
          <t>Gestión del Talento Humano</t>
        </is>
      </c>
      <c r="D576" s="10" t="inlineStr">
        <is>
          <t>GTH</t>
        </is>
      </c>
      <c r="E576" s="10" t="inlineStr">
        <is>
          <t>Gestión de Seguridad y Salud Ocupacional</t>
        </is>
      </c>
      <c r="F576" s="10" t="inlineStr">
        <is>
          <t xml:space="preserve">Seguridad Ocupacional </t>
        </is>
      </c>
      <c r="G576" s="10" t="inlineStr">
        <is>
          <t xml:space="preserve">Investigación de incidentes y accidentes de trabajo   </t>
        </is>
      </c>
      <c r="H576" s="10" t="inlineStr">
        <is>
          <t>Registro diario de atención médica</t>
        </is>
      </c>
      <c r="I576" s="10" t="inlineStr">
        <is>
          <t>Registro de atenciones que gestiona el Médico Ocupacional, contiene datos del paciente, diagnostico</t>
        </is>
      </c>
      <c r="J576" s="10" t="inlineStr">
        <is>
          <t>Técnico en Seguridad y Salud Ocupacional</t>
        </is>
      </c>
      <c r="K576" s="10" t="inlineStr">
        <is>
          <t>Enfermera Ocupacional</t>
        </is>
      </c>
      <c r="L576" s="10" t="inlineStr">
        <is>
          <t>DOCUMENTOS FISICOS-ARCHIVOS DE LA OFICINA</t>
        </is>
      </c>
      <c r="M576" s="10" t="inlineStr">
        <is>
          <t>DOCUMENTO DE ARCHIVO-FÍSICO</t>
        </is>
      </c>
      <c r="N576" s="10" t="inlineStr">
        <is>
          <t>PRIMARIOS</t>
        </is>
      </c>
      <c r="O576" s="10" t="inlineStr">
        <is>
          <t>OTROS</t>
        </is>
      </c>
      <c r="P576" s="10" t="inlineStr">
        <is>
          <t>PUBLICA(1)</t>
        </is>
      </c>
      <c r="Q576" s="10" t="inlineStr">
        <is>
          <t>BAJA(1)</t>
        </is>
      </c>
      <c r="R576" s="10" t="inlineStr">
        <is>
          <t>MEDIA(2)</t>
        </is>
      </c>
      <c r="S576" s="10">
        <f>+(IF(P576="PUBLICA(1)",1,IF(P576="USO INTERNO(2)",2,IF(P576="RESTRINGIDO(3)",3,3))))+(IF(Q576="BAJA(1)",1,IF(Q576="MEDIA(2)",2,IF(Q576="ALTA(3)",3,3))))+(IF(R576="BAJA(1)",1,IF(R576="MEDIA(2)",2,IF(R576="ALTA(3)",3,3))))</f>
        <v/>
      </c>
      <c r="T576" s="10">
        <f>+IF(S576&lt;6,"BAJA",IF(S576&lt;8,"MEDIA","ALTA"))</f>
        <v/>
      </c>
      <c r="U576" s="10" t="inlineStr">
        <is>
          <t>-</t>
        </is>
      </c>
      <c r="V576" s="24" t="n">
        <v>45673</v>
      </c>
      <c r="W576" s="19" t="inlineStr">
        <is>
          <t>N/A</t>
        </is>
      </c>
      <c r="X576" s="10">
        <f>+IFERROR(IF(VLOOKUP(Tabla2[[#This Row],[ID]],'EVALUACION DE RIESGO'!A:A,1,FALSE)=Tabla2[[#This Row],[ID]],"SI","NO"),"NO")</f>
        <v/>
      </c>
    </row>
    <row r="577">
      <c r="A577" s="91" t="inlineStr">
        <is>
          <t>18-GTH</t>
        </is>
      </c>
      <c r="B577" s="10" t="inlineStr">
        <is>
          <t>APOYO</t>
        </is>
      </c>
      <c r="C577" s="10" t="inlineStr">
        <is>
          <t>Gestión del Talento Humano</t>
        </is>
      </c>
      <c r="D577" s="10" t="inlineStr">
        <is>
          <t>GTH</t>
        </is>
      </c>
      <c r="E577" s="10" t="inlineStr">
        <is>
          <t>Gestión de Seguridad y Salud Ocupacional</t>
        </is>
      </c>
      <c r="F577" s="10" t="inlineStr">
        <is>
          <t xml:space="preserve">Seguridad Ocupacional </t>
        </is>
      </c>
      <c r="G577" s="10" t="inlineStr">
        <is>
          <t>Inspecciones de Seguridad y Salud Ocupacional</t>
        </is>
      </c>
      <c r="H577" s="10" t="inlineStr">
        <is>
          <t>Inspecciones de SSO</t>
        </is>
      </c>
      <c r="I577" s="10" t="inlineStr">
        <is>
          <t>Check lista donde se anotan las observaciones encontradas referentes SSO</t>
        </is>
      </c>
      <c r="J577" s="10" t="inlineStr">
        <is>
          <t>Técnico en Seguridad y Salud Ocupacional</t>
        </is>
      </c>
      <c r="K577" s="10" t="inlineStr">
        <is>
          <t>Técnico en Seguridad y Salud Ocupacional</t>
        </is>
      </c>
      <c r="L577" s="10" t="inlineStr">
        <is>
          <t>DOCUMENTOS FISICOS-ARCHIVOS DE LA OFICINA</t>
        </is>
      </c>
      <c r="M577" s="10" t="inlineStr">
        <is>
          <t>N/A</t>
        </is>
      </c>
      <c r="N577" s="10" t="inlineStr">
        <is>
          <t>PRIMARIOS</t>
        </is>
      </c>
      <c r="O577" s="10" t="inlineStr">
        <is>
          <t>DOCUMENTOS TÉCNICOS</t>
        </is>
      </c>
      <c r="P577" s="10" t="inlineStr">
        <is>
          <t>PUBLICA(1)</t>
        </is>
      </c>
      <c r="Q577" s="10" t="inlineStr">
        <is>
          <t>BAJA(1)</t>
        </is>
      </c>
      <c r="R577" s="10" t="inlineStr">
        <is>
          <t>BAJA(1)</t>
        </is>
      </c>
      <c r="S577" s="10">
        <f>+(IF(P577="PUBLICA(1)",1,IF(P577="USO INTERNO(2)",2,IF(P577="RESTRINGIDO(3)",3,3))))+(IF(Q577="BAJA(1)",1,IF(Q577="MEDIA(2)",2,IF(Q577="ALTA(3)",3,3))))+(IF(R577="BAJA(1)",1,IF(R577="MEDIA(2)",2,IF(R577="ALTA(3)",3,3))))</f>
        <v/>
      </c>
      <c r="T577" s="10">
        <f>+IF(S577&lt;6,"BAJA",IF(S577&lt;8,"MEDIA","ALTA"))</f>
        <v/>
      </c>
      <c r="U577" s="10" t="inlineStr">
        <is>
          <t>-</t>
        </is>
      </c>
      <c r="V577" s="24" t="n">
        <v>45673</v>
      </c>
      <c r="W577" s="19" t="inlineStr">
        <is>
          <t>N/A</t>
        </is>
      </c>
      <c r="X577" s="10">
        <f>+IFERROR(IF(VLOOKUP(Tabla2[[#This Row],[ID]],'EVALUACION DE RIESGO'!A:A,1,FALSE)=Tabla2[[#This Row],[ID]],"SI","NO"),"NO")</f>
        <v/>
      </c>
    </row>
    <row r="578">
      <c r="A578" s="91" t="inlineStr">
        <is>
          <t>19-GTH</t>
        </is>
      </c>
      <c r="B578" s="10" t="inlineStr">
        <is>
          <t>APOYO</t>
        </is>
      </c>
      <c r="C578" s="10" t="inlineStr">
        <is>
          <t>Gestión del Talento Humano</t>
        </is>
      </c>
      <c r="D578" s="10" t="inlineStr">
        <is>
          <t>GTH</t>
        </is>
      </c>
      <c r="E578" s="10" t="inlineStr">
        <is>
          <t>Gestión de Seguridad y Salud Ocupacional</t>
        </is>
      </c>
      <c r="F578" s="10" t="inlineStr">
        <is>
          <t xml:space="preserve">Seguridad Ocupacional </t>
        </is>
      </c>
      <c r="G578" s="10" t="inlineStr">
        <is>
          <t>Inspecciones de Seguridad y Salud Ocupacional</t>
        </is>
      </c>
      <c r="H578" s="10" t="inlineStr">
        <is>
          <t>Informe de inspecciones de SSO</t>
        </is>
      </c>
      <c r="I578" s="10" t="inlineStr">
        <is>
          <t>Informe de la inspección realizada referente a la oficina</t>
        </is>
      </c>
      <c r="J578" s="10" t="inlineStr">
        <is>
          <t>Técnico en Seguridad y Salud Ocupacional</t>
        </is>
      </c>
      <c r="K578" s="10" t="inlineStr">
        <is>
          <t>Técnico en Seguridad y Salud Ocupacional</t>
        </is>
      </c>
      <c r="L578" s="10" t="inlineStr">
        <is>
          <t>UBICACIÓN DIGITAL-EQUIPO DEL RESPONSABLE</t>
        </is>
      </c>
      <c r="M578" s="10" t="inlineStr">
        <is>
          <t>DISCOS DUROS, SERVIDORES, DISCOS O MEDIOS PORTÁTILES, CINTAS O MEDIOS DE VIDEO Y AUDIO, ETC.</t>
        </is>
      </c>
      <c r="N578" s="10" t="inlineStr">
        <is>
          <t>PRIMARIOS</t>
        </is>
      </c>
      <c r="O578" s="10" t="inlineStr">
        <is>
          <t>DOCUMENTOS TÉCNICOS</t>
        </is>
      </c>
      <c r="P578" s="10" t="inlineStr">
        <is>
          <t>PUBLICA(1)</t>
        </is>
      </c>
      <c r="Q578" s="10" t="inlineStr">
        <is>
          <t>BAJA(1)</t>
        </is>
      </c>
      <c r="R578" s="10" t="inlineStr">
        <is>
          <t>BAJA(1)</t>
        </is>
      </c>
      <c r="S578" s="10">
        <f>+(IF(P578="PUBLICA(1)",1,IF(P578="USO INTERNO(2)",2,IF(P578="RESTRINGIDO(3)",3,3))))+(IF(Q578="BAJA(1)",1,IF(Q578="MEDIA(2)",2,IF(Q578="ALTA(3)",3,3))))+(IF(R578="BAJA(1)",1,IF(R578="MEDIA(2)",2,IF(R578="ALTA(3)",3,3))))</f>
        <v/>
      </c>
      <c r="T578" s="10">
        <f>+IF(S578&lt;6,"BAJA",IF(S578&lt;8,"MEDIA","ALTA"))</f>
        <v/>
      </c>
      <c r="U578" s="10" t="inlineStr">
        <is>
          <t>-</t>
        </is>
      </c>
      <c r="V578" s="24" t="n">
        <v>45673</v>
      </c>
      <c r="W578" s="19" t="inlineStr">
        <is>
          <t>N/A</t>
        </is>
      </c>
      <c r="X578" s="10">
        <f>+IFERROR(IF(VLOOKUP(Tabla2[[#This Row],[ID]],'EVALUACION DE RIESGO'!A:A,1,FALSE)=Tabla2[[#This Row],[ID]],"SI","NO"),"NO")</f>
        <v/>
      </c>
    </row>
    <row r="579">
      <c r="A579" s="91" t="inlineStr">
        <is>
          <t>20-GTH</t>
        </is>
      </c>
      <c r="B579" s="10" t="inlineStr">
        <is>
          <t>APOYO</t>
        </is>
      </c>
      <c r="C579" s="10" t="inlineStr">
        <is>
          <t>Gestión del Talento Humano</t>
        </is>
      </c>
      <c r="D579" s="10" t="inlineStr">
        <is>
          <t>GTH</t>
        </is>
      </c>
      <c r="E579" s="10" t="inlineStr">
        <is>
          <t>Gestión de Seguridad y Salud Ocupacional</t>
        </is>
      </c>
      <c r="F579" s="10" t="inlineStr">
        <is>
          <t xml:space="preserve">Seguridad Ocupacional </t>
        </is>
      </c>
      <c r="G579" s="10" t="inlineStr">
        <is>
          <t>Inspecciones de Seguridad y Salud Ocupacional</t>
        </is>
      </c>
      <c r="H579" s="10" t="inlineStr">
        <is>
          <t>Check list de dispensario médico</t>
        </is>
      </c>
      <c r="I579" s="10" t="inlineStr">
        <is>
          <t xml:space="preserve">documento de revisión de inventario del consultorio médico que se presenta al Técnico SSO, contiene responsables, áreas, fecha, infraestructura-ambientes, gestión de desechos, condiciones generales del establecimiento, uso de EPP, señalización, verificación de documentos y observaciones </t>
        </is>
      </c>
      <c r="J579" s="10" t="inlineStr">
        <is>
          <t>Técnico en Seguridad y Salud Ocupacional</t>
        </is>
      </c>
      <c r="K579" s="10" t="inlineStr">
        <is>
          <t>Enfermera Ocupacional</t>
        </is>
      </c>
      <c r="L579" s="10" t="inlineStr">
        <is>
          <t>DOCUMENTOS FISICOS-ARCHIVOS DE LA OFICINA</t>
        </is>
      </c>
      <c r="M579" s="10" t="inlineStr">
        <is>
          <t>DOCUMENTO DE ARCHIVO-FÍSICO</t>
        </is>
      </c>
      <c r="N579" s="10" t="inlineStr">
        <is>
          <t>PRIMARIOS</t>
        </is>
      </c>
      <c r="O579" s="10" t="inlineStr">
        <is>
          <t>DOCUMENTOS TÉCNICOS</t>
        </is>
      </c>
      <c r="P579" s="10" t="inlineStr">
        <is>
          <t>PUBLICA(1)</t>
        </is>
      </c>
      <c r="Q579" s="10" t="inlineStr">
        <is>
          <t>BAJA(1)</t>
        </is>
      </c>
      <c r="R579" s="10" t="inlineStr">
        <is>
          <t>BAJA(1)</t>
        </is>
      </c>
      <c r="S579" s="10">
        <f>+(IF(P579="PUBLICA(1)",1,IF(P579="USO INTERNO(2)",2,IF(P579="RESTRINGIDO(3)",3,3))))+(IF(Q579="BAJA(1)",1,IF(Q579="MEDIA(2)",2,IF(Q579="ALTA(3)",3,3))))+(IF(R579="BAJA(1)",1,IF(R579="MEDIA(2)",2,IF(R579="ALTA(3)",3,3))))</f>
        <v/>
      </c>
      <c r="T579" s="10">
        <f>+IF(S579&lt;6,"BAJA",IF(S579&lt;8,"MEDIA","ALTA"))</f>
        <v/>
      </c>
      <c r="U579" s="10" t="inlineStr">
        <is>
          <t>-</t>
        </is>
      </c>
      <c r="V579" s="24" t="n">
        <v>45673</v>
      </c>
      <c r="W579" s="19" t="inlineStr">
        <is>
          <t>N/A</t>
        </is>
      </c>
      <c r="X579" s="10">
        <f>+IFERROR(IF(VLOOKUP(Tabla2[[#This Row],[ID]],'EVALUACION DE RIESGO'!A:A,1,FALSE)=Tabla2[[#This Row],[ID]],"SI","NO"),"NO")</f>
        <v/>
      </c>
    </row>
    <row r="580">
      <c r="A580" s="91" t="inlineStr">
        <is>
          <t>21-GTH</t>
        </is>
      </c>
      <c r="B580" s="10" t="inlineStr">
        <is>
          <t>APOYO</t>
        </is>
      </c>
      <c r="C580" s="10" t="inlineStr">
        <is>
          <t>Gestión del Talento Humano</t>
        </is>
      </c>
      <c r="D580" s="10" t="inlineStr">
        <is>
          <t>GTH</t>
        </is>
      </c>
      <c r="E580" s="10" t="inlineStr">
        <is>
          <t>Gestión de Seguridad y Salud Ocupacional</t>
        </is>
      </c>
      <c r="F580" s="10" t="inlineStr">
        <is>
          <t xml:space="preserve">Seguridad Ocupacional </t>
        </is>
      </c>
      <c r="G580" s="10" t="inlineStr">
        <is>
          <t>Inspecciones de Seguridad y Salud Ocupacional</t>
        </is>
      </c>
      <c r="H580" s="10" t="inlineStr">
        <is>
          <t>Check list de batería sanitaria</t>
        </is>
      </c>
      <c r="I580" s="10" t="inlineStr">
        <is>
          <t xml:space="preserve">Documento de revisión de baterías sanitarias que contiene responsables, áreas, fecha, instalaciones edificaciones, saneamiento ambiental, maquinaria, uso de EPP, señalización, observaciones </t>
        </is>
      </c>
      <c r="J580" s="10" t="inlineStr">
        <is>
          <t>Técnico en Seguridad y Salud Ocupacional</t>
        </is>
      </c>
      <c r="K580" s="10" t="inlineStr">
        <is>
          <t>Enfermera Ocupacional</t>
        </is>
      </c>
      <c r="L580" s="10" t="inlineStr">
        <is>
          <t>DOCUMENTOS FISICOS-ARCHIVOS DE LA OFICINA</t>
        </is>
      </c>
      <c r="M580" s="10" t="inlineStr">
        <is>
          <t>DOCUMENTO DE ARCHIVO-FÍSICO</t>
        </is>
      </c>
      <c r="N580" s="10" t="inlineStr">
        <is>
          <t>PRIMARIOS</t>
        </is>
      </c>
      <c r="O580" s="10" t="inlineStr">
        <is>
          <t>DOCUMENTOS TÉCNICOS</t>
        </is>
      </c>
      <c r="P580" s="10" t="inlineStr">
        <is>
          <t>PUBLICA(1)</t>
        </is>
      </c>
      <c r="Q580" s="10" t="inlineStr">
        <is>
          <t>BAJA(1)</t>
        </is>
      </c>
      <c r="R580" s="10" t="inlineStr">
        <is>
          <t>BAJA(1)</t>
        </is>
      </c>
      <c r="S580" s="10">
        <f>+(IF(P580="PUBLICA(1)",1,IF(P580="USO INTERNO(2)",2,IF(P580="RESTRINGIDO(3)",3,3))))+(IF(Q580="BAJA(1)",1,IF(Q580="MEDIA(2)",2,IF(Q580="ALTA(3)",3,3))))+(IF(R580="BAJA(1)",1,IF(R580="MEDIA(2)",2,IF(R580="ALTA(3)",3,3))))</f>
        <v/>
      </c>
      <c r="T580" s="10">
        <f>+IF(S580&lt;6,"BAJA",IF(S580&lt;8,"MEDIA","ALTA"))</f>
        <v/>
      </c>
      <c r="U580" s="10" t="inlineStr">
        <is>
          <t>-</t>
        </is>
      </c>
      <c r="V580" s="24" t="n">
        <v>45673</v>
      </c>
      <c r="W580" s="19" t="inlineStr">
        <is>
          <t>N/A</t>
        </is>
      </c>
      <c r="X580" s="10">
        <f>+IFERROR(IF(VLOOKUP(Tabla2[[#This Row],[ID]],'EVALUACION DE RIESGO'!A:A,1,FALSE)=Tabla2[[#This Row],[ID]],"SI","NO"),"NO")</f>
        <v/>
      </c>
    </row>
    <row r="581">
      <c r="A581" s="91" t="inlineStr">
        <is>
          <t>22-GTH</t>
        </is>
      </c>
      <c r="B581" s="10" t="inlineStr">
        <is>
          <t>APOYO</t>
        </is>
      </c>
      <c r="C581" s="10" t="inlineStr">
        <is>
          <t>Gestión del Talento Humano</t>
        </is>
      </c>
      <c r="D581" s="10" t="inlineStr">
        <is>
          <t>GTH</t>
        </is>
      </c>
      <c r="E581" s="10" t="inlineStr">
        <is>
          <t>Gestión de Seguridad y Salud Ocupacional</t>
        </is>
      </c>
      <c r="F581" s="10" t="inlineStr">
        <is>
          <t xml:space="preserve">Seguridad Ocupacional </t>
        </is>
      </c>
      <c r="G581" s="10" t="inlineStr">
        <is>
          <t>Inspecciones de Seguridad y Salud Ocupacional</t>
        </is>
      </c>
      <c r="H581" s="10" t="inlineStr">
        <is>
          <t>Check list de puntos de hidratación</t>
        </is>
      </c>
      <c r="I581" s="10" t="inlineStr">
        <is>
          <t>Documento, de revisión de puntos de hidratación que contiene responsables, áreas, fecha, elementos a inspeccionar, instalaciones edificaciones, saneamiento ambiental, observaciones</t>
        </is>
      </c>
      <c r="J581" s="10" t="inlineStr">
        <is>
          <t>Técnico en Seguridad y Salud Ocupacional</t>
        </is>
      </c>
      <c r="K581" s="10" t="inlineStr">
        <is>
          <t>Enfermera Ocupacional</t>
        </is>
      </c>
      <c r="L581" s="10" t="inlineStr">
        <is>
          <t>DOCUMENTOS FISICOS-ARCHIVOS DE LA OFICINA</t>
        </is>
      </c>
      <c r="M581" s="10" t="inlineStr">
        <is>
          <t>DOCUMENTO DE ARCHIVO-FÍSICO</t>
        </is>
      </c>
      <c r="N581" s="10" t="inlineStr">
        <is>
          <t>PRIMARIOS</t>
        </is>
      </c>
      <c r="O581" s="10" t="inlineStr">
        <is>
          <t>DOCUMENTOS TÉCNICOS</t>
        </is>
      </c>
      <c r="P581" s="10" t="inlineStr">
        <is>
          <t>PUBLICA(1)</t>
        </is>
      </c>
      <c r="Q581" s="10" t="inlineStr">
        <is>
          <t>BAJA(1)</t>
        </is>
      </c>
      <c r="R581" s="10" t="inlineStr">
        <is>
          <t>BAJA(1)</t>
        </is>
      </c>
      <c r="S581" s="10">
        <f>+(IF(P581="PUBLICA(1)",1,IF(P581="USO INTERNO(2)",2,IF(P581="RESTRINGIDO(3)",3,3))))+(IF(Q581="BAJA(1)",1,IF(Q581="MEDIA(2)",2,IF(Q581="ALTA(3)",3,3))))+(IF(R581="BAJA(1)",1,IF(R581="MEDIA(2)",2,IF(R581="ALTA(3)",3,3))))</f>
        <v/>
      </c>
      <c r="T581" s="10">
        <f>+IF(S581&lt;6,"BAJA",IF(S581&lt;8,"MEDIA","ALTA"))</f>
        <v/>
      </c>
      <c r="U581" s="10" t="inlineStr">
        <is>
          <t>-</t>
        </is>
      </c>
      <c r="V581" s="24" t="n">
        <v>45673</v>
      </c>
      <c r="W581" s="19" t="inlineStr">
        <is>
          <t>N/A</t>
        </is>
      </c>
      <c r="X581" s="10">
        <f>+IFERROR(IF(VLOOKUP(Tabla2[[#This Row],[ID]],'EVALUACION DE RIESGO'!A:A,1,FALSE)=Tabla2[[#This Row],[ID]],"SI","NO"),"NO")</f>
        <v/>
      </c>
    </row>
    <row r="582">
      <c r="A582" s="91" t="inlineStr">
        <is>
          <t>23-GTH</t>
        </is>
      </c>
      <c r="B582" s="10" t="inlineStr">
        <is>
          <t>APOYO</t>
        </is>
      </c>
      <c r="C582" s="10" t="inlineStr">
        <is>
          <t>Gestión del Talento Humano</t>
        </is>
      </c>
      <c r="D582" s="10" t="inlineStr">
        <is>
          <t>GTH</t>
        </is>
      </c>
      <c r="E582" s="10" t="inlineStr">
        <is>
          <t>Gestión de Seguridad y Salud Ocupacional</t>
        </is>
      </c>
      <c r="F582" s="10" t="inlineStr">
        <is>
          <t xml:space="preserve">Seguridad Ocupacional </t>
        </is>
      </c>
      <c r="G582" s="10" t="inlineStr">
        <is>
          <t>Inspecciones de Seguridad y Salud Ocupacional</t>
        </is>
      </c>
      <c r="H582" s="10" t="inlineStr">
        <is>
          <t>Check list de comedores</t>
        </is>
      </c>
      <c r="I582" s="10" t="inlineStr">
        <is>
          <t>Documento de revisión de comedores, que contiene responsables, áreas, fecha, elementos a inspeccionar, instalaciones, saneamiento ambiental, maquinaria equipos, señalización, medidas de bioseguridad, observaciones</t>
        </is>
      </c>
      <c r="J582" s="10" t="inlineStr">
        <is>
          <t>Técnico en Seguridad y Salud Ocupacional</t>
        </is>
      </c>
      <c r="K582" s="10" t="inlineStr">
        <is>
          <t>Enfermera Ocupacional</t>
        </is>
      </c>
      <c r="L582" s="10" t="inlineStr">
        <is>
          <t>DOCUMENTOS FISICOS-ARCHIVOS DE LA OFICINA</t>
        </is>
      </c>
      <c r="M582" s="10" t="inlineStr">
        <is>
          <t>DOCUMENTO DE ARCHIVO-FÍSICO</t>
        </is>
      </c>
      <c r="N582" s="10" t="inlineStr">
        <is>
          <t>PRIMARIOS</t>
        </is>
      </c>
      <c r="O582" s="10" t="inlineStr">
        <is>
          <t>DOCUMENTOS TÉCNICOS</t>
        </is>
      </c>
      <c r="P582" s="10" t="inlineStr">
        <is>
          <t>PUBLICA(1)</t>
        </is>
      </c>
      <c r="Q582" s="10" t="inlineStr">
        <is>
          <t>BAJA(1)</t>
        </is>
      </c>
      <c r="R582" s="10" t="inlineStr">
        <is>
          <t>BAJA(1)</t>
        </is>
      </c>
      <c r="S582" s="10">
        <f>+(IF(P582="PUBLICA(1)",1,IF(P582="USO INTERNO(2)",2,IF(P582="RESTRINGIDO(3)",3,3))))+(IF(Q582="BAJA(1)",1,IF(Q582="MEDIA(2)",2,IF(Q582="ALTA(3)",3,3))))+(IF(R582="BAJA(1)",1,IF(R582="MEDIA(2)",2,IF(R582="ALTA(3)",3,3))))</f>
        <v/>
      </c>
      <c r="T582" s="10">
        <f>+IF(S582&lt;6,"BAJA",IF(S582&lt;8,"MEDIA","ALTA"))</f>
        <v/>
      </c>
      <c r="U582" s="10" t="inlineStr">
        <is>
          <t>-</t>
        </is>
      </c>
      <c r="V582" s="24" t="n">
        <v>45673</v>
      </c>
      <c r="W582" s="19" t="inlineStr">
        <is>
          <t>N/A</t>
        </is>
      </c>
      <c r="X582" s="10">
        <f>+IFERROR(IF(VLOOKUP(Tabla2[[#This Row],[ID]],'EVALUACION DE RIESGO'!A:A,1,FALSE)=Tabla2[[#This Row],[ID]],"SI","NO"),"NO")</f>
        <v/>
      </c>
    </row>
    <row r="583">
      <c r="A583" s="91" t="inlineStr">
        <is>
          <t>24-GTH</t>
        </is>
      </c>
      <c r="B583" s="10" t="inlineStr">
        <is>
          <t>APOYO</t>
        </is>
      </c>
      <c r="C583" s="10" t="inlineStr">
        <is>
          <t>Gestión del Talento Humano</t>
        </is>
      </c>
      <c r="D583" s="10" t="inlineStr">
        <is>
          <t>GTH</t>
        </is>
      </c>
      <c r="E583" s="10" t="inlineStr">
        <is>
          <t>Gestión de Seguridad y Salud Ocupacional</t>
        </is>
      </c>
      <c r="F583" s="10" t="inlineStr">
        <is>
          <t xml:space="preserve">Seguridad Ocupacional </t>
        </is>
      </c>
      <c r="G583" s="10" t="inlineStr">
        <is>
          <t xml:space="preserve">Dotación de Equipos de Protección Personal       </t>
        </is>
      </c>
      <c r="H583" s="10" t="inlineStr">
        <is>
          <t>Inspección y control de EPP</t>
        </is>
      </c>
      <c r="I583" s="10" t="inlineStr">
        <is>
          <t>Check lista que permite dejar constancia de los EPP</t>
        </is>
      </c>
      <c r="J583" s="10" t="inlineStr">
        <is>
          <t>Técnico en Seguridad y Salud Ocupacional</t>
        </is>
      </c>
      <c r="K583" s="10" t="inlineStr">
        <is>
          <t>Técnico en Seguridad y Salud Ocupacional</t>
        </is>
      </c>
      <c r="L583" s="10" t="inlineStr">
        <is>
          <t>UBICACIÓN DIGITAL-EQUIPO DEL RESPONSABLE</t>
        </is>
      </c>
      <c r="M583" s="10" t="inlineStr">
        <is>
          <t>DISCOS DUROS, SERVIDORES, DISCOS O MEDIOS PORTÁTILES, CINTAS O MEDIOS DE VIDEO Y AUDIO, ETC.</t>
        </is>
      </c>
      <c r="N583" s="10" t="inlineStr">
        <is>
          <t>PRIMARIOS</t>
        </is>
      </c>
      <c r="O583" s="10" t="inlineStr">
        <is>
          <t>DOCUMENTOS TÉCNICOS</t>
        </is>
      </c>
      <c r="P583" s="10" t="inlineStr">
        <is>
          <t>PUBLICA(1)</t>
        </is>
      </c>
      <c r="Q583" s="10" t="inlineStr">
        <is>
          <t>BAJA(1)</t>
        </is>
      </c>
      <c r="R583" s="10" t="inlineStr">
        <is>
          <t>MEDIA(2)</t>
        </is>
      </c>
      <c r="S583" s="10">
        <f>+(IF(P583="PUBLICA(1)",1,IF(P583="USO INTERNO(2)",2,IF(P583="RESTRINGIDO(3)",3,3))))+(IF(Q583="BAJA(1)",1,IF(Q583="MEDIA(2)",2,IF(Q583="ALTA(3)",3,3))))+(IF(R583="BAJA(1)",1,IF(R583="MEDIA(2)",2,IF(R583="ALTA(3)",3,3))))</f>
        <v/>
      </c>
      <c r="T583" s="10">
        <f>+IF(S583&lt;6,"BAJA",IF(S583&lt;8,"MEDIA","ALTA"))</f>
        <v/>
      </c>
      <c r="U583" s="10" t="inlineStr">
        <is>
          <t>-</t>
        </is>
      </c>
      <c r="V583" s="24" t="n">
        <v>45673</v>
      </c>
      <c r="W583" s="19" t="inlineStr">
        <is>
          <t>N/A</t>
        </is>
      </c>
      <c r="X583" s="10">
        <f>+IFERROR(IF(VLOOKUP(Tabla2[[#This Row],[ID]],'EVALUACION DE RIESGO'!A:A,1,FALSE)=Tabla2[[#This Row],[ID]],"SI","NO"),"NO")</f>
        <v/>
      </c>
    </row>
    <row r="584">
      <c r="A584" s="91" t="inlineStr">
        <is>
          <t>25-GTH</t>
        </is>
      </c>
      <c r="B584" s="10" t="inlineStr">
        <is>
          <t>APOYO</t>
        </is>
      </c>
      <c r="C584" s="10" t="inlineStr">
        <is>
          <t>Gestión del Talento Humano</t>
        </is>
      </c>
      <c r="D584" s="10" t="inlineStr">
        <is>
          <t>GTH</t>
        </is>
      </c>
      <c r="E584" s="10" t="inlineStr">
        <is>
          <t>Gestión de Seguridad y Salud Ocupacional</t>
        </is>
      </c>
      <c r="F584" s="10" t="inlineStr">
        <is>
          <t xml:space="preserve">Seguridad Ocupacional </t>
        </is>
      </c>
      <c r="G584" s="10" t="inlineStr">
        <is>
          <t xml:space="preserve">Dotación de Equipos de Protección Personal       </t>
        </is>
      </c>
      <c r="H584" s="10" t="inlineStr">
        <is>
          <t>Acta entrega recepción de EPP</t>
        </is>
      </c>
      <c r="I584" s="10" t="inlineStr">
        <is>
          <t>Se deja constancia de la entrega de EPPs a los colaboradores</t>
        </is>
      </c>
      <c r="J584" s="10" t="inlineStr">
        <is>
          <t>Técnico en Seguridad y Salud Ocupacional</t>
        </is>
      </c>
      <c r="K584" s="10" t="inlineStr">
        <is>
          <t>Técnico en Seguridad y Salud Ocupacional</t>
        </is>
      </c>
      <c r="L584" s="10" t="inlineStr">
        <is>
          <t>DOCUMENTOS FISICOS-ARCHIVOS DE LA OFICINA</t>
        </is>
      </c>
      <c r="M584" s="10" t="inlineStr">
        <is>
          <t>DOCUMENTO DE ARCHIVO-FÍSICO</t>
        </is>
      </c>
      <c r="N584" s="10" t="inlineStr">
        <is>
          <t>PRIMARIOS</t>
        </is>
      </c>
      <c r="O584" s="10" t="inlineStr">
        <is>
          <t>DOCUMENTOS HABILITANTES</t>
        </is>
      </c>
      <c r="P584" s="10" t="inlineStr">
        <is>
          <t>PUBLICA(1)</t>
        </is>
      </c>
      <c r="Q584" s="10" t="inlineStr">
        <is>
          <t>BAJA(1)</t>
        </is>
      </c>
      <c r="R584" s="10" t="inlineStr">
        <is>
          <t>BAJA(1)</t>
        </is>
      </c>
      <c r="S584" s="10">
        <f>+(IF(P584="PUBLICA(1)",1,IF(P584="USO INTERNO(2)",2,IF(P584="RESTRINGIDO(3)",3,3))))+(IF(Q584="BAJA(1)",1,IF(Q584="MEDIA(2)",2,IF(Q584="ALTA(3)",3,3))))+(IF(R584="BAJA(1)",1,IF(R584="MEDIA(2)",2,IF(R584="ALTA(3)",3,3))))</f>
        <v/>
      </c>
      <c r="T584" s="10">
        <f>+IF(S584&lt;6,"BAJA",IF(S584&lt;8,"MEDIA","ALTA"))</f>
        <v/>
      </c>
      <c r="U584" s="10" t="inlineStr">
        <is>
          <t>-</t>
        </is>
      </c>
      <c r="V584" s="24" t="n">
        <v>45673</v>
      </c>
      <c r="W584" s="19" t="inlineStr">
        <is>
          <t>N/A</t>
        </is>
      </c>
      <c r="X584" s="10">
        <f>+IFERROR(IF(VLOOKUP(Tabla2[[#This Row],[ID]],'EVALUACION DE RIESGO'!A:A,1,FALSE)=Tabla2[[#This Row],[ID]],"SI","NO"),"NO")</f>
        <v/>
      </c>
    </row>
    <row r="585">
      <c r="A585" s="91" t="inlineStr">
        <is>
          <t>26-GTH</t>
        </is>
      </c>
      <c r="B585" s="10" t="inlineStr">
        <is>
          <t>APOYO</t>
        </is>
      </c>
      <c r="C585" s="10" t="inlineStr">
        <is>
          <t>Gestión del Talento Humano</t>
        </is>
      </c>
      <c r="D585" s="10" t="inlineStr">
        <is>
          <t>GTH</t>
        </is>
      </c>
      <c r="E585" s="10" t="inlineStr">
        <is>
          <t>Gestión de Seguridad y Salud Ocupacional</t>
        </is>
      </c>
      <c r="F585" s="10" t="inlineStr">
        <is>
          <t xml:space="preserve">Seguridad Ocupacional </t>
        </is>
      </c>
      <c r="G585" s="10" t="inlineStr">
        <is>
          <t xml:space="preserve">Dotación de Equipos de Protección Personal       </t>
        </is>
      </c>
      <c r="H585" s="10" t="inlineStr">
        <is>
          <t>Informe de EPP</t>
        </is>
      </c>
      <c r="I585" s="10" t="inlineStr">
        <is>
          <t>Una vez realizada la revisión de los EPPS se elabora un informe con el fin de realizar un requerimiento de compra</t>
        </is>
      </c>
      <c r="J585" s="10" t="inlineStr">
        <is>
          <t>Técnico en Seguridad y Salud Ocupacional</t>
        </is>
      </c>
      <c r="K585" s="10" t="inlineStr">
        <is>
          <t>Técnico en Seguridad y Salud Ocupacional</t>
        </is>
      </c>
      <c r="L585" s="10" t="inlineStr">
        <is>
          <t>UBICACIÓN DIGITAL-EQUIPO DEL RESPONSABLE</t>
        </is>
      </c>
      <c r="M585" s="10" t="inlineStr">
        <is>
          <t>DISCOS DUROS, SERVIDORES, DISCOS O MEDIOS PORTÁTILES, CINTAS O MEDIOS DE VIDEO Y AUDIO, ETC.</t>
        </is>
      </c>
      <c r="N585" s="10" t="inlineStr">
        <is>
          <t>PRIMARIOS</t>
        </is>
      </c>
      <c r="O585" s="10" t="inlineStr">
        <is>
          <t>DOCUMENTOS TÉCNICOS</t>
        </is>
      </c>
      <c r="P585" s="10" t="inlineStr">
        <is>
          <t>PUBLICA(1)</t>
        </is>
      </c>
      <c r="Q585" s="10" t="inlineStr">
        <is>
          <t>BAJA(1)</t>
        </is>
      </c>
      <c r="R585" s="10" t="inlineStr">
        <is>
          <t>BAJA(1)</t>
        </is>
      </c>
      <c r="S585" s="10">
        <f>+(IF(P585="PUBLICA(1)",1,IF(P585="USO INTERNO(2)",2,IF(P585="RESTRINGIDO(3)",3,3))))+(IF(Q585="BAJA(1)",1,IF(Q585="MEDIA(2)",2,IF(Q585="ALTA(3)",3,3))))+(IF(R585="BAJA(1)",1,IF(R585="MEDIA(2)",2,IF(R585="ALTA(3)",3,3))))</f>
        <v/>
      </c>
      <c r="T585" s="10">
        <f>+IF(S585&lt;6,"BAJA",IF(S585&lt;8,"MEDIA","ALTA"))</f>
        <v/>
      </c>
      <c r="U585" s="10" t="inlineStr">
        <is>
          <t>-</t>
        </is>
      </c>
      <c r="V585" s="24" t="n">
        <v>45673</v>
      </c>
      <c r="W585" s="19" t="inlineStr">
        <is>
          <t>N/A</t>
        </is>
      </c>
      <c r="X585" s="10">
        <f>+IFERROR(IF(VLOOKUP(Tabla2[[#This Row],[ID]],'EVALUACION DE RIESGO'!A:A,1,FALSE)=Tabla2[[#This Row],[ID]],"SI","NO"),"NO")</f>
        <v/>
      </c>
    </row>
    <row r="586">
      <c r="A586" s="91" t="inlineStr">
        <is>
          <t>27-GTH</t>
        </is>
      </c>
      <c r="B586" s="10" t="inlineStr">
        <is>
          <t>APOYO</t>
        </is>
      </c>
      <c r="C586" s="10" t="inlineStr">
        <is>
          <t>Gestión del Talento Humano</t>
        </is>
      </c>
      <c r="D586" s="10" t="inlineStr">
        <is>
          <t>GTH</t>
        </is>
      </c>
      <c r="E586" s="10" t="inlineStr">
        <is>
          <t>Gestión de Seguridad y Salud Ocupacional</t>
        </is>
      </c>
      <c r="F586" s="10" t="inlineStr">
        <is>
          <t xml:space="preserve">Seguridad Ocupacional </t>
        </is>
      </c>
      <c r="G586" s="10" t="inlineStr">
        <is>
          <t xml:space="preserve">Dotación de Equipos de Protección Personal       </t>
        </is>
      </c>
      <c r="H586" s="10" t="inlineStr">
        <is>
          <t>Matriz de EPPs</t>
        </is>
      </c>
      <c r="I586" s="10" t="inlineStr">
        <is>
          <t xml:space="preserve">detalla las características de los EPP </t>
        </is>
      </c>
      <c r="J586" s="10" t="inlineStr">
        <is>
          <t>Técnico en Seguridad y Salud Ocupacional</t>
        </is>
      </c>
      <c r="K586" s="10" t="inlineStr">
        <is>
          <t>Técnico en Seguridad y Salud Ocupacional</t>
        </is>
      </c>
      <c r="L586" s="10" t="inlineStr">
        <is>
          <t>UBICACIÓN DIGITAL-EQUIPO DEL RESPONSABLE</t>
        </is>
      </c>
      <c r="M586" s="10" t="inlineStr">
        <is>
          <t>DISCOS DUROS, SERVIDORES, DISCOS O MEDIOS PORTÁTILES, CINTAS O MEDIOS DE VIDEO Y AUDIO, ETC.</t>
        </is>
      </c>
      <c r="N586" s="10" t="inlineStr">
        <is>
          <t>PRIMARIOS</t>
        </is>
      </c>
      <c r="O586" s="10" t="inlineStr">
        <is>
          <t>DOCUMENTOS TÉCNICOS</t>
        </is>
      </c>
      <c r="P586" s="10" t="inlineStr">
        <is>
          <t>PUBLICA(1)</t>
        </is>
      </c>
      <c r="Q586" s="10" t="inlineStr">
        <is>
          <t>BAJA(1)</t>
        </is>
      </c>
      <c r="R586" s="10" t="inlineStr">
        <is>
          <t>BAJA(1)</t>
        </is>
      </c>
      <c r="S586" s="10">
        <f>+(IF(P586="PUBLICA(1)",1,IF(P586="USO INTERNO(2)",2,IF(P586="RESTRINGIDO(3)",3,3))))+(IF(Q586="BAJA(1)",1,IF(Q586="MEDIA(2)",2,IF(Q586="ALTA(3)",3,3))))+(IF(R586="BAJA(1)",1,IF(R586="MEDIA(2)",2,IF(R586="ALTA(3)",3,3))))</f>
        <v/>
      </c>
      <c r="T586" s="10">
        <f>+IF(S586&lt;6,"BAJA",IF(S586&lt;8,"MEDIA","ALTA"))</f>
        <v/>
      </c>
      <c r="U586" s="10" t="inlineStr">
        <is>
          <t>-</t>
        </is>
      </c>
      <c r="V586" s="24" t="n">
        <v>45673</v>
      </c>
      <c r="W586" s="19" t="inlineStr">
        <is>
          <t>N/A</t>
        </is>
      </c>
      <c r="X586" s="10">
        <f>+IFERROR(IF(VLOOKUP(Tabla2[[#This Row],[ID]],'EVALUACION DE RIESGO'!A:A,1,FALSE)=Tabla2[[#This Row],[ID]],"SI","NO"),"NO")</f>
        <v/>
      </c>
    </row>
    <row r="587">
      <c r="A587" s="91" t="inlineStr">
        <is>
          <t>28-GTH</t>
        </is>
      </c>
      <c r="B587" s="10" t="inlineStr">
        <is>
          <t>APOYO</t>
        </is>
      </c>
      <c r="C587" s="10" t="inlineStr">
        <is>
          <t>Gestión del Talento Humano</t>
        </is>
      </c>
      <c r="D587" s="10" t="inlineStr">
        <is>
          <t>GTH</t>
        </is>
      </c>
      <c r="E587" s="10" t="inlineStr">
        <is>
          <t>Gestión de Seguridad y Salud Ocupacional</t>
        </is>
      </c>
      <c r="F587" s="10" t="inlineStr">
        <is>
          <t xml:space="preserve">Seguridad Ocupacional </t>
        </is>
      </c>
      <c r="G587" s="10" t="inlineStr">
        <is>
          <t xml:space="preserve">Planes de emergencia y simulacros </t>
        </is>
      </c>
      <c r="H587" s="10" t="inlineStr">
        <is>
          <t>Plan de emergencia</t>
        </is>
      </c>
      <c r="I587" s="10" t="inlineStr">
        <is>
          <t>Describe las acciones a realizar antes durante y después de una emergencia así como recursos y mapas evacuación y riesgos</t>
        </is>
      </c>
      <c r="J587" s="10" t="inlineStr">
        <is>
          <t>Técnico en Seguridad y Salud Ocupacional</t>
        </is>
      </c>
      <c r="K587" s="10" t="inlineStr">
        <is>
          <t>Técnico en Seguridad y Salud Ocupacional</t>
        </is>
      </c>
      <c r="L587" s="10" t="inlineStr">
        <is>
          <t>UBICACIÓN DIGITAL-EQUIPO DEL RESPONSABLE</t>
        </is>
      </c>
      <c r="M587" s="10" t="inlineStr">
        <is>
          <t>DISCOS DUROS, SERVIDORES, DISCOS O MEDIOS PORTÁTILES, CINTAS O MEDIOS DE VIDEO Y AUDIO, ETC.</t>
        </is>
      </c>
      <c r="N587" s="10" t="inlineStr">
        <is>
          <t>PRIMARIOS</t>
        </is>
      </c>
      <c r="O587" s="10" t="inlineStr">
        <is>
          <t>DOCUMENTOS TÉCNICOS</t>
        </is>
      </c>
      <c r="P587" s="10" t="inlineStr">
        <is>
          <t>PUBLICA(1)</t>
        </is>
      </c>
      <c r="Q587" s="10" t="inlineStr">
        <is>
          <t>BAJA(1)</t>
        </is>
      </c>
      <c r="R587" s="10" t="inlineStr">
        <is>
          <t>MEDIA(2)</t>
        </is>
      </c>
      <c r="S587" s="10">
        <f>+(IF(P587="PUBLICA(1)",1,IF(P587="USO INTERNO(2)",2,IF(P587="RESTRINGIDO(3)",3,3))))+(IF(Q587="BAJA(1)",1,IF(Q587="MEDIA(2)",2,IF(Q587="ALTA(3)",3,3))))+(IF(R587="BAJA(1)",1,IF(R587="MEDIA(2)",2,IF(R587="ALTA(3)",3,3))))</f>
        <v/>
      </c>
      <c r="T587" s="10">
        <f>+IF(S587&lt;6,"BAJA",IF(S587&lt;8,"MEDIA","ALTA"))</f>
        <v/>
      </c>
      <c r="U587" s="10" t="inlineStr">
        <is>
          <t>-</t>
        </is>
      </c>
      <c r="V587" s="24" t="n">
        <v>45673</v>
      </c>
      <c r="W587" s="19" t="inlineStr">
        <is>
          <t>N/A</t>
        </is>
      </c>
      <c r="X587" s="10">
        <f>+IFERROR(IF(VLOOKUP(Tabla2[[#This Row],[ID]],'EVALUACION DE RIESGO'!A:A,1,FALSE)=Tabla2[[#This Row],[ID]],"SI","NO"),"NO")</f>
        <v/>
      </c>
    </row>
    <row r="588">
      <c r="A588" s="91" t="inlineStr">
        <is>
          <t>29-GTH</t>
        </is>
      </c>
      <c r="B588" s="10" t="inlineStr">
        <is>
          <t>APOYO</t>
        </is>
      </c>
      <c r="C588" s="10" t="inlineStr">
        <is>
          <t>Gestión del Talento Humano</t>
        </is>
      </c>
      <c r="D588" s="10" t="inlineStr">
        <is>
          <t>GTH</t>
        </is>
      </c>
      <c r="E588" s="10" t="inlineStr">
        <is>
          <t>Gestión de Seguridad y Salud Ocupacional</t>
        </is>
      </c>
      <c r="F588" s="10" t="inlineStr">
        <is>
          <t xml:space="preserve">Seguridad Ocupacional </t>
        </is>
      </c>
      <c r="G588" s="10" t="inlineStr">
        <is>
          <t xml:space="preserve">Planes de emergencia y simulacros </t>
        </is>
      </c>
      <c r="H588" s="10" t="inlineStr">
        <is>
          <t>Guion del Simulacro</t>
        </is>
      </c>
      <c r="I588" s="10" t="inlineStr">
        <is>
          <t xml:space="preserve">Detalla la emergencia que se va a simular y la trama del simulacro </t>
        </is>
      </c>
      <c r="J588" s="10" t="inlineStr">
        <is>
          <t>Técnico en Seguridad y Salud Ocupacional</t>
        </is>
      </c>
      <c r="K588" s="10" t="inlineStr">
        <is>
          <t>Técnico en Seguridad y Salud Ocupacional</t>
        </is>
      </c>
      <c r="L588" s="10" t="inlineStr">
        <is>
          <t>UBICACIÓN DIGITAL-EQUIPO DEL RESPONSABLE</t>
        </is>
      </c>
      <c r="M588" s="10" t="inlineStr">
        <is>
          <t>DISCOS DUROS, SERVIDORES, DISCOS O MEDIOS PORTÁTILES, CINTAS O MEDIOS DE VIDEO Y AUDIO, ETC.</t>
        </is>
      </c>
      <c r="N588" s="10" t="inlineStr">
        <is>
          <t>PRIMARIOS</t>
        </is>
      </c>
      <c r="O588" s="10" t="inlineStr">
        <is>
          <t>DOCUMENTOS TÉCNICOS</t>
        </is>
      </c>
      <c r="P588" s="10" t="inlineStr">
        <is>
          <t>PUBLICA(1)</t>
        </is>
      </c>
      <c r="Q588" s="10" t="inlineStr">
        <is>
          <t>BAJA(1)</t>
        </is>
      </c>
      <c r="R588" s="10" t="inlineStr">
        <is>
          <t>BAJA(1)</t>
        </is>
      </c>
      <c r="S588" s="10">
        <f>+(IF(P588="PUBLICA(1)",1,IF(P588="USO INTERNO(2)",2,IF(P588="RESTRINGIDO(3)",3,3))))+(IF(Q588="BAJA(1)",1,IF(Q588="MEDIA(2)",2,IF(Q588="ALTA(3)",3,3))))+(IF(R588="BAJA(1)",1,IF(R588="MEDIA(2)",2,IF(R588="ALTA(3)",3,3))))</f>
        <v/>
      </c>
      <c r="T588" s="10">
        <f>+IF(S588&lt;6,"BAJA",IF(S588&lt;8,"MEDIA","ALTA"))</f>
        <v/>
      </c>
      <c r="U588" s="10" t="inlineStr">
        <is>
          <t>-</t>
        </is>
      </c>
      <c r="V588" s="24" t="n">
        <v>45673</v>
      </c>
      <c r="W588" s="19" t="inlineStr">
        <is>
          <t>N/A</t>
        </is>
      </c>
      <c r="X588" s="10">
        <f>+IFERROR(IF(VLOOKUP(Tabla2[[#This Row],[ID]],'EVALUACION DE RIESGO'!A:A,1,FALSE)=Tabla2[[#This Row],[ID]],"SI","NO"),"NO")</f>
        <v/>
      </c>
    </row>
    <row r="589">
      <c r="A589" s="91" t="inlineStr">
        <is>
          <t>30-GTH</t>
        </is>
      </c>
      <c r="B589" s="10" t="inlineStr">
        <is>
          <t>APOYO</t>
        </is>
      </c>
      <c r="C589" s="10" t="inlineStr">
        <is>
          <t>Gestión del Talento Humano</t>
        </is>
      </c>
      <c r="D589" s="10" t="inlineStr">
        <is>
          <t>GTH</t>
        </is>
      </c>
      <c r="E589" s="10" t="inlineStr">
        <is>
          <t>Gestión de Seguridad y Salud Ocupacional</t>
        </is>
      </c>
      <c r="F589" s="10" t="inlineStr">
        <is>
          <t xml:space="preserve">Seguridad Ocupacional </t>
        </is>
      </c>
      <c r="G589" s="10" t="inlineStr">
        <is>
          <t xml:space="preserve">Planes de emergencia y simulacros </t>
        </is>
      </c>
      <c r="H589" s="10" t="inlineStr">
        <is>
          <t>Evaluación de Simulacros</t>
        </is>
      </c>
      <c r="I589" s="10" t="inlineStr">
        <is>
          <t>Documento donde se registra si se cumple o no con los estándares del simulacro</t>
        </is>
      </c>
      <c r="J589" s="10" t="inlineStr">
        <is>
          <t>Técnico en Seguridad y Salud Ocupacional</t>
        </is>
      </c>
      <c r="K589" s="10" t="inlineStr">
        <is>
          <t>Técnico en Seguridad y Salud Ocupacional</t>
        </is>
      </c>
      <c r="L589" s="10" t="inlineStr">
        <is>
          <t>UBICACIÓN DIGITAL-EQUIPO DEL RESPONSABLE</t>
        </is>
      </c>
      <c r="M589" s="10" t="inlineStr">
        <is>
          <t>DISCOS DUROS, SERVIDORES, DISCOS O MEDIOS PORTÁTILES, CINTAS O MEDIOS DE VIDEO Y AUDIO, ETC.</t>
        </is>
      </c>
      <c r="N589" s="10" t="inlineStr">
        <is>
          <t>PRIMARIOS</t>
        </is>
      </c>
      <c r="O589" s="10" t="inlineStr">
        <is>
          <t>DOCUMENTOS TÉCNICOS</t>
        </is>
      </c>
      <c r="P589" s="10" t="inlineStr">
        <is>
          <t>PUBLICA(1)</t>
        </is>
      </c>
      <c r="Q589" s="10" t="inlineStr">
        <is>
          <t>BAJA(1)</t>
        </is>
      </c>
      <c r="R589" s="10" t="inlineStr">
        <is>
          <t>BAJA(1)</t>
        </is>
      </c>
      <c r="S589" s="10">
        <f>+(IF(P589="PUBLICA(1)",1,IF(P589="USO INTERNO(2)",2,IF(P589="RESTRINGIDO(3)",3,3))))+(IF(Q589="BAJA(1)",1,IF(Q589="MEDIA(2)",2,IF(Q589="ALTA(3)",3,3))))+(IF(R589="BAJA(1)",1,IF(R589="MEDIA(2)",2,IF(R589="ALTA(3)",3,3))))</f>
        <v/>
      </c>
      <c r="T589" s="10">
        <f>+IF(S589&lt;6,"BAJA",IF(S589&lt;8,"MEDIA","ALTA"))</f>
        <v/>
      </c>
      <c r="U589" s="10" t="inlineStr">
        <is>
          <t>-</t>
        </is>
      </c>
      <c r="V589" s="24" t="n">
        <v>45673</v>
      </c>
      <c r="W589" s="19" t="inlineStr">
        <is>
          <t>N/A</t>
        </is>
      </c>
      <c r="X589" s="10">
        <f>+IFERROR(IF(VLOOKUP(Tabla2[[#This Row],[ID]],'EVALUACION DE RIESGO'!A:A,1,FALSE)=Tabla2[[#This Row],[ID]],"SI","NO"),"NO")</f>
        <v/>
      </c>
    </row>
    <row r="590">
      <c r="A590" s="91" t="inlineStr">
        <is>
          <t>31-GTH</t>
        </is>
      </c>
      <c r="B590" s="10" t="inlineStr">
        <is>
          <t>APOYO</t>
        </is>
      </c>
      <c r="C590" s="10" t="inlineStr">
        <is>
          <t>Gestión del Talento Humano</t>
        </is>
      </c>
      <c r="D590" s="10" t="inlineStr">
        <is>
          <t>GTH</t>
        </is>
      </c>
      <c r="E590" s="10" t="inlineStr">
        <is>
          <t>Gestión de Seguridad y Salud Ocupacional</t>
        </is>
      </c>
      <c r="F590" s="10" t="inlineStr">
        <is>
          <t xml:space="preserve">Seguridad Ocupacional </t>
        </is>
      </c>
      <c r="G590" s="10" t="inlineStr">
        <is>
          <t xml:space="preserve">Planes de emergencia y simulacros </t>
        </is>
      </c>
      <c r="H590" s="10" t="inlineStr">
        <is>
          <t>Informe de Simulacro</t>
        </is>
      </c>
      <c r="I590" s="10" t="inlineStr">
        <is>
          <t>Detalle de las actividades que se ejecutaron y colocar las evidencias necesarias</t>
        </is>
      </c>
      <c r="J590" s="10" t="inlineStr">
        <is>
          <t>Técnico en Seguridad y Salud Ocupacional</t>
        </is>
      </c>
      <c r="K590" s="10" t="inlineStr">
        <is>
          <t>Técnico en Seguridad y Salud Ocupacional</t>
        </is>
      </c>
      <c r="L590" s="10" t="inlineStr">
        <is>
          <t>UBICACIÓN DIGITAL-EQUIPO DEL RESPONSABLE</t>
        </is>
      </c>
      <c r="M590" s="10" t="inlineStr">
        <is>
          <t>DISCOS DUROS, SERVIDORES, DISCOS O MEDIOS PORTÁTILES, CINTAS O MEDIOS DE VIDEO Y AUDIO, ETC.</t>
        </is>
      </c>
      <c r="N590" s="10" t="inlineStr">
        <is>
          <t>PRIMARIOS</t>
        </is>
      </c>
      <c r="O590" s="10" t="inlineStr">
        <is>
          <t>DOCUMENTOS TÉCNICOS</t>
        </is>
      </c>
      <c r="P590" s="10" t="inlineStr">
        <is>
          <t>PUBLICA(1)</t>
        </is>
      </c>
      <c r="Q590" s="10" t="inlineStr">
        <is>
          <t>BAJA(1)</t>
        </is>
      </c>
      <c r="R590" s="10" t="inlineStr">
        <is>
          <t>BAJA(1)</t>
        </is>
      </c>
      <c r="S590" s="10">
        <f>+(IF(P590="PUBLICA(1)",1,IF(P590="USO INTERNO(2)",2,IF(P590="RESTRINGIDO(3)",3,3))))+(IF(Q590="BAJA(1)",1,IF(Q590="MEDIA(2)",2,IF(Q590="ALTA(3)",3,3))))+(IF(R590="BAJA(1)",1,IF(R590="MEDIA(2)",2,IF(R590="ALTA(3)",3,3))))</f>
        <v/>
      </c>
      <c r="T590" s="10">
        <f>+IF(S590&lt;6,"BAJA",IF(S590&lt;8,"MEDIA","ALTA"))</f>
        <v/>
      </c>
      <c r="U590" s="10" t="inlineStr">
        <is>
          <t>-</t>
        </is>
      </c>
      <c r="V590" s="24" t="n">
        <v>45673</v>
      </c>
      <c r="W590" s="19" t="inlineStr">
        <is>
          <t>N/A</t>
        </is>
      </c>
      <c r="X590" s="10">
        <f>+IFERROR(IF(VLOOKUP(Tabla2[[#This Row],[ID]],'EVALUACION DE RIESGO'!A:A,1,FALSE)=Tabla2[[#This Row],[ID]],"SI","NO"),"NO")</f>
        <v/>
      </c>
    </row>
    <row r="591">
      <c r="A591" s="91" t="inlineStr">
        <is>
          <t>32-GTH</t>
        </is>
      </c>
      <c r="B591" s="10" t="inlineStr">
        <is>
          <t>APOYO</t>
        </is>
      </c>
      <c r="C591" s="10" t="inlineStr">
        <is>
          <t>Gestión del Talento Humano</t>
        </is>
      </c>
      <c r="D591" s="10" t="inlineStr">
        <is>
          <t>GTH</t>
        </is>
      </c>
      <c r="E591" s="10" t="inlineStr">
        <is>
          <t>Gestión de Seguridad y Salud Ocupacional</t>
        </is>
      </c>
      <c r="F591" s="10" t="inlineStr">
        <is>
          <t xml:space="preserve">Salud Ocupacional </t>
        </is>
      </c>
      <c r="G591" s="10" t="inlineStr">
        <is>
          <t>Control Médico Pre-Ocupacional / Periodico Ocupacional</t>
        </is>
      </c>
      <c r="H591" s="10" t="inlineStr">
        <is>
          <t>Evaluación pre ocupacional</t>
        </is>
      </c>
      <c r="I591" s="10" t="inlineStr">
        <is>
          <t xml:space="preserve">Evaluación que se realiza a todos los postulantes a un cargo previamente solicitado por GTH, antecedentes clínicos personales quirúrgicos, antecedentes de empleos anteriores, accidentes en el trabajo, enfermedades profesionales, antecedentes familiares, factores de riesgo, constantes vitales, examen general, diagnostico, recomendaciones y tratamiento y aptitud médica para el trabajo </t>
        </is>
      </c>
      <c r="J591" s="10" t="inlineStr">
        <is>
          <t>Técnico en Seguridad y Salud Ocupacional</t>
        </is>
      </c>
      <c r="K591" s="10" t="inlineStr">
        <is>
          <t>Enfermera Ocupacional</t>
        </is>
      </c>
      <c r="L591" s="10" t="inlineStr">
        <is>
          <t>DOCUMENTOS FISICOS-ARCHIVOS DE LA OFICINA</t>
        </is>
      </c>
      <c r="M591" s="10" t="inlineStr">
        <is>
          <t>DOCUMENTO DE ARCHIVO-FÍSICO</t>
        </is>
      </c>
      <c r="N591" s="10" t="inlineStr">
        <is>
          <t>PRIMARIOS</t>
        </is>
      </c>
      <c r="O591" s="10" t="inlineStr">
        <is>
          <t>DOCUMENTOS TÉCNICOS</t>
        </is>
      </c>
      <c r="P591" s="10" t="inlineStr">
        <is>
          <t>PUBLICA(1)</t>
        </is>
      </c>
      <c r="Q591" s="10" t="inlineStr">
        <is>
          <t>BAJA(1)</t>
        </is>
      </c>
      <c r="R591" s="10" t="inlineStr">
        <is>
          <t>MEDIA(2)</t>
        </is>
      </c>
      <c r="S591" s="10">
        <f>+(IF(P591="PUBLICA(1)",1,IF(P591="USO INTERNO(2)",2,IF(P591="RESTRINGIDO(3)",3,3))))+(IF(Q591="BAJA(1)",1,IF(Q591="MEDIA(2)",2,IF(Q591="ALTA(3)",3,3))))+(IF(R591="BAJA(1)",1,IF(R591="MEDIA(2)",2,IF(R591="ALTA(3)",3,3))))</f>
        <v/>
      </c>
      <c r="T591" s="10">
        <f>+IF(S591&lt;6,"BAJA",IF(S591&lt;8,"MEDIA","ALTA"))</f>
        <v/>
      </c>
      <c r="U591" s="10" t="inlineStr">
        <is>
          <t>-</t>
        </is>
      </c>
      <c r="V591" s="24" t="n">
        <v>45673</v>
      </c>
      <c r="W591" s="19" t="inlineStr">
        <is>
          <t>N/A</t>
        </is>
      </c>
      <c r="X591" s="10">
        <f>+IFERROR(IF(VLOOKUP(Tabla2[[#This Row],[ID]],'EVALUACION DE RIESGO'!A:A,1,FALSE)=Tabla2[[#This Row],[ID]],"SI","NO"),"NO")</f>
        <v/>
      </c>
    </row>
    <row r="592">
      <c r="A592" s="91" t="inlineStr">
        <is>
          <t>33-GTH</t>
        </is>
      </c>
      <c r="B592" s="10" t="inlineStr">
        <is>
          <t>APOYO</t>
        </is>
      </c>
      <c r="C592" s="10" t="inlineStr">
        <is>
          <t>Gestión del Talento Humano</t>
        </is>
      </c>
      <c r="D592" s="10" t="inlineStr">
        <is>
          <t>GTH</t>
        </is>
      </c>
      <c r="E592" s="10" t="inlineStr">
        <is>
          <t>Gestión de Seguridad y Salud Ocupacional</t>
        </is>
      </c>
      <c r="F592" s="10" t="inlineStr">
        <is>
          <t xml:space="preserve">Salud Ocupacional </t>
        </is>
      </c>
      <c r="G592" s="10" t="inlineStr">
        <is>
          <t>Control Médico Pre-Ocupacional / Periodico Ocupacional</t>
        </is>
      </c>
      <c r="H592" s="10" t="inlineStr">
        <is>
          <t>Certificado de aptitud</t>
        </is>
      </c>
      <c r="I592" s="10" t="inlineStr">
        <is>
          <t>Documento que muestra los datos personales del trabajador y el concepto de aptitud laboral</t>
        </is>
      </c>
      <c r="J592" s="10" t="inlineStr">
        <is>
          <t>Técnico en Seguridad y Salud Ocupacional</t>
        </is>
      </c>
      <c r="K592" s="10" t="inlineStr">
        <is>
          <t>Enfermera Ocupacional / Analista de Selección</t>
        </is>
      </c>
      <c r="L592" s="10" t="inlineStr">
        <is>
          <t>DOCUMENTOS FISICOS-ARCHIVOS DE LA OFICINA</t>
        </is>
      </c>
      <c r="M592" s="10" t="inlineStr">
        <is>
          <t>DOCUMENTO DE ARCHIVO-FÍSICO</t>
        </is>
      </c>
      <c r="N592" s="10" t="inlineStr">
        <is>
          <t>PRIMARIOS</t>
        </is>
      </c>
      <c r="O592" s="10" t="inlineStr">
        <is>
          <t>DOCUMENTOS TÉCNICOS</t>
        </is>
      </c>
      <c r="P592" s="10" t="inlineStr">
        <is>
          <t>USO INTERNO(2)</t>
        </is>
      </c>
      <c r="Q592" s="10" t="inlineStr">
        <is>
          <t>BAJA(1)</t>
        </is>
      </c>
      <c r="R592" s="10" t="inlineStr">
        <is>
          <t>MEDIA(2)</t>
        </is>
      </c>
      <c r="S592" s="10">
        <f>+(IF(P592="PUBLICA(1)",1,IF(P592="USO INTERNO(2)",2,IF(P592="RESTRINGIDO(3)",3,3))))+(IF(Q592="BAJA(1)",1,IF(Q592="MEDIA(2)",2,IF(Q592="ALTA(3)",3,3))))+(IF(R592="BAJA(1)",1,IF(R592="MEDIA(2)",2,IF(R592="ALTA(3)",3,3))))</f>
        <v/>
      </c>
      <c r="T592" s="10">
        <f>+IF(S592&lt;6,"BAJA",IF(S592&lt;8,"MEDIA","ALTA"))</f>
        <v/>
      </c>
      <c r="U592" s="10" t="inlineStr">
        <is>
          <t>-</t>
        </is>
      </c>
      <c r="V592" s="24" t="n">
        <v>45673</v>
      </c>
      <c r="W592" s="19" t="inlineStr">
        <is>
          <t>N/A</t>
        </is>
      </c>
      <c r="X592" s="10">
        <f>+IFERROR(IF(VLOOKUP(Tabla2[[#This Row],[ID]],'EVALUACION DE RIESGO'!A:A,1,FALSE)=Tabla2[[#This Row],[ID]],"SI","NO"),"NO")</f>
        <v/>
      </c>
    </row>
    <row r="593">
      <c r="A593" s="91" t="inlineStr">
        <is>
          <t>34-GTH</t>
        </is>
      </c>
      <c r="B593" s="10" t="inlineStr">
        <is>
          <t>APOYO</t>
        </is>
      </c>
      <c r="C593" s="10" t="inlineStr">
        <is>
          <t>Gestión del Talento Humano</t>
        </is>
      </c>
      <c r="D593" s="10" t="inlineStr">
        <is>
          <t>GTH</t>
        </is>
      </c>
      <c r="E593" s="10" t="inlineStr">
        <is>
          <t>Gestión de Seguridad y Salud Ocupacional</t>
        </is>
      </c>
      <c r="F593" s="10" t="inlineStr">
        <is>
          <t xml:space="preserve">Salud Ocupacional </t>
        </is>
      </c>
      <c r="G593" s="10" t="inlineStr">
        <is>
          <t>Control Médico Pre-Ocupacional / Periodico Ocupacional</t>
        </is>
      </c>
      <c r="H593" s="10" t="inlineStr">
        <is>
          <t>Cuestionario de drogas y alcohol en espacios laborales</t>
        </is>
      </c>
      <c r="I593" s="10" t="inlineStr">
        <is>
          <t>Documento que indica el diagnostico de drogas y alcohol, que contiene fecha, cargo, información del empleado, estado civil, genera, etnia, discapacidad, hijos y test correspondiente</t>
        </is>
      </c>
      <c r="J593" s="10" t="inlineStr">
        <is>
          <t>Técnico en Seguridad y Salud Ocupacional</t>
        </is>
      </c>
      <c r="K593" s="10" t="inlineStr">
        <is>
          <t>Enfermera Ocupacional</t>
        </is>
      </c>
      <c r="L593" s="10" t="inlineStr">
        <is>
          <t>DOCUMENTOS FISICOS-ARCHIVOS DE LA OFICINA</t>
        </is>
      </c>
      <c r="M593" s="10" t="inlineStr">
        <is>
          <t>DOCUMENTO DE ARCHIVO-FÍSICO</t>
        </is>
      </c>
      <c r="N593" s="10" t="inlineStr">
        <is>
          <t>PRIMARIOS</t>
        </is>
      </c>
      <c r="O593" s="10" t="inlineStr">
        <is>
          <t>DOCUMENTOS TÉCNICOS</t>
        </is>
      </c>
      <c r="P593" s="10" t="inlineStr">
        <is>
          <t>RESTRINGIDO(3)</t>
        </is>
      </c>
      <c r="Q593" s="10" t="inlineStr">
        <is>
          <t>MEDIA(2)</t>
        </is>
      </c>
      <c r="R593" s="10" t="inlineStr">
        <is>
          <t>MEDIA(2)</t>
        </is>
      </c>
      <c r="S593" s="10">
        <f>+(IF(P593="PUBLICA(1)",1,IF(P593="USO INTERNO(2)",2,IF(P593="RESTRINGIDO(3)",3,3))))+(IF(Q593="BAJA(1)",1,IF(Q593="MEDIA(2)",2,IF(Q593="ALTA(3)",3,3))))+(IF(R593="BAJA(1)",1,IF(R593="MEDIA(2)",2,IF(R593="ALTA(3)",3,3))))</f>
        <v/>
      </c>
      <c r="T593" s="10">
        <f>+IF(S593&lt;6,"BAJA",IF(S593&lt;8,"MEDIA","ALTA"))</f>
        <v/>
      </c>
      <c r="U593" s="10" t="inlineStr">
        <is>
          <t>-</t>
        </is>
      </c>
      <c r="V593" s="24" t="n">
        <v>45673</v>
      </c>
      <c r="W593" s="19" t="inlineStr">
        <is>
          <t>N/A</t>
        </is>
      </c>
      <c r="X593" s="10">
        <f>+IFERROR(IF(VLOOKUP(Tabla2[[#This Row],[ID]],'EVALUACION DE RIESGO'!A:A,1,FALSE)=Tabla2[[#This Row],[ID]],"SI","NO"),"NO")</f>
        <v/>
      </c>
    </row>
    <row r="594">
      <c r="A594" s="91" t="inlineStr">
        <is>
          <t>35-GTH</t>
        </is>
      </c>
      <c r="B594" s="10" t="inlineStr">
        <is>
          <t>APOYO</t>
        </is>
      </c>
      <c r="C594" s="10" t="inlineStr">
        <is>
          <t>Gestión del Talento Humano</t>
        </is>
      </c>
      <c r="D594" s="10" t="inlineStr">
        <is>
          <t>GTH</t>
        </is>
      </c>
      <c r="E594" s="10" t="inlineStr">
        <is>
          <t>Gestión de Seguridad y Salud Ocupacional</t>
        </is>
      </c>
      <c r="F594" s="10" t="inlineStr">
        <is>
          <t xml:space="preserve">Salud Ocupacional </t>
        </is>
      </c>
      <c r="G594" s="10" t="inlineStr">
        <is>
          <t>Control Médico Pre-Ocupacional / Periodico Ocupacional</t>
        </is>
      </c>
      <c r="H594" s="10" t="inlineStr">
        <is>
          <t>Registro diario de atención médica</t>
        </is>
      </c>
      <c r="I594" s="10" t="inlineStr">
        <is>
          <t>Registro de atenciones que gestiona el Médico Ocupacional, contiene datos del paciente, diagnostico</t>
        </is>
      </c>
      <c r="J594" s="10" t="inlineStr">
        <is>
          <t>Técnico en Seguridad y Salud Ocupacional</t>
        </is>
      </c>
      <c r="K594" s="10" t="inlineStr">
        <is>
          <t>Técnico en Seguridad y Salud Ocupacional</t>
        </is>
      </c>
      <c r="L594" s="10" t="inlineStr">
        <is>
          <t>DOCUMENTOS FISICOS-ARCHIVOS DE LA OFICINA</t>
        </is>
      </c>
      <c r="M594" s="10" t="inlineStr">
        <is>
          <t>DOCUMENTO DE ARCHIVO-FÍSICO</t>
        </is>
      </c>
      <c r="N594" s="10" t="inlineStr">
        <is>
          <t>PRIMARIOS</t>
        </is>
      </c>
      <c r="O594" s="10" t="inlineStr">
        <is>
          <t>DOCUMENTOS TÉCNICOS</t>
        </is>
      </c>
      <c r="P594" s="10" t="inlineStr">
        <is>
          <t>USO INTERNO(2)</t>
        </is>
      </c>
      <c r="Q594" s="10" t="inlineStr">
        <is>
          <t>BAJA(1)</t>
        </is>
      </c>
      <c r="R594" s="10" t="inlineStr">
        <is>
          <t>MEDIA(2)</t>
        </is>
      </c>
      <c r="S594" s="10">
        <f>+(IF(P594="PUBLICA(1)",1,IF(P594="USO INTERNO(2)",2,IF(P594="RESTRINGIDO(3)",3,3))))+(IF(Q594="BAJA(1)",1,IF(Q594="MEDIA(2)",2,IF(Q594="ALTA(3)",3,3))))+(IF(R594="BAJA(1)",1,IF(R594="MEDIA(2)",2,IF(R594="ALTA(3)",3,3))))</f>
        <v/>
      </c>
      <c r="T594" s="10">
        <f>+IF(S594&lt;6,"BAJA",IF(S594&lt;8,"MEDIA","ALTA"))</f>
        <v/>
      </c>
      <c r="U594" s="10" t="inlineStr">
        <is>
          <t>-</t>
        </is>
      </c>
      <c r="V594" s="24" t="n">
        <v>45673</v>
      </c>
      <c r="W594" s="19" t="inlineStr">
        <is>
          <t>N/A</t>
        </is>
      </c>
      <c r="X594" s="10">
        <f>+IFERROR(IF(VLOOKUP(Tabla2[[#This Row],[ID]],'EVALUACION DE RIESGO'!A:A,1,FALSE)=Tabla2[[#This Row],[ID]],"SI","NO"),"NO")</f>
        <v/>
      </c>
    </row>
    <row r="595">
      <c r="A595" s="91" t="inlineStr">
        <is>
          <t>36-GTH</t>
        </is>
      </c>
      <c r="B595" s="10" t="inlineStr">
        <is>
          <t>APOYO</t>
        </is>
      </c>
      <c r="C595" s="10" t="inlineStr">
        <is>
          <t>Gestión del Talento Humano</t>
        </is>
      </c>
      <c r="D595" s="10" t="inlineStr">
        <is>
          <t>GTH</t>
        </is>
      </c>
      <c r="E595" s="10" t="inlineStr">
        <is>
          <t>Gestión de Seguridad y Salud Ocupacional</t>
        </is>
      </c>
      <c r="F595" s="10" t="inlineStr">
        <is>
          <t xml:space="preserve">Salud Ocupacional </t>
        </is>
      </c>
      <c r="G595" s="10" t="inlineStr">
        <is>
          <t>Control Médico Pre-Ocupacional / Periodico Ocupacional</t>
        </is>
      </c>
      <c r="H595" s="10" t="inlineStr">
        <is>
          <t>Matriz de Grupos Prioritarios</t>
        </is>
      </c>
      <c r="I595" s="10" t="inlineStr">
        <is>
          <t>Matriz donde se registran las personas con discapacidad y enfermedades crónicas no transmisibles.</t>
        </is>
      </c>
      <c r="J595" s="10" t="inlineStr">
        <is>
          <t>Técnico en Seguridad y Salud Ocupacional</t>
        </is>
      </c>
      <c r="K595" s="10" t="inlineStr">
        <is>
          <t>Técnico en Seguridad y Salud Ocupacional</t>
        </is>
      </c>
      <c r="L595" s="10" t="inlineStr">
        <is>
          <t>UBICACIÓN DIGITAL-EQUIPO DEL RESPONSABLE</t>
        </is>
      </c>
      <c r="M595" s="10" t="inlineStr">
        <is>
          <t>DISCOS DUROS, SERVIDORES, DISCOS O MEDIOS PORTÁTILES, CINTAS O MEDIOS DE VIDEO Y AUDIO, ETC.</t>
        </is>
      </c>
      <c r="N595" s="10" t="inlineStr">
        <is>
          <t>PRIMARIOS</t>
        </is>
      </c>
      <c r="O595" s="10" t="inlineStr">
        <is>
          <t>INFORMACIÓN DE SOCIOS Y CLIENTES</t>
        </is>
      </c>
      <c r="P595" s="10" t="inlineStr">
        <is>
          <t>RESTRINGIDO(3)</t>
        </is>
      </c>
      <c r="Q595" s="10" t="inlineStr">
        <is>
          <t>BAJA(1)</t>
        </is>
      </c>
      <c r="R595" s="10" t="inlineStr">
        <is>
          <t>MEDIA(2)</t>
        </is>
      </c>
      <c r="S595" s="10">
        <f>+(IF(P595="PUBLICA(1)",1,IF(P595="USO INTERNO(2)",2,IF(P595="RESTRINGIDO(3)",3,3))))+(IF(Q595="BAJA(1)",1,IF(Q595="MEDIA(2)",2,IF(Q595="ALTA(3)",3,3))))+(IF(R595="BAJA(1)",1,IF(R595="MEDIA(2)",2,IF(R595="ALTA(3)",3,3))))</f>
        <v/>
      </c>
      <c r="T595" s="10">
        <f>+IF(S595&lt;6,"BAJA",IF(S595&lt;8,"MEDIA","ALTA"))</f>
        <v/>
      </c>
      <c r="U595" s="10" t="inlineStr">
        <is>
          <t>-</t>
        </is>
      </c>
      <c r="V595" s="24" t="n">
        <v>45673</v>
      </c>
      <c r="W595" s="19" t="inlineStr">
        <is>
          <t>N/A</t>
        </is>
      </c>
      <c r="X595" s="10">
        <f>+IFERROR(IF(VLOOKUP(Tabla2[[#This Row],[ID]],'EVALUACION DE RIESGO'!A:A,1,FALSE)=Tabla2[[#This Row],[ID]],"SI","NO"),"NO")</f>
        <v/>
      </c>
    </row>
    <row r="596">
      <c r="A596" s="91" t="inlineStr">
        <is>
          <t>37-GTH</t>
        </is>
      </c>
      <c r="B596" s="10" t="inlineStr">
        <is>
          <t>APOYO</t>
        </is>
      </c>
      <c r="C596" s="10" t="inlineStr">
        <is>
          <t>Gestión del Talento Humano</t>
        </is>
      </c>
      <c r="D596" s="10" t="inlineStr">
        <is>
          <t>GTH</t>
        </is>
      </c>
      <c r="E596" s="10" t="inlineStr">
        <is>
          <t>Gestión de Seguridad y Salud Ocupacional</t>
        </is>
      </c>
      <c r="F596" s="10" t="inlineStr">
        <is>
          <t xml:space="preserve">Salud Ocupacional </t>
        </is>
      </c>
      <c r="G596" s="10" t="inlineStr">
        <is>
          <t xml:space="preserve">Control Médico de Reintegro </t>
        </is>
      </c>
      <c r="H596" s="10" t="inlineStr">
        <is>
          <t>Evaluación de reintegro</t>
        </is>
      </c>
      <c r="I596" s="10" t="inlineStr">
        <is>
          <t>Ficha que se realiza a las personas que tienen un reposo médico superior a 7, 15 y 30 días, y personas que regresan del periodo de maternidad. Contiene información de certificación de reintegro, constantes vitales, examen físico general, diagnóstico y recomendaciones, aptitud médica</t>
        </is>
      </c>
      <c r="J596" s="10" t="inlineStr">
        <is>
          <t>Técnico en Seguridad y Salud Ocupacional</t>
        </is>
      </c>
      <c r="K596" s="10" t="inlineStr">
        <is>
          <t>Enfermera Ocupacional</t>
        </is>
      </c>
      <c r="L596" s="10" t="inlineStr">
        <is>
          <t>DOCUMENTOS FISICOS-ARCHIVOS DE LA OFICINA</t>
        </is>
      </c>
      <c r="M596" s="10" t="inlineStr">
        <is>
          <t>DOCUMENTO DE ARCHIVO-FÍSICO</t>
        </is>
      </c>
      <c r="N596" s="10" t="inlineStr">
        <is>
          <t>PRIMARIOS</t>
        </is>
      </c>
      <c r="O596" s="10" t="inlineStr">
        <is>
          <t>DOCUMENTOS TÉCNICOS</t>
        </is>
      </c>
      <c r="P596" s="10" t="inlineStr">
        <is>
          <t>USO INTERNO(2)</t>
        </is>
      </c>
      <c r="Q596" s="10" t="inlineStr">
        <is>
          <t>BAJA(1)</t>
        </is>
      </c>
      <c r="R596" s="10" t="inlineStr">
        <is>
          <t>MEDIA(2)</t>
        </is>
      </c>
      <c r="S596" s="10">
        <f>+(IF(P596="PUBLICA(1)",1,IF(P596="USO INTERNO(2)",2,IF(P596="RESTRINGIDO(3)",3,3))))+(IF(Q596="BAJA(1)",1,IF(Q596="MEDIA(2)",2,IF(Q596="ALTA(3)",3,3))))+(IF(R596="BAJA(1)",1,IF(R596="MEDIA(2)",2,IF(R596="ALTA(3)",3,3))))</f>
        <v/>
      </c>
      <c r="T596" s="10">
        <f>+IF(S596&lt;6,"BAJA",IF(S596&lt;8,"MEDIA","ALTA"))</f>
        <v/>
      </c>
      <c r="U596" s="10" t="inlineStr">
        <is>
          <t>-</t>
        </is>
      </c>
      <c r="V596" s="24" t="n">
        <v>45673</v>
      </c>
      <c r="W596" s="19" t="inlineStr">
        <is>
          <t>N/A</t>
        </is>
      </c>
      <c r="X596" s="10">
        <f>+IFERROR(IF(VLOOKUP(Tabla2[[#This Row],[ID]],'EVALUACION DE RIESGO'!A:A,1,FALSE)=Tabla2[[#This Row],[ID]],"SI","NO"),"NO")</f>
        <v/>
      </c>
    </row>
    <row r="597">
      <c r="A597" s="91" t="inlineStr">
        <is>
          <t>38-GTH</t>
        </is>
      </c>
      <c r="B597" s="10" t="inlineStr">
        <is>
          <t>APOYO</t>
        </is>
      </c>
      <c r="C597" s="10" t="inlineStr">
        <is>
          <t>Gestión del Talento Humano</t>
        </is>
      </c>
      <c r="D597" s="10" t="inlineStr">
        <is>
          <t>GTH</t>
        </is>
      </c>
      <c r="E597" s="10" t="inlineStr">
        <is>
          <t>Gestión de Seguridad y Salud Ocupacional</t>
        </is>
      </c>
      <c r="F597" s="10" t="inlineStr">
        <is>
          <t xml:space="preserve">Salud Ocupacional </t>
        </is>
      </c>
      <c r="G597" s="10" t="inlineStr">
        <is>
          <t xml:space="preserve">Control Médico Post Ocupacional </t>
        </is>
      </c>
      <c r="H597" s="10" t="inlineStr">
        <is>
          <t>Evaluación médica de retiro</t>
        </is>
      </c>
      <c r="I597" s="10" t="inlineStr">
        <is>
          <t>Ficha que se realiza a las personas que de desvinculan. Contiene información de certificación de reintegro, constantes vitales, examen físico general, diagnóstico y recomendaciones, aptitud médica</t>
        </is>
      </c>
      <c r="J597" s="10" t="inlineStr">
        <is>
          <t>Técnico en Seguridad y Salud Ocupacional</t>
        </is>
      </c>
      <c r="K597" s="10" t="inlineStr">
        <is>
          <t>Enfermera Ocupacional</t>
        </is>
      </c>
      <c r="L597" s="10" t="inlineStr">
        <is>
          <t>DOCUMENTOS FISICOS-ARCHIVOS DE LA OFICINA</t>
        </is>
      </c>
      <c r="M597" s="10" t="inlineStr">
        <is>
          <t>DOCUMENTO DE ARCHIVO-FÍSICO</t>
        </is>
      </c>
      <c r="N597" s="10" t="inlineStr">
        <is>
          <t>PRIMARIOS</t>
        </is>
      </c>
      <c r="O597" s="10" t="inlineStr">
        <is>
          <t>DOCUMENTOS TÉCNICOS</t>
        </is>
      </c>
      <c r="P597" s="10" t="inlineStr">
        <is>
          <t>USO INTERNO(2)</t>
        </is>
      </c>
      <c r="Q597" s="10" t="inlineStr">
        <is>
          <t>BAJA(1)</t>
        </is>
      </c>
      <c r="R597" s="10" t="inlineStr">
        <is>
          <t>MEDIA(2)</t>
        </is>
      </c>
      <c r="S597" s="10">
        <f>+(IF(P597="PUBLICA(1)",1,IF(P597="USO INTERNO(2)",2,IF(P597="RESTRINGIDO(3)",3,3))))+(IF(Q597="BAJA(1)",1,IF(Q597="MEDIA(2)",2,IF(Q597="ALTA(3)",3,3))))+(IF(R597="BAJA(1)",1,IF(R597="MEDIA(2)",2,IF(R597="ALTA(3)",3,3))))</f>
        <v/>
      </c>
      <c r="T597" s="10">
        <f>+IF(S597&lt;6,"BAJA",IF(S597&lt;8,"MEDIA","ALTA"))</f>
        <v/>
      </c>
      <c r="U597" s="10" t="inlineStr">
        <is>
          <t>-</t>
        </is>
      </c>
      <c r="V597" s="24" t="n">
        <v>45673</v>
      </c>
      <c r="W597" s="19" t="inlineStr">
        <is>
          <t>N/A</t>
        </is>
      </c>
      <c r="X597" s="10">
        <f>+IFERROR(IF(VLOOKUP(Tabla2[[#This Row],[ID]],'EVALUACION DE RIESGO'!A:A,1,FALSE)=Tabla2[[#This Row],[ID]],"SI","NO"),"NO")</f>
        <v/>
      </c>
    </row>
    <row r="598">
      <c r="A598" s="91" t="inlineStr">
        <is>
          <t>39-GTH</t>
        </is>
      </c>
      <c r="B598" s="10" t="inlineStr">
        <is>
          <t>APOYO</t>
        </is>
      </c>
      <c r="C598" s="10" t="inlineStr">
        <is>
          <t>Gestión del Talento Humano</t>
        </is>
      </c>
      <c r="D598" s="10" t="inlineStr">
        <is>
          <t>GTH</t>
        </is>
      </c>
      <c r="E598" s="10" t="inlineStr">
        <is>
          <t>Gestión de Seguridad y Salud Ocupacional</t>
        </is>
      </c>
      <c r="F598" s="10" t="inlineStr">
        <is>
          <t xml:space="preserve">Salud Ocupacional </t>
        </is>
      </c>
      <c r="G598" s="10" t="inlineStr">
        <is>
          <t xml:space="preserve">Seguimiento a Grupos Prioritarios   </t>
        </is>
      </c>
      <c r="H598" s="10" t="inlineStr">
        <is>
          <t>Registro de evolución del paciente</t>
        </is>
      </c>
      <c r="I598" s="10" t="inlineStr">
        <is>
          <t>Registro donde se indica la sintomatología del paciente y el médico ingres alas indicaciones que debe seguir el paciente</t>
        </is>
      </c>
      <c r="J598" s="10" t="inlineStr">
        <is>
          <t>Técnico en Seguridad y Salud Ocupacional</t>
        </is>
      </c>
      <c r="K598" s="10" t="inlineStr">
        <is>
          <t>Enfermera Ocupacional</t>
        </is>
      </c>
      <c r="L598" s="10" t="inlineStr">
        <is>
          <t>DOCUMENTOS FISICOS-ARCHIVOS DE LA OFICINA</t>
        </is>
      </c>
      <c r="M598" s="10" t="inlineStr">
        <is>
          <t>DOCUMENTO DE ARCHIVO-FÍSICO</t>
        </is>
      </c>
      <c r="N598" s="10" t="inlineStr">
        <is>
          <t>PRIMARIOS</t>
        </is>
      </c>
      <c r="O598" s="10" t="inlineStr">
        <is>
          <t>DOCUMENTOS TÉCNICOS</t>
        </is>
      </c>
      <c r="P598" s="10" t="inlineStr">
        <is>
          <t>RESTRINGIDO(3)</t>
        </is>
      </c>
      <c r="Q598" s="10" t="inlineStr">
        <is>
          <t>BAJA(1)</t>
        </is>
      </c>
      <c r="R598" s="10" t="inlineStr">
        <is>
          <t>MEDIA(2)</t>
        </is>
      </c>
      <c r="S598" s="10">
        <f>+(IF(P598="PUBLICA(1)",1,IF(P598="USO INTERNO(2)",2,IF(P598="RESTRINGIDO(3)",3,3))))+(IF(Q598="BAJA(1)",1,IF(Q598="MEDIA(2)",2,IF(Q598="ALTA(3)",3,3))))+(IF(R598="BAJA(1)",1,IF(R598="MEDIA(2)",2,IF(R598="ALTA(3)",3,3))))</f>
        <v/>
      </c>
      <c r="T598" s="10">
        <f>+IF(S598&lt;6,"BAJA",IF(S598&lt;8,"MEDIA","ALTA"))</f>
        <v/>
      </c>
      <c r="U598" s="10" t="inlineStr">
        <is>
          <t>-</t>
        </is>
      </c>
      <c r="V598" s="24" t="n">
        <v>45673</v>
      </c>
      <c r="W598" s="19" t="inlineStr">
        <is>
          <t>N/A</t>
        </is>
      </c>
      <c r="X598" s="10">
        <f>+IFERROR(IF(VLOOKUP(Tabla2[[#This Row],[ID]],'EVALUACION DE RIESGO'!A:A,1,FALSE)=Tabla2[[#This Row],[ID]],"SI","NO"),"NO")</f>
        <v/>
      </c>
    </row>
    <row r="599">
      <c r="A599" s="91" t="inlineStr">
        <is>
          <t>40-GTH</t>
        </is>
      </c>
      <c r="B599" s="10" t="inlineStr">
        <is>
          <t>APOYO</t>
        </is>
      </c>
      <c r="C599" s="10" t="inlineStr">
        <is>
          <t>Gestión del Talento Humano</t>
        </is>
      </c>
      <c r="D599" s="10" t="inlineStr">
        <is>
          <t>GTH</t>
        </is>
      </c>
      <c r="E599" s="10" t="inlineStr">
        <is>
          <t>Gestión de Seguridad y Salud Ocupacional</t>
        </is>
      </c>
      <c r="F599" s="10" t="inlineStr">
        <is>
          <t xml:space="preserve">Salud Ocupacional </t>
        </is>
      </c>
      <c r="G599" s="10" t="inlineStr">
        <is>
          <t>Atenciones Médicas Generales</t>
        </is>
      </c>
      <c r="H599" s="10" t="inlineStr">
        <is>
          <t>Registro de entrega de medicamentos</t>
        </is>
      </c>
      <c r="I599" s="10" t="inlineStr">
        <is>
          <t>Se registra todo el descargo de los medicamentos, contiene el de detalle del medicamento, cantidad, nombre y firma del paciente</t>
        </is>
      </c>
      <c r="J599" s="10" t="inlineStr">
        <is>
          <t>Técnico en Seguridad y Salud Ocupacional</t>
        </is>
      </c>
      <c r="K599" s="10" t="inlineStr">
        <is>
          <t>Enfermera Ocupacional</t>
        </is>
      </c>
      <c r="L599" s="10" t="inlineStr">
        <is>
          <t>DOCUMENTOS FISICOS-ARCHIVOS DE LA OFICINA</t>
        </is>
      </c>
      <c r="M599" s="10" t="inlineStr">
        <is>
          <t>DOCUMENTO DE ARCHIVO-FÍSICO</t>
        </is>
      </c>
      <c r="N599" s="10" t="inlineStr">
        <is>
          <t>PRIMARIOS</t>
        </is>
      </c>
      <c r="O599" s="10" t="inlineStr">
        <is>
          <t>DOCUMENTOS TÉCNICOS</t>
        </is>
      </c>
      <c r="P599" s="10" t="inlineStr">
        <is>
          <t>PUBLICA(1)</t>
        </is>
      </c>
      <c r="Q599" s="10" t="inlineStr">
        <is>
          <t>BAJA(1)</t>
        </is>
      </c>
      <c r="R599" s="10" t="inlineStr">
        <is>
          <t>MEDIA(2)</t>
        </is>
      </c>
      <c r="S599" s="10">
        <f>+(IF(P599="PUBLICA(1)",1,IF(P599="USO INTERNO(2)",2,IF(P599="RESTRINGIDO(3)",3,3))))+(IF(Q599="BAJA(1)",1,IF(Q599="MEDIA(2)",2,IF(Q599="ALTA(3)",3,3))))+(IF(R599="BAJA(1)",1,IF(R599="MEDIA(2)",2,IF(R599="ALTA(3)",3,3))))</f>
        <v/>
      </c>
      <c r="T599" s="10">
        <f>+IF(S599&lt;6,"BAJA",IF(S599&lt;8,"MEDIA","ALTA"))</f>
        <v/>
      </c>
      <c r="U599" s="10" t="inlineStr">
        <is>
          <t>-</t>
        </is>
      </c>
      <c r="V599" s="24" t="n">
        <v>45673</v>
      </c>
      <c r="W599" s="19" t="inlineStr">
        <is>
          <t>N/A</t>
        </is>
      </c>
      <c r="X599" s="10">
        <f>+IFERROR(IF(VLOOKUP(Tabla2[[#This Row],[ID]],'EVALUACION DE RIESGO'!A:A,1,FALSE)=Tabla2[[#This Row],[ID]],"SI","NO"),"NO")</f>
        <v/>
      </c>
    </row>
    <row r="600">
      <c r="A600" s="91" t="inlineStr">
        <is>
          <t>41-GTH</t>
        </is>
      </c>
      <c r="B600" s="10" t="inlineStr">
        <is>
          <t>APOYO</t>
        </is>
      </c>
      <c r="C600" s="10" t="inlineStr">
        <is>
          <t>Gestión del Talento Humano</t>
        </is>
      </c>
      <c r="D600" s="10" t="inlineStr">
        <is>
          <t>GTH</t>
        </is>
      </c>
      <c r="E600" s="10" t="inlineStr">
        <is>
          <t>Gestión de Seguridad y Salud Ocupacional</t>
        </is>
      </c>
      <c r="F600" s="10" t="inlineStr">
        <is>
          <t xml:space="preserve">Salud Ocupacional </t>
        </is>
      </c>
      <c r="G600" s="10" t="inlineStr">
        <is>
          <t xml:space="preserve">Administración de medicamentos  </t>
        </is>
      </c>
      <c r="H600" s="10" t="inlineStr">
        <is>
          <t>Matriz de medicamentos e insumos consultorio médico</t>
        </is>
      </c>
      <c r="I600" s="10" t="inlineStr">
        <is>
          <t>Matriz de inventario de lo existente y las nuevas adquisiciones con su respectivo descargo</t>
        </is>
      </c>
      <c r="J600" s="10" t="inlineStr">
        <is>
          <t>Técnico en Seguridad y Salud Ocupacional</t>
        </is>
      </c>
      <c r="K600" s="10" t="inlineStr">
        <is>
          <t>Enfermera Ocupacional</t>
        </is>
      </c>
      <c r="L600" s="10" t="inlineStr">
        <is>
          <t>UBICACIÓN DIGITAL-EQUIPO DEL RESPONSABLE</t>
        </is>
      </c>
      <c r="M600" s="10" t="inlineStr">
        <is>
          <t>DISCOS DUROS, SERVIDORES, DISCOS O MEDIOS PORTÁTILES, CINTAS O MEDIOS DE VIDEO Y AUDIO, ETC.</t>
        </is>
      </c>
      <c r="N600" s="10" t="inlineStr">
        <is>
          <t>PRIMARIOS</t>
        </is>
      </c>
      <c r="O600" s="10" t="inlineStr">
        <is>
          <t>DOCUMENTOS TÉCNICOS</t>
        </is>
      </c>
      <c r="P600" s="10" t="inlineStr">
        <is>
          <t>PUBLICA(1)</t>
        </is>
      </c>
      <c r="Q600" s="10" t="inlineStr">
        <is>
          <t>BAJA(1)</t>
        </is>
      </c>
      <c r="R600" s="10" t="inlineStr">
        <is>
          <t>BAJA(1)</t>
        </is>
      </c>
      <c r="S600" s="10">
        <f>+(IF(P600="PUBLICA(1)",1,IF(P600="USO INTERNO(2)",2,IF(P600="RESTRINGIDO(3)",3,3))))+(IF(Q600="BAJA(1)",1,IF(Q600="MEDIA(2)",2,IF(Q600="ALTA(3)",3,3))))+(IF(R600="BAJA(1)",1,IF(R600="MEDIA(2)",2,IF(R600="ALTA(3)",3,3))))</f>
        <v/>
      </c>
      <c r="T600" s="10">
        <f>+IF(S600&lt;6,"BAJA",IF(S600&lt;8,"MEDIA","ALTA"))</f>
        <v/>
      </c>
      <c r="U600" s="10" t="inlineStr">
        <is>
          <t>-</t>
        </is>
      </c>
      <c r="V600" s="24" t="n">
        <v>45673</v>
      </c>
      <c r="W600" s="19" t="inlineStr">
        <is>
          <t>N/A</t>
        </is>
      </c>
      <c r="X600" s="10">
        <f>+IFERROR(IF(VLOOKUP(Tabla2[[#This Row],[ID]],'EVALUACION DE RIESGO'!A:A,1,FALSE)=Tabla2[[#This Row],[ID]],"SI","NO"),"NO")</f>
        <v/>
      </c>
    </row>
    <row r="601">
      <c r="A601" s="91" t="inlineStr">
        <is>
          <t>42-GTH</t>
        </is>
      </c>
      <c r="B601" s="10" t="inlineStr">
        <is>
          <t>APOYO</t>
        </is>
      </c>
      <c r="C601" s="10" t="inlineStr">
        <is>
          <t>Gestión del Talento Humano</t>
        </is>
      </c>
      <c r="D601" s="10" t="inlineStr">
        <is>
          <t>GTH</t>
        </is>
      </c>
      <c r="E601" s="10" t="inlineStr">
        <is>
          <t>Gestión de Seguridad y Salud Ocupacional</t>
        </is>
      </c>
      <c r="F601" s="10" t="inlineStr">
        <is>
          <t xml:space="preserve">Salud Ocupacional </t>
        </is>
      </c>
      <c r="G601" s="10" t="inlineStr">
        <is>
          <t>Investigación y notificación de enfermedades ocupacionales</t>
        </is>
      </c>
      <c r="H601" s="10" t="inlineStr">
        <is>
          <t>Reporte de aviso de enfermedad ocupacional</t>
        </is>
      </c>
      <c r="I601" s="10" t="inlineStr">
        <is>
          <t>Revisión inicial en Ficha Ocupacional Anual y seguimiento por parte del técnico en SSO</t>
        </is>
      </c>
      <c r="J601" s="10" t="inlineStr">
        <is>
          <t>Técnico en Seguridad y Salud Ocupacional</t>
        </is>
      </c>
      <c r="K601" s="10" t="inlineStr">
        <is>
          <t>Técnico en Seguridad y Salud Ocupacional</t>
        </is>
      </c>
      <c r="L601" s="10" t="inlineStr">
        <is>
          <t>DOCUMENTOS FISICOS-ARCHIVOS DE LA OFICINA</t>
        </is>
      </c>
      <c r="M601" s="10" t="inlineStr">
        <is>
          <t>DOCUMENTO DE ARCHIVO-FÍSICO</t>
        </is>
      </c>
      <c r="N601" s="10" t="inlineStr">
        <is>
          <t>PRIMARIOS</t>
        </is>
      </c>
      <c r="O601" s="10" t="inlineStr">
        <is>
          <t>DOCUMENTOS TÉCNICOS</t>
        </is>
      </c>
      <c r="P601" s="10" t="inlineStr">
        <is>
          <t>USO INTERNO(2)</t>
        </is>
      </c>
      <c r="Q601" s="10" t="inlineStr">
        <is>
          <t>BAJA(1)</t>
        </is>
      </c>
      <c r="R601" s="10" t="inlineStr">
        <is>
          <t>MEDIA(2)</t>
        </is>
      </c>
      <c r="S601" s="10">
        <f>+(IF(P601="PUBLICA(1)",1,IF(P601="USO INTERNO(2)",2,IF(P601="RESTRINGIDO(3)",3,3))))+(IF(Q601="BAJA(1)",1,IF(Q601="MEDIA(2)",2,IF(Q601="ALTA(3)",3,3))))+(IF(R601="BAJA(1)",1,IF(R601="MEDIA(2)",2,IF(R601="ALTA(3)",3,3))))</f>
        <v/>
      </c>
      <c r="T601" s="10">
        <f>+IF(S601&lt;6,"BAJA",IF(S601&lt;8,"MEDIA","ALTA"))</f>
        <v/>
      </c>
      <c r="U601" s="10" t="inlineStr">
        <is>
          <t>-</t>
        </is>
      </c>
      <c r="V601" s="24" t="n">
        <v>45673</v>
      </c>
      <c r="W601" s="19" t="inlineStr">
        <is>
          <t>N/A</t>
        </is>
      </c>
      <c r="X601" s="10">
        <f>+IFERROR(IF(VLOOKUP(Tabla2[[#This Row],[ID]],'EVALUACION DE RIESGO'!A:A,1,FALSE)=Tabla2[[#This Row],[ID]],"SI","NO"),"NO")</f>
        <v/>
      </c>
    </row>
    <row r="602">
      <c r="A602" s="91" t="inlineStr">
        <is>
          <t>43-GTH</t>
        </is>
      </c>
      <c r="B602" s="10" t="inlineStr">
        <is>
          <t>APOYO</t>
        </is>
      </c>
      <c r="C602" s="10" t="inlineStr">
        <is>
          <t>Gestión del Talento Humano</t>
        </is>
      </c>
      <c r="D602" s="10" t="inlineStr">
        <is>
          <t>GTH</t>
        </is>
      </c>
      <c r="E602" s="10" t="inlineStr">
        <is>
          <t>Gestión de Seguridad y Salud Ocupacional</t>
        </is>
      </c>
      <c r="F602" s="10" t="inlineStr">
        <is>
          <t xml:space="preserve">Salud Ocupacional </t>
        </is>
      </c>
      <c r="G602" s="10" t="inlineStr">
        <is>
          <t>Investigación y notificación de enfermedades ocupacionales</t>
        </is>
      </c>
      <c r="H602" s="10" t="inlineStr">
        <is>
          <t>Sumilla de resoluciones</t>
        </is>
      </c>
      <c r="I602" s="10" t="inlineStr">
        <is>
          <t xml:space="preserve">Se presenta al Comité de SSO quienes emiten la resolución que consta es las actas de reunión </t>
        </is>
      </c>
      <c r="J602" s="10" t="inlineStr">
        <is>
          <t>Técnico en Seguridad y Salud Ocupacional</t>
        </is>
      </c>
      <c r="K602" s="10" t="inlineStr">
        <is>
          <t>Técnico en Seguridad y Salud Ocupacional</t>
        </is>
      </c>
      <c r="L602" s="10" t="inlineStr">
        <is>
          <t>UBICACIÓN DIGITAL-EQUIPO DEL RESPONSABLE</t>
        </is>
      </c>
      <c r="M602" s="10" t="inlineStr">
        <is>
          <t>DISCOS DUROS, SERVIDORES, DISCOS O MEDIOS PORTÁTILES, CINTAS O MEDIOS DE VIDEO Y AUDIO, ETC.</t>
        </is>
      </c>
      <c r="N602" s="10" t="inlineStr">
        <is>
          <t>PRIMARIOS</t>
        </is>
      </c>
      <c r="O602" s="10" t="inlineStr">
        <is>
          <t>DOCUMENTOS HABILITANTES</t>
        </is>
      </c>
      <c r="P602" s="10" t="inlineStr">
        <is>
          <t>USO INTERNO(2)</t>
        </is>
      </c>
      <c r="Q602" s="10" t="inlineStr">
        <is>
          <t>BAJA(1)</t>
        </is>
      </c>
      <c r="R602" s="10" t="inlineStr">
        <is>
          <t>BAJA(1)</t>
        </is>
      </c>
      <c r="S602" s="10">
        <f>+(IF(P602="PUBLICA(1)",1,IF(P602="USO INTERNO(2)",2,IF(P602="RESTRINGIDO(3)",3,3))))+(IF(Q602="BAJA(1)",1,IF(Q602="MEDIA(2)",2,IF(Q602="ALTA(3)",3,3))))+(IF(R602="BAJA(1)",1,IF(R602="MEDIA(2)",2,IF(R602="ALTA(3)",3,3))))</f>
        <v/>
      </c>
      <c r="T602" s="10">
        <f>+IF(S602&lt;6,"BAJA",IF(S602&lt;8,"MEDIA","ALTA"))</f>
        <v/>
      </c>
      <c r="U602" s="10" t="inlineStr">
        <is>
          <t>-</t>
        </is>
      </c>
      <c r="V602" s="24" t="n">
        <v>45673</v>
      </c>
      <c r="W602" s="19" t="inlineStr">
        <is>
          <t>N/A</t>
        </is>
      </c>
      <c r="X602" s="10">
        <f>+IFERROR(IF(VLOOKUP(Tabla2[[#This Row],[ID]],'EVALUACION DE RIESGO'!A:A,1,FALSE)=Tabla2[[#This Row],[ID]],"SI","NO"),"NO")</f>
        <v/>
      </c>
    </row>
    <row r="603">
      <c r="A603" s="91" t="inlineStr">
        <is>
          <t>44-GTH</t>
        </is>
      </c>
      <c r="B603" s="10" t="inlineStr">
        <is>
          <t>APOYO</t>
        </is>
      </c>
      <c r="C603" s="10" t="inlineStr">
        <is>
          <t>Gestión del Talento Humano</t>
        </is>
      </c>
      <c r="D603" s="10" t="inlineStr">
        <is>
          <t>GTH</t>
        </is>
      </c>
      <c r="E603" s="10" t="inlineStr">
        <is>
          <t>Gestión de Seguridad y Salud Ocupacional</t>
        </is>
      </c>
      <c r="F603" s="10" t="inlineStr">
        <is>
          <t xml:space="preserve">Salud Ocupacional </t>
        </is>
      </c>
      <c r="G603" s="10" t="inlineStr">
        <is>
          <t>Investigación y notificación de enfermedades ocupacionales</t>
        </is>
      </c>
      <c r="H603" s="10" t="inlineStr">
        <is>
          <t>Calificación de enfermedad ocupacional</t>
        </is>
      </c>
      <c r="I603" s="10" t="inlineStr">
        <is>
          <t>Revisión inicial en Ficha Ocupacional Anual y seguimiento por parte del técnico en SSO</t>
        </is>
      </c>
      <c r="J603" s="10" t="inlineStr">
        <is>
          <t>Técnico en Seguridad y Salud Ocupacional</t>
        </is>
      </c>
      <c r="K603" s="10" t="inlineStr">
        <is>
          <t>Técnico en Seguridad y Salud Ocupacional</t>
        </is>
      </c>
      <c r="L603" s="10" t="inlineStr">
        <is>
          <t>DOCUMENTOS FISICOS-ARCHIVOS DE LA OFICINA</t>
        </is>
      </c>
      <c r="M603" s="10" t="inlineStr">
        <is>
          <t>DOCUMENTO DE ARCHIVO-FÍSICO</t>
        </is>
      </c>
      <c r="N603" s="10" t="inlineStr">
        <is>
          <t>PRIMARIOS</t>
        </is>
      </c>
      <c r="O603" s="10" t="inlineStr">
        <is>
          <t>DOCUMENTOS TÉCNICOS</t>
        </is>
      </c>
      <c r="P603" s="10" t="inlineStr">
        <is>
          <t>PUBLICA(1)</t>
        </is>
      </c>
      <c r="Q603" s="10" t="inlineStr">
        <is>
          <t>BAJA(1)</t>
        </is>
      </c>
      <c r="R603" s="10" t="inlineStr">
        <is>
          <t>MEDIA(2)</t>
        </is>
      </c>
      <c r="S603" s="10">
        <f>+(IF(P603="PUBLICA(1)",1,IF(P603="USO INTERNO(2)",2,IF(P603="RESTRINGIDO(3)",3,3))))+(IF(Q603="BAJA(1)",1,IF(Q603="MEDIA(2)",2,IF(Q603="ALTA(3)",3,3))))+(IF(R603="BAJA(1)",1,IF(R603="MEDIA(2)",2,IF(R603="ALTA(3)",3,3))))</f>
        <v/>
      </c>
      <c r="T603" s="10">
        <f>+IF(S603&lt;6,"BAJA",IF(S603&lt;8,"MEDIA","ALTA"))</f>
        <v/>
      </c>
      <c r="U603" s="10" t="inlineStr">
        <is>
          <t>-</t>
        </is>
      </c>
      <c r="V603" s="24" t="n">
        <v>45673</v>
      </c>
      <c r="W603" s="19" t="inlineStr">
        <is>
          <t>N/A</t>
        </is>
      </c>
      <c r="X603" s="10">
        <f>+IFERROR(IF(VLOOKUP(Tabla2[[#This Row],[ID]],'EVALUACION DE RIESGO'!A:A,1,FALSE)=Tabla2[[#This Row],[ID]],"SI","NO"),"NO")</f>
        <v/>
      </c>
    </row>
    <row r="604">
      <c r="A604" s="91" t="inlineStr">
        <is>
          <t>45-GTH</t>
        </is>
      </c>
      <c r="B604" s="10" t="inlineStr">
        <is>
          <t>APOYO</t>
        </is>
      </c>
      <c r="C604" s="10" t="inlineStr">
        <is>
          <t>Gestión del Talento Humano</t>
        </is>
      </c>
      <c r="D604" s="10" t="inlineStr">
        <is>
          <t>GTH</t>
        </is>
      </c>
      <c r="E604" s="10" t="inlineStr">
        <is>
          <t>Gestión de Seguridad y Salud Ocupacional</t>
        </is>
      </c>
      <c r="F604" s="10" t="inlineStr">
        <is>
          <t xml:space="preserve">Salud Ocupacional </t>
        </is>
      </c>
      <c r="G604" s="10" t="inlineStr">
        <is>
          <t>Investigación y notificación de enfermedades ocupacionales</t>
        </is>
      </c>
      <c r="H604" s="10" t="inlineStr">
        <is>
          <t>Notificación de estado de salud</t>
        </is>
      </c>
      <c r="I604" s="10" t="inlineStr">
        <is>
          <t>Evaluación médica, evaluación del Técnico de SSO y evaluación ergonómica</t>
        </is>
      </c>
      <c r="J604" s="10" t="inlineStr">
        <is>
          <t>Técnico en Seguridad y Salud Ocupacional</t>
        </is>
      </c>
      <c r="K604" s="10" t="inlineStr">
        <is>
          <t>Técnico en Seguridad y Salud Ocupacional</t>
        </is>
      </c>
      <c r="L604" s="10" t="inlineStr">
        <is>
          <t>DOCUMENTOS FISICOS-ARCHIVOS DE LA OFICINA</t>
        </is>
      </c>
      <c r="M604" s="10" t="inlineStr">
        <is>
          <t>DOCUMENTO DE ARCHIVO-FÍSICO</t>
        </is>
      </c>
      <c r="N604" s="10" t="inlineStr">
        <is>
          <t>PRIMARIOS</t>
        </is>
      </c>
      <c r="O604" s="10" t="inlineStr">
        <is>
          <t>COMUNICACIÓN INTERNA</t>
        </is>
      </c>
      <c r="P604" s="10" t="inlineStr">
        <is>
          <t>RESTRINGIDO(3)</t>
        </is>
      </c>
      <c r="Q604" s="10" t="inlineStr">
        <is>
          <t>BAJA(1)</t>
        </is>
      </c>
      <c r="R604" s="10" t="inlineStr">
        <is>
          <t>MEDIA(2)</t>
        </is>
      </c>
      <c r="S604" s="10">
        <f>+(IF(P604="PUBLICA(1)",1,IF(P604="USO INTERNO(2)",2,IF(P604="RESTRINGIDO(3)",3,3))))+(IF(Q604="BAJA(1)",1,IF(Q604="MEDIA(2)",2,IF(Q604="ALTA(3)",3,3))))+(IF(R604="BAJA(1)",1,IF(R604="MEDIA(2)",2,IF(R604="ALTA(3)",3,3))))</f>
        <v/>
      </c>
      <c r="T604" s="10">
        <f>+IF(S604&lt;6,"BAJA",IF(S604&lt;8,"MEDIA","ALTA"))</f>
        <v/>
      </c>
      <c r="U604" s="10" t="inlineStr">
        <is>
          <t>-</t>
        </is>
      </c>
      <c r="V604" s="24" t="n">
        <v>45673</v>
      </c>
      <c r="W604" s="19" t="inlineStr">
        <is>
          <t>N/A</t>
        </is>
      </c>
      <c r="X604" s="10">
        <f>+IFERROR(IF(VLOOKUP(Tabla2[[#This Row],[ID]],'EVALUACION DE RIESGO'!A:A,1,FALSE)=Tabla2[[#This Row],[ID]],"SI","NO"),"NO")</f>
        <v/>
      </c>
    </row>
    <row r="605">
      <c r="A605" s="91" t="inlineStr">
        <is>
          <t>46-GTH</t>
        </is>
      </c>
      <c r="B605" s="10" t="inlineStr">
        <is>
          <t>APOYO</t>
        </is>
      </c>
      <c r="C605" s="10" t="inlineStr">
        <is>
          <t>Gestión del Talento Humano</t>
        </is>
      </c>
      <c r="D605" s="10" t="inlineStr">
        <is>
          <t>GTH</t>
        </is>
      </c>
      <c r="E605" s="10" t="inlineStr">
        <is>
          <t>Gestión de Seguridad y Salud Ocupacional</t>
        </is>
      </c>
      <c r="F605" s="10" t="inlineStr">
        <is>
          <t xml:space="preserve">Salud Ocupacional </t>
        </is>
      </c>
      <c r="G605" s="10" t="inlineStr">
        <is>
          <t>Manejo de desechos del Consultorio Médico</t>
        </is>
      </c>
      <c r="H605" s="10" t="inlineStr">
        <is>
          <t>Registro de recolección de desechos del consultorio médico</t>
        </is>
      </c>
      <c r="I605" s="10" t="inlineStr">
        <is>
          <t>Control de los desechos infecciosos, cortopunzantes y especiales con firmas de responsabilidad</t>
        </is>
      </c>
      <c r="J605" s="10" t="inlineStr">
        <is>
          <t>Técnico en Seguridad y Salud Ocupacional</t>
        </is>
      </c>
      <c r="K605" s="10" t="inlineStr">
        <is>
          <t>Enfermera Ocupacional</t>
        </is>
      </c>
      <c r="L605" s="10" t="inlineStr">
        <is>
          <t>DOCUMENTOS FISICOS-ARCHIVOS DE LA OFICINA</t>
        </is>
      </c>
      <c r="M605" s="10" t="inlineStr">
        <is>
          <t>DOCUMENTO DE ARCHIVO-FÍSICO</t>
        </is>
      </c>
      <c r="N605" s="10" t="inlineStr">
        <is>
          <t>PRIMARIOS</t>
        </is>
      </c>
      <c r="O605" s="10" t="inlineStr">
        <is>
          <t>DOCUMENTOS TÉCNICOS</t>
        </is>
      </c>
      <c r="P605" s="10" t="inlineStr">
        <is>
          <t>PUBLICA(1)</t>
        </is>
      </c>
      <c r="Q605" s="10" t="inlineStr">
        <is>
          <t>BAJA(1)</t>
        </is>
      </c>
      <c r="R605" s="10" t="inlineStr">
        <is>
          <t>BAJA(1)</t>
        </is>
      </c>
      <c r="S605" s="10">
        <f>+(IF(P605="PUBLICA(1)",1,IF(P605="USO INTERNO(2)",2,IF(P605="RESTRINGIDO(3)",3,3))))+(IF(Q605="BAJA(1)",1,IF(Q605="MEDIA(2)",2,IF(Q605="ALTA(3)",3,3))))+(IF(R605="BAJA(1)",1,IF(R605="MEDIA(2)",2,IF(R605="ALTA(3)",3,3))))</f>
        <v/>
      </c>
      <c r="T605" s="10">
        <f>+IF(S605&lt;6,"BAJA",IF(S605&lt;8,"MEDIA","ALTA"))</f>
        <v/>
      </c>
      <c r="U605" s="10" t="inlineStr">
        <is>
          <t>-</t>
        </is>
      </c>
      <c r="V605" s="24" t="n">
        <v>45673</v>
      </c>
      <c r="W605" s="19" t="inlineStr">
        <is>
          <t>N/A</t>
        </is>
      </c>
      <c r="X605" s="10">
        <f>+IFERROR(IF(VLOOKUP(Tabla2[[#This Row],[ID]],'EVALUACION DE RIESGO'!A:A,1,FALSE)=Tabla2[[#This Row],[ID]],"SI","NO"),"NO")</f>
        <v/>
      </c>
    </row>
    <row r="606">
      <c r="A606" s="91" t="inlineStr">
        <is>
          <t>47-GTH</t>
        </is>
      </c>
      <c r="B606" s="10" t="inlineStr">
        <is>
          <t>APOYO</t>
        </is>
      </c>
      <c r="C606" s="10" t="inlineStr">
        <is>
          <t>Gestión del Talento Humano</t>
        </is>
      </c>
      <c r="D606" s="10" t="inlineStr">
        <is>
          <t>GTH</t>
        </is>
      </c>
      <c r="E606" s="10" t="inlineStr">
        <is>
          <t>Gestión de Seguridad y Salud Ocupacional</t>
        </is>
      </c>
      <c r="F606" s="10" t="inlineStr">
        <is>
          <t xml:space="preserve">Salud Ocupacional </t>
        </is>
      </c>
      <c r="G606" s="10" t="inlineStr">
        <is>
          <t>Derivación, monitoreo y reinserción del personal del tratamiento por consumo de drogas</t>
        </is>
      </c>
      <c r="H606" s="10" t="inlineStr">
        <is>
          <t>Carta de compromiso de sujeción al tratamiento</t>
        </is>
      </c>
      <c r="I606" s="10" t="inlineStr">
        <is>
          <t>Matriz de diagnóstico inicial del Programa de Drogas alcohol y tabaco</t>
        </is>
      </c>
      <c r="J606" s="10" t="inlineStr">
        <is>
          <t>Técnico en Seguridad y Salud Ocupacional</t>
        </is>
      </c>
      <c r="K606" s="10" t="inlineStr">
        <is>
          <t>Técnico en Seguridad y Salud Ocupacional</t>
        </is>
      </c>
      <c r="L606" s="10" t="inlineStr">
        <is>
          <t>UBICACIÓN DIGITAL-EQUIPO DEL RESPONSABLE</t>
        </is>
      </c>
      <c r="M606" s="10" t="inlineStr">
        <is>
          <t>DISCOS DUROS, SERVIDORES, DISCOS O MEDIOS PORTÁTILES, CINTAS O MEDIOS DE VIDEO Y AUDIO, ETC.</t>
        </is>
      </c>
      <c r="N606" s="10" t="inlineStr">
        <is>
          <t>PRIMARIOS</t>
        </is>
      </c>
      <c r="O606" s="10" t="inlineStr">
        <is>
          <t>DOCUMENTOS TÉCNICOS</t>
        </is>
      </c>
      <c r="P606" s="10" t="inlineStr">
        <is>
          <t>USO INTERNO(2)</t>
        </is>
      </c>
      <c r="Q606" s="10" t="inlineStr">
        <is>
          <t>BAJA(1)</t>
        </is>
      </c>
      <c r="R606" s="10" t="inlineStr">
        <is>
          <t>BAJA(1)</t>
        </is>
      </c>
      <c r="S606" s="10">
        <f>+(IF(P606="PUBLICA(1)",1,IF(P606="USO INTERNO(2)",2,IF(P606="RESTRINGIDO(3)",3,3))))+(IF(Q606="BAJA(1)",1,IF(Q606="MEDIA(2)",2,IF(Q606="ALTA(3)",3,3))))+(IF(R606="BAJA(1)",1,IF(R606="MEDIA(2)",2,IF(R606="ALTA(3)",3,3))))</f>
        <v/>
      </c>
      <c r="T606" s="10">
        <f>+IF(S606&lt;6,"BAJA",IF(S606&lt;8,"MEDIA","ALTA"))</f>
        <v/>
      </c>
      <c r="U606" s="10" t="inlineStr">
        <is>
          <t>-</t>
        </is>
      </c>
      <c r="V606" s="24" t="n">
        <v>45673</v>
      </c>
      <c r="W606" s="19" t="inlineStr">
        <is>
          <t>N/A</t>
        </is>
      </c>
      <c r="X606" s="10">
        <f>+IFERROR(IF(VLOOKUP(Tabla2[[#This Row],[ID]],'EVALUACION DE RIESGO'!A:A,1,FALSE)=Tabla2[[#This Row],[ID]],"SI","NO"),"NO")</f>
        <v/>
      </c>
    </row>
    <row r="607">
      <c r="A607" s="91" t="inlineStr">
        <is>
          <t>48-GTH</t>
        </is>
      </c>
      <c r="B607" s="10" t="inlineStr">
        <is>
          <t>APOYO</t>
        </is>
      </c>
      <c r="C607" s="10" t="inlineStr">
        <is>
          <t>Gestión del Talento Humano</t>
        </is>
      </c>
      <c r="D607" s="10" t="inlineStr">
        <is>
          <t>GTH</t>
        </is>
      </c>
      <c r="E607" s="10" t="inlineStr">
        <is>
          <t>Gestión de Seguridad y Salud Ocupacional</t>
        </is>
      </c>
      <c r="F607" s="10" t="inlineStr">
        <is>
          <t xml:space="preserve">Salud Ocupacional </t>
        </is>
      </c>
      <c r="G607" s="10" t="inlineStr">
        <is>
          <t>Derivación, monitoreo y reinserción del personal del tratamiento por consumo de drogas</t>
        </is>
      </c>
      <c r="H607" s="10" t="inlineStr">
        <is>
          <t>Acuerdo para cancelar la nómina a los familiares del trabajador rehabilitado.</t>
        </is>
      </c>
      <c r="I607" s="10" t="inlineStr">
        <is>
          <t>Matriz de diagnóstico inicial del Programa de Drogas alcohol y tabaco</t>
        </is>
      </c>
      <c r="J607" s="10" t="inlineStr">
        <is>
          <t>Técnico en Seguridad y Salud Ocupacional</t>
        </is>
      </c>
      <c r="K607" s="10" t="inlineStr">
        <is>
          <t>Técnico en Seguridad y Salud Ocupacional</t>
        </is>
      </c>
      <c r="L607" s="10" t="inlineStr">
        <is>
          <t>UBICACIÓN DIGITAL-EQUIPO DEL RESPONSABLE</t>
        </is>
      </c>
      <c r="M607" s="10" t="inlineStr">
        <is>
          <t>DISCOS DUROS, SERVIDORES, DISCOS O MEDIOS PORTÁTILES, CINTAS O MEDIOS DE VIDEO Y AUDIO, ETC.</t>
        </is>
      </c>
      <c r="N607" s="10" t="inlineStr">
        <is>
          <t>PRIMARIOS</t>
        </is>
      </c>
      <c r="O607" s="10" t="inlineStr">
        <is>
          <t>DOCUMENTOS TÉCNICOS</t>
        </is>
      </c>
      <c r="P607" s="10" t="inlineStr">
        <is>
          <t>PUBLICA(1)</t>
        </is>
      </c>
      <c r="Q607" s="10" t="inlineStr">
        <is>
          <t>BAJA(1)</t>
        </is>
      </c>
      <c r="R607" s="10" t="inlineStr">
        <is>
          <t>BAJA(1)</t>
        </is>
      </c>
      <c r="S607" s="10">
        <f>+(IF(P607="PUBLICA(1)",1,IF(P607="USO INTERNO(2)",2,IF(P607="RESTRINGIDO(3)",3,3))))+(IF(Q607="BAJA(1)",1,IF(Q607="MEDIA(2)",2,IF(Q607="ALTA(3)",3,3))))+(IF(R607="BAJA(1)",1,IF(R607="MEDIA(2)",2,IF(R607="ALTA(3)",3,3))))</f>
        <v/>
      </c>
      <c r="T607" s="10">
        <f>+IF(S607&lt;6,"BAJA",IF(S607&lt;8,"MEDIA","ALTA"))</f>
        <v/>
      </c>
      <c r="U607" s="10" t="inlineStr">
        <is>
          <t>-</t>
        </is>
      </c>
      <c r="V607" s="24" t="n">
        <v>45673</v>
      </c>
      <c r="W607" s="19" t="inlineStr">
        <is>
          <t>N/A</t>
        </is>
      </c>
      <c r="X607" s="10">
        <f>+IFERROR(IF(VLOOKUP(Tabla2[[#This Row],[ID]],'EVALUACION DE RIESGO'!A:A,1,FALSE)=Tabla2[[#This Row],[ID]],"SI","NO"),"NO")</f>
        <v/>
      </c>
    </row>
    <row r="608">
      <c r="A608" s="91" t="inlineStr">
        <is>
          <t>49-GTH</t>
        </is>
      </c>
      <c r="B608" s="10" t="inlineStr">
        <is>
          <t>APOYO</t>
        </is>
      </c>
      <c r="C608" s="10" t="inlineStr">
        <is>
          <t>Gestión del Talento Humano</t>
        </is>
      </c>
      <c r="D608" s="10" t="inlineStr">
        <is>
          <t>GTH</t>
        </is>
      </c>
      <c r="E608" s="10" t="inlineStr">
        <is>
          <t>Gestión de Seguridad y Salud Ocupacional</t>
        </is>
      </c>
      <c r="F608" s="10" t="inlineStr">
        <is>
          <t xml:space="preserve">Salud Ocupacional </t>
        </is>
      </c>
      <c r="G608" s="10" t="inlineStr">
        <is>
          <t xml:space="preserve">Implementación, administración y control del apoyo a la lactancia materna </t>
        </is>
      </c>
      <c r="H608" s="10" t="inlineStr">
        <is>
          <t>Registro de control de uso de Lactario</t>
        </is>
      </c>
      <c r="I608" s="10" t="inlineStr">
        <is>
          <t>Registro de asistentes físico que indica la fecha , motivo, nombre y firma</t>
        </is>
      </c>
      <c r="J608" s="10" t="inlineStr">
        <is>
          <t>Técnico en Seguridad y Salud Ocupacional</t>
        </is>
      </c>
      <c r="K608" s="10" t="inlineStr">
        <is>
          <t>Técnico en Seguridad y Salud Ocupacional</t>
        </is>
      </c>
      <c r="L608" s="10" t="inlineStr">
        <is>
          <t>DOCUMENTOS FISICOS-ARCHIVOS DE LA OFICINA</t>
        </is>
      </c>
      <c r="M608" s="10" t="inlineStr">
        <is>
          <t>DOCUMENTO DE ARCHIVO-FÍSICO</t>
        </is>
      </c>
      <c r="N608" s="10" t="inlineStr">
        <is>
          <t>PRIMARIOS</t>
        </is>
      </c>
      <c r="O608" s="10" t="inlineStr">
        <is>
          <t>COMUNICACIÓN INTERNA</t>
        </is>
      </c>
      <c r="P608" s="10" t="inlineStr">
        <is>
          <t>PUBLICA(1)</t>
        </is>
      </c>
      <c r="Q608" s="10" t="inlineStr">
        <is>
          <t>BAJA(1)</t>
        </is>
      </c>
      <c r="R608" s="10" t="inlineStr">
        <is>
          <t>BAJA(1)</t>
        </is>
      </c>
      <c r="S608" s="10">
        <f>+(IF(P608="PUBLICA(1)",1,IF(P608="USO INTERNO(2)",2,IF(P608="RESTRINGIDO(3)",3,3))))+(IF(Q608="BAJA(1)",1,IF(Q608="MEDIA(2)",2,IF(Q608="ALTA(3)",3,3))))+(IF(R608="BAJA(1)",1,IF(R608="MEDIA(2)",2,IF(R608="ALTA(3)",3,3))))</f>
        <v/>
      </c>
      <c r="T608" s="10">
        <f>+IF(S608&lt;6,"BAJA",IF(S608&lt;8,"MEDIA","ALTA"))</f>
        <v/>
      </c>
      <c r="U608" s="10" t="inlineStr">
        <is>
          <t>-</t>
        </is>
      </c>
      <c r="V608" s="24" t="n">
        <v>45673</v>
      </c>
      <c r="W608" s="19" t="inlineStr">
        <is>
          <t>N/A</t>
        </is>
      </c>
      <c r="X608" s="10">
        <f>+IFERROR(IF(VLOOKUP(Tabla2[[#This Row],[ID]],'EVALUACION DE RIESGO'!A:A,1,FALSE)=Tabla2[[#This Row],[ID]],"SI","NO"),"NO")</f>
        <v/>
      </c>
    </row>
    <row r="609">
      <c r="A609" s="91" t="inlineStr">
        <is>
          <t>50-GTH</t>
        </is>
      </c>
      <c r="B609" s="10" t="inlineStr">
        <is>
          <t>APOYO</t>
        </is>
      </c>
      <c r="C609" s="10" t="inlineStr">
        <is>
          <t>Gestión del Talento Humano</t>
        </is>
      </c>
      <c r="D609" s="10" t="inlineStr">
        <is>
          <t>GTH</t>
        </is>
      </c>
      <c r="E609" s="10" t="inlineStr">
        <is>
          <t>Gestión de Seguridad y Salud Ocupacional</t>
        </is>
      </c>
      <c r="F609" s="10" t="inlineStr">
        <is>
          <t xml:space="preserve">Salud Ocupacional </t>
        </is>
      </c>
      <c r="G609" s="10" t="inlineStr">
        <is>
          <t xml:space="preserve">Programa de inmunización </t>
        </is>
      </c>
      <c r="H609" s="10" t="inlineStr">
        <is>
          <t>Registro de inmunizaciones</t>
        </is>
      </c>
      <c r="I609" s="10" t="inlineStr">
        <is>
          <t>Cronograma de planificación de inmunizaciones para el personal interno aprobado reportado al técnico de Seguridad y Salud</t>
        </is>
      </c>
      <c r="J609" s="10" t="inlineStr">
        <is>
          <t>Técnico en Seguridad y Salud Ocupacional</t>
        </is>
      </c>
      <c r="K609" s="10" t="inlineStr">
        <is>
          <t>Técnico en Seguridad y Salud Ocupacional</t>
        </is>
      </c>
      <c r="L609" s="10" t="inlineStr">
        <is>
          <t>UBICACIÓN DIGITAL-EQUIPO DEL CUSTODIO</t>
        </is>
      </c>
      <c r="M609" s="10" t="inlineStr">
        <is>
          <t>DISCOS DUROS, SERVIDORES, DISCOS O MEDIOS PORTÁTILES, CINTAS O MEDIOS DE VIDEO Y AUDIO, ETC.</t>
        </is>
      </c>
      <c r="N609" s="10" t="inlineStr">
        <is>
          <t>PRIMARIOS</t>
        </is>
      </c>
      <c r="O609" s="10" t="inlineStr">
        <is>
          <t>DOCUMENTOS TÉCNICOS</t>
        </is>
      </c>
      <c r="P609" s="10" t="inlineStr">
        <is>
          <t>USO INTERNO(2)</t>
        </is>
      </c>
      <c r="Q609" s="10" t="inlineStr">
        <is>
          <t>BAJA(1)</t>
        </is>
      </c>
      <c r="R609" s="10" t="inlineStr">
        <is>
          <t>MEDIA(2)</t>
        </is>
      </c>
      <c r="S609" s="10">
        <f>+(IF(P609="PUBLICA(1)",1,IF(P609="USO INTERNO(2)",2,IF(P609="RESTRINGIDO(3)",3,3))))+(IF(Q609="BAJA(1)",1,IF(Q609="MEDIA(2)",2,IF(Q609="ALTA(3)",3,3))))+(IF(R609="BAJA(1)",1,IF(R609="MEDIA(2)",2,IF(R609="ALTA(3)",3,3))))</f>
        <v/>
      </c>
      <c r="T609" s="10">
        <f>+IF(S609&lt;6,"BAJA",IF(S609&lt;8,"MEDIA","ALTA"))</f>
        <v/>
      </c>
      <c r="U609" s="10" t="inlineStr">
        <is>
          <t>-</t>
        </is>
      </c>
      <c r="V609" s="24" t="n">
        <v>45673</v>
      </c>
      <c r="W609" s="19" t="inlineStr">
        <is>
          <t>N/A</t>
        </is>
      </c>
      <c r="X609" s="10">
        <f>+IFERROR(IF(VLOOKUP(Tabla2[[#This Row],[ID]],'EVALUACION DE RIESGO'!A:A,1,FALSE)=Tabla2[[#This Row],[ID]],"SI","NO"),"NO")</f>
        <v/>
      </c>
    </row>
    <row r="610">
      <c r="A610" s="91" t="inlineStr">
        <is>
          <t>51-GTH</t>
        </is>
      </c>
      <c r="B610" s="10" t="inlineStr">
        <is>
          <t>APOYO</t>
        </is>
      </c>
      <c r="C610" s="10" t="inlineStr">
        <is>
          <t>Gestión del Talento Humano</t>
        </is>
      </c>
      <c r="D610" s="10" t="inlineStr">
        <is>
          <t>GTH</t>
        </is>
      </c>
      <c r="E610" s="10" t="inlineStr">
        <is>
          <t>Gestión de Seguridad y Salud Ocupacional</t>
        </is>
      </c>
      <c r="F610" s="10" t="inlineStr">
        <is>
          <t xml:space="preserve">Salud Ocupacional </t>
        </is>
      </c>
      <c r="G610" s="10" t="inlineStr">
        <is>
          <t>N/A</t>
        </is>
      </c>
      <c r="H610" s="10" t="inlineStr">
        <is>
          <t>Equipos de computación de Técnico de SSO</t>
        </is>
      </c>
      <c r="I610" s="10" t="inlineStr">
        <is>
          <t>Equipos de computación donde se realiza la gestión del área</t>
        </is>
      </c>
      <c r="J610" s="10" t="inlineStr">
        <is>
          <t>Técnico en Seguridad y Salud Ocupacional</t>
        </is>
      </c>
      <c r="K610" s="10" t="inlineStr">
        <is>
          <t>Técnico en Seguridad y Salud Ocupacional</t>
        </is>
      </c>
      <c r="L610" s="10" t="inlineStr">
        <is>
          <t>UBICACIÓN DIGITAL-EQUIPO DEL RESPONSABLE</t>
        </is>
      </c>
      <c r="M610" s="10" t="inlineStr">
        <is>
          <t>DISCOS DUROS, SERVIDORES, DISCOS O MEDIOS PORTÁTILES, CINTAS O MEDIOS DE VIDEO Y AUDIO, ETC.</t>
        </is>
      </c>
      <c r="N610" s="10" t="inlineStr">
        <is>
          <t>APOYO</t>
        </is>
      </c>
      <c r="O610" s="10" t="inlineStr">
        <is>
          <t>HARDWARE</t>
        </is>
      </c>
      <c r="P610" s="10" t="inlineStr">
        <is>
          <t>USO INTERNO(2)</t>
        </is>
      </c>
      <c r="Q610" s="10" t="inlineStr">
        <is>
          <t>BAJA(1)</t>
        </is>
      </c>
      <c r="R610" s="10" t="inlineStr">
        <is>
          <t>MEDIA(2)</t>
        </is>
      </c>
      <c r="S610" s="10">
        <f>+(IF(P610="PUBLICA(1)",1,IF(P610="USO INTERNO(2)",2,IF(P610="RESTRINGIDO(3)",3,3))))+(IF(Q610="BAJA(1)",1,IF(Q610="MEDIA(2)",2,IF(Q610="ALTA(3)",3,3))))+(IF(R610="BAJA(1)",1,IF(R610="MEDIA(2)",2,IF(R610="ALTA(3)",3,3))))</f>
        <v/>
      </c>
      <c r="T610" s="10">
        <f>+IF(S610&lt;6,"BAJA",IF(S610&lt;8,"MEDIA","ALTA"))</f>
        <v/>
      </c>
      <c r="U610" s="10" t="inlineStr">
        <is>
          <t>-</t>
        </is>
      </c>
      <c r="V610" s="24" t="n">
        <v>45673</v>
      </c>
      <c r="W610" s="19" t="inlineStr">
        <is>
          <t>N/A</t>
        </is>
      </c>
      <c r="X610" s="10">
        <f>+IFERROR(IF(VLOOKUP(Tabla2[[#This Row],[ID]],'EVALUACION DE RIESGO'!A:A,1,FALSE)=Tabla2[[#This Row],[ID]],"SI","NO"),"NO")</f>
        <v/>
      </c>
    </row>
    <row r="611">
      <c r="A611" s="91" t="inlineStr">
        <is>
          <t>52-GTH</t>
        </is>
      </c>
      <c r="B611" s="10" t="inlineStr">
        <is>
          <t>APOYO</t>
        </is>
      </c>
      <c r="C611" s="10" t="inlineStr">
        <is>
          <t>Gestión del Talento Humano</t>
        </is>
      </c>
      <c r="D611" s="10" t="inlineStr">
        <is>
          <t>GTH</t>
        </is>
      </c>
      <c r="E611" s="10" t="inlineStr">
        <is>
          <t>Gestión de Seguridad y Salud Ocupacional</t>
        </is>
      </c>
      <c r="F611" s="10" t="inlineStr">
        <is>
          <t xml:space="preserve">Salud Ocupacional </t>
        </is>
      </c>
      <c r="G611" s="10" t="inlineStr">
        <is>
          <t>N/A</t>
        </is>
      </c>
      <c r="H611" s="10" t="inlineStr">
        <is>
          <t>Técnico de SSO</t>
        </is>
      </c>
      <c r="I611" s="10" t="inlineStr">
        <is>
          <t>N/A</t>
        </is>
      </c>
      <c r="J611" s="10" t="inlineStr">
        <is>
          <t>Técnico en Seguridad y Salud Ocupacional</t>
        </is>
      </c>
      <c r="K611" s="10" t="inlineStr">
        <is>
          <t>Técnico en Seguridad y Salud Ocupacional</t>
        </is>
      </c>
      <c r="L611" s="10" t="inlineStr">
        <is>
          <t>N/A</t>
        </is>
      </c>
      <c r="M611" s="10" t="inlineStr">
        <is>
          <t>N/A</t>
        </is>
      </c>
      <c r="N611" s="10" t="inlineStr">
        <is>
          <t>APOYO</t>
        </is>
      </c>
      <c r="O611" s="10" t="inlineStr">
        <is>
          <t>RECURSO HUMANO</t>
        </is>
      </c>
      <c r="P611" s="10" t="inlineStr">
        <is>
          <t>USO INTERNO(2)</t>
        </is>
      </c>
      <c r="Q611" s="10" t="inlineStr">
        <is>
          <t>BAJA(1)</t>
        </is>
      </c>
      <c r="R611" s="10" t="inlineStr">
        <is>
          <t>MEDIA(2)</t>
        </is>
      </c>
      <c r="S611" s="10">
        <f>+(IF(P611="PUBLICA(1)",1,IF(P611="USO INTERNO(2)",2,IF(P611="RESTRINGIDO(3)",3,3))))+(IF(Q611="BAJA(1)",1,IF(Q611="MEDIA(2)",2,IF(Q611="ALTA(3)",3,3))))+(IF(R611="BAJA(1)",1,IF(R611="MEDIA(2)",2,IF(R611="ALTA(3)",3,3))))</f>
        <v/>
      </c>
      <c r="T611" s="10">
        <f>+IF(S611&lt;6,"BAJA",IF(S611&lt;8,"MEDIA","ALTA"))</f>
        <v/>
      </c>
      <c r="U611" s="10" t="inlineStr">
        <is>
          <t>-</t>
        </is>
      </c>
      <c r="V611" s="24" t="n">
        <v>45672</v>
      </c>
      <c r="W611" s="19" t="inlineStr">
        <is>
          <t>N/A</t>
        </is>
      </c>
      <c r="X611" s="10">
        <f>+IFERROR(IF(VLOOKUP(Tabla2[[#This Row],[ID]],'EVALUACION DE RIESGO'!A:A,1,FALSE)=Tabla2[[#This Row],[ID]],"SI","NO"),"NO")</f>
        <v/>
      </c>
    </row>
    <row r="612">
      <c r="A612" s="91" t="inlineStr">
        <is>
          <t>53-GTH</t>
        </is>
      </c>
      <c r="B612" s="10" t="inlineStr">
        <is>
          <t>APOYO</t>
        </is>
      </c>
      <c r="C612" s="10" t="inlineStr">
        <is>
          <t>Gestión del Talento Humano</t>
        </is>
      </c>
      <c r="D612" s="10" t="inlineStr">
        <is>
          <t>GTH</t>
        </is>
      </c>
      <c r="E612" s="10" t="inlineStr">
        <is>
          <t>Diseño y Planificación del Personal</t>
        </is>
      </c>
      <c r="F612" s="10" t="inlineStr">
        <is>
          <t>-</t>
        </is>
      </c>
      <c r="G612" s="10" t="inlineStr">
        <is>
          <t>Planificación de Personal</t>
        </is>
      </c>
      <c r="H612" s="10" t="inlineStr">
        <is>
          <t>Informe de capacidad operativa</t>
        </is>
      </c>
      <c r="I612" s="10" t="inlineStr">
        <is>
          <t>Documento de reporte de análisis de de plantilla mínima individual, detalla el tiempo de cada actividad de un cargo</t>
        </is>
      </c>
      <c r="J612" s="10" t="inlineStr">
        <is>
          <t>Gerente de Talento Humano</t>
        </is>
      </c>
      <c r="K612" s="10" t="inlineStr">
        <is>
          <t>Analista de Desarrollo</t>
        </is>
      </c>
      <c r="L612" s="10" t="inlineStr">
        <is>
          <t>UBICACIÓN DIGITAL-EQUIPO DEL CUSTODIO</t>
        </is>
      </c>
      <c r="M612" s="10" t="inlineStr">
        <is>
          <t>DISCOS DUROS, SERVIDORES, DISCOS O MEDIOS PORTÁTILES, CINTAS O MEDIOS DE VIDEO Y AUDIO, ETC.</t>
        </is>
      </c>
      <c r="N612" s="10" t="inlineStr">
        <is>
          <t>PRIMARIOS</t>
        </is>
      </c>
      <c r="O612" s="10" t="inlineStr">
        <is>
          <t>DOCUMENTOS TÉCNICOS</t>
        </is>
      </c>
      <c r="P612" s="10" t="inlineStr">
        <is>
          <t>USO INTERNO(2)</t>
        </is>
      </c>
      <c r="Q612" s="10" t="inlineStr">
        <is>
          <t>BAJA(1)</t>
        </is>
      </c>
      <c r="R612" s="10" t="inlineStr">
        <is>
          <t>BAJA(1)</t>
        </is>
      </c>
      <c r="S612" s="10">
        <f>+(IF(P612="PUBLICA(1)",1,IF(P612="USO INTERNO(2)",2,IF(P612="RESTRINGIDO(3)",3,3))))+(IF(Q612="BAJA(1)",1,IF(Q612="MEDIA(2)",2,IF(Q612="ALTA(3)",3,3))))+(IF(R612="BAJA(1)",1,IF(R612="MEDIA(2)",2,IF(R612="ALTA(3)",3,3))))</f>
        <v/>
      </c>
      <c r="T612" s="10">
        <f>+IF(S612&lt;6,"BAJA",IF(S612&lt;8,"MEDIA","ALTA"))</f>
        <v/>
      </c>
      <c r="U612" s="10" t="inlineStr">
        <is>
          <t>-</t>
        </is>
      </c>
      <c r="V612" s="24" t="n">
        <v>45687</v>
      </c>
      <c r="W612" s="19" t="inlineStr">
        <is>
          <t>N/A</t>
        </is>
      </c>
      <c r="X612" s="10">
        <f>+IFERROR(IF(VLOOKUP(Tabla2[[#This Row],[ID]],'EVALUACION DE RIESGO'!A:A,1,FALSE)=Tabla2[[#This Row],[ID]],"SI","NO"),"NO")</f>
        <v/>
      </c>
    </row>
    <row r="613">
      <c r="A613" s="91" t="inlineStr">
        <is>
          <t>54-GTH</t>
        </is>
      </c>
      <c r="B613" s="10" t="inlineStr">
        <is>
          <t>APOYO</t>
        </is>
      </c>
      <c r="C613" s="10" t="inlineStr">
        <is>
          <t>Gestión del Talento Humano</t>
        </is>
      </c>
      <c r="D613" s="10" t="inlineStr">
        <is>
          <t>GTH</t>
        </is>
      </c>
      <c r="E613" s="10" t="inlineStr">
        <is>
          <t>Diseño y Planificación del Personal</t>
        </is>
      </c>
      <c r="F613" s="10" t="inlineStr">
        <is>
          <t>-</t>
        </is>
      </c>
      <c r="G613" s="10" t="inlineStr">
        <is>
          <t>Planificación de Personal</t>
        </is>
      </c>
      <c r="H613" s="10" t="inlineStr">
        <is>
          <t>Solicitud de personal</t>
        </is>
      </c>
      <c r="I613" s="10" t="inlineStr">
        <is>
          <t>Informe del Jefe donde se requiere personal adicional, donde se evalúa la factibilidad de las funciones y detalle de actividades</t>
        </is>
      </c>
      <c r="J613" s="10" t="inlineStr">
        <is>
          <t>Gerente de Talento Humano</t>
        </is>
      </c>
      <c r="K613" s="10" t="inlineStr">
        <is>
          <t>Analista de Desarrollo</t>
        </is>
      </c>
      <c r="L613" s="10" t="inlineStr">
        <is>
          <t>UBICACIÓN DIGITAL-EQUIPO DEL CUSTODIO</t>
        </is>
      </c>
      <c r="M613" s="10" t="inlineStr">
        <is>
          <t>DISCOS DUROS, SERVIDORES, DISCOS O MEDIOS PORTÁTILES, CINTAS O MEDIOS DE VIDEO Y AUDIO, ETC.</t>
        </is>
      </c>
      <c r="N613" s="10" t="inlineStr">
        <is>
          <t>PRIMARIOS</t>
        </is>
      </c>
      <c r="O613" s="10" t="inlineStr">
        <is>
          <t>DOCUMENTOS TÉCNICOS</t>
        </is>
      </c>
      <c r="P613" s="10" t="inlineStr">
        <is>
          <t>USO INTERNO(2)</t>
        </is>
      </c>
      <c r="Q613" s="10" t="inlineStr">
        <is>
          <t>BAJA(1)</t>
        </is>
      </c>
      <c r="R613" s="10" t="inlineStr">
        <is>
          <t>BAJA(1)</t>
        </is>
      </c>
      <c r="S613" s="10">
        <f>+(IF(P613="PUBLICA(1)",1,IF(P613="USO INTERNO(2)",2,IF(P613="RESTRINGIDO(3)",3,3))))+(IF(Q613="BAJA(1)",1,IF(Q613="MEDIA(2)",2,IF(Q613="ALTA(3)",3,3))))+(IF(R613="BAJA(1)",1,IF(R613="MEDIA(2)",2,IF(R613="ALTA(3)",3,3))))</f>
        <v/>
      </c>
      <c r="T613" s="10">
        <f>+IF(S613&lt;6,"BAJA",IF(S613&lt;8,"MEDIA","ALTA"))</f>
        <v/>
      </c>
      <c r="U613" s="10" t="inlineStr">
        <is>
          <t>-</t>
        </is>
      </c>
      <c r="V613" s="24" t="n">
        <v>45687</v>
      </c>
      <c r="W613" s="19" t="inlineStr">
        <is>
          <t>N/A</t>
        </is>
      </c>
      <c r="X613" s="10">
        <f>+IFERROR(IF(VLOOKUP(Tabla2[[#This Row],[ID]],'EVALUACION DE RIESGO'!A:A,1,FALSE)=Tabla2[[#This Row],[ID]],"SI","NO"),"NO")</f>
        <v/>
      </c>
    </row>
    <row r="614">
      <c r="A614" s="91" t="inlineStr">
        <is>
          <t>55-GTH</t>
        </is>
      </c>
      <c r="B614" s="10" t="inlineStr">
        <is>
          <t>APOYO</t>
        </is>
      </c>
      <c r="C614" s="10" t="inlineStr">
        <is>
          <t>Gestión del Talento Humano</t>
        </is>
      </c>
      <c r="D614" s="10" t="inlineStr">
        <is>
          <t>GTH</t>
        </is>
      </c>
      <c r="E614" s="10" t="inlineStr">
        <is>
          <t>Diseño y Planificación del Personal</t>
        </is>
      </c>
      <c r="F614" s="10" t="inlineStr">
        <is>
          <t>-</t>
        </is>
      </c>
      <c r="G614" s="10" t="inlineStr">
        <is>
          <t>Planificación de Personal</t>
        </is>
      </c>
      <c r="H614" s="10" t="inlineStr">
        <is>
          <t>Presupuesto de gasto de personal/Planificación de personal</t>
        </is>
      </c>
      <c r="I614" s="10" t="inlineStr">
        <is>
          <t>Presupuesto general de gastos de personal anual, donde está el incremento de personal, gasto desglosado, detalla por oficina, por cargo, y valores anualizados.</t>
        </is>
      </c>
      <c r="J614" s="10" t="inlineStr">
        <is>
          <t>Gerente de Talento Humano</t>
        </is>
      </c>
      <c r="K614" s="10" t="inlineStr">
        <is>
          <t>Analista de Desarrollo</t>
        </is>
      </c>
      <c r="L614" s="10" t="inlineStr">
        <is>
          <t>UBICACIÓN DIGITAL-EQUIPO DEL CUSTODIO</t>
        </is>
      </c>
      <c r="M614" s="10" t="inlineStr">
        <is>
          <t>DISCOS DUROS, SERVIDORES, DISCOS O MEDIOS PORTÁTILES, CINTAS O MEDIOS DE VIDEO Y AUDIO, ETC.</t>
        </is>
      </c>
      <c r="N614" s="10" t="inlineStr">
        <is>
          <t>PRIMARIOS</t>
        </is>
      </c>
      <c r="O614" s="10" t="inlineStr">
        <is>
          <t>DOCUMENTOS TÉCNICOS</t>
        </is>
      </c>
      <c r="P614" s="10" t="inlineStr">
        <is>
          <t>USO INTERNO(2)</t>
        </is>
      </c>
      <c r="Q614" s="10" t="inlineStr">
        <is>
          <t>BAJA(1)</t>
        </is>
      </c>
      <c r="R614" s="10" t="inlineStr">
        <is>
          <t>MEDIA(2)</t>
        </is>
      </c>
      <c r="S614" s="10">
        <f>+(IF(P614="PUBLICA(1)",1,IF(P614="USO INTERNO(2)",2,IF(P614="RESTRINGIDO(3)",3,3))))+(IF(Q614="BAJA(1)",1,IF(Q614="MEDIA(2)",2,IF(Q614="ALTA(3)",3,3))))+(IF(R614="BAJA(1)",1,IF(R614="MEDIA(2)",2,IF(R614="ALTA(3)",3,3))))</f>
        <v/>
      </c>
      <c r="T614" s="10">
        <f>+IF(S614&lt;6,"BAJA",IF(S614&lt;8,"MEDIA","ALTA"))</f>
        <v/>
      </c>
      <c r="U614" s="10" t="inlineStr">
        <is>
          <t>-</t>
        </is>
      </c>
      <c r="V614" s="24" t="n">
        <v>45687</v>
      </c>
      <c r="W614" s="19" t="inlineStr">
        <is>
          <t>N/A</t>
        </is>
      </c>
      <c r="X614" s="10">
        <f>+IFERROR(IF(VLOOKUP(Tabla2[[#This Row],[ID]],'EVALUACION DE RIESGO'!A:A,1,FALSE)=Tabla2[[#This Row],[ID]],"SI","NO"),"NO")</f>
        <v/>
      </c>
    </row>
    <row r="615">
      <c r="A615" s="91" t="inlineStr">
        <is>
          <t>56-GTH</t>
        </is>
      </c>
      <c r="B615" s="10" t="inlineStr">
        <is>
          <t>APOYO</t>
        </is>
      </c>
      <c r="C615" s="10" t="inlineStr">
        <is>
          <t>Gestión del Talento Humano</t>
        </is>
      </c>
      <c r="D615" s="10" t="inlineStr">
        <is>
          <t>GTH</t>
        </is>
      </c>
      <c r="E615" s="10" t="inlineStr">
        <is>
          <t>Diseño y Planificación del Personal</t>
        </is>
      </c>
      <c r="F615" s="10" t="inlineStr">
        <is>
          <t>-</t>
        </is>
      </c>
      <c r="G615" s="10" t="inlineStr">
        <is>
          <t>Creación de cargos</t>
        </is>
      </c>
      <c r="H615" s="10" t="inlineStr">
        <is>
          <t>Organigrama posicional y estructural</t>
        </is>
      </c>
      <c r="I615" s="10" t="inlineStr">
        <is>
          <t>Documento de organigrama realizado y formalizado con el área de Procesos, donde se detallan los cargos y rangos de cada uno</t>
        </is>
      </c>
      <c r="J615" s="10" t="inlineStr">
        <is>
          <t>Gerente de Talento Humano</t>
        </is>
      </c>
      <c r="K615" s="10" t="inlineStr">
        <is>
          <t>Analista de Desarrollo</t>
        </is>
      </c>
      <c r="L615" s="10" t="inlineStr">
        <is>
          <t>UBICACIÓN DIGITAL-WEBCOOP</t>
        </is>
      </c>
      <c r="M615" s="10" t="inlineStr">
        <is>
          <t>DOCUMENTO DE ARCHIVO-ELECTRÓNICO</t>
        </is>
      </c>
      <c r="N615" s="10" t="inlineStr">
        <is>
          <t>PRIMARIOS</t>
        </is>
      </c>
      <c r="O615" s="10" t="inlineStr">
        <is>
          <t>DOCUMENTOS HABILITANTES</t>
        </is>
      </c>
      <c r="P615" s="10" t="inlineStr">
        <is>
          <t>PUBLICA(1)</t>
        </is>
      </c>
      <c r="Q615" s="10" t="inlineStr">
        <is>
          <t>BAJA(1)</t>
        </is>
      </c>
      <c r="R615" s="10" t="inlineStr">
        <is>
          <t>MEDIA(2)</t>
        </is>
      </c>
      <c r="S615" s="10">
        <f>+(IF(P615="PUBLICA(1)",1,IF(P615="USO INTERNO(2)",2,IF(P615="RESTRINGIDO(3)",3,3))))+(IF(Q615="BAJA(1)",1,IF(Q615="MEDIA(2)",2,IF(Q615="ALTA(3)",3,3))))+(IF(R615="BAJA(1)",1,IF(R615="MEDIA(2)",2,IF(R615="ALTA(3)",3,3))))</f>
        <v/>
      </c>
      <c r="T615" s="10">
        <f>+IF(S615&lt;6,"BAJA",IF(S615&lt;8,"MEDIA","ALTA"))</f>
        <v/>
      </c>
      <c r="U615" s="10" t="inlineStr">
        <is>
          <t>-</t>
        </is>
      </c>
      <c r="V615" s="24" t="n">
        <v>45687</v>
      </c>
      <c r="W615" s="19" t="inlineStr">
        <is>
          <t>N/A</t>
        </is>
      </c>
      <c r="X615" s="10">
        <f>+IFERROR(IF(VLOOKUP(Tabla2[[#This Row],[ID]],'EVALUACION DE RIESGO'!A:A,1,FALSE)=Tabla2[[#This Row],[ID]],"SI","NO"),"NO")</f>
        <v/>
      </c>
    </row>
    <row r="616">
      <c r="A616" s="91" t="inlineStr">
        <is>
          <t>57-GTH</t>
        </is>
      </c>
      <c r="B616" s="10" t="inlineStr">
        <is>
          <t>APOYO</t>
        </is>
      </c>
      <c r="C616" s="10" t="inlineStr">
        <is>
          <t>Gestión del Talento Humano</t>
        </is>
      </c>
      <c r="D616" s="10" t="inlineStr">
        <is>
          <t>GTH</t>
        </is>
      </c>
      <c r="E616" s="10" t="inlineStr">
        <is>
          <t>Diseño y Planificación del Personal</t>
        </is>
      </c>
      <c r="F616" s="10" t="inlineStr">
        <is>
          <t>-</t>
        </is>
      </c>
      <c r="G616" s="10" t="inlineStr">
        <is>
          <t>Creación de cargos</t>
        </is>
      </c>
      <c r="H616" s="10" t="inlineStr">
        <is>
          <t>Certificación de aprobación de organigrama</t>
        </is>
      </c>
      <c r="I616" s="10" t="inlineStr">
        <is>
          <t>Certificación otorgada por el Consejo de Administración a través de una resolución.</t>
        </is>
      </c>
      <c r="J616" s="10" t="inlineStr">
        <is>
          <t>Gerente de Talento Humano</t>
        </is>
      </c>
      <c r="K616" s="10" t="inlineStr">
        <is>
          <t>Analista de Desarrollo</t>
        </is>
      </c>
      <c r="L616" s="10" t="inlineStr">
        <is>
          <t>UBICACIÓN DIGITAL-WEBCOOP</t>
        </is>
      </c>
      <c r="M616" s="10" t="inlineStr">
        <is>
          <t>DOCUMENTO DE ARCHIVO-ELECTRÓNICO</t>
        </is>
      </c>
      <c r="N616" s="10" t="inlineStr">
        <is>
          <t>PRIMARIOS</t>
        </is>
      </c>
      <c r="O616" s="10" t="inlineStr">
        <is>
          <t>DOCUMENTOS HABILITANTES</t>
        </is>
      </c>
      <c r="P616" s="10" t="inlineStr">
        <is>
          <t>PUBLICA(1)</t>
        </is>
      </c>
      <c r="Q616" s="10" t="inlineStr">
        <is>
          <t>BAJA(1)</t>
        </is>
      </c>
      <c r="R616" s="10" t="inlineStr">
        <is>
          <t>MEDIA(2)</t>
        </is>
      </c>
      <c r="S616" s="10">
        <f>+(IF(P616="PUBLICA(1)",1,IF(P616="USO INTERNO(2)",2,IF(P616="RESTRINGIDO(3)",3,3))))+(IF(Q616="BAJA(1)",1,IF(Q616="MEDIA(2)",2,IF(Q616="ALTA(3)",3,3))))+(IF(R616="BAJA(1)",1,IF(R616="MEDIA(2)",2,IF(R616="ALTA(3)",3,3))))</f>
        <v/>
      </c>
      <c r="T616" s="10">
        <f>+IF(S616&lt;6,"BAJA",IF(S616&lt;8,"MEDIA","ALTA"))</f>
        <v/>
      </c>
      <c r="U616" s="10" t="inlineStr">
        <is>
          <t>-</t>
        </is>
      </c>
      <c r="V616" s="24" t="n">
        <v>45687</v>
      </c>
      <c r="W616" s="19" t="inlineStr">
        <is>
          <t>N/A</t>
        </is>
      </c>
      <c r="X616" s="10">
        <f>+IFERROR(IF(VLOOKUP(Tabla2[[#This Row],[ID]],'EVALUACION DE RIESGO'!A:A,1,FALSE)=Tabla2[[#This Row],[ID]],"SI","NO"),"NO")</f>
        <v/>
      </c>
    </row>
    <row r="617">
      <c r="A617" s="91" t="inlineStr">
        <is>
          <t>58-GTH</t>
        </is>
      </c>
      <c r="B617" s="10" t="inlineStr">
        <is>
          <t>APOYO</t>
        </is>
      </c>
      <c r="C617" s="10" t="inlineStr">
        <is>
          <t>Gestión del Talento Humano</t>
        </is>
      </c>
      <c r="D617" s="10" t="inlineStr">
        <is>
          <t>GTH</t>
        </is>
      </c>
      <c r="E617" s="10" t="inlineStr">
        <is>
          <t>Diseño y Planificación del Personal</t>
        </is>
      </c>
      <c r="F617" s="10" t="inlineStr">
        <is>
          <t>-</t>
        </is>
      </c>
      <c r="G617" s="10" t="inlineStr">
        <is>
          <t>Creación de cargos</t>
        </is>
      </c>
      <c r="H617" s="10" t="inlineStr">
        <is>
          <t>Certificación de aprobación del manual de funciones</t>
        </is>
      </c>
      <c r="I617" s="10" t="inlineStr">
        <is>
          <t>Certificación gestionada en conjunto con el área de Procesos, es un documento adjunto agregado a cada manual de funciones de cada departamento</t>
        </is>
      </c>
      <c r="J617" s="10" t="inlineStr">
        <is>
          <t>Gerente de Talento Humano</t>
        </is>
      </c>
      <c r="K617" s="10" t="inlineStr">
        <is>
          <t>Analista de Desarrollo</t>
        </is>
      </c>
      <c r="L617" s="10" t="inlineStr">
        <is>
          <t>UBICACIÓN DIGITAL-WEBCOOP</t>
        </is>
      </c>
      <c r="M617" s="10" t="inlineStr">
        <is>
          <t>DOCUMENTO DE ARCHIVO-ELECTRÓNICO</t>
        </is>
      </c>
      <c r="N617" s="10" t="inlineStr">
        <is>
          <t>PRIMARIOS</t>
        </is>
      </c>
      <c r="O617" s="10" t="inlineStr">
        <is>
          <t>DOCUMENTOS HABILITANTES</t>
        </is>
      </c>
      <c r="P617" s="10" t="inlineStr">
        <is>
          <t>PUBLICA(1)</t>
        </is>
      </c>
      <c r="Q617" s="10" t="inlineStr">
        <is>
          <t>BAJA(1)</t>
        </is>
      </c>
      <c r="R617" s="10" t="inlineStr">
        <is>
          <t>MEDIA(2)</t>
        </is>
      </c>
      <c r="S617" s="10">
        <f>+(IF(P617="PUBLICA(1)",1,IF(P617="USO INTERNO(2)",2,IF(P617="RESTRINGIDO(3)",3,3))))+(IF(Q617="BAJA(1)",1,IF(Q617="MEDIA(2)",2,IF(Q617="ALTA(3)",3,3))))+(IF(R617="BAJA(1)",1,IF(R617="MEDIA(2)",2,IF(R617="ALTA(3)",3,3))))</f>
        <v/>
      </c>
      <c r="T617" s="10">
        <f>+IF(S617&lt;6,"BAJA",IF(S617&lt;8,"MEDIA","ALTA"))</f>
        <v/>
      </c>
      <c r="U617" s="10" t="inlineStr">
        <is>
          <t>-</t>
        </is>
      </c>
      <c r="V617" s="24" t="n">
        <v>45687</v>
      </c>
      <c r="W617" s="19" t="inlineStr">
        <is>
          <t>N/A</t>
        </is>
      </c>
      <c r="X617" s="10">
        <f>+IFERROR(IF(VLOOKUP(Tabla2[[#This Row],[ID]],'EVALUACION DE RIESGO'!A:A,1,FALSE)=Tabla2[[#This Row],[ID]],"SI","NO"),"NO")</f>
        <v/>
      </c>
    </row>
    <row r="618">
      <c r="A618" s="91" t="inlineStr">
        <is>
          <t>59-GTH</t>
        </is>
      </c>
      <c r="B618" s="10" t="inlineStr">
        <is>
          <t>APOYO</t>
        </is>
      </c>
      <c r="C618" s="10" t="inlineStr">
        <is>
          <t>Gestión del Talento Humano</t>
        </is>
      </c>
      <c r="D618" s="10" t="inlineStr">
        <is>
          <t>GTH</t>
        </is>
      </c>
      <c r="E618" s="10" t="inlineStr">
        <is>
          <t>Diseño y Planificación del Personal</t>
        </is>
      </c>
      <c r="F618" s="10" t="inlineStr">
        <is>
          <t>-</t>
        </is>
      </c>
      <c r="G618" s="10" t="inlineStr">
        <is>
          <t>Creación de cargos</t>
        </is>
      </c>
      <c r="H618" s="10" t="inlineStr">
        <is>
          <t>Manual de funciones</t>
        </is>
      </c>
      <c r="I618" s="10" t="inlineStr">
        <is>
          <t>Documentos que se detallan las actividades específicas de cada cargo</t>
        </is>
      </c>
      <c r="J618" s="10" t="inlineStr">
        <is>
          <t>Gerente de Talento Humano</t>
        </is>
      </c>
      <c r="K618" s="10" t="inlineStr">
        <is>
          <t>Analista de Desarrollo</t>
        </is>
      </c>
      <c r="L618" s="10" t="inlineStr">
        <is>
          <t>UBICACIÓN DIGITAL-WEBCOOP</t>
        </is>
      </c>
      <c r="M618" s="10" t="inlineStr">
        <is>
          <t>DOCUMENTO DE ARCHIVO-ELECTRÓNICO</t>
        </is>
      </c>
      <c r="N618" s="10" t="inlineStr">
        <is>
          <t>PRIMARIOS</t>
        </is>
      </c>
      <c r="O618" s="10" t="inlineStr">
        <is>
          <t>DOCUMENTOS TÉCNICOS</t>
        </is>
      </c>
      <c r="P618" s="10" t="inlineStr">
        <is>
          <t>PUBLICA(1)</t>
        </is>
      </c>
      <c r="Q618" s="10" t="inlineStr">
        <is>
          <t>BAJA(1)</t>
        </is>
      </c>
      <c r="R618" s="10" t="inlineStr">
        <is>
          <t>MEDIA(2)</t>
        </is>
      </c>
      <c r="S618" s="10">
        <f>+(IF(P618="PUBLICA(1)",1,IF(P618="USO INTERNO(2)",2,IF(P618="RESTRINGIDO(3)",3,3))))+(IF(Q618="BAJA(1)",1,IF(Q618="MEDIA(2)",2,IF(Q618="ALTA(3)",3,3))))+(IF(R618="BAJA(1)",1,IF(R618="MEDIA(2)",2,IF(R618="ALTA(3)",3,3))))</f>
        <v/>
      </c>
      <c r="T618" s="10">
        <f>+IF(S618&lt;6,"BAJA",IF(S618&lt;8,"MEDIA","ALTA"))</f>
        <v/>
      </c>
      <c r="U618" s="10" t="inlineStr">
        <is>
          <t>-</t>
        </is>
      </c>
      <c r="V618" s="24" t="n">
        <v>45687</v>
      </c>
      <c r="W618" s="19" t="inlineStr">
        <is>
          <t>N/A</t>
        </is>
      </c>
      <c r="X618" s="10">
        <f>+IFERROR(IF(VLOOKUP(Tabla2[[#This Row],[ID]],'EVALUACION DE RIESGO'!A:A,1,FALSE)=Tabla2[[#This Row],[ID]],"SI","NO"),"NO")</f>
        <v/>
      </c>
    </row>
    <row r="619">
      <c r="A619" s="91" t="inlineStr">
        <is>
          <t>60-GTH</t>
        </is>
      </c>
      <c r="B619" s="10" t="inlineStr">
        <is>
          <t>APOYO</t>
        </is>
      </c>
      <c r="C619" s="10" t="inlineStr">
        <is>
          <t>Gestión del Talento Humano</t>
        </is>
      </c>
      <c r="D619" s="10" t="inlineStr">
        <is>
          <t>GTH</t>
        </is>
      </c>
      <c r="E619" s="10" t="inlineStr">
        <is>
          <t>Diseño y Planificación del Personal</t>
        </is>
      </c>
      <c r="F619" s="10" t="inlineStr">
        <is>
          <t>-</t>
        </is>
      </c>
      <c r="G619" s="10" t="inlineStr">
        <is>
          <t xml:space="preserve">Análisis y valoración de cargos   </t>
        </is>
      </c>
      <c r="H619" s="10" t="inlineStr">
        <is>
          <t>Actas de resoluciones</t>
        </is>
      </c>
      <c r="I619" s="10" t="inlineStr">
        <is>
          <t>Documentos de resoluciones emitidas para la valoración del cargo, se emiten de forma interna o por personal externa según el estudio de mercado.</t>
        </is>
      </c>
      <c r="J619" s="10" t="inlineStr">
        <is>
          <t>Gerente de Talento Humano</t>
        </is>
      </c>
      <c r="K619" s="10" t="inlineStr">
        <is>
          <t>Analista de Desarrollo</t>
        </is>
      </c>
      <c r="L619" s="10" t="inlineStr">
        <is>
          <t>UBICACIÓN DIGITAL-EQUIPO DEL CUSTODIO</t>
        </is>
      </c>
      <c r="M619" s="10" t="inlineStr">
        <is>
          <t>DISCOS DUROS, SERVIDORES, DISCOS O MEDIOS PORTÁTILES, CINTAS O MEDIOS DE VIDEO Y AUDIO, ETC.</t>
        </is>
      </c>
      <c r="N619" s="10" t="inlineStr">
        <is>
          <t>PRIMARIOS</t>
        </is>
      </c>
      <c r="O619" s="10" t="inlineStr">
        <is>
          <t>DOCUMENTOS HABILITANTES</t>
        </is>
      </c>
      <c r="P619" s="10" t="inlineStr">
        <is>
          <t>USO INTERNO(2)</t>
        </is>
      </c>
      <c r="Q619" s="10" t="inlineStr">
        <is>
          <t>BAJA(1)</t>
        </is>
      </c>
      <c r="R619" s="10" t="inlineStr">
        <is>
          <t>MEDIA(2)</t>
        </is>
      </c>
      <c r="S619" s="10">
        <f>+(IF(P619="PUBLICA(1)",1,IF(P619="USO INTERNO(2)",2,IF(P619="RESTRINGIDO(3)",3,3))))+(IF(Q619="BAJA(1)",1,IF(Q619="MEDIA(2)",2,IF(Q619="ALTA(3)",3,3))))+(IF(R619="BAJA(1)",1,IF(R619="MEDIA(2)",2,IF(R619="ALTA(3)",3,3))))</f>
        <v/>
      </c>
      <c r="T619" s="10">
        <f>+IF(S619&lt;6,"BAJA",IF(S619&lt;8,"MEDIA","ALTA"))</f>
        <v/>
      </c>
      <c r="U619" s="10" t="inlineStr">
        <is>
          <t>-</t>
        </is>
      </c>
      <c r="V619" s="24" t="n">
        <v>45687</v>
      </c>
      <c r="W619" s="19" t="inlineStr">
        <is>
          <t>N/A</t>
        </is>
      </c>
      <c r="X619" s="10">
        <f>+IFERROR(IF(VLOOKUP(Tabla2[[#This Row],[ID]],'EVALUACION DE RIESGO'!A:A,1,FALSE)=Tabla2[[#This Row],[ID]],"SI","NO"),"NO")</f>
        <v/>
      </c>
    </row>
    <row r="620">
      <c r="A620" s="91" t="inlineStr">
        <is>
          <t>61-GTH</t>
        </is>
      </c>
      <c r="B620" s="10" t="inlineStr">
        <is>
          <t>APOYO</t>
        </is>
      </c>
      <c r="C620" s="10" t="inlineStr">
        <is>
          <t>Gestión del Talento Humano</t>
        </is>
      </c>
      <c r="D620" s="10" t="inlineStr">
        <is>
          <t>GTH</t>
        </is>
      </c>
      <c r="E620" s="10" t="inlineStr">
        <is>
          <t>Diseño y Planificación del Personal</t>
        </is>
      </c>
      <c r="F620" s="10" t="inlineStr">
        <is>
          <t>-</t>
        </is>
      </c>
      <c r="G620" s="10" t="inlineStr">
        <is>
          <t xml:space="preserve">Análisis y valoración de cargos   </t>
        </is>
      </c>
      <c r="H620" s="10" t="inlineStr">
        <is>
          <t>Informe de valoración de cargos / Propuesta de niveles salariales</t>
        </is>
      </c>
      <c r="I620" s="10" t="inlineStr">
        <is>
          <t>Informe de propuesta de incremento salarial, contiene enfoque metodológico, empresas participantes en el estudio de comparación salarial, detalle de incrementos salariales, propuesta de valor.</t>
        </is>
      </c>
      <c r="J620" s="10" t="inlineStr">
        <is>
          <t>Gerente de Talento Humano</t>
        </is>
      </c>
      <c r="K620" s="10" t="inlineStr">
        <is>
          <t>Analista de Desarrollo</t>
        </is>
      </c>
      <c r="L620" s="10" t="inlineStr">
        <is>
          <t>UBICACIÓN DIGITAL-EQUIPO DEL CUSTODIO</t>
        </is>
      </c>
      <c r="M620" s="10" t="inlineStr">
        <is>
          <t>DISCOS DUROS, SERVIDORES, DISCOS O MEDIOS PORTÁTILES, CINTAS O MEDIOS DE VIDEO Y AUDIO, ETC.</t>
        </is>
      </c>
      <c r="N620" s="10" t="inlineStr">
        <is>
          <t>PRIMARIOS</t>
        </is>
      </c>
      <c r="O620" s="10" t="inlineStr">
        <is>
          <t>DOCUMENTOS TÉCNICOS</t>
        </is>
      </c>
      <c r="P620" s="10" t="inlineStr">
        <is>
          <t>PUBLICA(1)</t>
        </is>
      </c>
      <c r="Q620" s="10" t="inlineStr">
        <is>
          <t>BAJA(1)</t>
        </is>
      </c>
      <c r="R620" s="10" t="inlineStr">
        <is>
          <t>BAJA(1)</t>
        </is>
      </c>
      <c r="S620" s="10">
        <f>+(IF(P620="PUBLICA(1)",1,IF(P620="USO INTERNO(2)",2,IF(P620="RESTRINGIDO(3)",3,3))))+(IF(Q620="BAJA(1)",1,IF(Q620="MEDIA(2)",2,IF(Q620="ALTA(3)",3,3))))+(IF(R620="BAJA(1)",1,IF(R620="MEDIA(2)",2,IF(R620="ALTA(3)",3,3))))</f>
        <v/>
      </c>
      <c r="T620" s="10">
        <f>+IF(S620&lt;6,"BAJA",IF(S620&lt;8,"MEDIA","ALTA"))</f>
        <v/>
      </c>
      <c r="U620" s="10" t="inlineStr">
        <is>
          <t>-</t>
        </is>
      </c>
      <c r="V620" s="24" t="n">
        <v>45687</v>
      </c>
      <c r="W620" s="19" t="inlineStr">
        <is>
          <t>N/A</t>
        </is>
      </c>
      <c r="X620" s="10">
        <f>+IFERROR(IF(VLOOKUP(Tabla2[[#This Row],[ID]],'EVALUACION DE RIESGO'!A:A,1,FALSE)=Tabla2[[#This Row],[ID]],"SI","NO"),"NO")</f>
        <v/>
      </c>
    </row>
    <row r="621">
      <c r="A621" s="91" t="inlineStr">
        <is>
          <t>62-GTH</t>
        </is>
      </c>
      <c r="B621" s="10" t="inlineStr">
        <is>
          <t>APOYO</t>
        </is>
      </c>
      <c r="C621" s="10" t="inlineStr">
        <is>
          <t>Gestión del Talento Humano</t>
        </is>
      </c>
      <c r="D621" s="10" t="inlineStr">
        <is>
          <t>GTH</t>
        </is>
      </c>
      <c r="E621" s="10" t="inlineStr">
        <is>
          <t>Diseño y Planificación del Personal</t>
        </is>
      </c>
      <c r="F621" s="10" t="inlineStr">
        <is>
          <t>-</t>
        </is>
      </c>
      <c r="G621" s="10" t="inlineStr">
        <is>
          <t xml:space="preserve">Análisis y valoración de cargos   </t>
        </is>
      </c>
      <c r="H621" s="10" t="inlineStr">
        <is>
          <t>Certificación de aprobación</t>
        </is>
      </c>
      <c r="I621" s="10" t="inlineStr">
        <is>
          <t>Certificación de resolución emitida por el Consejo de Administración de acuerdo al informe emitido</t>
        </is>
      </c>
      <c r="J621" s="10" t="inlineStr">
        <is>
          <t>Gerente de Talento Humano</t>
        </is>
      </c>
      <c r="K621" s="10" t="inlineStr">
        <is>
          <t>Analista de Desarrollo</t>
        </is>
      </c>
      <c r="L621" s="10" t="inlineStr">
        <is>
          <t>UBICACIÓN DIGITAL-EQUIPO DEL CUSTODIO</t>
        </is>
      </c>
      <c r="M621" s="10" t="inlineStr">
        <is>
          <t>DISCOS DUROS, SERVIDORES, DISCOS O MEDIOS PORTÁTILES, CINTAS O MEDIOS DE VIDEO Y AUDIO, ETC.</t>
        </is>
      </c>
      <c r="N621" s="10" t="inlineStr">
        <is>
          <t>PRIMARIOS</t>
        </is>
      </c>
      <c r="O621" s="10" t="inlineStr">
        <is>
          <t>DOCUMENTOS HABILITANTES</t>
        </is>
      </c>
      <c r="P621" s="10" t="inlineStr">
        <is>
          <t>USO INTERNO(2)</t>
        </is>
      </c>
      <c r="Q621" s="10" t="inlineStr">
        <is>
          <t>BAJA(1)</t>
        </is>
      </c>
      <c r="R621" s="10" t="inlineStr">
        <is>
          <t>MEDIA(2)</t>
        </is>
      </c>
      <c r="S621" s="10">
        <f>+(IF(P621="PUBLICA(1)",1,IF(P621="USO INTERNO(2)",2,IF(P621="RESTRINGIDO(3)",3,3))))+(IF(Q621="BAJA(1)",1,IF(Q621="MEDIA(2)",2,IF(Q621="ALTA(3)",3,3))))+(IF(R621="BAJA(1)",1,IF(R621="MEDIA(2)",2,IF(R621="ALTA(3)",3,3))))</f>
        <v/>
      </c>
      <c r="T621" s="10">
        <f>+IF(S621&lt;6,"BAJA",IF(S621&lt;8,"MEDIA","ALTA"))</f>
        <v/>
      </c>
      <c r="U621" s="10" t="inlineStr">
        <is>
          <t>-</t>
        </is>
      </c>
      <c r="V621" s="24" t="n">
        <v>45687</v>
      </c>
      <c r="W621" s="19" t="inlineStr">
        <is>
          <t>N/A</t>
        </is>
      </c>
      <c r="X621" s="10">
        <f>+IFERROR(IF(VLOOKUP(Tabla2[[#This Row],[ID]],'EVALUACION DE RIESGO'!A:A,1,FALSE)=Tabla2[[#This Row],[ID]],"SI","NO"),"NO")</f>
        <v/>
      </c>
    </row>
    <row r="622">
      <c r="A622" s="91" t="inlineStr">
        <is>
          <t>63-GTH</t>
        </is>
      </c>
      <c r="B622" s="10" t="inlineStr">
        <is>
          <t>APOYO</t>
        </is>
      </c>
      <c r="C622" s="10" t="inlineStr">
        <is>
          <t>Gestión del Talento Humano</t>
        </is>
      </c>
      <c r="D622" s="10" t="inlineStr">
        <is>
          <t>GTH</t>
        </is>
      </c>
      <c r="E622" s="10" t="inlineStr">
        <is>
          <t>Diseño y Planificación del Personal</t>
        </is>
      </c>
      <c r="F622" s="10" t="inlineStr">
        <is>
          <t>-</t>
        </is>
      </c>
      <c r="G622" s="10" t="inlineStr">
        <is>
          <t xml:space="preserve">Revisión y actualización de manuales de funciones </t>
        </is>
      </c>
      <c r="H622" s="10" t="inlineStr">
        <is>
          <t>Manual de funciones</t>
        </is>
      </c>
      <c r="I622" s="10" t="inlineStr">
        <is>
          <t>Documentos que detallas las actividades específicas de cada cargo</t>
        </is>
      </c>
      <c r="J622" s="10" t="inlineStr">
        <is>
          <t>Gerente de Talento Humano</t>
        </is>
      </c>
      <c r="K622" s="10" t="inlineStr">
        <is>
          <t>Analista de Desarrollo</t>
        </is>
      </c>
      <c r="L622" s="10" t="inlineStr">
        <is>
          <t>UBICACIÓN DIGITAL-WEBCOOP</t>
        </is>
      </c>
      <c r="M622" s="10" t="inlineStr">
        <is>
          <t>DOCUMENTO DE ARCHIVO-ELECTRÓNICO</t>
        </is>
      </c>
      <c r="N622" s="10" t="inlineStr">
        <is>
          <t>PRIMARIOS</t>
        </is>
      </c>
      <c r="O622" s="10" t="inlineStr">
        <is>
          <t>DOCUMENTOS TÉCNICOS</t>
        </is>
      </c>
      <c r="P622" s="10" t="inlineStr">
        <is>
          <t>PUBLICA(1)</t>
        </is>
      </c>
      <c r="Q622" s="10" t="inlineStr">
        <is>
          <t>BAJA(1)</t>
        </is>
      </c>
      <c r="R622" s="10" t="inlineStr">
        <is>
          <t>MEDIA(2)</t>
        </is>
      </c>
      <c r="S622" s="10">
        <f>+(IF(P622="PUBLICA(1)",1,IF(P622="USO INTERNO(2)",2,IF(P622="RESTRINGIDO(3)",3,3))))+(IF(Q622="BAJA(1)",1,IF(Q622="MEDIA(2)",2,IF(Q622="ALTA(3)",3,3))))+(IF(R622="BAJA(1)",1,IF(R622="MEDIA(2)",2,IF(R622="ALTA(3)",3,3))))</f>
        <v/>
      </c>
      <c r="T622" s="10">
        <f>+IF(S622&lt;6,"BAJA",IF(S622&lt;8,"MEDIA","ALTA"))</f>
        <v/>
      </c>
      <c r="U622" s="10" t="inlineStr">
        <is>
          <t>-</t>
        </is>
      </c>
      <c r="V622" s="24" t="n">
        <v>45687</v>
      </c>
      <c r="W622" s="19" t="inlineStr">
        <is>
          <t>N/A</t>
        </is>
      </c>
      <c r="X622" s="10">
        <f>+IFERROR(IF(VLOOKUP(Tabla2[[#This Row],[ID]],'EVALUACION DE RIESGO'!A:A,1,FALSE)=Tabla2[[#This Row],[ID]],"SI","NO"),"NO")</f>
        <v/>
      </c>
    </row>
    <row r="623">
      <c r="A623" s="91" t="inlineStr">
        <is>
          <t>64-GTH</t>
        </is>
      </c>
      <c r="B623" s="10" t="inlineStr">
        <is>
          <t>APOYO</t>
        </is>
      </c>
      <c r="C623" s="10" t="inlineStr">
        <is>
          <t>Gestión del Talento Humano</t>
        </is>
      </c>
      <c r="D623" s="10" t="inlineStr">
        <is>
          <t>GTH</t>
        </is>
      </c>
      <c r="E623" s="10" t="inlineStr">
        <is>
          <t>Permanencia y Desarrollo del Personal</t>
        </is>
      </c>
      <c r="F623" s="10" t="inlineStr">
        <is>
          <t>-</t>
        </is>
      </c>
      <c r="G623" s="10" t="inlineStr">
        <is>
          <t xml:space="preserve">Evaluación de desempeño   </t>
        </is>
      </c>
      <c r="H623" s="10" t="inlineStr">
        <is>
          <t>Plan de evaluación de desempeño</t>
        </is>
      </c>
      <c r="I623" s="10" t="inlineStr">
        <is>
          <t>Plan desarrollado en el sistema COMPERS, contiene reporte de competencias general, reporte de análisis para recursos humanos, empleado, periodo, área, competencias, tabla de evaluación global al perfil del cargo</t>
        </is>
      </c>
      <c r="J623" s="10" t="inlineStr">
        <is>
          <t>Gerente de Talento Humano</t>
        </is>
      </c>
      <c r="K623" s="10" t="inlineStr">
        <is>
          <t>Analista de Nómina</t>
        </is>
      </c>
      <c r="L623" s="10" t="inlineStr">
        <is>
          <t>UBICACIÓN DIGITAL-EQUIPO DEL CUSTODIO</t>
        </is>
      </c>
      <c r="M623" s="10" t="inlineStr">
        <is>
          <t>DISCOS DUROS, SERVIDORES, DISCOS O MEDIOS PORTÁTILES, CINTAS O MEDIOS DE VIDEO Y AUDIO, ETC.</t>
        </is>
      </c>
      <c r="N623" s="10" t="inlineStr">
        <is>
          <t>PRIMARIOS</t>
        </is>
      </c>
      <c r="O623" s="10" t="inlineStr">
        <is>
          <t>DOCUMENTOS TÉCNICOS</t>
        </is>
      </c>
      <c r="P623" s="10" t="inlineStr">
        <is>
          <t>PUBLICA(1)</t>
        </is>
      </c>
      <c r="Q623" s="10" t="inlineStr">
        <is>
          <t>BAJA(1)</t>
        </is>
      </c>
      <c r="R623" s="10" t="inlineStr">
        <is>
          <t>BAJA(1)</t>
        </is>
      </c>
      <c r="S623" s="10">
        <f>+(IF(P623="PUBLICA(1)",1,IF(P623="USO INTERNO(2)",2,IF(P623="RESTRINGIDO(3)",3,3))))+(IF(Q623="BAJA(1)",1,IF(Q623="MEDIA(2)",2,IF(Q623="ALTA(3)",3,3))))+(IF(R623="BAJA(1)",1,IF(R623="MEDIA(2)",2,IF(R623="ALTA(3)",3,3))))</f>
        <v/>
      </c>
      <c r="T623" s="10">
        <f>+IF(S623&lt;6,"BAJA",IF(S623&lt;8,"MEDIA","ALTA"))</f>
        <v/>
      </c>
      <c r="U623" s="10" t="inlineStr">
        <is>
          <t>-</t>
        </is>
      </c>
      <c r="V623" s="24" t="n">
        <v>45687</v>
      </c>
      <c r="W623" s="19" t="inlineStr">
        <is>
          <t>N/A</t>
        </is>
      </c>
      <c r="X623" s="10">
        <f>+IFERROR(IF(VLOOKUP(Tabla2[[#This Row],[ID]],'EVALUACION DE RIESGO'!A:A,1,FALSE)=Tabla2[[#This Row],[ID]],"SI","NO"),"NO")</f>
        <v/>
      </c>
    </row>
    <row r="624">
      <c r="A624" s="91" t="inlineStr">
        <is>
          <t>65-GTH</t>
        </is>
      </c>
      <c r="B624" s="10" t="inlineStr">
        <is>
          <t>APOYO</t>
        </is>
      </c>
      <c r="C624" s="10" t="inlineStr">
        <is>
          <t>Gestión del Talento Humano</t>
        </is>
      </c>
      <c r="D624" s="10" t="inlineStr">
        <is>
          <t>GTH</t>
        </is>
      </c>
      <c r="E624" s="10" t="inlineStr">
        <is>
          <t>Permanencia y Desarrollo del Personal</t>
        </is>
      </c>
      <c r="F624" s="10" t="inlineStr">
        <is>
          <t>-</t>
        </is>
      </c>
      <c r="G624" s="10" t="inlineStr">
        <is>
          <t xml:space="preserve">Evaluación de desempeño   </t>
        </is>
      </c>
      <c r="H624" s="10" t="inlineStr">
        <is>
          <t>Evaluaciones de desempeño</t>
        </is>
      </c>
      <c r="I624" s="10" t="inlineStr">
        <is>
          <t>Entregable sistema COMPERS, contiene reporte de competencias general, reporte de análisis para recursos humanos, empleado, periodo, área, competencias, tabla de evaluación global al perfil del cargo</t>
        </is>
      </c>
      <c r="J624" s="10" t="inlineStr">
        <is>
          <t>Gerente de Talento Humano</t>
        </is>
      </c>
      <c r="K624" s="10" t="inlineStr">
        <is>
          <t>Analista de Nómina</t>
        </is>
      </c>
      <c r="L624" s="10" t="inlineStr">
        <is>
          <t>UBICACIÓN DIGITAL-EQUIPO DEL CUSTODIO</t>
        </is>
      </c>
      <c r="M624" s="10" t="inlineStr">
        <is>
          <t>DISCOS DUROS, SERVIDORES, DISCOS O MEDIOS PORTÁTILES, CINTAS O MEDIOS DE VIDEO Y AUDIO, ETC.</t>
        </is>
      </c>
      <c r="N624" s="10" t="inlineStr">
        <is>
          <t>PRIMARIOS</t>
        </is>
      </c>
      <c r="O624" s="10" t="inlineStr">
        <is>
          <t>DOCUMENTOS TÉCNICOS</t>
        </is>
      </c>
      <c r="P624" s="10" t="inlineStr">
        <is>
          <t>USO INTERNO(2)</t>
        </is>
      </c>
      <c r="Q624" s="10" t="inlineStr">
        <is>
          <t>BAJA(1)</t>
        </is>
      </c>
      <c r="R624" s="10" t="inlineStr">
        <is>
          <t>BAJA(1)</t>
        </is>
      </c>
      <c r="S624" s="10">
        <f>+(IF(P624="PUBLICA(1)",1,IF(P624="USO INTERNO(2)",2,IF(P624="RESTRINGIDO(3)",3,3))))+(IF(Q624="BAJA(1)",1,IF(Q624="MEDIA(2)",2,IF(Q624="ALTA(3)",3,3))))+(IF(R624="BAJA(1)",1,IF(R624="MEDIA(2)",2,IF(R624="ALTA(3)",3,3))))</f>
        <v/>
      </c>
      <c r="T624" s="10">
        <f>+IF(S624&lt;6,"BAJA",IF(S624&lt;8,"MEDIA","ALTA"))</f>
        <v/>
      </c>
      <c r="U624" s="10" t="inlineStr">
        <is>
          <t>-</t>
        </is>
      </c>
      <c r="V624" s="24" t="n">
        <v>45687</v>
      </c>
      <c r="W624" s="19" t="inlineStr">
        <is>
          <t>N/A</t>
        </is>
      </c>
      <c r="X624" s="10">
        <f>+IFERROR(IF(VLOOKUP(Tabla2[[#This Row],[ID]],'EVALUACION DE RIESGO'!A:A,1,FALSE)=Tabla2[[#This Row],[ID]],"SI","NO"),"NO")</f>
        <v/>
      </c>
    </row>
    <row r="625">
      <c r="A625" s="91" t="inlineStr">
        <is>
          <t>66-GTH</t>
        </is>
      </c>
      <c r="B625" s="10" t="inlineStr">
        <is>
          <t>APOYO</t>
        </is>
      </c>
      <c r="C625" s="10" t="inlineStr">
        <is>
          <t>Gestión del Talento Humano</t>
        </is>
      </c>
      <c r="D625" s="10" t="inlineStr">
        <is>
          <t>GTH</t>
        </is>
      </c>
      <c r="E625" s="10" t="inlineStr">
        <is>
          <t>Permanencia y Desarrollo del Personal</t>
        </is>
      </c>
      <c r="F625" s="10" t="inlineStr">
        <is>
          <t>-</t>
        </is>
      </c>
      <c r="G625" s="10" t="inlineStr">
        <is>
          <t xml:space="preserve">Evaluación de desempeño   </t>
        </is>
      </c>
      <c r="H625" s="10" t="inlineStr">
        <is>
          <t>Informe de evaluación de desempeño</t>
        </is>
      </c>
      <c r="I625" s="10" t="inlineStr">
        <is>
          <t>Informe de evaluación que contiene evaluación de acuerdo a las necesidades con información por departamento, grupo ocupacional, oficinas, área operativas</t>
        </is>
      </c>
      <c r="J625" s="10" t="inlineStr">
        <is>
          <t>Gerente de Talento Humano</t>
        </is>
      </c>
      <c r="K625" s="10" t="inlineStr">
        <is>
          <t>Analista de Nómina</t>
        </is>
      </c>
      <c r="L625" s="10" t="inlineStr">
        <is>
          <t>UBICACIÓN DIGITAL-EQUIPO DEL CUSTODIO</t>
        </is>
      </c>
      <c r="M625" s="10" t="inlineStr">
        <is>
          <t>DISCOS DUROS, SERVIDORES, DISCOS O MEDIOS PORTÁTILES, CINTAS O MEDIOS DE VIDEO Y AUDIO, ETC.</t>
        </is>
      </c>
      <c r="N625" s="10" t="inlineStr">
        <is>
          <t>PRIMARIOS</t>
        </is>
      </c>
      <c r="O625" s="10" t="inlineStr">
        <is>
          <t>DOCUMENTOS TÉCNICOS</t>
        </is>
      </c>
      <c r="P625" s="10" t="inlineStr">
        <is>
          <t>USO INTERNO(2)</t>
        </is>
      </c>
      <c r="Q625" s="10" t="inlineStr">
        <is>
          <t>BAJA(1)</t>
        </is>
      </c>
      <c r="R625" s="10" t="inlineStr">
        <is>
          <t>BAJA(1)</t>
        </is>
      </c>
      <c r="S625" s="10">
        <f>+(IF(P625="PUBLICA(1)",1,IF(P625="USO INTERNO(2)",2,IF(P625="RESTRINGIDO(3)",3,3))))+(IF(Q625="BAJA(1)",1,IF(Q625="MEDIA(2)",2,IF(Q625="ALTA(3)",3,3))))+(IF(R625="BAJA(1)",1,IF(R625="MEDIA(2)",2,IF(R625="ALTA(3)",3,3))))</f>
        <v/>
      </c>
      <c r="T625" s="10">
        <f>+IF(S625&lt;6,"BAJA",IF(S625&lt;8,"MEDIA","ALTA"))</f>
        <v/>
      </c>
      <c r="U625" s="10" t="inlineStr">
        <is>
          <t>-</t>
        </is>
      </c>
      <c r="V625" s="24" t="n">
        <v>45687</v>
      </c>
      <c r="W625" s="19" t="inlineStr">
        <is>
          <t>N/A</t>
        </is>
      </c>
      <c r="X625" s="10">
        <f>+IFERROR(IF(VLOOKUP(Tabla2[[#This Row],[ID]],'EVALUACION DE RIESGO'!A:A,1,FALSE)=Tabla2[[#This Row],[ID]],"SI","NO"),"NO")</f>
        <v/>
      </c>
    </row>
    <row r="626">
      <c r="A626" s="91" t="inlineStr">
        <is>
          <t>67-GTH</t>
        </is>
      </c>
      <c r="B626" s="10" t="inlineStr">
        <is>
          <t>APOYO</t>
        </is>
      </c>
      <c r="C626" s="10" t="inlineStr">
        <is>
          <t>Gestión del Talento Humano</t>
        </is>
      </c>
      <c r="D626" s="10" t="inlineStr">
        <is>
          <t>GTH</t>
        </is>
      </c>
      <c r="E626" s="10" t="inlineStr">
        <is>
          <t>Permanencia y Desarrollo del Personal</t>
        </is>
      </c>
      <c r="F626" s="10" t="inlineStr">
        <is>
          <t>-</t>
        </is>
      </c>
      <c r="G626" s="10" t="inlineStr">
        <is>
          <t xml:space="preserve">Evaluación de desempeño   </t>
        </is>
      </c>
      <c r="H626" s="10" t="inlineStr">
        <is>
          <t>Plan de formación y desarrollo</t>
        </is>
      </c>
      <c r="I626" s="10" t="inlineStr">
        <is>
          <t xml:space="preserve">Plan anual de desarrollo que contiene el análisis de las personas que tiene un nivel bajo de competencias, actividades, competencias, </t>
        </is>
      </c>
      <c r="J626" s="10" t="inlineStr">
        <is>
          <t>Gerente de Talento Humano</t>
        </is>
      </c>
      <c r="K626" s="10" t="inlineStr">
        <is>
          <t>Analista de Nómina</t>
        </is>
      </c>
      <c r="L626" s="10" t="inlineStr">
        <is>
          <t>UBICACIÓN DIGITAL-EQUIPO DEL CUSTODIO</t>
        </is>
      </c>
      <c r="M626" s="10" t="inlineStr">
        <is>
          <t>DISCOS DUROS, SERVIDORES, DISCOS O MEDIOS PORTÁTILES, CINTAS O MEDIOS DE VIDEO Y AUDIO, ETC.</t>
        </is>
      </c>
      <c r="N626" s="10" t="inlineStr">
        <is>
          <t>PRIMARIOS</t>
        </is>
      </c>
      <c r="O626" s="10" t="inlineStr">
        <is>
          <t>DOCUMENTOS TÉCNICOS</t>
        </is>
      </c>
      <c r="P626" s="10" t="inlineStr">
        <is>
          <t>PUBLICA(1)</t>
        </is>
      </c>
      <c r="Q626" s="10" t="inlineStr">
        <is>
          <t>BAJA(1)</t>
        </is>
      </c>
      <c r="R626" s="10" t="inlineStr">
        <is>
          <t>BAJA(1)</t>
        </is>
      </c>
      <c r="S626" s="10">
        <f>+(IF(P626="PUBLICA(1)",1,IF(P626="USO INTERNO(2)",2,IF(P626="RESTRINGIDO(3)",3,3))))+(IF(Q626="BAJA(1)",1,IF(Q626="MEDIA(2)",2,IF(Q626="ALTA(3)",3,3))))+(IF(R626="BAJA(1)",1,IF(R626="MEDIA(2)",2,IF(R626="ALTA(3)",3,3))))</f>
        <v/>
      </c>
      <c r="T626" s="10">
        <f>+IF(S626&lt;6,"BAJA",IF(S626&lt;8,"MEDIA","ALTA"))</f>
        <v/>
      </c>
      <c r="U626" s="10" t="inlineStr">
        <is>
          <t>-</t>
        </is>
      </c>
      <c r="V626" s="24" t="n">
        <v>45687</v>
      </c>
      <c r="W626" s="19" t="inlineStr">
        <is>
          <t>N/A</t>
        </is>
      </c>
      <c r="X626" s="10">
        <f>+IFERROR(IF(VLOOKUP(Tabla2[[#This Row],[ID]],'EVALUACION DE RIESGO'!A:A,1,FALSE)=Tabla2[[#This Row],[ID]],"SI","NO"),"NO")</f>
        <v/>
      </c>
    </row>
    <row r="627">
      <c r="A627" s="91" t="inlineStr">
        <is>
          <t>68-GTH</t>
        </is>
      </c>
      <c r="B627" s="10" t="inlineStr">
        <is>
          <t>APOYO</t>
        </is>
      </c>
      <c r="C627" s="10" t="inlineStr">
        <is>
          <t>Gestión del Talento Humano</t>
        </is>
      </c>
      <c r="D627" s="10" t="inlineStr">
        <is>
          <t>GTH</t>
        </is>
      </c>
      <c r="E627" s="10" t="inlineStr">
        <is>
          <t>Permanencia y Desarrollo del Personal</t>
        </is>
      </c>
      <c r="F627" s="10" t="inlineStr">
        <is>
          <t>-</t>
        </is>
      </c>
      <c r="G627" s="10" t="inlineStr">
        <is>
          <t xml:space="preserve">Plan de capacitación anual   </t>
        </is>
      </c>
      <c r="H627" s="10" t="inlineStr">
        <is>
          <t>Plan de capacitación anual</t>
        </is>
      </c>
      <c r="I627" s="10" t="inlineStr">
        <is>
          <t>Plan de capacitación anual, contiene áreas, departamentos, tema, objetivo, para que?, participantes, genero, presupuesto</t>
        </is>
      </c>
      <c r="J627" s="10" t="inlineStr">
        <is>
          <t>Gerente de Talento Humano</t>
        </is>
      </c>
      <c r="K627" s="10" t="inlineStr">
        <is>
          <t>Analista de Desarrollo</t>
        </is>
      </c>
      <c r="L627" s="10" t="inlineStr">
        <is>
          <t>UBICACIÓN DIGITAL-EQUIPO DEL CUSTODIO</t>
        </is>
      </c>
      <c r="M627" s="10" t="inlineStr">
        <is>
          <t>DISCOS DUROS, SERVIDORES, DISCOS O MEDIOS PORTÁTILES, CINTAS O MEDIOS DE VIDEO Y AUDIO, ETC.</t>
        </is>
      </c>
      <c r="N627" s="10" t="inlineStr">
        <is>
          <t>PRIMARIOS</t>
        </is>
      </c>
      <c r="O627" s="10" t="inlineStr">
        <is>
          <t>DOCUMENTOS TÉCNICOS</t>
        </is>
      </c>
      <c r="P627" s="10" t="inlineStr">
        <is>
          <t>PUBLICA(1)</t>
        </is>
      </c>
      <c r="Q627" s="10" t="inlineStr">
        <is>
          <t>BAJA(1)</t>
        </is>
      </c>
      <c r="R627" s="10" t="inlineStr">
        <is>
          <t>BAJA(1)</t>
        </is>
      </c>
      <c r="S627" s="10">
        <f>+(IF(P627="PUBLICA(1)",1,IF(P627="USO INTERNO(2)",2,IF(P627="RESTRINGIDO(3)",3,3))))+(IF(Q627="BAJA(1)",1,IF(Q627="MEDIA(2)",2,IF(Q627="ALTA(3)",3,3))))+(IF(R627="BAJA(1)",1,IF(R627="MEDIA(2)",2,IF(R627="ALTA(3)",3,3))))</f>
        <v/>
      </c>
      <c r="T627" s="10">
        <f>+IF(S627&lt;6,"BAJA",IF(S627&lt;8,"MEDIA","ALTA"))</f>
        <v/>
      </c>
      <c r="U627" s="10" t="inlineStr">
        <is>
          <t>-</t>
        </is>
      </c>
      <c r="V627" s="24" t="n">
        <v>45687</v>
      </c>
      <c r="W627" s="19" t="inlineStr">
        <is>
          <t>N/A</t>
        </is>
      </c>
      <c r="X627" s="10">
        <f>+IFERROR(IF(VLOOKUP(Tabla2[[#This Row],[ID]],'EVALUACION DE RIESGO'!A:A,1,FALSE)=Tabla2[[#This Row],[ID]],"SI","NO"),"NO")</f>
        <v/>
      </c>
    </row>
    <row r="628">
      <c r="A628" s="91" t="inlineStr">
        <is>
          <t>69-GTH</t>
        </is>
      </c>
      <c r="B628" s="10" t="inlineStr">
        <is>
          <t>APOYO</t>
        </is>
      </c>
      <c r="C628" s="10" t="inlineStr">
        <is>
          <t>Gestión del Talento Humano</t>
        </is>
      </c>
      <c r="D628" s="10" t="inlineStr">
        <is>
          <t>GTH</t>
        </is>
      </c>
      <c r="E628" s="10" t="inlineStr">
        <is>
          <t>Permanencia y Desarrollo del Personal</t>
        </is>
      </c>
      <c r="F628" s="10" t="inlineStr">
        <is>
          <t>-</t>
        </is>
      </c>
      <c r="G628" s="10" t="inlineStr">
        <is>
          <t xml:space="preserve">Plan de capacitación anual   </t>
        </is>
      </c>
      <c r="H628" s="10" t="inlineStr">
        <is>
          <t>Certificación plan de capacitación</t>
        </is>
      </c>
      <c r="I628" s="10" t="inlineStr">
        <is>
          <t>Certificación emitida por el Consejo de Administración</t>
        </is>
      </c>
      <c r="J628" s="10" t="inlineStr">
        <is>
          <t>Gerente de Talento Humano</t>
        </is>
      </c>
      <c r="K628" s="10" t="inlineStr">
        <is>
          <t>Analista de Desarrollo</t>
        </is>
      </c>
      <c r="L628" s="10" t="inlineStr">
        <is>
          <t>UBICACIÓN DIGITAL-EQUIPO DEL CUSTODIO</t>
        </is>
      </c>
      <c r="M628" s="10" t="inlineStr">
        <is>
          <t>DISCOS DUROS, SERVIDORES, DISCOS O MEDIOS PORTÁTILES, CINTAS O MEDIOS DE VIDEO Y AUDIO, ETC.</t>
        </is>
      </c>
      <c r="N628" s="10" t="inlineStr">
        <is>
          <t>PRIMARIOS</t>
        </is>
      </c>
      <c r="O628" s="10" t="inlineStr">
        <is>
          <t>DOCUMENTOS HABILITANTES</t>
        </is>
      </c>
      <c r="P628" s="10" t="inlineStr">
        <is>
          <t>PUBLICA(1)</t>
        </is>
      </c>
      <c r="Q628" s="10" t="inlineStr">
        <is>
          <t>BAJA(1)</t>
        </is>
      </c>
      <c r="R628" s="10" t="inlineStr">
        <is>
          <t>MEDIA(2)</t>
        </is>
      </c>
      <c r="S628" s="10">
        <f>+(IF(P628="PUBLICA(1)",1,IF(P628="USO INTERNO(2)",2,IF(P628="RESTRINGIDO(3)",3,3))))+(IF(Q628="BAJA(1)",1,IF(Q628="MEDIA(2)",2,IF(Q628="ALTA(3)",3,3))))+(IF(R628="BAJA(1)",1,IF(R628="MEDIA(2)",2,IF(R628="ALTA(3)",3,3))))</f>
        <v/>
      </c>
      <c r="T628" s="10">
        <f>+IF(S628&lt;6,"BAJA",IF(S628&lt;8,"MEDIA","ALTA"))</f>
        <v/>
      </c>
      <c r="U628" s="10" t="inlineStr">
        <is>
          <t>-</t>
        </is>
      </c>
      <c r="V628" s="24" t="n">
        <v>45687</v>
      </c>
      <c r="W628" s="19" t="inlineStr">
        <is>
          <t>N/A</t>
        </is>
      </c>
      <c r="X628" s="10">
        <f>+IFERROR(IF(VLOOKUP(Tabla2[[#This Row],[ID]],'EVALUACION DE RIESGO'!A:A,1,FALSE)=Tabla2[[#This Row],[ID]],"SI","NO"),"NO")</f>
        <v/>
      </c>
    </row>
    <row r="629">
      <c r="A629" s="91" t="inlineStr">
        <is>
          <t>70-GTH</t>
        </is>
      </c>
      <c r="B629" s="10" t="inlineStr">
        <is>
          <t>APOYO</t>
        </is>
      </c>
      <c r="C629" s="10" t="inlineStr">
        <is>
          <t>Gestión del Talento Humano</t>
        </is>
      </c>
      <c r="D629" s="10" t="inlineStr">
        <is>
          <t>GTH</t>
        </is>
      </c>
      <c r="E629" s="10" t="inlineStr">
        <is>
          <t>Permanencia y Desarrollo del Personal</t>
        </is>
      </c>
      <c r="F629" s="10" t="inlineStr">
        <is>
          <t>-</t>
        </is>
      </c>
      <c r="G629" s="10" t="inlineStr">
        <is>
          <t>Solicitud y aprobación de capacitaciones</t>
        </is>
      </c>
      <c r="H629" s="10" t="inlineStr">
        <is>
          <t>Formulario de evaluaciones del evento de capacitación</t>
        </is>
      </c>
      <c r="I629" s="10" t="inlineStr">
        <is>
          <t>Solicitud realizada por el webcoop y correo electrónico de capacitación, detalla el personal a capacitar y proveedor</t>
        </is>
      </c>
      <c r="J629" s="10" t="inlineStr">
        <is>
          <t>Gerente de Talento Humano</t>
        </is>
      </c>
      <c r="K629" s="10" t="inlineStr">
        <is>
          <t>Analista de Desarrollo</t>
        </is>
      </c>
      <c r="L629" s="10" t="inlineStr">
        <is>
          <t>UBICACIÓN DIGITAL-EQUIPO DEL CUSTODIO</t>
        </is>
      </c>
      <c r="M629" s="10" t="inlineStr">
        <is>
          <t>DISCOS DUROS, SERVIDORES, DISCOS O MEDIOS PORTÁTILES, CINTAS O MEDIOS DE VIDEO Y AUDIO, ETC.</t>
        </is>
      </c>
      <c r="N629" s="10" t="inlineStr">
        <is>
          <t>PRIMARIOS</t>
        </is>
      </c>
      <c r="O629" s="10" t="inlineStr">
        <is>
          <t>COMUNICACIÓN INTERNA</t>
        </is>
      </c>
      <c r="P629" s="10" t="inlineStr">
        <is>
          <t>PUBLICA(1)</t>
        </is>
      </c>
      <c r="Q629" s="10" t="inlineStr">
        <is>
          <t>BAJA(1)</t>
        </is>
      </c>
      <c r="R629" s="10" t="inlineStr">
        <is>
          <t>BAJA(1)</t>
        </is>
      </c>
      <c r="S629" s="10">
        <f>+(IF(P629="PUBLICA(1)",1,IF(P629="USO INTERNO(2)",2,IF(P629="RESTRINGIDO(3)",3,3))))+(IF(Q629="BAJA(1)",1,IF(Q629="MEDIA(2)",2,IF(Q629="ALTA(3)",3,3))))+(IF(R629="BAJA(1)",1,IF(R629="MEDIA(2)",2,IF(R629="ALTA(3)",3,3))))</f>
        <v/>
      </c>
      <c r="T629" s="10">
        <f>+IF(S629&lt;6,"BAJA",IF(S629&lt;8,"MEDIA","ALTA"))</f>
        <v/>
      </c>
      <c r="U629" s="10" t="inlineStr">
        <is>
          <t>-</t>
        </is>
      </c>
      <c r="V629" s="24" t="n">
        <v>45687</v>
      </c>
      <c r="W629" s="19" t="inlineStr">
        <is>
          <t>N/A</t>
        </is>
      </c>
      <c r="X629" s="10">
        <f>+IFERROR(IF(VLOOKUP(Tabla2[[#This Row],[ID]],'EVALUACION DE RIESGO'!A:A,1,FALSE)=Tabla2[[#This Row],[ID]],"SI","NO"),"NO")</f>
        <v/>
      </c>
    </row>
    <row r="630">
      <c r="A630" s="91" t="inlineStr">
        <is>
          <t>71-GTH</t>
        </is>
      </c>
      <c r="B630" s="10" t="inlineStr">
        <is>
          <t>APOYO</t>
        </is>
      </c>
      <c r="C630" s="10" t="inlineStr">
        <is>
          <t>Gestión del Talento Humano</t>
        </is>
      </c>
      <c r="D630" s="10" t="inlineStr">
        <is>
          <t>GTH</t>
        </is>
      </c>
      <c r="E630" s="10" t="inlineStr">
        <is>
          <t>Permanencia y Desarrollo del Personal</t>
        </is>
      </c>
      <c r="F630" s="10" t="inlineStr">
        <is>
          <t>-</t>
        </is>
      </c>
      <c r="G630" s="10" t="inlineStr">
        <is>
          <t>Solicitud y aprobación de capacitaciones</t>
        </is>
      </c>
      <c r="H630" s="10" t="inlineStr">
        <is>
          <t>File de capacitación</t>
        </is>
      </c>
      <c r="I630" s="10" t="inlineStr">
        <is>
          <t>Conjunto de archivos de respaldo de las capacitaciones, desde su planificación hasta su finalización.(temática, participantes)</t>
        </is>
      </c>
      <c r="J630" s="10" t="inlineStr">
        <is>
          <t>Gerente de Talento Humano</t>
        </is>
      </c>
      <c r="K630" s="10" t="inlineStr">
        <is>
          <t>Analista de Desarrollo</t>
        </is>
      </c>
      <c r="L630" s="10" t="inlineStr">
        <is>
          <t>UBICACIÓN DIGITAL-EQUIPO DEL CUSTODIO</t>
        </is>
      </c>
      <c r="M630" s="10" t="inlineStr">
        <is>
          <t>DISCOS DUROS, SERVIDORES, DISCOS O MEDIOS PORTÁTILES, CINTAS O MEDIOS DE VIDEO Y AUDIO, ETC.</t>
        </is>
      </c>
      <c r="N630" s="10" t="inlineStr">
        <is>
          <t>PRIMARIOS</t>
        </is>
      </c>
      <c r="O630" s="10" t="inlineStr">
        <is>
          <t>DOCUMENTOS TÉCNICOS</t>
        </is>
      </c>
      <c r="P630" s="10" t="inlineStr">
        <is>
          <t>PUBLICA(1)</t>
        </is>
      </c>
      <c r="Q630" s="10" t="inlineStr">
        <is>
          <t>BAJA(1)</t>
        </is>
      </c>
      <c r="R630" s="10" t="inlineStr">
        <is>
          <t>BAJA(1)</t>
        </is>
      </c>
      <c r="S630" s="10">
        <f>+(IF(P630="PUBLICA(1)",1,IF(P630="USO INTERNO(2)",2,IF(P630="RESTRINGIDO(3)",3,3))))+(IF(Q630="BAJA(1)",1,IF(Q630="MEDIA(2)",2,IF(Q630="ALTA(3)",3,3))))+(IF(R630="BAJA(1)",1,IF(R630="MEDIA(2)",2,IF(R630="ALTA(3)",3,3))))</f>
        <v/>
      </c>
      <c r="T630" s="10">
        <f>+IF(S630&lt;6,"BAJA",IF(S630&lt;8,"MEDIA","ALTA"))</f>
        <v/>
      </c>
      <c r="U630" s="10" t="inlineStr">
        <is>
          <t>-</t>
        </is>
      </c>
      <c r="V630" s="24" t="n">
        <v>45687</v>
      </c>
      <c r="W630" s="19" t="inlineStr">
        <is>
          <t>N/A</t>
        </is>
      </c>
      <c r="X630" s="10">
        <f>+IFERROR(IF(VLOOKUP(Tabla2[[#This Row],[ID]],'EVALUACION DE RIESGO'!A:A,1,FALSE)=Tabla2[[#This Row],[ID]],"SI","NO"),"NO")</f>
        <v/>
      </c>
    </row>
    <row r="631">
      <c r="A631" s="91" t="inlineStr">
        <is>
          <t>72-GTH</t>
        </is>
      </c>
      <c r="B631" s="10" t="inlineStr">
        <is>
          <t>APOYO</t>
        </is>
      </c>
      <c r="C631" s="10" t="inlineStr">
        <is>
          <t>Gestión del Talento Humano</t>
        </is>
      </c>
      <c r="D631" s="10" t="inlineStr">
        <is>
          <t>GTH</t>
        </is>
      </c>
      <c r="E631" s="10" t="inlineStr">
        <is>
          <t>Permanencia y Desarrollo del Personal</t>
        </is>
      </c>
      <c r="F631" s="10" t="inlineStr">
        <is>
          <t>-</t>
        </is>
      </c>
      <c r="G631" s="10" t="inlineStr">
        <is>
          <t>Solicitud y aprobación de capacitaciones</t>
        </is>
      </c>
      <c r="H631" s="10" t="inlineStr">
        <is>
          <t>Matriz de seguimiento de plan de capacitación anual</t>
        </is>
      </c>
      <c r="I631" s="10" t="inlineStr">
        <is>
          <t>Reporte diseñado en Power BI que contiene cumplimiento por horas, departamentos, presupuesto, gastos, horas de capacitación, detalle de curso, grupo ocupacional</t>
        </is>
      </c>
      <c r="J631" s="10" t="inlineStr">
        <is>
          <t>Gerente de Talento Humano</t>
        </is>
      </c>
      <c r="K631" s="10" t="inlineStr">
        <is>
          <t>Analista de Desarrollo</t>
        </is>
      </c>
      <c r="L631" s="10" t="inlineStr">
        <is>
          <t>UBICACIÓN DIGITAL-EQUIPO DEL CUSTODIO</t>
        </is>
      </c>
      <c r="M631" s="10" t="inlineStr">
        <is>
          <t>DISCOS DUROS, SERVIDORES, DISCOS O MEDIOS PORTÁTILES, CINTAS O MEDIOS DE VIDEO Y AUDIO, ETC.</t>
        </is>
      </c>
      <c r="N631" s="10" t="inlineStr">
        <is>
          <t>PRIMARIOS</t>
        </is>
      </c>
      <c r="O631" s="10" t="inlineStr">
        <is>
          <t>DOCUMENTOS TÉCNICOS</t>
        </is>
      </c>
      <c r="P631" s="10" t="inlineStr">
        <is>
          <t>PUBLICA(1)</t>
        </is>
      </c>
      <c r="Q631" s="10" t="inlineStr">
        <is>
          <t>BAJA(1)</t>
        </is>
      </c>
      <c r="R631" s="10" t="inlineStr">
        <is>
          <t>BAJA(1)</t>
        </is>
      </c>
      <c r="S631" s="10">
        <f>+(IF(P631="PUBLICA(1)",1,IF(P631="USO INTERNO(2)",2,IF(P631="RESTRINGIDO(3)",3,3))))+(IF(Q631="BAJA(1)",1,IF(Q631="MEDIA(2)",2,IF(Q631="ALTA(3)",3,3))))+(IF(R631="BAJA(1)",1,IF(R631="MEDIA(2)",2,IF(R631="ALTA(3)",3,3))))</f>
        <v/>
      </c>
      <c r="T631" s="10">
        <f>+IF(S631&lt;6,"BAJA",IF(S631&lt;8,"MEDIA","ALTA"))</f>
        <v/>
      </c>
      <c r="U631" s="10" t="inlineStr">
        <is>
          <t>-</t>
        </is>
      </c>
      <c r="V631" s="24" t="n">
        <v>45687</v>
      </c>
      <c r="W631" s="19" t="inlineStr">
        <is>
          <t>N/A</t>
        </is>
      </c>
      <c r="X631" s="10">
        <f>+IFERROR(IF(VLOOKUP(Tabla2[[#This Row],[ID]],'EVALUACION DE RIESGO'!A:A,1,FALSE)=Tabla2[[#This Row],[ID]],"SI","NO"),"NO")</f>
        <v/>
      </c>
    </row>
    <row r="632">
      <c r="A632" s="91" t="inlineStr">
        <is>
          <t>73-GTH</t>
        </is>
      </c>
      <c r="B632" s="10" t="inlineStr">
        <is>
          <t>APOYO</t>
        </is>
      </c>
      <c r="C632" s="10" t="inlineStr">
        <is>
          <t>Gestión del Talento Humano</t>
        </is>
      </c>
      <c r="D632" s="10" t="inlineStr">
        <is>
          <t>GTH</t>
        </is>
      </c>
      <c r="E632" s="10" t="inlineStr">
        <is>
          <t>Permanencia y Desarrollo del Personal</t>
        </is>
      </c>
      <c r="F632" s="10" t="inlineStr">
        <is>
          <t>-</t>
        </is>
      </c>
      <c r="G632" s="10" t="inlineStr">
        <is>
          <t xml:space="preserve">Promoción de Personal </t>
        </is>
      </c>
      <c r="H632" s="10" t="inlineStr">
        <is>
          <t>Informe para la promoción de personal por el área requirente</t>
        </is>
      </c>
      <c r="I632" s="10" t="inlineStr">
        <is>
          <t xml:space="preserve">MATRIZ de ajuste al perfil, contiene datos del empleado, criterios de aprobación, Perfil duro, perfil blando, porcentaje resultante de ajuste al cargo </t>
        </is>
      </c>
      <c r="J632" s="10" t="inlineStr">
        <is>
          <t>Gerente de Talento Humano</t>
        </is>
      </c>
      <c r="K632" s="10" t="inlineStr">
        <is>
          <t>Analista de Desarrollo</t>
        </is>
      </c>
      <c r="L632" s="10" t="inlineStr">
        <is>
          <t>UBICACIÓN DIGITAL-EQUIPO DEL CUSTODIO</t>
        </is>
      </c>
      <c r="M632" s="10" t="inlineStr">
        <is>
          <t>DISCOS DUROS, SERVIDORES, DISCOS O MEDIOS PORTÁTILES, CINTAS O MEDIOS DE VIDEO Y AUDIO, ETC.</t>
        </is>
      </c>
      <c r="N632" s="10" t="inlineStr">
        <is>
          <t>PRIMARIOS</t>
        </is>
      </c>
      <c r="O632" s="10" t="inlineStr">
        <is>
          <t>DOCUMENTOS TÉCNICOS</t>
        </is>
      </c>
      <c r="P632" s="10" t="inlineStr">
        <is>
          <t>PUBLICA(1)</t>
        </is>
      </c>
      <c r="Q632" s="10" t="inlineStr">
        <is>
          <t>BAJA(1)</t>
        </is>
      </c>
      <c r="R632" s="10" t="inlineStr">
        <is>
          <t>BAJA(1)</t>
        </is>
      </c>
      <c r="S632" s="10">
        <f>+(IF(P632="PUBLICA(1)",1,IF(P632="USO INTERNO(2)",2,IF(P632="RESTRINGIDO(3)",3,3))))+(IF(Q632="BAJA(1)",1,IF(Q632="MEDIA(2)",2,IF(Q632="ALTA(3)",3,3))))+(IF(R632="BAJA(1)",1,IF(R632="MEDIA(2)",2,IF(R632="ALTA(3)",3,3))))</f>
        <v/>
      </c>
      <c r="T632" s="10">
        <f>+IF(S632&lt;6,"BAJA",IF(S632&lt;8,"MEDIA","ALTA"))</f>
        <v/>
      </c>
      <c r="U632" s="10" t="inlineStr">
        <is>
          <t>-</t>
        </is>
      </c>
      <c r="V632" s="24" t="n">
        <v>45687</v>
      </c>
      <c r="W632" s="19" t="inlineStr">
        <is>
          <t>N/A</t>
        </is>
      </c>
      <c r="X632" s="10">
        <f>+IFERROR(IF(VLOOKUP(Tabla2[[#This Row],[ID]],'EVALUACION DE RIESGO'!A:A,1,FALSE)=Tabla2[[#This Row],[ID]],"SI","NO"),"NO")</f>
        <v/>
      </c>
    </row>
    <row r="633">
      <c r="A633" s="91" t="inlineStr">
        <is>
          <t>74-GTH</t>
        </is>
      </c>
      <c r="B633" s="10" t="inlineStr">
        <is>
          <t>APOYO</t>
        </is>
      </c>
      <c r="C633" s="10" t="inlineStr">
        <is>
          <t>Gestión del Talento Humano</t>
        </is>
      </c>
      <c r="D633" s="10" t="inlineStr">
        <is>
          <t>GTH</t>
        </is>
      </c>
      <c r="E633" s="10" t="inlineStr">
        <is>
          <t>Permanencia y Desarrollo del Personal</t>
        </is>
      </c>
      <c r="F633" s="10" t="inlineStr">
        <is>
          <t>-</t>
        </is>
      </c>
      <c r="G633" s="10" t="inlineStr">
        <is>
          <t xml:space="preserve">Promoción de Personal </t>
        </is>
      </c>
      <c r="H633" s="10" t="inlineStr">
        <is>
          <t>Adenda al contrato de trabajo</t>
        </is>
      </c>
      <c r="I633" s="10" t="inlineStr">
        <is>
          <t>Adenda del contrato laboral legalizado dando una reforma al contrato inicial.</t>
        </is>
      </c>
      <c r="J633" s="10" t="inlineStr">
        <is>
          <t>Gerente de Talento Humano</t>
        </is>
      </c>
      <c r="K633" s="10" t="inlineStr">
        <is>
          <t>Analista de Nomina</t>
        </is>
      </c>
      <c r="L633" s="10" t="inlineStr">
        <is>
          <t>N/A</t>
        </is>
      </c>
      <c r="M633" s="10" t="inlineStr">
        <is>
          <t>SISTEMAS DE INFORMACIÓN CORPORATIVOS</t>
        </is>
      </c>
      <c r="N633" s="10" t="inlineStr">
        <is>
          <t>PRIMARIOS</t>
        </is>
      </c>
      <c r="O633" s="10" t="inlineStr">
        <is>
          <t>DOCUMENTOS HABILITANTES</t>
        </is>
      </c>
      <c r="P633" s="10" t="inlineStr">
        <is>
          <t>USO INTERNO(2)</t>
        </is>
      </c>
      <c r="Q633" s="10" t="inlineStr">
        <is>
          <t>BAJA(1)</t>
        </is>
      </c>
      <c r="R633" s="10" t="inlineStr">
        <is>
          <t>MEDIA(2)</t>
        </is>
      </c>
      <c r="S633" s="10">
        <f>+(IF(P633="PUBLICA(1)",1,IF(P633="USO INTERNO(2)",2,IF(P633="RESTRINGIDO(3)",3,3))))+(IF(Q633="BAJA(1)",1,IF(Q633="MEDIA(2)",2,IF(Q633="ALTA(3)",3,3))))+(IF(R633="BAJA(1)",1,IF(R633="MEDIA(2)",2,IF(R633="ALTA(3)",3,3))))</f>
        <v/>
      </c>
      <c r="T633" s="10">
        <f>+IF(S633&lt;6,"BAJA",IF(S633&lt;8,"MEDIA","ALTA"))</f>
        <v/>
      </c>
      <c r="U633" s="10" t="inlineStr">
        <is>
          <t>-</t>
        </is>
      </c>
      <c r="V633" s="24" t="n">
        <v>45687</v>
      </c>
      <c r="W633" s="19" t="inlineStr">
        <is>
          <t>N/A</t>
        </is>
      </c>
      <c r="X633" s="10">
        <f>+IFERROR(IF(VLOOKUP(Tabla2[[#This Row],[ID]],'EVALUACION DE RIESGO'!A:A,1,FALSE)=Tabla2[[#This Row],[ID]],"SI","NO"),"NO")</f>
        <v/>
      </c>
    </row>
    <row r="634">
      <c r="A634" s="91" t="inlineStr">
        <is>
          <t>75-GTH</t>
        </is>
      </c>
      <c r="B634" s="10" t="inlineStr">
        <is>
          <t>APOYO</t>
        </is>
      </c>
      <c r="C634" s="10" t="inlineStr">
        <is>
          <t>Gestión del Talento Humano</t>
        </is>
      </c>
      <c r="D634" s="10" t="inlineStr">
        <is>
          <t>GTH</t>
        </is>
      </c>
      <c r="E634" s="10" t="inlineStr">
        <is>
          <t>Permanencia y Desarrollo del Personal</t>
        </is>
      </c>
      <c r="F634" s="10" t="inlineStr">
        <is>
          <t>-</t>
        </is>
      </c>
      <c r="G634" s="10" t="inlineStr">
        <is>
          <t>Designación de reemplazos y subrogaciones</t>
        </is>
      </c>
      <c r="H634" s="10" t="inlineStr">
        <is>
          <t>Registro de remplazo</t>
        </is>
      </c>
      <c r="I634" s="10" t="inlineStr">
        <is>
          <t>Registro de remplazos implementado en el core financiero</t>
        </is>
      </c>
      <c r="J634" s="10" t="inlineStr">
        <is>
          <t>Gerente de Talento Humano</t>
        </is>
      </c>
      <c r="K634" s="10" t="inlineStr">
        <is>
          <t>Analista de Nomina</t>
        </is>
      </c>
      <c r="L634" s="10" t="inlineStr">
        <is>
          <t>N/A</t>
        </is>
      </c>
      <c r="M634" s="10" t="inlineStr">
        <is>
          <t>SISTEMAS DE INFORMACIÓN CORPORATIVOS</t>
        </is>
      </c>
      <c r="N634" s="10" t="inlineStr">
        <is>
          <t>PRIMARIOS</t>
        </is>
      </c>
      <c r="O634" s="10" t="inlineStr">
        <is>
          <t>DOCUMENTOS HABILITANTES</t>
        </is>
      </c>
      <c r="P634" s="10" t="inlineStr">
        <is>
          <t>PUBLICA(1)</t>
        </is>
      </c>
      <c r="Q634" s="10" t="inlineStr">
        <is>
          <t>BAJA(1)</t>
        </is>
      </c>
      <c r="R634" s="10" t="inlineStr">
        <is>
          <t>MEDIA(2)</t>
        </is>
      </c>
      <c r="S634" s="10">
        <f>+(IF(P634="PUBLICA(1)",1,IF(P634="USO INTERNO(2)",2,IF(P634="RESTRINGIDO(3)",3,3))))+(IF(Q634="BAJA(1)",1,IF(Q634="MEDIA(2)",2,IF(Q634="ALTA(3)",3,3))))+(IF(R634="BAJA(1)",1,IF(R634="MEDIA(2)",2,IF(R634="ALTA(3)",3,3))))</f>
        <v/>
      </c>
      <c r="T634" s="10">
        <f>+IF(S634&lt;6,"BAJA",IF(S634&lt;8,"MEDIA","ALTA"))</f>
        <v/>
      </c>
      <c r="U634" s="10" t="inlineStr">
        <is>
          <t>-</t>
        </is>
      </c>
      <c r="V634" s="24" t="n">
        <v>45687</v>
      </c>
      <c r="W634" s="19" t="inlineStr">
        <is>
          <t>N/A</t>
        </is>
      </c>
      <c r="X634" s="10">
        <f>+IFERROR(IF(VLOOKUP(Tabla2[[#This Row],[ID]],'EVALUACION DE RIESGO'!A:A,1,FALSE)=Tabla2[[#This Row],[ID]],"SI","NO"),"NO")</f>
        <v/>
      </c>
    </row>
    <row r="635">
      <c r="A635" s="91" t="inlineStr">
        <is>
          <t>76-GTH</t>
        </is>
      </c>
      <c r="B635" s="10" t="inlineStr">
        <is>
          <t>APOYO</t>
        </is>
      </c>
      <c r="C635" s="10" t="inlineStr">
        <is>
          <t>Gestión del Talento Humano</t>
        </is>
      </c>
      <c r="D635" s="10" t="inlineStr">
        <is>
          <t>GTH</t>
        </is>
      </c>
      <c r="E635" s="10" t="inlineStr">
        <is>
          <t>Permanencia y Desarrollo del Personal</t>
        </is>
      </c>
      <c r="F635" s="10" t="inlineStr">
        <is>
          <t>-</t>
        </is>
      </c>
      <c r="G635" s="10" t="inlineStr">
        <is>
          <t>Rotación del personal front Office</t>
        </is>
      </c>
      <c r="H635" s="10" t="inlineStr">
        <is>
          <t>Solicitud de rotación del personal / Acta entrega recepción del cargo</t>
        </is>
      </c>
      <c r="I635" s="10" t="inlineStr">
        <is>
          <t>Solicitud enviada por correo electrónico para la rotación del personal, detalla empleados y oficinas destino</t>
        </is>
      </c>
      <c r="J635" s="10" t="inlineStr">
        <is>
          <t>Gerente de Talento Humano</t>
        </is>
      </c>
      <c r="K635" s="10" t="inlineStr">
        <is>
          <t>Analista de Nomina</t>
        </is>
      </c>
      <c r="L635" s="10" t="inlineStr">
        <is>
          <t>UBICACIÓN DIGITAL-EQUIPO DEL CUSTODIO</t>
        </is>
      </c>
      <c r="M635" s="10" t="inlineStr">
        <is>
          <t>DISCOS DUROS, SERVIDORES, DISCOS O MEDIOS PORTÁTILES, CINTAS O MEDIOS DE VIDEO Y AUDIO, ETC.</t>
        </is>
      </c>
      <c r="N635" s="10" t="inlineStr">
        <is>
          <t>PRIMARIOS</t>
        </is>
      </c>
      <c r="O635" s="10" t="inlineStr">
        <is>
          <t>COMUNICACIÓN INTERNA</t>
        </is>
      </c>
      <c r="P635" s="10" t="inlineStr">
        <is>
          <t>PUBLICA(1)</t>
        </is>
      </c>
      <c r="Q635" s="10" t="inlineStr">
        <is>
          <t>BAJA(1)</t>
        </is>
      </c>
      <c r="R635" s="10" t="inlineStr">
        <is>
          <t>BAJA(1)</t>
        </is>
      </c>
      <c r="S635" s="10">
        <f>+(IF(P635="PUBLICA(1)",1,IF(P635="USO INTERNO(2)",2,IF(P635="RESTRINGIDO(3)",3,3))))+(IF(Q635="BAJA(1)",1,IF(Q635="MEDIA(2)",2,IF(Q635="ALTA(3)",3,3))))+(IF(R635="BAJA(1)",1,IF(R635="MEDIA(2)",2,IF(R635="ALTA(3)",3,3))))</f>
        <v/>
      </c>
      <c r="T635" s="10">
        <f>+IF(S635&lt;6,"BAJA",IF(S635&lt;8,"MEDIA","ALTA"))</f>
        <v/>
      </c>
      <c r="U635" s="10" t="inlineStr">
        <is>
          <t>-</t>
        </is>
      </c>
      <c r="V635" s="24" t="n">
        <v>45687</v>
      </c>
      <c r="W635" s="19" t="inlineStr">
        <is>
          <t>N/A</t>
        </is>
      </c>
      <c r="X635" s="10">
        <f>+IFERROR(IF(VLOOKUP(Tabla2[[#This Row],[ID]],'EVALUACION DE RIESGO'!A:A,1,FALSE)=Tabla2[[#This Row],[ID]],"SI","NO"),"NO")</f>
        <v/>
      </c>
    </row>
    <row r="636">
      <c r="A636" s="91" t="inlineStr">
        <is>
          <t>77-GTH</t>
        </is>
      </c>
      <c r="B636" s="10" t="inlineStr">
        <is>
          <t>APOYO</t>
        </is>
      </c>
      <c r="C636" s="10" t="inlineStr">
        <is>
          <t>Gestión del Talento Humano</t>
        </is>
      </c>
      <c r="D636" s="10" t="inlineStr">
        <is>
          <t>GTH</t>
        </is>
      </c>
      <c r="E636" s="10" t="inlineStr">
        <is>
          <t>Permanencia y Desarrollo del Personal</t>
        </is>
      </c>
      <c r="F636" s="10" t="inlineStr">
        <is>
          <t>-</t>
        </is>
      </c>
      <c r="G636" s="10" t="inlineStr">
        <is>
          <t>Preparación de nómina</t>
        </is>
      </c>
      <c r="H636" s="10" t="inlineStr">
        <is>
          <t>Registros de rol de pagos</t>
        </is>
      </c>
      <c r="I636" s="10" t="inlineStr">
        <is>
          <t>Rol de pagos consolidado realizado internamente que contiene empleados y valor acreditado</t>
        </is>
      </c>
      <c r="J636" s="10" t="inlineStr">
        <is>
          <t>Gerente de Talento Humano</t>
        </is>
      </c>
      <c r="K636" s="10" t="inlineStr">
        <is>
          <t>Analista de Nomina</t>
        </is>
      </c>
      <c r="L636" s="10" t="inlineStr">
        <is>
          <t>UBICACIÓN DIGITAL-EQUIPO DEL CUSTODIO</t>
        </is>
      </c>
      <c r="M636" s="10" t="inlineStr">
        <is>
          <t>DISCOS DUROS, SERVIDORES, DISCOS O MEDIOS PORTÁTILES, CINTAS O MEDIOS DE VIDEO Y AUDIO, ETC.</t>
        </is>
      </c>
      <c r="N636" s="10" t="inlineStr">
        <is>
          <t>PRIMARIOS</t>
        </is>
      </c>
      <c r="O636" s="10" t="inlineStr">
        <is>
          <t>DOCUMENTOS HABILITANTES</t>
        </is>
      </c>
      <c r="P636" s="10" t="inlineStr">
        <is>
          <t>RESTRINGIDO(3)</t>
        </is>
      </c>
      <c r="Q636" s="10" t="inlineStr">
        <is>
          <t>BAJA(1)</t>
        </is>
      </c>
      <c r="R636" s="10" t="inlineStr">
        <is>
          <t>MEDIA(2)</t>
        </is>
      </c>
      <c r="S636" s="10">
        <f>+(IF(P636="PUBLICA(1)",1,IF(P636="USO INTERNO(2)",2,IF(P636="RESTRINGIDO(3)",3,3))))+(IF(Q636="BAJA(1)",1,IF(Q636="MEDIA(2)",2,IF(Q636="ALTA(3)",3,3))))+(IF(R636="BAJA(1)",1,IF(R636="MEDIA(2)",2,IF(R636="ALTA(3)",3,3))))</f>
        <v/>
      </c>
      <c r="T636" s="10">
        <f>+IF(S636&lt;6,"BAJA",IF(S636&lt;8,"MEDIA","ALTA"))</f>
        <v/>
      </c>
      <c r="U636" s="10" t="inlineStr">
        <is>
          <t>-</t>
        </is>
      </c>
      <c r="V636" s="24" t="n">
        <v>45687</v>
      </c>
      <c r="W636" s="19" t="inlineStr">
        <is>
          <t>N/A</t>
        </is>
      </c>
      <c r="X636" s="10">
        <f>+IFERROR(IF(VLOOKUP(Tabla2[[#This Row],[ID]],'EVALUACION DE RIESGO'!A:A,1,FALSE)=Tabla2[[#This Row],[ID]],"SI","NO"),"NO")</f>
        <v/>
      </c>
    </row>
    <row r="637">
      <c r="A637" s="91" t="inlineStr">
        <is>
          <t>78-GTH</t>
        </is>
      </c>
      <c r="B637" s="10" t="inlineStr">
        <is>
          <t>APOYO</t>
        </is>
      </c>
      <c r="C637" s="10" t="inlineStr">
        <is>
          <t>Gestión del Talento Humano</t>
        </is>
      </c>
      <c r="D637" s="10" t="inlineStr">
        <is>
          <t>GTH</t>
        </is>
      </c>
      <c r="E637" s="10" t="inlineStr">
        <is>
          <t>Permanencia y Desarrollo del Personal</t>
        </is>
      </c>
      <c r="F637" s="10" t="inlineStr">
        <is>
          <t>-</t>
        </is>
      </c>
      <c r="G637" s="10" t="inlineStr">
        <is>
          <t>Generación y pago de nómina</t>
        </is>
      </c>
      <c r="H637" s="10" t="inlineStr">
        <is>
          <t>Roles de pago y reportes de sustento</t>
        </is>
      </c>
      <c r="I637" s="10" t="inlineStr">
        <is>
          <t>Rol de pagos compartido a las áreas de acreditación de forma quincenal, contiene empleados y valor acreditado</t>
        </is>
      </c>
      <c r="J637" s="10" t="inlineStr">
        <is>
          <t>Gerente de Talento Humano</t>
        </is>
      </c>
      <c r="K637" s="10" t="inlineStr">
        <is>
          <t>Analista de Nomina</t>
        </is>
      </c>
      <c r="L637" s="10" t="inlineStr">
        <is>
          <t>UBICACIÓN DIGITAL-EQUIPO DEL CUSTODIO</t>
        </is>
      </c>
      <c r="M637" s="10" t="inlineStr">
        <is>
          <t>DISCOS DUROS, SERVIDORES, DISCOS O MEDIOS PORTÁTILES, CINTAS O MEDIOS DE VIDEO Y AUDIO, ETC.</t>
        </is>
      </c>
      <c r="N637" s="10" t="inlineStr">
        <is>
          <t>PRIMARIOS</t>
        </is>
      </c>
      <c r="O637" s="10" t="inlineStr">
        <is>
          <t>DOCUMENTOS HABILITANTES</t>
        </is>
      </c>
      <c r="P637" s="10" t="inlineStr">
        <is>
          <t>RESTRINGIDO(3)</t>
        </is>
      </c>
      <c r="Q637" s="10" t="inlineStr">
        <is>
          <t>BAJA(1)</t>
        </is>
      </c>
      <c r="R637" s="10" t="inlineStr">
        <is>
          <t>MEDIA(2)</t>
        </is>
      </c>
      <c r="S637" s="10">
        <f>+(IF(P637="PUBLICA(1)",1,IF(P637="USO INTERNO(2)",2,IF(P637="RESTRINGIDO(3)",3,3))))+(IF(Q637="BAJA(1)",1,IF(Q637="MEDIA(2)",2,IF(Q637="ALTA(3)",3,3))))+(IF(R637="BAJA(1)",1,IF(R637="MEDIA(2)",2,IF(R637="ALTA(3)",3,3))))</f>
        <v/>
      </c>
      <c r="T637" s="10">
        <f>+IF(S637&lt;6,"BAJA",IF(S637&lt;8,"MEDIA","ALTA"))</f>
        <v/>
      </c>
      <c r="U637" s="10" t="inlineStr">
        <is>
          <t>-</t>
        </is>
      </c>
      <c r="V637" s="24" t="n">
        <v>45687</v>
      </c>
      <c r="W637" s="19" t="inlineStr">
        <is>
          <t>N/A</t>
        </is>
      </c>
      <c r="X637" s="10">
        <f>+IFERROR(IF(VLOOKUP(Tabla2[[#This Row],[ID]],'EVALUACION DE RIESGO'!A:A,1,FALSE)=Tabla2[[#This Row],[ID]],"SI","NO"),"NO")</f>
        <v/>
      </c>
    </row>
    <row r="638">
      <c r="A638" s="91" t="inlineStr">
        <is>
          <t>79-GTH</t>
        </is>
      </c>
      <c r="B638" s="10" t="inlineStr">
        <is>
          <t>APOYO</t>
        </is>
      </c>
      <c r="C638" s="10" t="inlineStr">
        <is>
          <t>Gestión del Talento Humano</t>
        </is>
      </c>
      <c r="D638" s="10" t="inlineStr">
        <is>
          <t>GTH</t>
        </is>
      </c>
      <c r="E638" s="10" t="inlineStr">
        <is>
          <t>Permanencia y Desarrollo del Personal</t>
        </is>
      </c>
      <c r="F638" s="10" t="inlineStr">
        <is>
          <t>-</t>
        </is>
      </c>
      <c r="G638" s="10" t="inlineStr">
        <is>
          <t>Generación y pago de nómina</t>
        </is>
      </c>
      <c r="H638" s="10" t="inlineStr">
        <is>
          <t>Reporte de impuesto a la renta en relación de dependencia</t>
        </is>
      </c>
      <c r="I638" s="10" t="inlineStr">
        <is>
          <t>Reportes de impuestos retenidos y no retenidos obtenido del sistema que contiene datos de empleados y valores</t>
        </is>
      </c>
      <c r="J638" s="10" t="inlineStr">
        <is>
          <t>Gerente de Talento Humano</t>
        </is>
      </c>
      <c r="K638" s="10" t="inlineStr">
        <is>
          <t>Analista de Nomina</t>
        </is>
      </c>
      <c r="L638" s="10" t="inlineStr">
        <is>
          <t>UBICACIÓN DIGITAL-EQUIPO DEL CUSTODIO</t>
        </is>
      </c>
      <c r="M638" s="10" t="inlineStr">
        <is>
          <t>DISCOS DUROS, SERVIDORES, DISCOS O MEDIOS PORTÁTILES, CINTAS O MEDIOS DE VIDEO Y AUDIO, ETC.</t>
        </is>
      </c>
      <c r="N638" s="10" t="inlineStr">
        <is>
          <t>PRIMARIOS</t>
        </is>
      </c>
      <c r="O638" s="10" t="inlineStr">
        <is>
          <t>DOCUMENTOS TÉCNICOS</t>
        </is>
      </c>
      <c r="P638" s="10" t="inlineStr">
        <is>
          <t>USO INTERNO(2)</t>
        </is>
      </c>
      <c r="Q638" s="10" t="inlineStr">
        <is>
          <t>BAJA(1)</t>
        </is>
      </c>
      <c r="R638" s="10" t="inlineStr">
        <is>
          <t>MEDIA(2)</t>
        </is>
      </c>
      <c r="S638" s="10">
        <f>+(IF(P638="PUBLICA(1)",1,IF(P638="USO INTERNO(2)",2,IF(P638="RESTRINGIDO(3)",3,3))))+(IF(Q638="BAJA(1)",1,IF(Q638="MEDIA(2)",2,IF(Q638="ALTA(3)",3,3))))+(IF(R638="BAJA(1)",1,IF(R638="MEDIA(2)",2,IF(R638="ALTA(3)",3,3))))</f>
        <v/>
      </c>
      <c r="T638" s="10">
        <f>+IF(S638&lt;6,"BAJA",IF(S638&lt;8,"MEDIA","ALTA"))</f>
        <v/>
      </c>
      <c r="U638" s="10" t="inlineStr">
        <is>
          <t>-</t>
        </is>
      </c>
      <c r="V638" s="24" t="n">
        <v>45687</v>
      </c>
      <c r="W638" s="19" t="inlineStr">
        <is>
          <t>N/A</t>
        </is>
      </c>
      <c r="X638" s="10">
        <f>+IFERROR(IF(VLOOKUP(Tabla2[[#This Row],[ID]],'EVALUACION DE RIESGO'!A:A,1,FALSE)=Tabla2[[#This Row],[ID]],"SI","NO"),"NO")</f>
        <v/>
      </c>
    </row>
    <row r="639">
      <c r="A639" s="91" t="inlineStr">
        <is>
          <t>80-GTH</t>
        </is>
      </c>
      <c r="B639" s="10" t="inlineStr">
        <is>
          <t>APOYO</t>
        </is>
      </c>
      <c r="C639" s="10" t="inlineStr">
        <is>
          <t>Gestión del Talento Humano</t>
        </is>
      </c>
      <c r="D639" s="10" t="inlineStr">
        <is>
          <t>GTH</t>
        </is>
      </c>
      <c r="E639" s="10" t="inlineStr">
        <is>
          <t>Permanencia y Desarrollo del Personal</t>
        </is>
      </c>
      <c r="F639" s="10" t="inlineStr">
        <is>
          <t>-</t>
        </is>
      </c>
      <c r="G639" s="10" t="inlineStr">
        <is>
          <t>Generación y pago de nómina</t>
        </is>
      </c>
      <c r="H639" s="10" t="inlineStr">
        <is>
          <t>Solicitud de acreditación de Fondos de Terceros, Jubilaciones Patronales, débitos Gerencia, SUPA.</t>
        </is>
      </c>
      <c r="I639" s="10" t="inlineStr">
        <is>
          <t xml:space="preserve">Memorando de requerimiento de pagos a realizar enviado a contabilidad/contiene información del cliente motivo y valor </t>
        </is>
      </c>
      <c r="J639" s="10" t="inlineStr">
        <is>
          <t>Gerente de Talento Humano</t>
        </is>
      </c>
      <c r="K639" s="10" t="inlineStr">
        <is>
          <t>Analista de Nomina</t>
        </is>
      </c>
      <c r="L639" s="10" t="inlineStr">
        <is>
          <t>UBICACIÓN DIGITAL-EQUIPO DEL CUSTODIO</t>
        </is>
      </c>
      <c r="M639" s="10" t="inlineStr">
        <is>
          <t>DISCOS DUROS, SERVIDORES, DISCOS O MEDIOS PORTÁTILES, CINTAS O MEDIOS DE VIDEO Y AUDIO, ETC.</t>
        </is>
      </c>
      <c r="N639" s="10" t="inlineStr">
        <is>
          <t>PRIMARIOS</t>
        </is>
      </c>
      <c r="O639" s="10" t="inlineStr">
        <is>
          <t>NORMATIVA INTERNA</t>
        </is>
      </c>
      <c r="P639" s="10" t="inlineStr">
        <is>
          <t>USO INTERNO(2)</t>
        </is>
      </c>
      <c r="Q639" s="10" t="inlineStr">
        <is>
          <t>BAJA(1)</t>
        </is>
      </c>
      <c r="R639" s="10" t="inlineStr">
        <is>
          <t>MEDIA(2)</t>
        </is>
      </c>
      <c r="S639" s="10">
        <f>+(IF(P639="PUBLICA(1)",1,IF(P639="USO INTERNO(2)",2,IF(P639="RESTRINGIDO(3)",3,3))))+(IF(Q639="BAJA(1)",1,IF(Q639="MEDIA(2)",2,IF(Q639="ALTA(3)",3,3))))+(IF(R639="BAJA(1)",1,IF(R639="MEDIA(2)",2,IF(R639="ALTA(3)",3,3))))</f>
        <v/>
      </c>
      <c r="T639" s="10">
        <f>+IF(S639&lt;6,"BAJA",IF(S639&lt;8,"MEDIA","ALTA"))</f>
        <v/>
      </c>
      <c r="U639" s="10" t="inlineStr">
        <is>
          <t>-</t>
        </is>
      </c>
      <c r="V639" s="24" t="n">
        <v>45687</v>
      </c>
      <c r="W639" s="19" t="inlineStr">
        <is>
          <t>N/A</t>
        </is>
      </c>
      <c r="X639" s="10">
        <f>+IFERROR(IF(VLOOKUP(Tabla2[[#This Row],[ID]],'EVALUACION DE RIESGO'!A:A,1,FALSE)=Tabla2[[#This Row],[ID]],"SI","NO"),"NO")</f>
        <v/>
      </c>
    </row>
    <row r="640">
      <c r="A640" s="91" t="inlineStr">
        <is>
          <t>81-GTH</t>
        </is>
      </c>
      <c r="B640" s="10" t="inlineStr">
        <is>
          <t>APOYO</t>
        </is>
      </c>
      <c r="C640" s="10" t="inlineStr">
        <is>
          <t>Gestión del Talento Humano</t>
        </is>
      </c>
      <c r="D640" s="10" t="inlineStr">
        <is>
          <t>GTH</t>
        </is>
      </c>
      <c r="E640" s="10" t="inlineStr">
        <is>
          <t>Permanencia y Desarrollo del Personal</t>
        </is>
      </c>
      <c r="F640" s="10" t="inlineStr">
        <is>
          <t>-</t>
        </is>
      </c>
      <c r="G640" s="10" t="inlineStr">
        <is>
          <t>Pago de viáticos</t>
        </is>
      </c>
      <c r="H640" s="10" t="inlineStr">
        <is>
          <t>Formulario de solicitud de viáticos</t>
        </is>
      </c>
      <c r="I640" s="10" t="inlineStr">
        <is>
          <t xml:space="preserve">Documento físico enviado a contabilidad que contiene información de solicitante, actividades, detalle de facturas, valores, firmas </t>
        </is>
      </c>
      <c r="J640" s="10" t="inlineStr">
        <is>
          <t>Gerente de Talento Humano</t>
        </is>
      </c>
      <c r="K640" s="10" t="inlineStr">
        <is>
          <t>Analista de Nomina</t>
        </is>
      </c>
      <c r="L640" s="10" t="inlineStr">
        <is>
          <t>DOCUMENTOS FISICOS-ARCHIVOS DE LA OFICINA</t>
        </is>
      </c>
      <c r="M640" s="10" t="inlineStr">
        <is>
          <t>DOCUMENTO DE ARCHIVO-FÍSICO</t>
        </is>
      </c>
      <c r="N640" s="10" t="inlineStr">
        <is>
          <t>PRIMARIOS</t>
        </is>
      </c>
      <c r="O640" s="10" t="inlineStr">
        <is>
          <t>DOCUMENTOS TÉCNICOS</t>
        </is>
      </c>
      <c r="P640" s="10" t="inlineStr">
        <is>
          <t>PUBLICA(1)</t>
        </is>
      </c>
      <c r="Q640" s="10" t="inlineStr">
        <is>
          <t>BAJA(1)</t>
        </is>
      </c>
      <c r="R640" s="10" t="inlineStr">
        <is>
          <t>BAJA(1)</t>
        </is>
      </c>
      <c r="S640" s="10">
        <f>+(IF(P640="PUBLICA(1)",1,IF(P640="USO INTERNO(2)",2,IF(P640="RESTRINGIDO(3)",3,3))))+(IF(Q640="BAJA(1)",1,IF(Q640="MEDIA(2)",2,IF(Q640="ALTA(3)",3,3))))+(IF(R640="BAJA(1)",1,IF(R640="MEDIA(2)",2,IF(R640="ALTA(3)",3,3))))</f>
        <v/>
      </c>
      <c r="T640" s="10">
        <f>+IF(S640&lt;6,"BAJA",IF(S640&lt;8,"MEDIA","ALTA"))</f>
        <v/>
      </c>
      <c r="U640" s="10" t="inlineStr">
        <is>
          <t>-</t>
        </is>
      </c>
      <c r="V640" s="24" t="n">
        <v>45687</v>
      </c>
      <c r="W640" s="19" t="inlineStr">
        <is>
          <t>N/A</t>
        </is>
      </c>
      <c r="X640" s="10">
        <f>+IFERROR(IF(VLOOKUP(Tabla2[[#This Row],[ID]],'EVALUACION DE RIESGO'!A:A,1,FALSE)=Tabla2[[#This Row],[ID]],"SI","NO"),"NO")</f>
        <v/>
      </c>
    </row>
    <row r="641">
      <c r="A641" s="91" t="inlineStr">
        <is>
          <t>82-GTH</t>
        </is>
      </c>
      <c r="B641" s="10" t="inlineStr">
        <is>
          <t>APOYO</t>
        </is>
      </c>
      <c r="C641" s="10" t="inlineStr">
        <is>
          <t>Gestión del Talento Humano</t>
        </is>
      </c>
      <c r="D641" s="10" t="inlineStr">
        <is>
          <t>GTH</t>
        </is>
      </c>
      <c r="E641" s="10" t="inlineStr">
        <is>
          <t>Permanencia y Desarrollo del Personal</t>
        </is>
      </c>
      <c r="F641" s="10" t="inlineStr">
        <is>
          <t>-</t>
        </is>
      </c>
      <c r="G641" s="10" t="inlineStr">
        <is>
          <t>Pago de viáticos</t>
        </is>
      </c>
      <c r="H641" s="10" t="inlineStr">
        <is>
          <t>Comprobantes de venta autorizados</t>
        </is>
      </c>
      <c r="I641" s="10" t="inlineStr">
        <is>
          <t>Comprobantes de facturas y recibos de los gastos realizados</t>
        </is>
      </c>
      <c r="J641" s="10" t="inlineStr">
        <is>
          <t>Gerente de Talento Humano</t>
        </is>
      </c>
      <c r="K641" s="10" t="inlineStr">
        <is>
          <t>Analista de Nomina</t>
        </is>
      </c>
      <c r="L641" s="10" t="inlineStr">
        <is>
          <t>DOCUMENTOS FISICOS-ARCHIVOS DE LA OFICINA</t>
        </is>
      </c>
      <c r="M641" s="10" t="inlineStr">
        <is>
          <t>DOCUMENTO DE ARCHIVO-FÍSICO</t>
        </is>
      </c>
      <c r="N641" s="10" t="inlineStr">
        <is>
          <t>PRIMARIOS</t>
        </is>
      </c>
      <c r="O641" s="10" t="inlineStr">
        <is>
          <t>DOCUMENTOS TÉCNICOS</t>
        </is>
      </c>
      <c r="P641" s="10" t="inlineStr">
        <is>
          <t>USO INTERNO(2)</t>
        </is>
      </c>
      <c r="Q641" s="10" t="inlineStr">
        <is>
          <t>BAJA(1)</t>
        </is>
      </c>
      <c r="R641" s="10" t="inlineStr">
        <is>
          <t>MEDIA(2)</t>
        </is>
      </c>
      <c r="S641" s="10">
        <f>+(IF(P641="PUBLICA(1)",1,IF(P641="USO INTERNO(2)",2,IF(P641="RESTRINGIDO(3)",3,3))))+(IF(Q641="BAJA(1)",1,IF(Q641="MEDIA(2)",2,IF(Q641="ALTA(3)",3,3))))+(IF(R641="BAJA(1)",1,IF(R641="MEDIA(2)",2,IF(R641="ALTA(3)",3,3))))</f>
        <v/>
      </c>
      <c r="T641" s="10">
        <f>+IF(S641&lt;6,"BAJA",IF(S641&lt;8,"MEDIA","ALTA"))</f>
        <v/>
      </c>
      <c r="U641" s="10" t="inlineStr">
        <is>
          <t>-</t>
        </is>
      </c>
      <c r="V641" s="24" t="n">
        <v>45687</v>
      </c>
      <c r="W641" s="19" t="inlineStr">
        <is>
          <t>N/A</t>
        </is>
      </c>
      <c r="X641" s="10">
        <f>+IFERROR(IF(VLOOKUP(Tabla2[[#This Row],[ID]],'EVALUACION DE RIESGO'!A:A,1,FALSE)=Tabla2[[#This Row],[ID]],"SI","NO"),"NO")</f>
        <v/>
      </c>
    </row>
    <row r="642">
      <c r="A642" s="91" t="inlineStr">
        <is>
          <t>83-GTH</t>
        </is>
      </c>
      <c r="B642" s="10" t="inlineStr">
        <is>
          <t>APOYO</t>
        </is>
      </c>
      <c r="C642" s="10" t="inlineStr">
        <is>
          <t>Gestión del Talento Humano</t>
        </is>
      </c>
      <c r="D642" s="10" t="inlineStr">
        <is>
          <t>GTH</t>
        </is>
      </c>
      <c r="E642" s="10" t="inlineStr">
        <is>
          <t>Permanencia y Desarrollo del Personal</t>
        </is>
      </c>
      <c r="F642" s="10" t="inlineStr">
        <is>
          <t>-</t>
        </is>
      </c>
      <c r="G642" s="10" t="inlineStr">
        <is>
          <t>Pago de viáticos</t>
        </is>
      </c>
      <c r="H642" s="10" t="inlineStr">
        <is>
          <t>Comprobantes de depósito</t>
        </is>
      </c>
      <c r="I642" s="10" t="inlineStr">
        <is>
          <t>Comprobante o factura generada por contabilidad hacia el solicitante</t>
        </is>
      </c>
      <c r="J642" s="10" t="inlineStr">
        <is>
          <t>Gerente de Talento Humano</t>
        </is>
      </c>
      <c r="K642" s="10" t="inlineStr">
        <is>
          <t>Analista de Nomina</t>
        </is>
      </c>
      <c r="L642" s="10" t="inlineStr">
        <is>
          <t>UBICACIÓN DIGITAL-EQUIPO DEL CUSTODIO</t>
        </is>
      </c>
      <c r="M642" s="10" t="inlineStr">
        <is>
          <t>DISCOS DUROS, SERVIDORES, DISCOS O MEDIOS PORTÁTILES, CINTAS O MEDIOS DE VIDEO Y AUDIO, ETC.</t>
        </is>
      </c>
      <c r="N642" s="10" t="inlineStr">
        <is>
          <t>PRIMARIOS</t>
        </is>
      </c>
      <c r="O642" s="10" t="inlineStr">
        <is>
          <t>DOCUMENTOS HABILITANTES</t>
        </is>
      </c>
      <c r="P642" s="10" t="inlineStr">
        <is>
          <t>USO INTERNO(2)</t>
        </is>
      </c>
      <c r="Q642" s="10" t="inlineStr">
        <is>
          <t>BAJA(1)</t>
        </is>
      </c>
      <c r="R642" s="10" t="inlineStr">
        <is>
          <t>MEDIA(2)</t>
        </is>
      </c>
      <c r="S642" s="10">
        <f>+(IF(P642="PUBLICA(1)",1,IF(P642="USO INTERNO(2)",2,IF(P642="RESTRINGIDO(3)",3,3))))+(IF(Q642="BAJA(1)",1,IF(Q642="MEDIA(2)",2,IF(Q642="ALTA(3)",3,3))))+(IF(R642="BAJA(1)",1,IF(R642="MEDIA(2)",2,IF(R642="ALTA(3)",3,3))))</f>
        <v/>
      </c>
      <c r="T642" s="10">
        <f>+IF(S642&lt;6,"BAJA",IF(S642&lt;8,"MEDIA","ALTA"))</f>
        <v/>
      </c>
      <c r="U642" s="10" t="inlineStr">
        <is>
          <t>-</t>
        </is>
      </c>
      <c r="V642" s="24" t="n">
        <v>45687</v>
      </c>
      <c r="W642" s="19" t="inlineStr">
        <is>
          <t>N/A</t>
        </is>
      </c>
      <c r="X642" s="10">
        <f>+IFERROR(IF(VLOOKUP(Tabla2[[#This Row],[ID]],'EVALUACION DE RIESGO'!A:A,1,FALSE)=Tabla2[[#This Row],[ID]],"SI","NO"),"NO")</f>
        <v/>
      </c>
    </row>
    <row r="643">
      <c r="A643" s="91" t="inlineStr">
        <is>
          <t>84-GTH</t>
        </is>
      </c>
      <c r="B643" s="10" t="inlineStr">
        <is>
          <t>APOYO</t>
        </is>
      </c>
      <c r="C643" s="10" t="inlineStr">
        <is>
          <t>Gestión del Talento Humano</t>
        </is>
      </c>
      <c r="D643" s="10" t="inlineStr">
        <is>
          <t>GTH</t>
        </is>
      </c>
      <c r="E643" s="10" t="inlineStr">
        <is>
          <t>Permanencia y Desarrollo del Personal</t>
        </is>
      </c>
      <c r="F643" s="10" t="inlineStr">
        <is>
          <t>-</t>
        </is>
      </c>
      <c r="G643" s="10" t="inlineStr">
        <is>
          <t>Anticipos de sueldos</t>
        </is>
      </c>
      <c r="H643" s="10" t="inlineStr">
        <is>
          <t>Solicitud de anticipo de sueldo</t>
        </is>
      </c>
      <c r="I643" s="10" t="inlineStr">
        <is>
          <t xml:space="preserve">Registros de solicitud cargados al sistema Webcoop, contiene información del solicitante, motivo y valor </t>
        </is>
      </c>
      <c r="J643" s="10" t="inlineStr">
        <is>
          <t>Gerente de Talento Humano</t>
        </is>
      </c>
      <c r="K643" s="10" t="inlineStr">
        <is>
          <t>Analista de Nomina</t>
        </is>
      </c>
      <c r="L643" s="10" t="inlineStr">
        <is>
          <t>N/A</t>
        </is>
      </c>
      <c r="M643" s="10" t="inlineStr">
        <is>
          <t>SISTEMAS DE INFORMACIÓN CORPORATIVOS</t>
        </is>
      </c>
      <c r="N643" s="10" t="inlineStr">
        <is>
          <t>PRIMARIOS</t>
        </is>
      </c>
      <c r="O643" s="10" t="inlineStr">
        <is>
          <t>DOCUMENTOS TÉCNICOS</t>
        </is>
      </c>
      <c r="P643" s="10" t="inlineStr">
        <is>
          <t>USO INTERNO(2)</t>
        </is>
      </c>
      <c r="Q643" s="10" t="inlineStr">
        <is>
          <t>BAJA(1)</t>
        </is>
      </c>
      <c r="R643" s="10" t="inlineStr">
        <is>
          <t>BAJA(1)</t>
        </is>
      </c>
      <c r="S643" s="10">
        <f>+(IF(P643="PUBLICA(1)",1,IF(P643="USO INTERNO(2)",2,IF(P643="RESTRINGIDO(3)",3,3))))+(IF(Q643="BAJA(1)",1,IF(Q643="MEDIA(2)",2,IF(Q643="ALTA(3)",3,3))))+(IF(R643="BAJA(1)",1,IF(R643="MEDIA(2)",2,IF(R643="ALTA(3)",3,3))))</f>
        <v/>
      </c>
      <c r="T643" s="10">
        <f>+IF(S643&lt;6,"BAJA",IF(S643&lt;8,"MEDIA","ALTA"))</f>
        <v/>
      </c>
      <c r="U643" s="10" t="inlineStr">
        <is>
          <t>-</t>
        </is>
      </c>
      <c r="V643" s="24" t="n">
        <v>45687</v>
      </c>
      <c r="W643" s="19" t="inlineStr">
        <is>
          <t>N/A</t>
        </is>
      </c>
      <c r="X643" s="10">
        <f>+IFERROR(IF(VLOOKUP(Tabla2[[#This Row],[ID]],'EVALUACION DE RIESGO'!A:A,1,FALSE)=Tabla2[[#This Row],[ID]],"SI","NO"),"NO")</f>
        <v/>
      </c>
    </row>
    <row r="644">
      <c r="A644" s="91" t="inlineStr">
        <is>
          <t>85-GTH</t>
        </is>
      </c>
      <c r="B644" s="10" t="inlineStr">
        <is>
          <t>APOYO</t>
        </is>
      </c>
      <c r="C644" s="10" t="inlineStr">
        <is>
          <t>Gestión del Talento Humano</t>
        </is>
      </c>
      <c r="D644" s="10" t="inlineStr">
        <is>
          <t>GTH</t>
        </is>
      </c>
      <c r="E644" s="10" t="inlineStr">
        <is>
          <t>Permanencia y Desarrollo del Personal</t>
        </is>
      </c>
      <c r="F644" s="10" t="inlineStr">
        <is>
          <t>-</t>
        </is>
      </c>
      <c r="G644" s="10" t="inlineStr">
        <is>
          <t>Anticipos de sueldos</t>
        </is>
      </c>
      <c r="H644" s="10" t="inlineStr">
        <is>
          <t>Nota de crédito por anticipo de sueldo</t>
        </is>
      </c>
      <c r="I644" s="10" t="inlineStr">
        <is>
          <t>Nota de crédito obtenida del sistema FIT, contiene información del solicitante motivo, valor</t>
        </is>
      </c>
      <c r="J644" s="10" t="inlineStr">
        <is>
          <t>Gerente de Talento Humano</t>
        </is>
      </c>
      <c r="K644" s="10" t="inlineStr">
        <is>
          <t>Analista de Nomina</t>
        </is>
      </c>
      <c r="L644" s="10" t="inlineStr">
        <is>
          <t>UBICACIÓN DIGITAL-EQUIPO DEL CUSTODIO</t>
        </is>
      </c>
      <c r="M644" s="10" t="inlineStr">
        <is>
          <t>DISCOS DUROS, SERVIDORES, DISCOS O MEDIOS PORTÁTILES, CINTAS O MEDIOS DE VIDEO Y AUDIO, ETC.</t>
        </is>
      </c>
      <c r="N644" s="10" t="inlineStr">
        <is>
          <t>PRIMARIOS</t>
        </is>
      </c>
      <c r="O644" s="10" t="inlineStr">
        <is>
          <t>DOCUMENTOS HABILITANTES</t>
        </is>
      </c>
      <c r="P644" s="10" t="inlineStr">
        <is>
          <t>USO INTERNO(2)</t>
        </is>
      </c>
      <c r="Q644" s="10" t="inlineStr">
        <is>
          <t>BAJA(1)</t>
        </is>
      </c>
      <c r="R644" s="10" t="inlineStr">
        <is>
          <t>MEDIA(2)</t>
        </is>
      </c>
      <c r="S644" s="10">
        <f>+(IF(P644="PUBLICA(1)",1,IF(P644="USO INTERNO(2)",2,IF(P644="RESTRINGIDO(3)",3,3))))+(IF(Q644="BAJA(1)",1,IF(Q644="MEDIA(2)",2,IF(Q644="ALTA(3)",3,3))))+(IF(R644="BAJA(1)",1,IF(R644="MEDIA(2)",2,IF(R644="ALTA(3)",3,3))))</f>
        <v/>
      </c>
      <c r="T644" s="10">
        <f>+IF(S644&lt;6,"BAJA",IF(S644&lt;8,"MEDIA","ALTA"))</f>
        <v/>
      </c>
      <c r="U644" s="10" t="inlineStr">
        <is>
          <t>-</t>
        </is>
      </c>
      <c r="V644" s="24" t="n">
        <v>45687</v>
      </c>
      <c r="W644" s="19" t="inlineStr">
        <is>
          <t>N/A</t>
        </is>
      </c>
      <c r="X644" s="10">
        <f>+IFERROR(IF(VLOOKUP(Tabla2[[#This Row],[ID]],'EVALUACION DE RIESGO'!A:A,1,FALSE)=Tabla2[[#This Row],[ID]],"SI","NO"),"NO")</f>
        <v/>
      </c>
    </row>
    <row r="645">
      <c r="A645" s="91" t="inlineStr">
        <is>
          <t>86-GTH</t>
        </is>
      </c>
      <c r="B645" s="10" t="inlineStr">
        <is>
          <t>APOYO</t>
        </is>
      </c>
      <c r="C645" s="10" t="inlineStr">
        <is>
          <t>Gestión del Talento Humano</t>
        </is>
      </c>
      <c r="D645" s="10" t="inlineStr">
        <is>
          <t>GTH</t>
        </is>
      </c>
      <c r="E645" s="10" t="inlineStr">
        <is>
          <t>Permanencia y Desarrollo del Personal</t>
        </is>
      </c>
      <c r="F645" s="10" t="inlineStr">
        <is>
          <t>-</t>
        </is>
      </c>
      <c r="G645" s="10" t="inlineStr">
        <is>
          <t>Anticipos de sueldos</t>
        </is>
      </c>
      <c r="H645" s="10" t="inlineStr">
        <is>
          <t>Registro de anticipo de sueldo</t>
        </is>
      </c>
      <c r="I645" s="10" t="inlineStr">
        <is>
          <t>Registro contable que se realiza en el sistema FIT</t>
        </is>
      </c>
      <c r="J645" s="10" t="inlineStr">
        <is>
          <t>Gerente de Talento Humano</t>
        </is>
      </c>
      <c r="K645" s="10" t="inlineStr">
        <is>
          <t>Analista de Nomina</t>
        </is>
      </c>
      <c r="L645" s="10" t="inlineStr">
        <is>
          <t>UBICACIÓN DIGITAL-EQUIPO DEL CUSTODIO</t>
        </is>
      </c>
      <c r="M645" s="10" t="inlineStr">
        <is>
          <t>DISCOS DUROS, SERVIDORES, DISCOS O MEDIOS PORTÁTILES, CINTAS O MEDIOS DE VIDEO Y AUDIO, ETC.</t>
        </is>
      </c>
      <c r="N645" s="10" t="inlineStr">
        <is>
          <t>PRIMARIOS</t>
        </is>
      </c>
      <c r="O645" s="10" t="inlineStr">
        <is>
          <t>DOCUMENTOS HABILITANTES</t>
        </is>
      </c>
      <c r="P645" s="10" t="inlineStr">
        <is>
          <t>PUBLICA(1)</t>
        </is>
      </c>
      <c r="Q645" s="10" t="inlineStr">
        <is>
          <t>BAJA(1)</t>
        </is>
      </c>
      <c r="R645" s="10" t="inlineStr">
        <is>
          <t>BAJA(1)</t>
        </is>
      </c>
      <c r="S645" s="10">
        <f>+(IF(P645="PUBLICA(1)",1,IF(P645="USO INTERNO(2)",2,IF(P645="RESTRINGIDO(3)",3,3))))+(IF(Q645="BAJA(1)",1,IF(Q645="MEDIA(2)",2,IF(Q645="ALTA(3)",3,3))))+(IF(R645="BAJA(1)",1,IF(R645="MEDIA(2)",2,IF(R645="ALTA(3)",3,3))))</f>
        <v/>
      </c>
      <c r="T645" s="10">
        <f>+IF(S645&lt;6,"BAJA",IF(S645&lt;8,"MEDIA","ALTA"))</f>
        <v/>
      </c>
      <c r="U645" s="10" t="inlineStr">
        <is>
          <t>-</t>
        </is>
      </c>
      <c r="V645" s="24" t="n">
        <v>45687</v>
      </c>
      <c r="W645" s="19" t="inlineStr">
        <is>
          <t>N/A</t>
        </is>
      </c>
      <c r="X645" s="10">
        <f>+IFERROR(IF(VLOOKUP(Tabla2[[#This Row],[ID]],'EVALUACION DE RIESGO'!A:A,1,FALSE)=Tabla2[[#This Row],[ID]],"SI","NO"),"NO")</f>
        <v/>
      </c>
    </row>
    <row r="646">
      <c r="A646" s="91" t="inlineStr">
        <is>
          <t>87-GTH</t>
        </is>
      </c>
      <c r="B646" s="10" t="inlineStr">
        <is>
          <t>APOYO</t>
        </is>
      </c>
      <c r="C646" s="10" t="inlineStr">
        <is>
          <t>Gestión del Talento Humano</t>
        </is>
      </c>
      <c r="D646" s="10" t="inlineStr">
        <is>
          <t>GTH</t>
        </is>
      </c>
      <c r="E646" s="10" t="inlineStr">
        <is>
          <t>Permanencia y Desarrollo del Personal</t>
        </is>
      </c>
      <c r="F646" s="10" t="inlineStr">
        <is>
          <t>-</t>
        </is>
      </c>
      <c r="G646" s="10" t="inlineStr">
        <is>
          <t>Pago de utilidades</t>
        </is>
      </c>
      <c r="H646" s="10" t="inlineStr">
        <is>
          <t>Rol de participación de utilidades</t>
        </is>
      </c>
      <c r="I646" s="10" t="inlineStr">
        <is>
          <t xml:space="preserve">Archivo digital que se obtiene del sistema FIT, </t>
        </is>
      </c>
      <c r="J646" s="10" t="inlineStr">
        <is>
          <t>Gerente de Talento Humano</t>
        </is>
      </c>
      <c r="K646" s="10" t="inlineStr">
        <is>
          <t>Analista de Nomina</t>
        </is>
      </c>
      <c r="L646" s="10" t="inlineStr">
        <is>
          <t>UBICACIÓN DIGITAL-EQUIPO DEL CUSTODIO</t>
        </is>
      </c>
      <c r="M646" s="10" t="inlineStr">
        <is>
          <t>DISCOS DUROS, SERVIDORES, DISCOS O MEDIOS PORTÁTILES, CINTAS O MEDIOS DE VIDEO Y AUDIO, ETC.</t>
        </is>
      </c>
      <c r="N646" s="10" t="inlineStr">
        <is>
          <t>PRIMARIOS</t>
        </is>
      </c>
      <c r="O646" s="10" t="inlineStr">
        <is>
          <t>DOCUMENTOS TÉCNICOS</t>
        </is>
      </c>
      <c r="P646" s="10" t="inlineStr">
        <is>
          <t>USO INTERNO(2)</t>
        </is>
      </c>
      <c r="Q646" s="10" t="inlineStr">
        <is>
          <t>BAJA(1)</t>
        </is>
      </c>
      <c r="R646" s="10" t="inlineStr">
        <is>
          <t>MEDIA(2)</t>
        </is>
      </c>
      <c r="S646" s="10">
        <f>+(IF(P646="PUBLICA(1)",1,IF(P646="USO INTERNO(2)",2,IF(P646="RESTRINGIDO(3)",3,3))))+(IF(Q646="BAJA(1)",1,IF(Q646="MEDIA(2)",2,IF(Q646="ALTA(3)",3,3))))+(IF(R646="BAJA(1)",1,IF(R646="MEDIA(2)",2,IF(R646="ALTA(3)",3,3))))</f>
        <v/>
      </c>
      <c r="T646" s="10">
        <f>+IF(S646&lt;6,"BAJA",IF(S646&lt;8,"MEDIA","ALTA"))</f>
        <v/>
      </c>
      <c r="U646" s="10" t="inlineStr">
        <is>
          <t>-</t>
        </is>
      </c>
      <c r="V646" s="24" t="n">
        <v>45687</v>
      </c>
      <c r="W646" s="19" t="inlineStr">
        <is>
          <t>N/A</t>
        </is>
      </c>
      <c r="X646" s="10">
        <f>+IFERROR(IF(VLOOKUP(Tabla2[[#This Row],[ID]],'EVALUACION DE RIESGO'!A:A,1,FALSE)=Tabla2[[#This Row],[ID]],"SI","NO"),"NO")</f>
        <v/>
      </c>
    </row>
    <row r="647">
      <c r="A647" s="91" t="inlineStr">
        <is>
          <t>88-GTH</t>
        </is>
      </c>
      <c r="B647" s="10" t="inlineStr">
        <is>
          <t>APOYO</t>
        </is>
      </c>
      <c r="C647" s="10" t="inlineStr">
        <is>
          <t>Gestión del Talento Humano</t>
        </is>
      </c>
      <c r="D647" s="10" t="inlineStr">
        <is>
          <t>GTH</t>
        </is>
      </c>
      <c r="E647" s="10" t="inlineStr">
        <is>
          <t>Permanencia y Desarrollo del Personal</t>
        </is>
      </c>
      <c r="F647" s="10" t="inlineStr">
        <is>
          <t>-</t>
        </is>
      </c>
      <c r="G647" s="10" t="inlineStr">
        <is>
          <t>Pago de utilidades</t>
        </is>
      </c>
      <c r="H647" s="10" t="inlineStr">
        <is>
          <t>Informe individual sobre el pago de utilidades</t>
        </is>
      </c>
      <c r="I647" s="10" t="inlineStr">
        <is>
          <t>Resumen de participación utilidades institucional, contiene el detalle valor a distribuir, numero de personas, cargas familiares, valores, retenciones por supa, transferencias internas e interbancarias</t>
        </is>
      </c>
      <c r="J647" s="10" t="inlineStr">
        <is>
          <t>Gerente de Talento Humano</t>
        </is>
      </c>
      <c r="K647" s="10" t="inlineStr">
        <is>
          <t>Analista de Nomina</t>
        </is>
      </c>
      <c r="L647" s="10" t="inlineStr">
        <is>
          <t>UBICACIÓN DIGITAL-EQUIPO DEL CUSTODIO</t>
        </is>
      </c>
      <c r="M647" s="10" t="inlineStr">
        <is>
          <t>DISCOS DUROS, SERVIDORES, DISCOS O MEDIOS PORTÁTILES, CINTAS O MEDIOS DE VIDEO Y AUDIO, ETC.</t>
        </is>
      </c>
      <c r="N647" s="10" t="inlineStr">
        <is>
          <t>PRIMARIOS</t>
        </is>
      </c>
      <c r="O647" s="10" t="inlineStr">
        <is>
          <t>DOCUMENTOS TÉCNICOS</t>
        </is>
      </c>
      <c r="P647" s="10" t="inlineStr">
        <is>
          <t>USO INTERNO(2)</t>
        </is>
      </c>
      <c r="Q647" s="10" t="inlineStr">
        <is>
          <t>BAJA(1)</t>
        </is>
      </c>
      <c r="R647" s="10" t="inlineStr">
        <is>
          <t>MEDIA(2)</t>
        </is>
      </c>
      <c r="S647" s="10">
        <f>+(IF(P647="PUBLICA(1)",1,IF(P647="USO INTERNO(2)",2,IF(P647="RESTRINGIDO(3)",3,3))))+(IF(Q647="BAJA(1)",1,IF(Q647="MEDIA(2)",2,IF(Q647="ALTA(3)",3,3))))+(IF(R647="BAJA(1)",1,IF(R647="MEDIA(2)",2,IF(R647="ALTA(3)",3,3))))</f>
        <v/>
      </c>
      <c r="T647" s="10">
        <f>+IF(S647&lt;6,"BAJA",IF(S647&lt;8,"MEDIA","ALTA"))</f>
        <v/>
      </c>
      <c r="U647" s="10" t="inlineStr">
        <is>
          <t>-</t>
        </is>
      </c>
      <c r="V647" s="24" t="n">
        <v>45687</v>
      </c>
      <c r="W647" s="19" t="inlineStr">
        <is>
          <t>N/A</t>
        </is>
      </c>
      <c r="X647" s="10">
        <f>+IFERROR(IF(VLOOKUP(Tabla2[[#This Row],[ID]],'EVALUACION DE RIESGO'!A:A,1,FALSE)=Tabla2[[#This Row],[ID]],"SI","NO"),"NO")</f>
        <v/>
      </c>
    </row>
    <row r="648">
      <c r="A648" s="91" t="inlineStr">
        <is>
          <t>89-GTH</t>
        </is>
      </c>
      <c r="B648" s="10" t="inlineStr">
        <is>
          <t>APOYO</t>
        </is>
      </c>
      <c r="C648" s="10" t="inlineStr">
        <is>
          <t>Gestión del Talento Humano</t>
        </is>
      </c>
      <c r="D648" s="10" t="inlineStr">
        <is>
          <t>GTH</t>
        </is>
      </c>
      <c r="E648" s="10" t="inlineStr">
        <is>
          <t>Permanencia y Desarrollo del Personal</t>
        </is>
      </c>
      <c r="F648" s="10" t="inlineStr">
        <is>
          <t>-</t>
        </is>
      </c>
      <c r="G648" s="10" t="inlineStr">
        <is>
          <t xml:space="preserve">Política de incentivos </t>
        </is>
      </c>
      <c r="H648" s="10" t="inlineStr">
        <is>
          <t>Propuesta de beneficios</t>
        </is>
      </c>
      <c r="I648" s="10" t="inlineStr">
        <is>
          <t xml:space="preserve">Documento de Reglamento Interno donde se indica los beneficios de los trabajadores donde se enlistan por artículos </t>
        </is>
      </c>
      <c r="J648" s="10" t="inlineStr">
        <is>
          <t>Gerente de Talento Humano</t>
        </is>
      </c>
      <c r="K648" s="10" t="inlineStr">
        <is>
          <t>Analista de Desarrollo</t>
        </is>
      </c>
      <c r="L648" s="10" t="inlineStr">
        <is>
          <t>UBICACIÓN DIGITAL-WEBCOOP</t>
        </is>
      </c>
      <c r="M648" s="10" t="inlineStr">
        <is>
          <t>DOCUMENTO DE ARCHIVO-ELECTRÓNICO</t>
        </is>
      </c>
      <c r="N648" s="10" t="inlineStr">
        <is>
          <t>PRIMARIOS</t>
        </is>
      </c>
      <c r="O648" s="10" t="inlineStr">
        <is>
          <t>DOCUMENTOS TÉCNICOS</t>
        </is>
      </c>
      <c r="P648" s="10" t="inlineStr">
        <is>
          <t>USO INTERNO(2)</t>
        </is>
      </c>
      <c r="Q648" s="10" t="inlineStr">
        <is>
          <t>BAJA(1)</t>
        </is>
      </c>
      <c r="R648" s="10" t="inlineStr">
        <is>
          <t>MEDIA(2)</t>
        </is>
      </c>
      <c r="S648" s="10">
        <f>+(IF(P648="PUBLICA(1)",1,IF(P648="USO INTERNO(2)",2,IF(P648="RESTRINGIDO(3)",3,3))))+(IF(Q648="BAJA(1)",1,IF(Q648="MEDIA(2)",2,IF(Q648="ALTA(3)",3,3))))+(IF(R648="BAJA(1)",1,IF(R648="MEDIA(2)",2,IF(R648="ALTA(3)",3,3))))</f>
        <v/>
      </c>
      <c r="T648" s="10">
        <f>+IF(S648&lt;6,"BAJA",IF(S648&lt;8,"MEDIA","ALTA"))</f>
        <v/>
      </c>
      <c r="U648" s="10" t="inlineStr">
        <is>
          <t>-</t>
        </is>
      </c>
      <c r="V648" s="24" t="n">
        <v>45687</v>
      </c>
      <c r="W648" s="19" t="inlineStr">
        <is>
          <t>N/A</t>
        </is>
      </c>
      <c r="X648" s="10">
        <f>+IFERROR(IF(VLOOKUP(Tabla2[[#This Row],[ID]],'EVALUACION DE RIESGO'!A:A,1,FALSE)=Tabla2[[#This Row],[ID]],"SI","NO"),"NO")</f>
        <v/>
      </c>
    </row>
    <row r="649">
      <c r="A649" s="91" t="inlineStr">
        <is>
          <t>90-GTH</t>
        </is>
      </c>
      <c r="B649" s="10" t="inlineStr">
        <is>
          <t>APOYO</t>
        </is>
      </c>
      <c r="C649" s="10" t="inlineStr">
        <is>
          <t>Gestión del Talento Humano</t>
        </is>
      </c>
      <c r="D649" s="10" t="inlineStr">
        <is>
          <t>GTH</t>
        </is>
      </c>
      <c r="E649" s="10" t="inlineStr">
        <is>
          <t>Permanencia y Desarrollo del Personal</t>
        </is>
      </c>
      <c r="F649" s="10" t="inlineStr">
        <is>
          <t>-</t>
        </is>
      </c>
      <c r="G649" s="10" t="inlineStr">
        <is>
          <t xml:space="preserve">Política de incentivos </t>
        </is>
      </c>
      <c r="H649" s="10" t="inlineStr">
        <is>
          <t>Certificación del Consejo de Administración</t>
        </is>
      </c>
      <c r="I649" s="10" t="inlineStr">
        <is>
          <t>Certificación emitida por el Consejo de Administración</t>
        </is>
      </c>
      <c r="J649" s="10" t="inlineStr">
        <is>
          <t>Gerente de Talento Humano</t>
        </is>
      </c>
      <c r="K649" s="10" t="inlineStr">
        <is>
          <t>Analista de Desarrollo</t>
        </is>
      </c>
      <c r="L649" s="10" t="inlineStr">
        <is>
          <t>UBICACIÓN DIGITAL-EQUIPO DEL CUSTODIO</t>
        </is>
      </c>
      <c r="M649" s="10" t="inlineStr">
        <is>
          <t>DISCOS DUROS, SERVIDORES, DISCOS O MEDIOS PORTÁTILES, CINTAS O MEDIOS DE VIDEO Y AUDIO, ETC.</t>
        </is>
      </c>
      <c r="N649" s="10" t="inlineStr">
        <is>
          <t>PRIMARIOS</t>
        </is>
      </c>
      <c r="O649" s="10" t="inlineStr">
        <is>
          <t>DOCUMENTOS HABILITANTES</t>
        </is>
      </c>
      <c r="P649" s="10" t="inlineStr">
        <is>
          <t>USO INTERNO(2)</t>
        </is>
      </c>
      <c r="Q649" s="10" t="inlineStr">
        <is>
          <t>BAJA(1)</t>
        </is>
      </c>
      <c r="R649" s="10" t="inlineStr">
        <is>
          <t>MEDIA(2)</t>
        </is>
      </c>
      <c r="S649" s="10">
        <f>+(IF(P649="PUBLICA(1)",1,IF(P649="USO INTERNO(2)",2,IF(P649="RESTRINGIDO(3)",3,3))))+(IF(Q649="BAJA(1)",1,IF(Q649="MEDIA(2)",2,IF(Q649="ALTA(3)",3,3))))+(IF(R649="BAJA(1)",1,IF(R649="MEDIA(2)",2,IF(R649="ALTA(3)",3,3))))</f>
        <v/>
      </c>
      <c r="T649" s="10">
        <f>+IF(S649&lt;6,"BAJA",IF(S649&lt;8,"MEDIA","ALTA"))</f>
        <v/>
      </c>
      <c r="U649" s="10" t="inlineStr">
        <is>
          <t>-</t>
        </is>
      </c>
      <c r="V649" s="24" t="n">
        <v>45687</v>
      </c>
      <c r="W649" s="19" t="inlineStr">
        <is>
          <t>N/A</t>
        </is>
      </c>
      <c r="X649" s="10">
        <f>+IFERROR(IF(VLOOKUP(Tabla2[[#This Row],[ID]],'EVALUACION DE RIESGO'!A:A,1,FALSE)=Tabla2[[#This Row],[ID]],"SI","NO"),"NO")</f>
        <v/>
      </c>
    </row>
    <row r="650">
      <c r="A650" s="91" t="inlineStr">
        <is>
          <t>91-GTH</t>
        </is>
      </c>
      <c r="B650" s="10" t="inlineStr">
        <is>
          <t>APOYO</t>
        </is>
      </c>
      <c r="C650" s="10" t="inlineStr">
        <is>
          <t>Gestión del Talento Humano</t>
        </is>
      </c>
      <c r="D650" s="10" t="inlineStr">
        <is>
          <t>GTH</t>
        </is>
      </c>
      <c r="E650" s="10" t="inlineStr">
        <is>
          <t>Permanencia y Desarrollo del Personal</t>
        </is>
      </c>
      <c r="F650" s="10" t="inlineStr">
        <is>
          <t>-</t>
        </is>
      </c>
      <c r="G650" s="10" t="inlineStr">
        <is>
          <t>Pago de décimo tercero y  décimo cuarto</t>
        </is>
      </c>
      <c r="H650" s="10" t="inlineStr">
        <is>
          <t>Rol de decimotercero o decimocuarto sueldo</t>
        </is>
      </c>
      <c r="I650" s="10" t="inlineStr">
        <is>
          <t>Archivo de reporte de rol de decimotercero y decimocuarto que contiene información de empleados y valores.</t>
        </is>
      </c>
      <c r="J650" s="10" t="inlineStr">
        <is>
          <t>Gerente de Talento Humano</t>
        </is>
      </c>
      <c r="K650" s="10" t="inlineStr">
        <is>
          <t>Analista de Nomina</t>
        </is>
      </c>
      <c r="L650" s="10" t="inlineStr">
        <is>
          <t>UBICACIÓN DIGITAL-CORE FINANCIERO</t>
        </is>
      </c>
      <c r="M650" s="10" t="inlineStr">
        <is>
          <t>SISTEMAS DE INFORMACIÓN CORPORATIVOS</t>
        </is>
      </c>
      <c r="N650" s="10" t="inlineStr">
        <is>
          <t>PRIMARIOS</t>
        </is>
      </c>
      <c r="O650" s="10" t="inlineStr">
        <is>
          <t>DOCUMENTOS HABILITANTES</t>
        </is>
      </c>
      <c r="P650" s="10" t="inlineStr">
        <is>
          <t>USO INTERNO(2)</t>
        </is>
      </c>
      <c r="Q650" s="10" t="inlineStr">
        <is>
          <t>BAJA(1)</t>
        </is>
      </c>
      <c r="R650" s="10" t="inlineStr">
        <is>
          <t>MEDIA(2)</t>
        </is>
      </c>
      <c r="S650" s="10">
        <f>+(IF(P650="PUBLICA(1)",1,IF(P650="USO INTERNO(2)",2,IF(P650="RESTRINGIDO(3)",3,3))))+(IF(Q650="BAJA(1)",1,IF(Q650="MEDIA(2)",2,IF(Q650="ALTA(3)",3,3))))+(IF(R650="BAJA(1)",1,IF(R650="MEDIA(2)",2,IF(R650="ALTA(3)",3,3))))</f>
        <v/>
      </c>
      <c r="T650" s="10">
        <f>+IF(S650&lt;6,"BAJA",IF(S650&lt;8,"MEDIA","ALTA"))</f>
        <v/>
      </c>
      <c r="U650" s="10" t="inlineStr">
        <is>
          <t>-</t>
        </is>
      </c>
      <c r="V650" s="24" t="n">
        <v>45687</v>
      </c>
      <c r="W650" s="19" t="inlineStr">
        <is>
          <t>N/A</t>
        </is>
      </c>
      <c r="X650" s="10">
        <f>+IFERROR(IF(VLOOKUP(Tabla2[[#This Row],[ID]],'EVALUACION DE RIESGO'!A:A,1,FALSE)=Tabla2[[#This Row],[ID]],"SI","NO"),"NO")</f>
        <v/>
      </c>
    </row>
    <row r="651">
      <c r="A651" s="91" t="inlineStr">
        <is>
          <t>92-GTH</t>
        </is>
      </c>
      <c r="B651" s="10" t="inlineStr">
        <is>
          <t>APOYO</t>
        </is>
      </c>
      <c r="C651" s="10" t="inlineStr">
        <is>
          <t>Gestión del Talento Humano</t>
        </is>
      </c>
      <c r="D651" s="10" t="inlineStr">
        <is>
          <t>GTH</t>
        </is>
      </c>
      <c r="E651" s="10" t="inlineStr">
        <is>
          <t>Permanencia y Desarrollo del Personal</t>
        </is>
      </c>
      <c r="F651" s="10" t="inlineStr">
        <is>
          <t>-</t>
        </is>
      </c>
      <c r="G651" s="10" t="inlineStr">
        <is>
          <t>Pago de décimo tercero y  décimo cuarto</t>
        </is>
      </c>
      <c r="H651" s="10" t="inlineStr">
        <is>
          <t>Informe individual sobre el pago de decimotercer o decimocuarta remuneración</t>
        </is>
      </c>
      <c r="I651" s="10" t="inlineStr">
        <is>
          <t>Resumen de pagos realizados por empleado</t>
        </is>
      </c>
      <c r="J651" s="10" t="inlineStr">
        <is>
          <t>Gerente de Talento Humano</t>
        </is>
      </c>
      <c r="K651" s="10" t="inlineStr">
        <is>
          <t>Analista de Nomina</t>
        </is>
      </c>
      <c r="L651" s="10" t="inlineStr">
        <is>
          <t>UBICACIÓN DIGITAL-CORE FINANCIERO</t>
        </is>
      </c>
      <c r="M651" s="10" t="inlineStr">
        <is>
          <t>SISTEMAS DE INFORMACIÓN CORPORATIVOS</t>
        </is>
      </c>
      <c r="N651" s="10" t="inlineStr">
        <is>
          <t>PRIMARIOS</t>
        </is>
      </c>
      <c r="O651" s="10" t="inlineStr">
        <is>
          <t>DOCUMENTOS TÉCNICOS</t>
        </is>
      </c>
      <c r="P651" s="10" t="inlineStr">
        <is>
          <t>USO INTERNO(2)</t>
        </is>
      </c>
      <c r="Q651" s="10" t="inlineStr">
        <is>
          <t>BAJA(1)</t>
        </is>
      </c>
      <c r="R651" s="10" t="inlineStr">
        <is>
          <t>MEDIA(2)</t>
        </is>
      </c>
      <c r="S651" s="10">
        <f>+(IF(P651="PUBLICA(1)",1,IF(P651="USO INTERNO(2)",2,IF(P651="RESTRINGIDO(3)",3,3))))+(IF(Q651="BAJA(1)",1,IF(Q651="MEDIA(2)",2,IF(Q651="ALTA(3)",3,3))))+(IF(R651="BAJA(1)",1,IF(R651="MEDIA(2)",2,IF(R651="ALTA(3)",3,3))))</f>
        <v/>
      </c>
      <c r="T651" s="10">
        <f>+IF(S651&lt;6,"BAJA",IF(S651&lt;8,"MEDIA","ALTA"))</f>
        <v/>
      </c>
      <c r="U651" s="10" t="inlineStr">
        <is>
          <t>-</t>
        </is>
      </c>
      <c r="V651" s="24" t="n">
        <v>45687</v>
      </c>
      <c r="W651" s="19" t="inlineStr">
        <is>
          <t>N/A</t>
        </is>
      </c>
      <c r="X651" s="10">
        <f>+IFERROR(IF(VLOOKUP(Tabla2[[#This Row],[ID]],'EVALUACION DE RIESGO'!A:A,1,FALSE)=Tabla2[[#This Row],[ID]],"SI","NO"),"NO")</f>
        <v/>
      </c>
    </row>
    <row r="652">
      <c r="A652" s="91" t="inlineStr">
        <is>
          <t>93-GTH</t>
        </is>
      </c>
      <c r="B652" s="10" t="inlineStr">
        <is>
          <t>APOYO</t>
        </is>
      </c>
      <c r="C652" s="10" t="inlineStr">
        <is>
          <t>Gestión del Talento Humano</t>
        </is>
      </c>
      <c r="D652" s="10" t="inlineStr">
        <is>
          <t>GTH</t>
        </is>
      </c>
      <c r="E652" s="10" t="inlineStr">
        <is>
          <t>Permanencia y Desarrollo del Personal</t>
        </is>
      </c>
      <c r="F652" s="10" t="inlineStr">
        <is>
          <t>-</t>
        </is>
      </c>
      <c r="G652" s="10" t="inlineStr">
        <is>
          <t>Solicitud de licencias, permisos y vacaciones</t>
        </is>
      </c>
      <c r="H652" s="10" t="inlineStr">
        <is>
          <t>Registro digital del permiso</t>
        </is>
      </c>
      <c r="I652" s="10" t="inlineStr">
        <is>
          <t>Registro que el empleado realiza en el sistema WebCoop, contiene información del solicitante y descripción</t>
        </is>
      </c>
      <c r="J652" s="10" t="inlineStr">
        <is>
          <t>Gerente de Talento Humano</t>
        </is>
      </c>
      <c r="K652" s="10" t="inlineStr">
        <is>
          <t>Analista de Nomina</t>
        </is>
      </c>
      <c r="L652" s="10" t="inlineStr">
        <is>
          <t>UBICACIÓN DIGITAL-CORE FINANCIERO</t>
        </is>
      </c>
      <c r="M652" s="10" t="inlineStr">
        <is>
          <t>SISTEMAS DE INFORMACIÓN CORPORATIVOS</t>
        </is>
      </c>
      <c r="N652" s="10" t="inlineStr">
        <is>
          <t>PRIMARIOS</t>
        </is>
      </c>
      <c r="O652" s="10" t="inlineStr">
        <is>
          <t>DOCUMENTOS TÉCNICOS</t>
        </is>
      </c>
      <c r="P652" s="10" t="inlineStr">
        <is>
          <t>PUBLICA(1)</t>
        </is>
      </c>
      <c r="Q652" s="10" t="inlineStr">
        <is>
          <t>BAJA(1)</t>
        </is>
      </c>
      <c r="R652" s="10" t="inlineStr">
        <is>
          <t>BAJA(1)</t>
        </is>
      </c>
      <c r="S652" s="10">
        <f>+(IF(P652="PUBLICA(1)",1,IF(P652="USO INTERNO(2)",2,IF(P652="RESTRINGIDO(3)",3,3))))+(IF(Q652="BAJA(1)",1,IF(Q652="MEDIA(2)",2,IF(Q652="ALTA(3)",3,3))))+(IF(R652="BAJA(1)",1,IF(R652="MEDIA(2)",2,IF(R652="ALTA(3)",3,3))))</f>
        <v/>
      </c>
      <c r="T652" s="10">
        <f>+IF(S652&lt;6,"BAJA",IF(S652&lt;8,"MEDIA","ALTA"))</f>
        <v/>
      </c>
      <c r="U652" s="10" t="inlineStr">
        <is>
          <t>-</t>
        </is>
      </c>
      <c r="V652" s="24" t="n">
        <v>45687</v>
      </c>
      <c r="W652" s="19" t="inlineStr">
        <is>
          <t>N/A</t>
        </is>
      </c>
      <c r="X652" s="10">
        <f>+IFERROR(IF(VLOOKUP(Tabla2[[#This Row],[ID]],'EVALUACION DE RIESGO'!A:A,1,FALSE)=Tabla2[[#This Row],[ID]],"SI","NO"),"NO")</f>
        <v/>
      </c>
    </row>
    <row r="653">
      <c r="A653" s="91" t="inlineStr">
        <is>
          <t>94-GTH</t>
        </is>
      </c>
      <c r="B653" s="10" t="inlineStr">
        <is>
          <t>APOYO</t>
        </is>
      </c>
      <c r="C653" s="10" t="inlineStr">
        <is>
          <t>Gestión del Talento Humano</t>
        </is>
      </c>
      <c r="D653" s="10" t="inlineStr">
        <is>
          <t>GTH</t>
        </is>
      </c>
      <c r="E653" s="10" t="inlineStr">
        <is>
          <t>Permanencia y Desarrollo del Personal</t>
        </is>
      </c>
      <c r="F653" s="10" t="inlineStr">
        <is>
          <t>-</t>
        </is>
      </c>
      <c r="G653" s="10" t="inlineStr">
        <is>
          <t>Control de asistencia</t>
        </is>
      </c>
      <c r="H653" s="10" t="inlineStr">
        <is>
          <t>Reporte de asistencias</t>
        </is>
      </c>
      <c r="I653" s="10" t="inlineStr">
        <is>
          <t>Reporte de asistencias que se genere del sistema cuando el empleado ingresa y sale de las oficinas</t>
        </is>
      </c>
      <c r="J653" s="10" t="inlineStr">
        <is>
          <t>Gerente de Talento Humano</t>
        </is>
      </c>
      <c r="K653" s="10" t="inlineStr">
        <is>
          <t>Analista de Nomina</t>
        </is>
      </c>
      <c r="L653" s="10" t="inlineStr">
        <is>
          <t>N/A</t>
        </is>
      </c>
      <c r="M653" s="10" t="inlineStr">
        <is>
          <t>SISTEMAS DE INFORMACIÓN CORPORATIVOS</t>
        </is>
      </c>
      <c r="N653" s="10" t="inlineStr">
        <is>
          <t>PRIMARIOS</t>
        </is>
      </c>
      <c r="O653" s="10" t="inlineStr">
        <is>
          <t>COMUNICACIÓN INTERNA</t>
        </is>
      </c>
      <c r="P653" s="10" t="inlineStr">
        <is>
          <t>PUBLICA(1)</t>
        </is>
      </c>
      <c r="Q653" s="10" t="inlineStr">
        <is>
          <t>BAJA(1)</t>
        </is>
      </c>
      <c r="R653" s="10" t="inlineStr">
        <is>
          <t>MEDIA(2)</t>
        </is>
      </c>
      <c r="S653" s="10">
        <f>+(IF(P653="PUBLICA(1)",1,IF(P653="USO INTERNO(2)",2,IF(P653="RESTRINGIDO(3)",3,3))))+(IF(Q653="BAJA(1)",1,IF(Q653="MEDIA(2)",2,IF(Q653="ALTA(3)",3,3))))+(IF(R653="BAJA(1)",1,IF(R653="MEDIA(2)",2,IF(R653="ALTA(3)",3,3))))</f>
        <v/>
      </c>
      <c r="T653" s="10">
        <f>+IF(S653&lt;6,"BAJA",IF(S653&lt;8,"MEDIA","ALTA"))</f>
        <v/>
      </c>
      <c r="U653" s="10" t="inlineStr">
        <is>
          <t>-</t>
        </is>
      </c>
      <c r="V653" s="24" t="n">
        <v>45687</v>
      </c>
      <c r="W653" s="19" t="inlineStr">
        <is>
          <t>N/A</t>
        </is>
      </c>
      <c r="X653" s="10">
        <f>+IFERROR(IF(VLOOKUP(Tabla2[[#This Row],[ID]],'EVALUACION DE RIESGO'!A:A,1,FALSE)=Tabla2[[#This Row],[ID]],"SI","NO"),"NO")</f>
        <v/>
      </c>
    </row>
    <row r="654">
      <c r="A654" s="91" t="inlineStr">
        <is>
          <t>95-GTH</t>
        </is>
      </c>
      <c r="B654" s="10" t="inlineStr">
        <is>
          <t>APOYO</t>
        </is>
      </c>
      <c r="C654" s="10" t="inlineStr">
        <is>
          <t>Gestión del Talento Humano</t>
        </is>
      </c>
      <c r="D654" s="10" t="inlineStr">
        <is>
          <t>GTH</t>
        </is>
      </c>
      <c r="E654" s="10" t="inlineStr">
        <is>
          <t>Permanencia y Desarrollo del Personal</t>
        </is>
      </c>
      <c r="F654" s="10" t="inlineStr">
        <is>
          <t>-</t>
        </is>
      </c>
      <c r="G654" s="10" t="inlineStr">
        <is>
          <t>Control del cronograma de vacaciones</t>
        </is>
      </c>
      <c r="H654" s="10" t="inlineStr">
        <is>
          <t>Reporte de vacaciones</t>
        </is>
      </c>
      <c r="I654" s="10" t="inlineStr">
        <is>
          <t>Reporte de salidas obtenida a partir de los registros de solicitud en el sistema WebCoop</t>
        </is>
      </c>
      <c r="J654" s="10" t="inlineStr">
        <is>
          <t>Gerente de Talento Humano</t>
        </is>
      </c>
      <c r="K654" s="10" t="inlineStr">
        <is>
          <t>Analista de Nomina</t>
        </is>
      </c>
      <c r="L654" s="10" t="inlineStr">
        <is>
          <t>UBICACIÓN DIGITAL-CORE FINANCIERO</t>
        </is>
      </c>
      <c r="M654" s="10" t="inlineStr">
        <is>
          <t>SISTEMAS DE INFORMACIÓN CORPORATIVOS</t>
        </is>
      </c>
      <c r="N654" s="10" t="inlineStr">
        <is>
          <t>PRIMARIOS</t>
        </is>
      </c>
      <c r="O654" s="10" t="inlineStr">
        <is>
          <t>COMUNICACIÓN INTERNA</t>
        </is>
      </c>
      <c r="P654" s="10" t="inlineStr">
        <is>
          <t>PUBLICA(1)</t>
        </is>
      </c>
      <c r="Q654" s="10" t="inlineStr">
        <is>
          <t>BAJA(1)</t>
        </is>
      </c>
      <c r="R654" s="10" t="inlineStr">
        <is>
          <t>BAJA(1)</t>
        </is>
      </c>
      <c r="S654" s="10">
        <f>+(IF(P654="PUBLICA(1)",1,IF(P654="USO INTERNO(2)",2,IF(P654="RESTRINGIDO(3)",3,3))))+(IF(Q654="BAJA(1)",1,IF(Q654="MEDIA(2)",2,IF(Q654="ALTA(3)",3,3))))+(IF(R654="BAJA(1)",1,IF(R654="MEDIA(2)",2,IF(R654="ALTA(3)",3,3))))</f>
        <v/>
      </c>
      <c r="T654" s="10">
        <f>+IF(S654&lt;6,"BAJA",IF(S654&lt;8,"MEDIA","ALTA"))</f>
        <v/>
      </c>
      <c r="U654" s="10" t="inlineStr">
        <is>
          <t>-</t>
        </is>
      </c>
      <c r="V654" s="24" t="n">
        <v>45687</v>
      </c>
      <c r="W654" s="19" t="inlineStr">
        <is>
          <t>N/A</t>
        </is>
      </c>
      <c r="X654" s="10">
        <f>+IFERROR(IF(VLOOKUP(Tabla2[[#This Row],[ID]],'EVALUACION DE RIESGO'!A:A,1,FALSE)=Tabla2[[#This Row],[ID]],"SI","NO"),"NO")</f>
        <v/>
      </c>
    </row>
    <row r="655">
      <c r="A655" s="91" t="inlineStr">
        <is>
          <t>96-GTH</t>
        </is>
      </c>
      <c r="B655" s="10" t="inlineStr">
        <is>
          <t>APOYO</t>
        </is>
      </c>
      <c r="C655" s="10" t="inlineStr">
        <is>
          <t>Gestión del Talento Humano</t>
        </is>
      </c>
      <c r="D655" s="10" t="inlineStr">
        <is>
          <t>GTH</t>
        </is>
      </c>
      <c r="E655" s="10" t="inlineStr">
        <is>
          <t>Permanencia y Desarrollo del Personal</t>
        </is>
      </c>
      <c r="F655" s="10" t="inlineStr">
        <is>
          <t>-</t>
        </is>
      </c>
      <c r="G655" s="10" t="inlineStr">
        <is>
          <t>Control del cronograma de vacaciones</t>
        </is>
      </c>
      <c r="H655" s="10" t="inlineStr">
        <is>
          <t>Informe de salida de vacaciones del personal</t>
        </is>
      </c>
      <c r="I655" s="10" t="inlineStr">
        <is>
          <t>Resumen de solicitudes procesadas</t>
        </is>
      </c>
      <c r="J655" s="10" t="inlineStr">
        <is>
          <t>Gerente de Talento Humano</t>
        </is>
      </c>
      <c r="K655" s="10" t="inlineStr">
        <is>
          <t>Analista de Nomina</t>
        </is>
      </c>
      <c r="L655" s="10" t="inlineStr">
        <is>
          <t>N/A</t>
        </is>
      </c>
      <c r="M655" s="10" t="inlineStr">
        <is>
          <t>SISTEMAS DE INFORMACIÓN CORPORATIVOS</t>
        </is>
      </c>
      <c r="N655" s="10" t="inlineStr">
        <is>
          <t>PRIMARIOS</t>
        </is>
      </c>
      <c r="O655" s="10" t="inlineStr">
        <is>
          <t>COMUNICACIÓN INTERNA</t>
        </is>
      </c>
      <c r="P655" s="10" t="inlineStr">
        <is>
          <t>PUBLICA(1)</t>
        </is>
      </c>
      <c r="Q655" s="10" t="inlineStr">
        <is>
          <t>BAJA(1)</t>
        </is>
      </c>
      <c r="R655" s="10" t="inlineStr">
        <is>
          <t>MEDIA(2)</t>
        </is>
      </c>
      <c r="S655" s="10">
        <f>+(IF(P655="PUBLICA(1)",1,IF(P655="USO INTERNO(2)",2,IF(P655="RESTRINGIDO(3)",3,3))))+(IF(Q655="BAJA(1)",1,IF(Q655="MEDIA(2)",2,IF(Q655="ALTA(3)",3,3))))+(IF(R655="BAJA(1)",1,IF(R655="MEDIA(2)",2,IF(R655="ALTA(3)",3,3))))</f>
        <v/>
      </c>
      <c r="T655" s="10">
        <f>+IF(S655&lt;6,"BAJA",IF(S655&lt;8,"MEDIA","ALTA"))</f>
        <v/>
      </c>
      <c r="U655" s="10" t="inlineStr">
        <is>
          <t>-</t>
        </is>
      </c>
      <c r="V655" s="24" t="n">
        <v>45687</v>
      </c>
      <c r="W655" s="19" t="inlineStr">
        <is>
          <t>N/A</t>
        </is>
      </c>
      <c r="X655" s="10">
        <f>+IFERROR(IF(VLOOKUP(Tabla2[[#This Row],[ID]],'EVALUACION DE RIESGO'!A:A,1,FALSE)=Tabla2[[#This Row],[ID]],"SI","NO"),"NO")</f>
        <v/>
      </c>
    </row>
    <row r="656">
      <c r="A656" s="91" t="inlineStr">
        <is>
          <t>97-GTH</t>
        </is>
      </c>
      <c r="B656" s="10" t="inlineStr">
        <is>
          <t>APOYO</t>
        </is>
      </c>
      <c r="C656" s="10" t="inlineStr">
        <is>
          <t>Gestión del Talento Humano</t>
        </is>
      </c>
      <c r="D656" s="10" t="inlineStr">
        <is>
          <t>GTH</t>
        </is>
      </c>
      <c r="E656" s="10" t="inlineStr">
        <is>
          <t>Permanencia y Desarrollo del Personal</t>
        </is>
      </c>
      <c r="F656" s="10" t="inlineStr">
        <is>
          <t>-</t>
        </is>
      </c>
      <c r="G656" s="10" t="inlineStr">
        <is>
          <t>Cumplimiento de la política conozca a su empleado administrador</t>
        </is>
      </c>
      <c r="H656" s="10" t="inlineStr">
        <is>
          <t>Análisis para la prevención de lavado de activos de los trabajadores</t>
        </is>
      </c>
      <c r="I656" s="10" t="inlineStr">
        <is>
          <t>Informe de señales de alerta política conozca su colaborador- administrador contiene antecedente, desarrollo, análisis, novedades reportadas por jefes</t>
        </is>
      </c>
      <c r="J656" s="10" t="inlineStr">
        <is>
          <t>Gerente de Talento Humano</t>
        </is>
      </c>
      <c r="K656" s="10" t="inlineStr">
        <is>
          <t>Analista de Nomina</t>
        </is>
      </c>
      <c r="L656" s="10" t="inlineStr">
        <is>
          <t>UBICACIÓN DIGITAL-EQUIPO DEL CUSTODIO</t>
        </is>
      </c>
      <c r="M656" s="10" t="inlineStr">
        <is>
          <t>DISCOS DUROS, SERVIDORES, DISCOS O MEDIOS PORTÁTILES, CINTAS O MEDIOS DE VIDEO Y AUDIO, ETC.</t>
        </is>
      </c>
      <c r="N656" s="10" t="inlineStr">
        <is>
          <t>PRIMARIOS</t>
        </is>
      </c>
      <c r="O656" s="10" t="inlineStr">
        <is>
          <t>DOCUMENTOS TÉCNICOS</t>
        </is>
      </c>
      <c r="P656" s="10" t="inlineStr">
        <is>
          <t>USO INTERNO(2)</t>
        </is>
      </c>
      <c r="Q656" s="10" t="inlineStr">
        <is>
          <t>BAJA(1)</t>
        </is>
      </c>
      <c r="R656" s="10" t="inlineStr">
        <is>
          <t>MEDIA(2)</t>
        </is>
      </c>
      <c r="S656" s="10">
        <f>+(IF(P656="PUBLICA(1)",1,IF(P656="USO INTERNO(2)",2,IF(P656="RESTRINGIDO(3)",3,3))))+(IF(Q656="BAJA(1)",1,IF(Q656="MEDIA(2)",2,IF(Q656="ALTA(3)",3,3))))+(IF(R656="BAJA(1)",1,IF(R656="MEDIA(2)",2,IF(R656="ALTA(3)",3,3))))</f>
        <v/>
      </c>
      <c r="T656" s="10">
        <f>+IF(S656&lt;6,"BAJA",IF(S656&lt;8,"MEDIA","ALTA"))</f>
        <v/>
      </c>
      <c r="U656" s="10" t="inlineStr">
        <is>
          <t>-</t>
        </is>
      </c>
      <c r="V656" s="24" t="n">
        <v>45687</v>
      </c>
      <c r="W656" s="19" t="inlineStr">
        <is>
          <t>N/A</t>
        </is>
      </c>
      <c r="X656" s="10">
        <f>+IFERROR(IF(VLOOKUP(Tabla2[[#This Row],[ID]],'EVALUACION DE RIESGO'!A:A,1,FALSE)=Tabla2[[#This Row],[ID]],"SI","NO"),"NO")</f>
        <v/>
      </c>
    </row>
    <row r="657">
      <c r="A657" s="91" t="inlineStr">
        <is>
          <t>98-GTH</t>
        </is>
      </c>
      <c r="B657" s="10" t="inlineStr">
        <is>
          <t>APOYO</t>
        </is>
      </c>
      <c r="C657" s="10" t="inlineStr">
        <is>
          <t>Gestión del Talento Humano</t>
        </is>
      </c>
      <c r="D657" s="10" t="inlineStr">
        <is>
          <t>GTH</t>
        </is>
      </c>
      <c r="E657" s="10" t="inlineStr">
        <is>
          <t>Permanencia y Desarrollo del Personal</t>
        </is>
      </c>
      <c r="F657" s="10" t="inlineStr">
        <is>
          <t>-</t>
        </is>
      </c>
      <c r="G657" s="10" t="inlineStr">
        <is>
          <t>Estudio de clima laboral</t>
        </is>
      </c>
      <c r="H657" s="10" t="inlineStr">
        <is>
          <t>Encuestas</t>
        </is>
      </c>
      <c r="I657" s="10" t="inlineStr">
        <is>
          <t>Encuestas realizadas dependiendo de la herramienta de ejecución, puede ser en línea digital o física</t>
        </is>
      </c>
      <c r="J657" s="10" t="inlineStr">
        <is>
          <t>Gerente de Talento Humano</t>
        </is>
      </c>
      <c r="K657" s="10" t="inlineStr">
        <is>
          <t>Analista de Desarrollo</t>
        </is>
      </c>
      <c r="L657" s="10" t="inlineStr">
        <is>
          <t>UBICACIÓN DIGITAL-EQUIPO DEL CUSTODIO</t>
        </is>
      </c>
      <c r="M657" s="10" t="inlineStr">
        <is>
          <t>DISCOS DUROS, SERVIDORES, DISCOS O MEDIOS PORTÁTILES, CINTAS O MEDIOS DE VIDEO Y AUDIO, ETC.</t>
        </is>
      </c>
      <c r="N657" s="10" t="inlineStr">
        <is>
          <t>PRIMARIOS</t>
        </is>
      </c>
      <c r="O657" s="10" t="inlineStr">
        <is>
          <t>COMUNICACIÓN INTERNA</t>
        </is>
      </c>
      <c r="P657" s="10" t="inlineStr">
        <is>
          <t>PUBLICA(1)</t>
        </is>
      </c>
      <c r="Q657" s="10" t="inlineStr">
        <is>
          <t>BAJA(1)</t>
        </is>
      </c>
      <c r="R657" s="10" t="inlineStr">
        <is>
          <t>BAJA(1)</t>
        </is>
      </c>
      <c r="S657" s="10">
        <f>+(IF(P657="PUBLICA(1)",1,IF(P657="USO INTERNO(2)",2,IF(P657="RESTRINGIDO(3)",3,3))))+(IF(Q657="BAJA(1)",1,IF(Q657="MEDIA(2)",2,IF(Q657="ALTA(3)",3,3))))+(IF(R657="BAJA(1)",1,IF(R657="MEDIA(2)",2,IF(R657="ALTA(3)",3,3))))</f>
        <v/>
      </c>
      <c r="T657" s="10">
        <f>+IF(S657&lt;6,"BAJA",IF(S657&lt;8,"MEDIA","ALTA"))</f>
        <v/>
      </c>
      <c r="U657" s="10" t="inlineStr">
        <is>
          <t>-</t>
        </is>
      </c>
      <c r="V657" s="24" t="n">
        <v>45687</v>
      </c>
      <c r="W657" s="19" t="inlineStr">
        <is>
          <t>N/A</t>
        </is>
      </c>
      <c r="X657" s="10">
        <f>+IFERROR(IF(VLOOKUP(Tabla2[[#This Row],[ID]],'EVALUACION DE RIESGO'!A:A,1,FALSE)=Tabla2[[#This Row],[ID]],"SI","NO"),"NO")</f>
        <v/>
      </c>
    </row>
    <row r="658">
      <c r="A658" s="91" t="inlineStr">
        <is>
          <t>99-GTH</t>
        </is>
      </c>
      <c r="B658" s="10" t="inlineStr">
        <is>
          <t>APOYO</t>
        </is>
      </c>
      <c r="C658" s="10" t="inlineStr">
        <is>
          <t>Gestión del Talento Humano</t>
        </is>
      </c>
      <c r="D658" s="10" t="inlineStr">
        <is>
          <t>GTH</t>
        </is>
      </c>
      <c r="E658" s="10" t="inlineStr">
        <is>
          <t>Permanencia y Desarrollo del Personal</t>
        </is>
      </c>
      <c r="F658" s="10" t="inlineStr">
        <is>
          <t>-</t>
        </is>
      </c>
      <c r="G658" s="10" t="inlineStr">
        <is>
          <t>Estudio de clima laboral</t>
        </is>
      </c>
      <c r="H658" s="10" t="inlineStr">
        <is>
          <t>Informe de resultados del clima laboral</t>
        </is>
      </c>
      <c r="I658" s="10" t="inlineStr">
        <is>
          <t>Informe estado del clima laboral, contiene objetivos y criterios, población, resultados comparativos, resultados de factores de la cooperativa, factores de medición, demografía, resultados por área, agencia, fortalezas y oportunidades de mejora</t>
        </is>
      </c>
      <c r="J658" s="10" t="inlineStr">
        <is>
          <t>Gerente de Talento Humano</t>
        </is>
      </c>
      <c r="K658" s="10" t="inlineStr">
        <is>
          <t>Analista de Desarrollo</t>
        </is>
      </c>
      <c r="L658" s="10" t="inlineStr">
        <is>
          <t>UBICACIÓN DIGITAL-EQUIPO DEL CUSTODIO</t>
        </is>
      </c>
      <c r="M658" s="10" t="inlineStr">
        <is>
          <t>DISCOS DUROS, SERVIDORES, DISCOS O MEDIOS PORTÁTILES, CINTAS O MEDIOS DE VIDEO Y AUDIO, ETC.</t>
        </is>
      </c>
      <c r="N658" s="10" t="inlineStr">
        <is>
          <t>PRIMARIOS</t>
        </is>
      </c>
      <c r="O658" s="10" t="inlineStr">
        <is>
          <t>DOCUMENTOS TÉCNICOS</t>
        </is>
      </c>
      <c r="P658" s="10" t="inlineStr">
        <is>
          <t>USO INTERNO(2)</t>
        </is>
      </c>
      <c r="Q658" s="10" t="inlineStr">
        <is>
          <t>BAJA(1)</t>
        </is>
      </c>
      <c r="R658" s="10" t="inlineStr">
        <is>
          <t>BAJA(1)</t>
        </is>
      </c>
      <c r="S658" s="10">
        <f>+(IF(P658="PUBLICA(1)",1,IF(P658="USO INTERNO(2)",2,IF(P658="RESTRINGIDO(3)",3,3))))+(IF(Q658="BAJA(1)",1,IF(Q658="MEDIA(2)",2,IF(Q658="ALTA(3)",3,3))))+(IF(R658="BAJA(1)",1,IF(R658="MEDIA(2)",2,IF(R658="ALTA(3)",3,3))))</f>
        <v/>
      </c>
      <c r="T658" s="10">
        <f>+IF(S658&lt;6,"BAJA",IF(S658&lt;8,"MEDIA","ALTA"))</f>
        <v/>
      </c>
      <c r="U658" s="10" t="inlineStr">
        <is>
          <t>-</t>
        </is>
      </c>
      <c r="V658" s="24" t="n">
        <v>45687</v>
      </c>
      <c r="W658" s="19" t="inlineStr">
        <is>
          <t>N/A</t>
        </is>
      </c>
      <c r="X658" s="10">
        <f>+IFERROR(IF(VLOOKUP(Tabla2[[#This Row],[ID]],'EVALUACION DE RIESGO'!A:A,1,FALSE)=Tabla2[[#This Row],[ID]],"SI","NO"),"NO")</f>
        <v/>
      </c>
    </row>
    <row r="659">
      <c r="A659" s="91" t="inlineStr">
        <is>
          <t>100-GTH</t>
        </is>
      </c>
      <c r="B659" s="10" t="inlineStr">
        <is>
          <t>APOYO</t>
        </is>
      </c>
      <c r="C659" s="10" t="inlineStr">
        <is>
          <t>Gestión del Talento Humano</t>
        </is>
      </c>
      <c r="D659" s="10" t="inlineStr">
        <is>
          <t>GTH</t>
        </is>
      </c>
      <c r="E659" s="10" t="inlineStr">
        <is>
          <t>Permanencia y Desarrollo del Personal</t>
        </is>
      </c>
      <c r="F659" s="10" t="inlineStr">
        <is>
          <t>-</t>
        </is>
      </c>
      <c r="G659" s="10" t="inlineStr">
        <is>
          <t>Generación del reporte para RDEP</t>
        </is>
      </c>
      <c r="H659" s="10" t="inlineStr">
        <is>
          <t>Formulario 107</t>
        </is>
      </c>
      <c r="I659" s="10" t="inlineStr">
        <is>
          <t>Formularios con información de empleados que contiene ingresos y gastos en el ultimo año.</t>
        </is>
      </c>
      <c r="J659" s="10" t="inlineStr">
        <is>
          <t>Gerente de Talento Humano</t>
        </is>
      </c>
      <c r="K659" s="10" t="inlineStr">
        <is>
          <t>Analista de Nomina</t>
        </is>
      </c>
      <c r="L659" s="10" t="inlineStr">
        <is>
          <t>UBICACIÓN DIGITAL-EQUIPO DEL CUSTODIO</t>
        </is>
      </c>
      <c r="M659" s="10" t="inlineStr">
        <is>
          <t>DOCUMENTO DE ARCHIVO-FÍSICO</t>
        </is>
      </c>
      <c r="N659" s="10" t="inlineStr">
        <is>
          <t>PRIMARIOS</t>
        </is>
      </c>
      <c r="O659" s="10" t="inlineStr">
        <is>
          <t>DOCUMENTOS TÉCNICOS</t>
        </is>
      </c>
      <c r="P659" s="10" t="inlineStr">
        <is>
          <t>USO INTERNO(2)</t>
        </is>
      </c>
      <c r="Q659" s="10" t="inlineStr">
        <is>
          <t>BAJA(1)</t>
        </is>
      </c>
      <c r="R659" s="10" t="inlineStr">
        <is>
          <t>MEDIA(2)</t>
        </is>
      </c>
      <c r="S659" s="10">
        <f>+(IF(P659="PUBLICA(1)",1,IF(P659="USO INTERNO(2)",2,IF(P659="RESTRINGIDO(3)",3,3))))+(IF(Q659="BAJA(1)",1,IF(Q659="MEDIA(2)",2,IF(Q659="ALTA(3)",3,3))))+(IF(R659="BAJA(1)",1,IF(R659="MEDIA(2)",2,IF(R659="ALTA(3)",3,3))))</f>
        <v/>
      </c>
      <c r="T659" s="10">
        <f>+IF(S659&lt;6,"BAJA",IF(S659&lt;8,"MEDIA","ALTA"))</f>
        <v/>
      </c>
      <c r="U659" s="10" t="inlineStr">
        <is>
          <t>-</t>
        </is>
      </c>
      <c r="V659" s="24" t="n">
        <v>45687</v>
      </c>
      <c r="W659" s="19" t="inlineStr">
        <is>
          <t>N/A</t>
        </is>
      </c>
      <c r="X659" s="10">
        <f>+IFERROR(IF(VLOOKUP(Tabla2[[#This Row],[ID]],'EVALUACION DE RIESGO'!A:A,1,FALSE)=Tabla2[[#This Row],[ID]],"SI","NO"),"NO")</f>
        <v/>
      </c>
    </row>
    <row r="660">
      <c r="A660" s="91" t="inlineStr">
        <is>
          <t>101-GTH</t>
        </is>
      </c>
      <c r="B660" s="10" t="inlineStr">
        <is>
          <t>APOYO</t>
        </is>
      </c>
      <c r="C660" s="10" t="inlineStr">
        <is>
          <t>Gestión del Talento Humano</t>
        </is>
      </c>
      <c r="D660" s="10" t="inlineStr">
        <is>
          <t>GTH</t>
        </is>
      </c>
      <c r="E660" s="10" t="inlineStr">
        <is>
          <t>Permanencia y Desarrollo del Personal</t>
        </is>
      </c>
      <c r="F660" s="10" t="inlineStr">
        <is>
          <t>-</t>
        </is>
      </c>
      <c r="G660" s="10" t="inlineStr">
        <is>
          <t>Estudio de Cultura Laboral</t>
        </is>
      </c>
      <c r="H660" s="10" t="inlineStr">
        <is>
          <t>Encuestas</t>
        </is>
      </c>
      <c r="I660" s="10" t="inlineStr">
        <is>
          <t>Encuestas realizadas dependiendo de la herramienta de ejecución, puede ser en línea digital o física</t>
        </is>
      </c>
      <c r="J660" s="10" t="inlineStr">
        <is>
          <t>Gerente de Talento Humano</t>
        </is>
      </c>
      <c r="K660" s="10" t="inlineStr">
        <is>
          <t>Analista de Desarrollo</t>
        </is>
      </c>
      <c r="L660" s="10" t="inlineStr">
        <is>
          <t>UBICACIÓN DIGITAL-EQUIPO DEL CUSTODIO</t>
        </is>
      </c>
      <c r="M660" s="10" t="inlineStr">
        <is>
          <t>DISCOS DUROS, SERVIDORES, DISCOS O MEDIOS PORTÁTILES, CINTAS O MEDIOS DE VIDEO Y AUDIO, ETC.</t>
        </is>
      </c>
      <c r="N660" s="10" t="inlineStr">
        <is>
          <t>PRIMARIOS</t>
        </is>
      </c>
      <c r="O660" s="10" t="inlineStr">
        <is>
          <t>COMUNICACIÓN INTERNA</t>
        </is>
      </c>
      <c r="P660" s="10" t="inlineStr">
        <is>
          <t>PUBLICA(1)</t>
        </is>
      </c>
      <c r="Q660" s="10" t="inlineStr">
        <is>
          <t>BAJA(1)</t>
        </is>
      </c>
      <c r="R660" s="10" t="inlineStr">
        <is>
          <t>BAJA(1)</t>
        </is>
      </c>
      <c r="S660" s="10">
        <f>+(IF(P660="PUBLICA(1)",1,IF(P660="USO INTERNO(2)",2,IF(P660="RESTRINGIDO(3)",3,3))))+(IF(Q660="BAJA(1)",1,IF(Q660="MEDIA(2)",2,IF(Q660="ALTA(3)",3,3))))+(IF(R660="BAJA(1)",1,IF(R660="MEDIA(2)",2,IF(R660="ALTA(3)",3,3))))</f>
        <v/>
      </c>
      <c r="T660" s="10">
        <f>+IF(S660&lt;6,"BAJA",IF(S660&lt;8,"MEDIA","ALTA"))</f>
        <v/>
      </c>
      <c r="U660" s="10" t="inlineStr">
        <is>
          <t>-</t>
        </is>
      </c>
      <c r="V660" s="24" t="n">
        <v>45687</v>
      </c>
      <c r="W660" s="19" t="inlineStr">
        <is>
          <t>N/A</t>
        </is>
      </c>
      <c r="X660" s="10">
        <f>+IFERROR(IF(VLOOKUP(Tabla2[[#This Row],[ID]],'EVALUACION DE RIESGO'!A:A,1,FALSE)=Tabla2[[#This Row],[ID]],"SI","NO"),"NO")</f>
        <v/>
      </c>
    </row>
    <row r="661">
      <c r="A661" s="91" t="inlineStr">
        <is>
          <t>102-GTH</t>
        </is>
      </c>
      <c r="B661" s="10" t="inlineStr">
        <is>
          <t>APOYO</t>
        </is>
      </c>
      <c r="C661" s="10" t="inlineStr">
        <is>
          <t>Gestión del Talento Humano</t>
        </is>
      </c>
      <c r="D661" s="10" t="inlineStr">
        <is>
          <t>GTH</t>
        </is>
      </c>
      <c r="E661" s="10" t="inlineStr">
        <is>
          <t>Permanencia y Desarrollo del Personal</t>
        </is>
      </c>
      <c r="F661" s="10" t="inlineStr">
        <is>
          <t>-</t>
        </is>
      </c>
      <c r="G661" s="10" t="inlineStr">
        <is>
          <t>Estudio de Cultura Laboral</t>
        </is>
      </c>
      <c r="H661" s="10" t="inlineStr">
        <is>
          <t>Informes de resultados de las diferentes fases de modelamiento de cultura laboral</t>
        </is>
      </c>
      <c r="I661" s="10" t="inlineStr">
        <is>
          <t>Plan de intervención del clima laboral, detalla el cronograma de actividades</t>
        </is>
      </c>
      <c r="J661" s="10" t="inlineStr">
        <is>
          <t>Gerente de Talento Humano</t>
        </is>
      </c>
      <c r="K661" s="10" t="inlineStr">
        <is>
          <t>Analista de Desarrollo</t>
        </is>
      </c>
      <c r="L661" s="10" t="inlineStr">
        <is>
          <t>UBICACIÓN DIGITAL-EQUIPO DEL CUSTODIO</t>
        </is>
      </c>
      <c r="M661" s="10" t="inlineStr">
        <is>
          <t>DISCOS DUROS, SERVIDORES, DISCOS O MEDIOS PORTÁTILES, CINTAS O MEDIOS DE VIDEO Y AUDIO, ETC.</t>
        </is>
      </c>
      <c r="N661" s="10" t="inlineStr">
        <is>
          <t>PRIMARIOS</t>
        </is>
      </c>
      <c r="O661" s="10" t="inlineStr">
        <is>
          <t>DOCUMENTOS TÉCNICOS</t>
        </is>
      </c>
      <c r="P661" s="10" t="inlineStr">
        <is>
          <t>PUBLICA(1)</t>
        </is>
      </c>
      <c r="Q661" s="10" t="inlineStr">
        <is>
          <t>BAJA(1)</t>
        </is>
      </c>
      <c r="R661" s="10" t="inlineStr">
        <is>
          <t>MEDIA(2)</t>
        </is>
      </c>
      <c r="S661" s="10">
        <f>+(IF(P661="PUBLICA(1)",1,IF(P661="USO INTERNO(2)",2,IF(P661="RESTRINGIDO(3)",3,3))))+(IF(Q661="BAJA(1)",1,IF(Q661="MEDIA(2)",2,IF(Q661="ALTA(3)",3,3))))+(IF(R661="BAJA(1)",1,IF(R661="MEDIA(2)",2,IF(R661="ALTA(3)",3,3))))</f>
        <v/>
      </c>
      <c r="T661" s="10">
        <f>+IF(S661&lt;6,"BAJA",IF(S661&lt;8,"MEDIA","ALTA"))</f>
        <v/>
      </c>
      <c r="U661" s="10" t="inlineStr">
        <is>
          <t>-</t>
        </is>
      </c>
      <c r="V661" s="24" t="n">
        <v>45687</v>
      </c>
      <c r="W661" s="19" t="inlineStr">
        <is>
          <t>N/A</t>
        </is>
      </c>
      <c r="X661" s="10">
        <f>+IFERROR(IF(VLOOKUP(Tabla2[[#This Row],[ID]],'EVALUACION DE RIESGO'!A:A,1,FALSE)=Tabla2[[#This Row],[ID]],"SI","NO"),"NO")</f>
        <v/>
      </c>
    </row>
    <row r="662">
      <c r="A662" s="91" t="inlineStr">
        <is>
          <t>103-GTH</t>
        </is>
      </c>
      <c r="B662" s="10" t="inlineStr">
        <is>
          <t>APOYO</t>
        </is>
      </c>
      <c r="C662" s="10" t="inlineStr">
        <is>
          <t>Gestión del Talento Humano</t>
        </is>
      </c>
      <c r="D662" s="10" t="inlineStr">
        <is>
          <t>GTH</t>
        </is>
      </c>
      <c r="E662" s="10" t="inlineStr">
        <is>
          <t>Permanencia y Desarrollo del Personal</t>
        </is>
      </c>
      <c r="F662" s="10" t="inlineStr">
        <is>
          <t>-</t>
        </is>
      </c>
      <c r="G662" s="10" t="inlineStr">
        <is>
          <t>Estudio de Cultura Laboral</t>
        </is>
      </c>
      <c r="H662" s="10" t="inlineStr">
        <is>
          <t>Plan estratégico y operativo de modelamiento de cultura laboral</t>
        </is>
      </c>
      <c r="I662" s="10" t="inlineStr">
        <is>
          <t>Informe dase cohesión con un diagnostico inicial, análisis, calculo de tendencias, ejes de trabajo, o modelamiento, resultados, acciones principales, manifiesto y recomendaciones</t>
        </is>
      </c>
      <c r="J662" s="10" t="inlineStr">
        <is>
          <t>Gerente de Talento Humano</t>
        </is>
      </c>
      <c r="K662" s="10" t="inlineStr">
        <is>
          <t>Analista de Desarrollo</t>
        </is>
      </c>
      <c r="L662" s="10" t="inlineStr">
        <is>
          <t>UBICACIÓN DIGITAL-EQUIPO DEL CUSTODIO</t>
        </is>
      </c>
      <c r="M662" s="10" t="inlineStr">
        <is>
          <t>DISCOS DUROS, SERVIDORES, DISCOS O MEDIOS PORTÁTILES, CINTAS O MEDIOS DE VIDEO Y AUDIO, ETC.</t>
        </is>
      </c>
      <c r="N662" s="10" t="inlineStr">
        <is>
          <t>PRIMARIOS</t>
        </is>
      </c>
      <c r="O662" s="10" t="inlineStr">
        <is>
          <t>DOCUMENTOS TÉCNICOS</t>
        </is>
      </c>
      <c r="P662" s="10" t="inlineStr">
        <is>
          <t>PUBLICA(1)</t>
        </is>
      </c>
      <c r="Q662" s="10" t="inlineStr">
        <is>
          <t>BAJA(1)</t>
        </is>
      </c>
      <c r="R662" s="10" t="inlineStr">
        <is>
          <t>BAJA(1)</t>
        </is>
      </c>
      <c r="S662" s="10">
        <f>+(IF(P662="PUBLICA(1)",1,IF(P662="USO INTERNO(2)",2,IF(P662="RESTRINGIDO(3)",3,3))))+(IF(Q662="BAJA(1)",1,IF(Q662="MEDIA(2)",2,IF(Q662="ALTA(3)",3,3))))+(IF(R662="BAJA(1)",1,IF(R662="MEDIA(2)",2,IF(R662="ALTA(3)",3,3))))</f>
        <v/>
      </c>
      <c r="T662" s="10">
        <f>+IF(S662&lt;6,"BAJA",IF(S662&lt;8,"MEDIA","ALTA"))</f>
        <v/>
      </c>
      <c r="U662" s="10" t="inlineStr">
        <is>
          <t>-</t>
        </is>
      </c>
      <c r="V662" s="24" t="n">
        <v>45687</v>
      </c>
      <c r="W662" s="19" t="inlineStr">
        <is>
          <t>N/A</t>
        </is>
      </c>
      <c r="X662" s="10">
        <f>+IFERROR(IF(VLOOKUP(Tabla2[[#This Row],[ID]],'EVALUACION DE RIESGO'!A:A,1,FALSE)=Tabla2[[#This Row],[ID]],"SI","NO"),"NO")</f>
        <v/>
      </c>
    </row>
    <row r="663">
      <c r="A663" s="91" t="inlineStr">
        <is>
          <t>104-GTH</t>
        </is>
      </c>
      <c r="B663" s="10" t="inlineStr">
        <is>
          <t>APOYO</t>
        </is>
      </c>
      <c r="C663" s="10" t="inlineStr">
        <is>
          <t>Gestión del Talento Humano</t>
        </is>
      </c>
      <c r="D663" s="10" t="inlineStr">
        <is>
          <t>GTH</t>
        </is>
      </c>
      <c r="E663" s="10" t="inlineStr">
        <is>
          <t xml:space="preserve">Vinculación y Desvinculación </t>
        </is>
      </c>
      <c r="F663" s="10" t="inlineStr">
        <is>
          <t>-</t>
        </is>
      </c>
      <c r="G663" s="10" t="inlineStr">
        <is>
          <t>Selección de personal</t>
        </is>
      </c>
      <c r="H663" s="10" t="inlineStr">
        <is>
          <t>Hoja de vida de los aspirantes</t>
        </is>
      </c>
      <c r="I663" s="10" t="inlineStr">
        <is>
          <t>Documento receptado por el aspirante que contiene información personal, contactos, experiencia, certificaciones.</t>
        </is>
      </c>
      <c r="J663" s="10" t="inlineStr">
        <is>
          <t>Gerente de Talento Humano</t>
        </is>
      </c>
      <c r="K663" s="10" t="inlineStr">
        <is>
          <t>Analista de Selección</t>
        </is>
      </c>
      <c r="L663" s="10" t="inlineStr">
        <is>
          <t>DOCUMENTOS FISICOS-ARCHIVOS DE LA OFICINA</t>
        </is>
      </c>
      <c r="M663" s="10" t="inlineStr">
        <is>
          <t>DOCUMENTO DE ARCHIVO-FÍSICO</t>
        </is>
      </c>
      <c r="N663" s="10" t="inlineStr">
        <is>
          <t>PRIMARIOS</t>
        </is>
      </c>
      <c r="O663" s="10" t="inlineStr">
        <is>
          <t>DOCUMENTOS TÉCNICOS</t>
        </is>
      </c>
      <c r="P663" s="10" t="inlineStr">
        <is>
          <t>USO INTERNO(2)</t>
        </is>
      </c>
      <c r="Q663" s="10" t="inlineStr">
        <is>
          <t>BAJA(1)</t>
        </is>
      </c>
      <c r="R663" s="10" t="inlineStr">
        <is>
          <t>MEDIA(2)</t>
        </is>
      </c>
      <c r="S663" s="10">
        <f>+(IF(P663="PUBLICA(1)",1,IF(P663="USO INTERNO(2)",2,IF(P663="RESTRINGIDO(3)",3,3))))+(IF(Q663="BAJA(1)",1,IF(Q663="MEDIA(2)",2,IF(Q663="ALTA(3)",3,3))))+(IF(R663="BAJA(1)",1,IF(R663="MEDIA(2)",2,IF(R663="ALTA(3)",3,3))))</f>
        <v/>
      </c>
      <c r="T663" s="10">
        <f>+IF(S663&lt;6,"BAJA",IF(S663&lt;8,"MEDIA","ALTA"))</f>
        <v/>
      </c>
      <c r="U663" s="10" t="inlineStr">
        <is>
          <t>-</t>
        </is>
      </c>
      <c r="V663" s="24" t="n">
        <v>45687</v>
      </c>
      <c r="W663" s="19" t="inlineStr">
        <is>
          <t>N/A</t>
        </is>
      </c>
      <c r="X663" s="10">
        <f>+IFERROR(IF(VLOOKUP(Tabla2[[#This Row],[ID]],'EVALUACION DE RIESGO'!A:A,1,FALSE)=Tabla2[[#This Row],[ID]],"SI","NO"),"NO")</f>
        <v/>
      </c>
    </row>
    <row r="664">
      <c r="A664" s="91" t="inlineStr">
        <is>
          <t>105-GTH</t>
        </is>
      </c>
      <c r="B664" s="10" t="inlineStr">
        <is>
          <t>APOYO</t>
        </is>
      </c>
      <c r="C664" s="10" t="inlineStr">
        <is>
          <t>Gestión del Talento Humano</t>
        </is>
      </c>
      <c r="D664" s="10" t="inlineStr">
        <is>
          <t>GTH</t>
        </is>
      </c>
      <c r="E664" s="10" t="inlineStr">
        <is>
          <t xml:space="preserve">Vinculación y Desvinculación </t>
        </is>
      </c>
      <c r="F664" s="10" t="inlineStr">
        <is>
          <t>-</t>
        </is>
      </c>
      <c r="G664" s="10" t="inlineStr">
        <is>
          <t>Selección de personal</t>
        </is>
      </c>
      <c r="H664" s="10" t="inlineStr">
        <is>
          <t>Prueba técnica</t>
        </is>
      </c>
      <c r="I664" s="10" t="inlineStr">
        <is>
          <t>Contiene los conocimientos generales del cargo elaborado por el Jefe Inmediato</t>
        </is>
      </c>
      <c r="J664" s="10" t="inlineStr">
        <is>
          <t>Gerente de Talento Humano</t>
        </is>
      </c>
      <c r="K664" s="10" t="inlineStr">
        <is>
          <t>Analista de Selección</t>
        </is>
      </c>
      <c r="L664" s="10" t="inlineStr">
        <is>
          <t>DOCUMENTOS FISICOS-ARCHIVOS DE LA OFICINA</t>
        </is>
      </c>
      <c r="M664" s="10" t="inlineStr">
        <is>
          <t>DOCUMENTO DE ARCHIVO-FÍSICO</t>
        </is>
      </c>
      <c r="N664" s="10" t="inlineStr">
        <is>
          <t>PRIMARIOS</t>
        </is>
      </c>
      <c r="O664" s="10" t="inlineStr">
        <is>
          <t>DOCUMENTOS TÉCNICOS</t>
        </is>
      </c>
      <c r="P664" s="10" t="inlineStr">
        <is>
          <t>USO INTERNO(2)</t>
        </is>
      </c>
      <c r="Q664" s="10" t="inlineStr">
        <is>
          <t>BAJA(1)</t>
        </is>
      </c>
      <c r="R664" s="10" t="inlineStr">
        <is>
          <t>MEDIA(2)</t>
        </is>
      </c>
      <c r="S664" s="10">
        <f>+(IF(P664="PUBLICA(1)",1,IF(P664="USO INTERNO(2)",2,IF(P664="RESTRINGIDO(3)",3,3))))+(IF(Q664="BAJA(1)",1,IF(Q664="MEDIA(2)",2,IF(Q664="ALTA(3)",3,3))))+(IF(R664="BAJA(1)",1,IF(R664="MEDIA(2)",2,IF(R664="ALTA(3)",3,3))))</f>
        <v/>
      </c>
      <c r="T664" s="10">
        <f>+IF(S664&lt;6,"BAJA",IF(S664&lt;8,"MEDIA","ALTA"))</f>
        <v/>
      </c>
      <c r="U664" s="10" t="inlineStr">
        <is>
          <t>-</t>
        </is>
      </c>
      <c r="V664" s="24" t="n">
        <v>45687</v>
      </c>
      <c r="W664" s="19" t="inlineStr">
        <is>
          <t>N/A</t>
        </is>
      </c>
      <c r="X664" s="10">
        <f>+IFERROR(IF(VLOOKUP(Tabla2[[#This Row],[ID]],'EVALUACION DE RIESGO'!A:A,1,FALSE)=Tabla2[[#This Row],[ID]],"SI","NO"),"NO")</f>
        <v/>
      </c>
    </row>
    <row r="665">
      <c r="A665" s="91" t="inlineStr">
        <is>
          <t>106-GTH</t>
        </is>
      </c>
      <c r="B665" s="10" t="inlineStr">
        <is>
          <t>APOYO</t>
        </is>
      </c>
      <c r="C665" s="10" t="inlineStr">
        <is>
          <t>Gestión del Talento Humano</t>
        </is>
      </c>
      <c r="D665" s="10" t="inlineStr">
        <is>
          <t>GTH</t>
        </is>
      </c>
      <c r="E665" s="10" t="inlineStr">
        <is>
          <t xml:space="preserve">Vinculación y Desvinculación </t>
        </is>
      </c>
      <c r="F665" s="10" t="inlineStr">
        <is>
          <t>-</t>
        </is>
      </c>
      <c r="G665" s="10" t="inlineStr">
        <is>
          <t>Selección de personal</t>
        </is>
      </c>
      <c r="H665" s="10" t="inlineStr">
        <is>
          <t>Formulario de evaluación de entrevistas / Assessment Center</t>
        </is>
      </c>
      <c r="I665" s="10" t="inlineStr">
        <is>
          <t>Formulario que contiene las competencias del cargo a desempeñar</t>
        </is>
      </c>
      <c r="J665" s="10" t="inlineStr">
        <is>
          <t>Gerente de Talento Humano</t>
        </is>
      </c>
      <c r="K665" s="10" t="inlineStr">
        <is>
          <t>Analista de Selección</t>
        </is>
      </c>
      <c r="L665" s="10" t="inlineStr">
        <is>
          <t>DOCUMENTOS FISICOS-ARCHIVOS DE LA OFICINA</t>
        </is>
      </c>
      <c r="M665" s="10" t="inlineStr">
        <is>
          <t>DOCUMENTO DE ARCHIVO-FÍSICO</t>
        </is>
      </c>
      <c r="N665" s="10" t="inlineStr">
        <is>
          <t>PRIMARIOS</t>
        </is>
      </c>
      <c r="O665" s="10" t="inlineStr">
        <is>
          <t>COMUNICACIÓN INTERNA</t>
        </is>
      </c>
      <c r="P665" s="10" t="inlineStr">
        <is>
          <t>USO INTERNO(2)</t>
        </is>
      </c>
      <c r="Q665" s="10" t="inlineStr">
        <is>
          <t>BAJA(1)</t>
        </is>
      </c>
      <c r="R665" s="10" t="inlineStr">
        <is>
          <t>MEDIA(2)</t>
        </is>
      </c>
      <c r="S665" s="10">
        <f>+(IF(P665="PUBLICA(1)",1,IF(P665="USO INTERNO(2)",2,IF(P665="RESTRINGIDO(3)",3,3))))+(IF(Q665="BAJA(1)",1,IF(Q665="MEDIA(2)",2,IF(Q665="ALTA(3)",3,3))))+(IF(R665="BAJA(1)",1,IF(R665="MEDIA(2)",2,IF(R665="ALTA(3)",3,3))))</f>
        <v/>
      </c>
      <c r="T665" s="10">
        <f>+IF(S665&lt;6,"BAJA",IF(S665&lt;8,"MEDIA","ALTA"))</f>
        <v/>
      </c>
      <c r="U665" s="10" t="inlineStr">
        <is>
          <t>-</t>
        </is>
      </c>
      <c r="V665" s="24" t="n">
        <v>45687</v>
      </c>
      <c r="W665" s="19" t="inlineStr">
        <is>
          <t>N/A</t>
        </is>
      </c>
      <c r="X665" s="10">
        <f>+IFERROR(IF(VLOOKUP(Tabla2[[#This Row],[ID]],'EVALUACION DE RIESGO'!A:A,1,FALSE)=Tabla2[[#This Row],[ID]],"SI","NO"),"NO")</f>
        <v/>
      </c>
    </row>
    <row r="666">
      <c r="A666" s="91" t="inlineStr">
        <is>
          <t>107-GTH</t>
        </is>
      </c>
      <c r="B666" s="10" t="inlineStr">
        <is>
          <t>APOYO</t>
        </is>
      </c>
      <c r="C666" s="10" t="inlineStr">
        <is>
          <t>Gestión del Talento Humano</t>
        </is>
      </c>
      <c r="D666" s="10" t="inlineStr">
        <is>
          <t>GTH</t>
        </is>
      </c>
      <c r="E666" s="10" t="inlineStr">
        <is>
          <t xml:space="preserve">Vinculación y Desvinculación </t>
        </is>
      </c>
      <c r="F666" s="10" t="inlineStr">
        <is>
          <t>-</t>
        </is>
      </c>
      <c r="G666" s="10" t="inlineStr">
        <is>
          <t>Selección de personal</t>
        </is>
      </c>
      <c r="H666" s="10" t="inlineStr">
        <is>
          <t>Autorización de central de riesgos</t>
        </is>
      </c>
      <c r="I666" s="10" t="inlineStr">
        <is>
          <t>Forma de autorización del aspirante para realizar la revisión en la central de riesgos.</t>
        </is>
      </c>
      <c r="J666" s="10" t="inlineStr">
        <is>
          <t>Gerente de Talento Humano</t>
        </is>
      </c>
      <c r="K666" s="10" t="inlineStr">
        <is>
          <t>Analista de Selección</t>
        </is>
      </c>
      <c r="L666" s="10" t="inlineStr">
        <is>
          <t>DOCUMENTOS FISICOS-ARCHIVOS DE LA OFICINA</t>
        </is>
      </c>
      <c r="M666" s="10" t="inlineStr">
        <is>
          <t>DOCUMENTO DE ARCHIVO-FÍSICO</t>
        </is>
      </c>
      <c r="N666" s="10" t="inlineStr">
        <is>
          <t>PRIMARIOS</t>
        </is>
      </c>
      <c r="O666" s="10" t="inlineStr">
        <is>
          <t>DOCUMENTOS TÉCNICOS</t>
        </is>
      </c>
      <c r="P666" s="10" t="inlineStr">
        <is>
          <t>USO INTERNO(2)</t>
        </is>
      </c>
      <c r="Q666" s="10" t="inlineStr">
        <is>
          <t>BAJA(1)</t>
        </is>
      </c>
      <c r="R666" s="10" t="inlineStr">
        <is>
          <t>MEDIA(2)</t>
        </is>
      </c>
      <c r="S666" s="10">
        <f>+(IF(P666="PUBLICA(1)",1,IF(P666="USO INTERNO(2)",2,IF(P666="RESTRINGIDO(3)",3,3))))+(IF(Q666="BAJA(1)",1,IF(Q666="MEDIA(2)",2,IF(Q666="ALTA(3)",3,3))))+(IF(R666="BAJA(1)",1,IF(R666="MEDIA(2)",2,IF(R666="ALTA(3)",3,3))))</f>
        <v/>
      </c>
      <c r="T666" s="10">
        <f>+IF(S666&lt;6,"BAJA",IF(S666&lt;8,"MEDIA","ALTA"))</f>
        <v/>
      </c>
      <c r="U666" s="10" t="inlineStr">
        <is>
          <t>-</t>
        </is>
      </c>
      <c r="V666" s="24" t="n">
        <v>45687</v>
      </c>
      <c r="W666" s="19" t="inlineStr">
        <is>
          <t>N/A</t>
        </is>
      </c>
      <c r="X666" s="10">
        <f>+IFERROR(IF(VLOOKUP(Tabla2[[#This Row],[ID]],'EVALUACION DE RIESGO'!A:A,1,FALSE)=Tabla2[[#This Row],[ID]],"SI","NO"),"NO")</f>
        <v/>
      </c>
    </row>
    <row r="667">
      <c r="A667" s="91" t="inlineStr">
        <is>
          <t>108-GTH</t>
        </is>
      </c>
      <c r="B667" s="10" t="inlineStr">
        <is>
          <t>APOYO</t>
        </is>
      </c>
      <c r="C667" s="10" t="inlineStr">
        <is>
          <t>Gestión del Talento Humano</t>
        </is>
      </c>
      <c r="D667" s="10" t="inlineStr">
        <is>
          <t>GTH</t>
        </is>
      </c>
      <c r="E667" s="10" t="inlineStr">
        <is>
          <t xml:space="preserve">Vinculación y Desvinculación </t>
        </is>
      </c>
      <c r="F667" s="10" t="inlineStr">
        <is>
          <t>-</t>
        </is>
      </c>
      <c r="G667" s="10" t="inlineStr">
        <is>
          <t>Selección de personal</t>
        </is>
      </c>
      <c r="H667" s="10" t="inlineStr">
        <is>
          <t>Formulario de inhabilitados</t>
        </is>
      </c>
      <c r="I667" s="10" t="inlineStr">
        <is>
          <t xml:space="preserve">Autorización por parte del aspirante para revisar las listas de control   de los sistemas internos. </t>
        </is>
      </c>
      <c r="J667" s="10" t="inlineStr">
        <is>
          <t>Gerente de Talento Humano</t>
        </is>
      </c>
      <c r="K667" s="10" t="inlineStr">
        <is>
          <t>Analista de Selección</t>
        </is>
      </c>
      <c r="L667" s="10" t="inlineStr">
        <is>
          <t>DOCUMENTOS FISICOS-ARCHIVOS DE LA OFICINA</t>
        </is>
      </c>
      <c r="M667" s="10" t="inlineStr">
        <is>
          <t>DOCUMENTO DE ARCHIVO-FÍSICO</t>
        </is>
      </c>
      <c r="N667" s="10" t="inlineStr">
        <is>
          <t>PRIMARIOS</t>
        </is>
      </c>
      <c r="O667" s="10" t="inlineStr">
        <is>
          <t>DOCUMENTOS TÉCNICOS</t>
        </is>
      </c>
      <c r="P667" s="10" t="inlineStr">
        <is>
          <t>USO INTERNO(2)</t>
        </is>
      </c>
      <c r="Q667" s="10" t="inlineStr">
        <is>
          <t>BAJA(1)</t>
        </is>
      </c>
      <c r="R667" s="10" t="inlineStr">
        <is>
          <t>MEDIA(2)</t>
        </is>
      </c>
      <c r="S667" s="10">
        <f>+(IF(P667="PUBLICA(1)",1,IF(P667="USO INTERNO(2)",2,IF(P667="RESTRINGIDO(3)",3,3))))+(IF(Q667="BAJA(1)",1,IF(Q667="MEDIA(2)",2,IF(Q667="ALTA(3)",3,3))))+(IF(R667="BAJA(1)",1,IF(R667="MEDIA(2)",2,IF(R667="ALTA(3)",3,3))))</f>
        <v/>
      </c>
      <c r="T667" s="10">
        <f>+IF(S667&lt;6,"BAJA",IF(S667&lt;8,"MEDIA","ALTA"))</f>
        <v/>
      </c>
      <c r="U667" s="10" t="inlineStr">
        <is>
          <t>-</t>
        </is>
      </c>
      <c r="V667" s="24" t="n">
        <v>45687</v>
      </c>
      <c r="W667" s="19" t="inlineStr">
        <is>
          <t>N/A</t>
        </is>
      </c>
      <c r="X667" s="10">
        <f>+IFERROR(IF(VLOOKUP(Tabla2[[#This Row],[ID]],'EVALUACION DE RIESGO'!A:A,1,FALSE)=Tabla2[[#This Row],[ID]],"SI","NO"),"NO")</f>
        <v/>
      </c>
    </row>
    <row r="668">
      <c r="A668" s="91" t="inlineStr">
        <is>
          <t>109-GTH</t>
        </is>
      </c>
      <c r="B668" s="10" t="inlineStr">
        <is>
          <t>APOYO</t>
        </is>
      </c>
      <c r="C668" s="10" t="inlineStr">
        <is>
          <t>Gestión del Talento Humano</t>
        </is>
      </c>
      <c r="D668" s="10" t="inlineStr">
        <is>
          <t>GTH</t>
        </is>
      </c>
      <c r="E668" s="10" t="inlineStr">
        <is>
          <t xml:space="preserve">Vinculación y Desvinculación </t>
        </is>
      </c>
      <c r="F668" s="10" t="inlineStr">
        <is>
          <t>-</t>
        </is>
      </c>
      <c r="G668" s="10" t="inlineStr">
        <is>
          <t>Selección de personal</t>
        </is>
      </c>
      <c r="H668" s="10" t="inlineStr">
        <is>
          <t>Pruebas psicométricas</t>
        </is>
      </c>
      <c r="I668" s="10" t="inlineStr">
        <is>
          <t>Resultados de competencias del aspirante de acuerdo al perfil del cargo</t>
        </is>
      </c>
      <c r="J668" s="10" t="inlineStr">
        <is>
          <t>Gerente de Talento Humano</t>
        </is>
      </c>
      <c r="K668" s="10" t="inlineStr">
        <is>
          <t>Analista de Selección</t>
        </is>
      </c>
      <c r="L668" s="10" t="inlineStr">
        <is>
          <t>UBICACIÓN DIGITAL-EQUIPO DEL CUSTODIO</t>
        </is>
      </c>
      <c r="M668" s="10" t="inlineStr">
        <is>
          <t>DISCOS DUROS, SERVIDORES, DISCOS O MEDIOS PORTÁTILES, CINTAS O MEDIOS DE VIDEO Y AUDIO, ETC.</t>
        </is>
      </c>
      <c r="N668" s="10" t="inlineStr">
        <is>
          <t>PRIMARIOS</t>
        </is>
      </c>
      <c r="O668" s="10" t="inlineStr">
        <is>
          <t>DOCUMENTOS TÉCNICOS</t>
        </is>
      </c>
      <c r="P668" s="10" t="inlineStr">
        <is>
          <t>USO INTERNO(2)</t>
        </is>
      </c>
      <c r="Q668" s="10" t="inlineStr">
        <is>
          <t>BAJA(1)</t>
        </is>
      </c>
      <c r="R668" s="10" t="inlineStr">
        <is>
          <t>MEDIA(2)</t>
        </is>
      </c>
      <c r="S668" s="10">
        <f>+(IF(P668="PUBLICA(1)",1,IF(P668="USO INTERNO(2)",2,IF(P668="RESTRINGIDO(3)",3,3))))+(IF(Q668="BAJA(1)",1,IF(Q668="MEDIA(2)",2,IF(Q668="ALTA(3)",3,3))))+(IF(R668="BAJA(1)",1,IF(R668="MEDIA(2)",2,IF(R668="ALTA(3)",3,3))))</f>
        <v/>
      </c>
      <c r="T668" s="10">
        <f>+IF(S668&lt;6,"BAJA",IF(S668&lt;8,"MEDIA","ALTA"))</f>
        <v/>
      </c>
      <c r="U668" s="10" t="inlineStr">
        <is>
          <t>-</t>
        </is>
      </c>
      <c r="V668" s="24" t="n">
        <v>45687</v>
      </c>
      <c r="W668" s="19" t="inlineStr">
        <is>
          <t>N/A</t>
        </is>
      </c>
      <c r="X668" s="10">
        <f>+IFERROR(IF(VLOOKUP(Tabla2[[#This Row],[ID]],'EVALUACION DE RIESGO'!A:A,1,FALSE)=Tabla2[[#This Row],[ID]],"SI","NO"),"NO")</f>
        <v/>
      </c>
    </row>
    <row r="669">
      <c r="A669" s="91" t="inlineStr">
        <is>
          <t>110-GTH</t>
        </is>
      </c>
      <c r="B669" s="10" t="inlineStr">
        <is>
          <t>APOYO</t>
        </is>
      </c>
      <c r="C669" s="10" t="inlineStr">
        <is>
          <t>Gestión del Talento Humano</t>
        </is>
      </c>
      <c r="D669" s="10" t="inlineStr">
        <is>
          <t>GTH</t>
        </is>
      </c>
      <c r="E669" s="10" t="inlineStr">
        <is>
          <t xml:space="preserve">Vinculación y Desvinculación </t>
        </is>
      </c>
      <c r="F669" s="10" t="inlineStr">
        <is>
          <t>-</t>
        </is>
      </c>
      <c r="G669" s="10" t="inlineStr">
        <is>
          <t>Selección de personal</t>
        </is>
      </c>
      <c r="H669" s="10" t="inlineStr">
        <is>
          <t>Matriz de evaluación de resultados</t>
        </is>
      </c>
      <c r="I669" s="10" t="inlineStr">
        <is>
          <t>Matriz presentada en el informe, contiene entrevista de incidentes críticos, evaluación de competencias humanas, evaluación de competencias técnicas, por aspirante.</t>
        </is>
      </c>
      <c r="J669" s="10" t="inlineStr">
        <is>
          <t>Gerente de Talento Humano</t>
        </is>
      </c>
      <c r="K669" s="10" t="inlineStr">
        <is>
          <t>Analista de Selección</t>
        </is>
      </c>
      <c r="L669" s="10" t="inlineStr">
        <is>
          <t>DOCUMENTOS FISICOS-ARCHIVOS DE LA OFICINA</t>
        </is>
      </c>
      <c r="M669" s="10" t="inlineStr">
        <is>
          <t>DOCUMENTO DE ARCHIVO-FÍSICO</t>
        </is>
      </c>
      <c r="N669" s="10" t="inlineStr">
        <is>
          <t>PRIMARIOS</t>
        </is>
      </c>
      <c r="O669" s="10" t="inlineStr">
        <is>
          <t>DOCUMENTOS TÉCNICOS</t>
        </is>
      </c>
      <c r="P669" s="10" t="inlineStr">
        <is>
          <t>USO INTERNO(2)</t>
        </is>
      </c>
      <c r="Q669" s="10" t="inlineStr">
        <is>
          <t>BAJA(1)</t>
        </is>
      </c>
      <c r="R669" s="10" t="inlineStr">
        <is>
          <t>MEDIA(2)</t>
        </is>
      </c>
      <c r="S669" s="10">
        <f>+(IF(P669="PUBLICA(1)",1,IF(P669="USO INTERNO(2)",2,IF(P669="RESTRINGIDO(3)",3,3))))+(IF(Q669="BAJA(1)",1,IF(Q669="MEDIA(2)",2,IF(Q669="ALTA(3)",3,3))))+(IF(R669="BAJA(1)",1,IF(R669="MEDIA(2)",2,IF(R669="ALTA(3)",3,3))))</f>
        <v/>
      </c>
      <c r="T669" s="10">
        <f>+IF(S669&lt;6,"BAJA",IF(S669&lt;8,"MEDIA","ALTA"))</f>
        <v/>
      </c>
      <c r="U669" s="10" t="inlineStr">
        <is>
          <t>-</t>
        </is>
      </c>
      <c r="V669" s="24" t="n">
        <v>45687</v>
      </c>
      <c r="W669" s="19" t="inlineStr">
        <is>
          <t>N/A</t>
        </is>
      </c>
      <c r="X669" s="10">
        <f>+IFERROR(IF(VLOOKUP(Tabla2[[#This Row],[ID]],'EVALUACION DE RIESGO'!A:A,1,FALSE)=Tabla2[[#This Row],[ID]],"SI","NO"),"NO")</f>
        <v/>
      </c>
    </row>
    <row r="670">
      <c r="A670" s="91" t="inlineStr">
        <is>
          <t>111-GTH</t>
        </is>
      </c>
      <c r="B670" s="10" t="inlineStr">
        <is>
          <t>APOYO</t>
        </is>
      </c>
      <c r="C670" s="10" t="inlineStr">
        <is>
          <t>Gestión del Talento Humano</t>
        </is>
      </c>
      <c r="D670" s="10" t="inlineStr">
        <is>
          <t>GTH</t>
        </is>
      </c>
      <c r="E670" s="10" t="inlineStr">
        <is>
          <t xml:space="preserve">Vinculación y Desvinculación </t>
        </is>
      </c>
      <c r="F670" s="10" t="inlineStr">
        <is>
          <t>-</t>
        </is>
      </c>
      <c r="G670" s="10" t="inlineStr">
        <is>
          <t>Selección de personal</t>
        </is>
      </c>
      <c r="H670" s="10" t="inlineStr">
        <is>
          <t>Informe del proceso de selección</t>
        </is>
      </c>
      <c r="I670" s="10" t="inlineStr">
        <is>
          <t>Documento de informe final del proceso de selección, contiene perfil del cargo, desarrollo del proceso, y resultados del proceso</t>
        </is>
      </c>
      <c r="J670" s="10" t="inlineStr">
        <is>
          <t>Gerente de Talento Humano</t>
        </is>
      </c>
      <c r="K670" s="10" t="inlineStr">
        <is>
          <t>Analista de Selección</t>
        </is>
      </c>
      <c r="L670" s="10" t="inlineStr">
        <is>
          <t>DOCUMENTOS FISICOS-ARCHIVOS DE LA OFICINA</t>
        </is>
      </c>
      <c r="M670" s="10" t="inlineStr">
        <is>
          <t>DOCUMENTO DE ARCHIVO-FÍSICO</t>
        </is>
      </c>
      <c r="N670" s="10" t="inlineStr">
        <is>
          <t>PRIMARIOS</t>
        </is>
      </c>
      <c r="O670" s="10" t="inlineStr">
        <is>
          <t>COMUNICACIÓN INTERNA</t>
        </is>
      </c>
      <c r="P670" s="10" t="inlineStr">
        <is>
          <t>RESTRINGIDO(3)</t>
        </is>
      </c>
      <c r="Q670" s="10" t="inlineStr">
        <is>
          <t>BAJA(1)</t>
        </is>
      </c>
      <c r="R670" s="10" t="inlineStr">
        <is>
          <t>MEDIA(2)</t>
        </is>
      </c>
      <c r="S670" s="10">
        <f>+(IF(P670="PUBLICA(1)",1,IF(P670="USO INTERNO(2)",2,IF(P670="RESTRINGIDO(3)",3,3))))+(IF(Q670="BAJA(1)",1,IF(Q670="MEDIA(2)",2,IF(Q670="ALTA(3)",3,3))))+(IF(R670="BAJA(1)",1,IF(R670="MEDIA(2)",2,IF(R670="ALTA(3)",3,3))))</f>
        <v/>
      </c>
      <c r="T670" s="10">
        <f>+IF(S670&lt;6,"BAJA",IF(S670&lt;8,"MEDIA","ALTA"))</f>
        <v/>
      </c>
      <c r="U670" s="10" t="inlineStr">
        <is>
          <t>-</t>
        </is>
      </c>
      <c r="V670" s="24" t="n">
        <v>45687</v>
      </c>
      <c r="W670" s="19" t="inlineStr">
        <is>
          <t>N/A</t>
        </is>
      </c>
      <c r="X670" s="10">
        <f>+IFERROR(IF(VLOOKUP(Tabla2[[#This Row],[ID]],'EVALUACION DE RIESGO'!A:A,1,FALSE)=Tabla2[[#This Row],[ID]],"SI","NO"),"NO")</f>
        <v/>
      </c>
    </row>
    <row r="671">
      <c r="A671" s="91" t="inlineStr">
        <is>
          <t>112-GTH</t>
        </is>
      </c>
      <c r="B671" s="10" t="inlineStr">
        <is>
          <t>APOYO</t>
        </is>
      </c>
      <c r="C671" s="10" t="inlineStr">
        <is>
          <t>Gestión del Talento Humano</t>
        </is>
      </c>
      <c r="D671" s="10" t="inlineStr">
        <is>
          <t>GTH</t>
        </is>
      </c>
      <c r="E671" s="10" t="inlineStr">
        <is>
          <t xml:space="preserve">Vinculación y Desvinculación </t>
        </is>
      </c>
      <c r="F671" s="10" t="inlineStr">
        <is>
          <t>-</t>
        </is>
      </c>
      <c r="G671" s="10" t="inlineStr">
        <is>
          <t>Selección de personal</t>
        </is>
      </c>
      <c r="H671" s="10" t="inlineStr">
        <is>
          <t>Documentos habilitantes del personal seleccionado</t>
        </is>
      </c>
      <c r="I671" s="10" t="inlineStr">
        <is>
          <t>Consolidado de listas de control, antecedentes penales, reporte crediticio, función judicial, referencias laborales</t>
        </is>
      </c>
      <c r="J671" s="10" t="inlineStr">
        <is>
          <t>Gerente de Talento Humano</t>
        </is>
      </c>
      <c r="K671" s="10" t="inlineStr">
        <is>
          <t>Analista de Selección</t>
        </is>
      </c>
      <c r="L671" s="10" t="inlineStr">
        <is>
          <t>DOCUMENTOS FISICOS-ARCHIVOS DE LA OFICINA</t>
        </is>
      </c>
      <c r="M671" s="10" t="inlineStr">
        <is>
          <t>DOCUMENTO DE ARCHIVO-FÍSICO</t>
        </is>
      </c>
      <c r="N671" s="10" t="inlineStr">
        <is>
          <t>PRIMARIOS</t>
        </is>
      </c>
      <c r="O671" s="10" t="inlineStr">
        <is>
          <t>DOCUMENTOS TÉCNICOS</t>
        </is>
      </c>
      <c r="P671" s="10" t="inlineStr">
        <is>
          <t>USO INTERNO(2)</t>
        </is>
      </c>
      <c r="Q671" s="10" t="inlineStr">
        <is>
          <t>BAJA(1)</t>
        </is>
      </c>
      <c r="R671" s="10" t="inlineStr">
        <is>
          <t>MEDIA(2)</t>
        </is>
      </c>
      <c r="S671" s="10">
        <f>+(IF(P671="PUBLICA(1)",1,IF(P671="USO INTERNO(2)",2,IF(P671="RESTRINGIDO(3)",3,3))))+(IF(Q671="BAJA(1)",1,IF(Q671="MEDIA(2)",2,IF(Q671="ALTA(3)",3,3))))+(IF(R671="BAJA(1)",1,IF(R671="MEDIA(2)",2,IF(R671="ALTA(3)",3,3))))</f>
        <v/>
      </c>
      <c r="T671" s="10">
        <f>+IF(S671&lt;6,"BAJA",IF(S671&lt;8,"MEDIA","ALTA"))</f>
        <v/>
      </c>
      <c r="U671" s="10" t="inlineStr">
        <is>
          <t>-</t>
        </is>
      </c>
      <c r="V671" s="24" t="n">
        <v>45687</v>
      </c>
      <c r="W671" s="19" t="inlineStr">
        <is>
          <t>N/A</t>
        </is>
      </c>
      <c r="X671" s="10">
        <f>+IFERROR(IF(VLOOKUP(Tabla2[[#This Row],[ID]],'EVALUACION DE RIESGO'!A:A,1,FALSE)=Tabla2[[#This Row],[ID]],"SI","NO"),"NO")</f>
        <v/>
      </c>
    </row>
    <row r="672">
      <c r="A672" s="91" t="inlineStr">
        <is>
          <t>113-GTH</t>
        </is>
      </c>
      <c r="B672" s="10" t="inlineStr">
        <is>
          <t>APOYO</t>
        </is>
      </c>
      <c r="C672" s="10" t="inlineStr">
        <is>
          <t>Gestión del Talento Humano</t>
        </is>
      </c>
      <c r="D672" s="10" t="inlineStr">
        <is>
          <t>GTH</t>
        </is>
      </c>
      <c r="E672" s="10" t="inlineStr">
        <is>
          <t xml:space="preserve">Vinculación y Desvinculación </t>
        </is>
      </c>
      <c r="F672" s="10" t="inlineStr">
        <is>
          <t>-</t>
        </is>
      </c>
      <c r="G672" s="10" t="inlineStr">
        <is>
          <t xml:space="preserve">Selección por medio de empresa externa </t>
        </is>
      </c>
      <c r="H672" s="10" t="inlineStr">
        <is>
          <t>Hoja de vida de los aspirantes</t>
        </is>
      </c>
      <c r="I672" s="10" t="inlineStr">
        <is>
          <t>Documento receptado por el aspirante que contiene información personal, contactos, experiencia, certificaciones.</t>
        </is>
      </c>
      <c r="J672" s="10" t="inlineStr">
        <is>
          <t>Gerente de Talento Humano</t>
        </is>
      </c>
      <c r="K672" s="10" t="inlineStr">
        <is>
          <t>Analista de Selección</t>
        </is>
      </c>
      <c r="L672" s="10" t="inlineStr">
        <is>
          <t>DOCUMENTOS FISICOS-ARCHIVOS DE LA OFICINA</t>
        </is>
      </c>
      <c r="M672" s="10" t="inlineStr">
        <is>
          <t>DOCUMENTO DE ARCHIVO-FÍSICO</t>
        </is>
      </c>
      <c r="N672" s="10" t="inlineStr">
        <is>
          <t>PRIMARIOS</t>
        </is>
      </c>
      <c r="O672" s="10" t="inlineStr">
        <is>
          <t>DOCUMENTOS TÉCNICOS</t>
        </is>
      </c>
      <c r="P672" s="10" t="inlineStr">
        <is>
          <t>USO INTERNO(2)</t>
        </is>
      </c>
      <c r="Q672" s="10" t="inlineStr">
        <is>
          <t>BAJA(1)</t>
        </is>
      </c>
      <c r="R672" s="10" t="inlineStr">
        <is>
          <t>MEDIA(2)</t>
        </is>
      </c>
      <c r="S672" s="10">
        <f>+(IF(P672="PUBLICA(1)",1,IF(P672="USO INTERNO(2)",2,IF(P672="RESTRINGIDO(3)",3,3))))+(IF(Q672="BAJA(1)",1,IF(Q672="MEDIA(2)",2,IF(Q672="ALTA(3)",3,3))))+(IF(R672="BAJA(1)",1,IF(R672="MEDIA(2)",2,IF(R672="ALTA(3)",3,3))))</f>
        <v/>
      </c>
      <c r="T672" s="10">
        <f>+IF(S672&lt;6,"BAJA",IF(S672&lt;8,"MEDIA","ALTA"))</f>
        <v/>
      </c>
      <c r="U672" s="10" t="inlineStr">
        <is>
          <t>-</t>
        </is>
      </c>
      <c r="V672" s="24" t="n">
        <v>45687</v>
      </c>
      <c r="W672" s="19" t="inlineStr">
        <is>
          <t>N/A</t>
        </is>
      </c>
      <c r="X672" s="10">
        <f>+IFERROR(IF(VLOOKUP(Tabla2[[#This Row],[ID]],'EVALUACION DE RIESGO'!A:A,1,FALSE)=Tabla2[[#This Row],[ID]],"SI","NO"),"NO")</f>
        <v/>
      </c>
    </row>
    <row r="673">
      <c r="A673" s="91" t="inlineStr">
        <is>
          <t>114-GTH</t>
        </is>
      </c>
      <c r="B673" s="10" t="inlineStr">
        <is>
          <t>APOYO</t>
        </is>
      </c>
      <c r="C673" s="10" t="inlineStr">
        <is>
          <t>Gestión del Talento Humano</t>
        </is>
      </c>
      <c r="D673" s="10" t="inlineStr">
        <is>
          <t>GTH</t>
        </is>
      </c>
      <c r="E673" s="10" t="inlineStr">
        <is>
          <t xml:space="preserve">Vinculación y Desvinculación </t>
        </is>
      </c>
      <c r="F673" s="10" t="inlineStr">
        <is>
          <t>-</t>
        </is>
      </c>
      <c r="G673" s="10" t="inlineStr">
        <is>
          <t xml:space="preserve">Selección por medio de empresa externa </t>
        </is>
      </c>
      <c r="H673" s="10" t="inlineStr">
        <is>
          <t>Formulario de evaluación de entrevistas</t>
        </is>
      </c>
      <c r="I673" s="10" t="inlineStr">
        <is>
          <t>Formulario que contiene las competencias del cargo a desempeñar</t>
        </is>
      </c>
      <c r="J673" s="10" t="inlineStr">
        <is>
          <t>Gerente de Talento Humano</t>
        </is>
      </c>
      <c r="K673" s="10" t="inlineStr">
        <is>
          <t>Analista de Selección</t>
        </is>
      </c>
      <c r="L673" s="10" t="inlineStr">
        <is>
          <t>DOCUMENTOS FISICOS-ARCHIVOS DE LA OFICINA</t>
        </is>
      </c>
      <c r="M673" s="10" t="inlineStr">
        <is>
          <t>DOCUMENTO DE ARCHIVO-FÍSICO</t>
        </is>
      </c>
      <c r="N673" s="10" t="inlineStr">
        <is>
          <t>PRIMARIOS</t>
        </is>
      </c>
      <c r="O673" s="10" t="inlineStr">
        <is>
          <t>DOCUMENTOS TÉCNICOS</t>
        </is>
      </c>
      <c r="P673" s="10" t="inlineStr">
        <is>
          <t>USO INTERNO(2)</t>
        </is>
      </c>
      <c r="Q673" s="10" t="inlineStr">
        <is>
          <t>BAJA(1)</t>
        </is>
      </c>
      <c r="R673" s="10" t="inlineStr">
        <is>
          <t>MEDIA(2)</t>
        </is>
      </c>
      <c r="S673" s="10">
        <f>+(IF(P673="PUBLICA(1)",1,IF(P673="USO INTERNO(2)",2,IF(P673="RESTRINGIDO(3)",3,3))))+(IF(Q673="BAJA(1)",1,IF(Q673="MEDIA(2)",2,IF(Q673="ALTA(3)",3,3))))+(IF(R673="BAJA(1)",1,IF(R673="MEDIA(2)",2,IF(R673="ALTA(3)",3,3))))</f>
        <v/>
      </c>
      <c r="T673" s="10">
        <f>+IF(S673&lt;6,"BAJA",IF(S673&lt;8,"MEDIA","ALTA"))</f>
        <v/>
      </c>
      <c r="U673" s="10" t="inlineStr">
        <is>
          <t>-</t>
        </is>
      </c>
      <c r="V673" s="24" t="n">
        <v>45687</v>
      </c>
      <c r="W673" s="19" t="inlineStr">
        <is>
          <t>N/A</t>
        </is>
      </c>
      <c r="X673" s="10">
        <f>+IFERROR(IF(VLOOKUP(Tabla2[[#This Row],[ID]],'EVALUACION DE RIESGO'!A:A,1,FALSE)=Tabla2[[#This Row],[ID]],"SI","NO"),"NO")</f>
        <v/>
      </c>
    </row>
    <row r="674">
      <c r="A674" s="91" t="inlineStr">
        <is>
          <t>115-GTH</t>
        </is>
      </c>
      <c r="B674" s="10" t="inlineStr">
        <is>
          <t>APOYO</t>
        </is>
      </c>
      <c r="C674" s="10" t="inlineStr">
        <is>
          <t>Gestión del Talento Humano</t>
        </is>
      </c>
      <c r="D674" s="10" t="inlineStr">
        <is>
          <t>GTH</t>
        </is>
      </c>
      <c r="E674" s="10" t="inlineStr">
        <is>
          <t xml:space="preserve">Vinculación y Desvinculación </t>
        </is>
      </c>
      <c r="F674" s="10" t="inlineStr">
        <is>
          <t>-</t>
        </is>
      </c>
      <c r="G674" s="10" t="inlineStr">
        <is>
          <t xml:space="preserve">Selección por medio de empresa externa </t>
        </is>
      </c>
      <c r="H674" s="10" t="inlineStr">
        <is>
          <t>Autorización de central de riesgos</t>
        </is>
      </c>
      <c r="I674" s="10" t="inlineStr">
        <is>
          <t>Forma de autorización del aspirante para realizar la revisión en la central de riesgos.</t>
        </is>
      </c>
      <c r="J674" s="10" t="inlineStr">
        <is>
          <t>Gerente de Talento Humano</t>
        </is>
      </c>
      <c r="K674" s="10" t="inlineStr">
        <is>
          <t>Analista de Selección</t>
        </is>
      </c>
      <c r="L674" s="10" t="inlineStr">
        <is>
          <t>DOCUMENTOS FISICOS-ARCHIVOS DE LA OFICINA</t>
        </is>
      </c>
      <c r="M674" s="10" t="inlineStr">
        <is>
          <t>DOCUMENTO DE ARCHIVO-FÍSICO</t>
        </is>
      </c>
      <c r="N674" s="10" t="inlineStr">
        <is>
          <t>PRIMARIOS</t>
        </is>
      </c>
      <c r="O674" s="10" t="inlineStr">
        <is>
          <t>DOCUMENTOS TÉCNICOS</t>
        </is>
      </c>
      <c r="P674" s="10" t="inlineStr">
        <is>
          <t>USO INTERNO(2)</t>
        </is>
      </c>
      <c r="Q674" s="10" t="inlineStr">
        <is>
          <t>BAJA(1)</t>
        </is>
      </c>
      <c r="R674" s="10" t="inlineStr">
        <is>
          <t>MEDIA(2)</t>
        </is>
      </c>
      <c r="S674" s="10">
        <f>+(IF(P674="PUBLICA(1)",1,IF(P674="USO INTERNO(2)",2,IF(P674="RESTRINGIDO(3)",3,3))))+(IF(Q674="BAJA(1)",1,IF(Q674="MEDIA(2)",2,IF(Q674="ALTA(3)",3,3))))+(IF(R674="BAJA(1)",1,IF(R674="MEDIA(2)",2,IF(R674="ALTA(3)",3,3))))</f>
        <v/>
      </c>
      <c r="T674" s="10">
        <f>+IF(S674&lt;6,"BAJA",IF(S674&lt;8,"MEDIA","ALTA"))</f>
        <v/>
      </c>
      <c r="U674" s="10" t="inlineStr">
        <is>
          <t>-</t>
        </is>
      </c>
      <c r="V674" s="24" t="n">
        <v>45687</v>
      </c>
      <c r="W674" s="19" t="inlineStr">
        <is>
          <t>N/A</t>
        </is>
      </c>
      <c r="X674" s="10">
        <f>+IFERROR(IF(VLOOKUP(Tabla2[[#This Row],[ID]],'EVALUACION DE RIESGO'!A:A,1,FALSE)=Tabla2[[#This Row],[ID]],"SI","NO"),"NO")</f>
        <v/>
      </c>
    </row>
    <row r="675">
      <c r="A675" s="91" t="inlineStr">
        <is>
          <t>116-GTH</t>
        </is>
      </c>
      <c r="B675" s="10" t="inlineStr">
        <is>
          <t>APOYO</t>
        </is>
      </c>
      <c r="C675" s="10" t="inlineStr">
        <is>
          <t>Gestión del Talento Humano</t>
        </is>
      </c>
      <c r="D675" s="10" t="inlineStr">
        <is>
          <t>GTH</t>
        </is>
      </c>
      <c r="E675" s="10" t="inlineStr">
        <is>
          <t xml:space="preserve">Vinculación y Desvinculación </t>
        </is>
      </c>
      <c r="F675" s="10" t="inlineStr">
        <is>
          <t>-</t>
        </is>
      </c>
      <c r="G675" s="10" t="inlineStr">
        <is>
          <t xml:space="preserve">Selección por medio de empresa externa </t>
        </is>
      </c>
      <c r="H675" s="10" t="inlineStr">
        <is>
          <t>Formulario de inhabilitados</t>
        </is>
      </c>
      <c r="I675" s="10" t="inlineStr">
        <is>
          <t xml:space="preserve">Autorización por parte del aspirante para revisar las listas de control   de los sistemas internos. </t>
        </is>
      </c>
      <c r="J675" s="10" t="inlineStr">
        <is>
          <t>Gerente de Talento Humano</t>
        </is>
      </c>
      <c r="K675" s="10" t="inlineStr">
        <is>
          <t>Analista de Selección</t>
        </is>
      </c>
      <c r="L675" s="10" t="inlineStr">
        <is>
          <t>DOCUMENTOS FISICOS-ARCHIVOS DE LA OFICINA</t>
        </is>
      </c>
      <c r="M675" s="10" t="inlineStr">
        <is>
          <t>DOCUMENTO DE ARCHIVO-FÍSICO</t>
        </is>
      </c>
      <c r="N675" s="10" t="inlineStr">
        <is>
          <t>PRIMARIOS</t>
        </is>
      </c>
      <c r="O675" s="10" t="inlineStr">
        <is>
          <t>COMUNICACIÓN INTERNA</t>
        </is>
      </c>
      <c r="P675" s="10" t="inlineStr">
        <is>
          <t>USO INTERNO(2)</t>
        </is>
      </c>
      <c r="Q675" s="10" t="inlineStr">
        <is>
          <t>BAJA(1)</t>
        </is>
      </c>
      <c r="R675" s="10" t="inlineStr">
        <is>
          <t>MEDIA(2)</t>
        </is>
      </c>
      <c r="S675" s="10">
        <f>+(IF(P675="PUBLICA(1)",1,IF(P675="USO INTERNO(2)",2,IF(P675="RESTRINGIDO(3)",3,3))))+(IF(Q675="BAJA(1)",1,IF(Q675="MEDIA(2)",2,IF(Q675="ALTA(3)",3,3))))+(IF(R675="BAJA(1)",1,IF(R675="MEDIA(2)",2,IF(R675="ALTA(3)",3,3))))</f>
        <v/>
      </c>
      <c r="T675" s="10">
        <f>+IF(S675&lt;6,"BAJA",IF(S675&lt;8,"MEDIA","ALTA"))</f>
        <v/>
      </c>
      <c r="U675" s="10" t="inlineStr">
        <is>
          <t>-</t>
        </is>
      </c>
      <c r="V675" s="24" t="n">
        <v>45687</v>
      </c>
      <c r="W675" s="19" t="inlineStr">
        <is>
          <t>N/A</t>
        </is>
      </c>
      <c r="X675" s="10">
        <f>+IFERROR(IF(VLOOKUP(Tabla2[[#This Row],[ID]],'EVALUACION DE RIESGO'!A:A,1,FALSE)=Tabla2[[#This Row],[ID]],"SI","NO"),"NO")</f>
        <v/>
      </c>
    </row>
    <row r="676">
      <c r="A676" s="91" t="inlineStr">
        <is>
          <t>117-GTH</t>
        </is>
      </c>
      <c r="B676" s="10" t="inlineStr">
        <is>
          <t>APOYO</t>
        </is>
      </c>
      <c r="C676" s="10" t="inlineStr">
        <is>
          <t>Gestión del Talento Humano</t>
        </is>
      </c>
      <c r="D676" s="10" t="inlineStr">
        <is>
          <t>GTH</t>
        </is>
      </c>
      <c r="E676" s="10" t="inlineStr">
        <is>
          <t xml:space="preserve">Vinculación y Desvinculación </t>
        </is>
      </c>
      <c r="F676" s="10" t="inlineStr">
        <is>
          <t>-</t>
        </is>
      </c>
      <c r="G676" s="10" t="inlineStr">
        <is>
          <t xml:space="preserve">Selección por medio de empresa externa </t>
        </is>
      </c>
      <c r="H676" s="10" t="inlineStr">
        <is>
          <t>Matriz de evaluación de resultados</t>
        </is>
      </c>
      <c r="I676" s="10" t="inlineStr">
        <is>
          <t>Matriz presentada en el informe, contiene entrevista de incidentes críticos, evaluación de competencias humanas, evaluación de competencias técnicas, por aspirante.</t>
        </is>
      </c>
      <c r="J676" s="10" t="inlineStr">
        <is>
          <t>Gerente de Talento Humano</t>
        </is>
      </c>
      <c r="K676" s="10" t="inlineStr">
        <is>
          <t>Analista de Selección</t>
        </is>
      </c>
      <c r="L676" s="10" t="inlineStr">
        <is>
          <t>DOCUMENTOS FISICOS-ARCHIVOS DE LA OFICINA</t>
        </is>
      </c>
      <c r="M676" s="10" t="inlineStr">
        <is>
          <t>DOCUMENTO DE ARCHIVO-FÍSICO</t>
        </is>
      </c>
      <c r="N676" s="10" t="inlineStr">
        <is>
          <t>PRIMARIOS</t>
        </is>
      </c>
      <c r="O676" s="10" t="inlineStr">
        <is>
          <t>DOCUMENTOS TÉCNICOS</t>
        </is>
      </c>
      <c r="P676" s="10" t="inlineStr">
        <is>
          <t>USO INTERNO(2)</t>
        </is>
      </c>
      <c r="Q676" s="10" t="inlineStr">
        <is>
          <t>BAJA(1)</t>
        </is>
      </c>
      <c r="R676" s="10" t="inlineStr">
        <is>
          <t>MEDIA(2)</t>
        </is>
      </c>
      <c r="S676" s="10">
        <f>+(IF(P676="PUBLICA(1)",1,IF(P676="USO INTERNO(2)",2,IF(P676="RESTRINGIDO(3)",3,3))))+(IF(Q676="BAJA(1)",1,IF(Q676="MEDIA(2)",2,IF(Q676="ALTA(3)",3,3))))+(IF(R676="BAJA(1)",1,IF(R676="MEDIA(2)",2,IF(R676="ALTA(3)",3,3))))</f>
        <v/>
      </c>
      <c r="T676" s="10">
        <f>+IF(S676&lt;6,"BAJA",IF(S676&lt;8,"MEDIA","ALTA"))</f>
        <v/>
      </c>
      <c r="U676" s="10" t="inlineStr">
        <is>
          <t>-</t>
        </is>
      </c>
      <c r="V676" s="24" t="n">
        <v>45687</v>
      </c>
      <c r="W676" s="19" t="inlineStr">
        <is>
          <t>N/A</t>
        </is>
      </c>
      <c r="X676" s="10">
        <f>+IFERROR(IF(VLOOKUP(Tabla2[[#This Row],[ID]],'EVALUACION DE RIESGO'!A:A,1,FALSE)=Tabla2[[#This Row],[ID]],"SI","NO"),"NO")</f>
        <v/>
      </c>
    </row>
    <row r="677">
      <c r="A677" s="91" t="inlineStr">
        <is>
          <t>118-GTH</t>
        </is>
      </c>
      <c r="B677" s="10" t="inlineStr">
        <is>
          <t>APOYO</t>
        </is>
      </c>
      <c r="C677" s="10" t="inlineStr">
        <is>
          <t>Gestión del Talento Humano</t>
        </is>
      </c>
      <c r="D677" s="10" t="inlineStr">
        <is>
          <t>GTH</t>
        </is>
      </c>
      <c r="E677" s="10" t="inlineStr">
        <is>
          <t xml:space="preserve">Vinculación y Desvinculación </t>
        </is>
      </c>
      <c r="F677" s="10" t="inlineStr">
        <is>
          <t>-</t>
        </is>
      </c>
      <c r="G677" s="10" t="inlineStr">
        <is>
          <t xml:space="preserve">Selección por medio de empresa externa </t>
        </is>
      </c>
      <c r="H677" s="10" t="inlineStr">
        <is>
          <t>Informe del proceso de selección</t>
        </is>
      </c>
      <c r="I677" s="10" t="inlineStr">
        <is>
          <t>Documento de informe final del proceso de selección, contiene perfil del cargo, desarrollo del proceso, y resultados del proceso</t>
        </is>
      </c>
      <c r="J677" s="10" t="inlineStr">
        <is>
          <t>Gerente de Talento Humano</t>
        </is>
      </c>
      <c r="K677" s="10" t="inlineStr">
        <is>
          <t>Analista de Selección</t>
        </is>
      </c>
      <c r="L677" s="10" t="inlineStr">
        <is>
          <t>DOCUMENTOS FISICOS-ARCHIVOS DE LA OFICINA</t>
        </is>
      </c>
      <c r="M677" s="10" t="inlineStr">
        <is>
          <t>DOCUMENTO DE ARCHIVO-FÍSICO</t>
        </is>
      </c>
      <c r="N677" s="10" t="inlineStr">
        <is>
          <t>PRIMARIOS</t>
        </is>
      </c>
      <c r="O677" s="10" t="inlineStr">
        <is>
          <t>DOCUMENTOS TÉCNICOS</t>
        </is>
      </c>
      <c r="P677" s="10" t="inlineStr">
        <is>
          <t>RESTRINGIDO(3)</t>
        </is>
      </c>
      <c r="Q677" s="10" t="inlineStr">
        <is>
          <t>BAJA(1)</t>
        </is>
      </c>
      <c r="R677" s="10" t="inlineStr">
        <is>
          <t>MEDIA(2)</t>
        </is>
      </c>
      <c r="S677" s="10">
        <f>+(IF(P677="PUBLICA(1)",1,IF(P677="USO INTERNO(2)",2,IF(P677="RESTRINGIDO(3)",3,3))))+(IF(Q677="BAJA(1)",1,IF(Q677="MEDIA(2)",2,IF(Q677="ALTA(3)",3,3))))+(IF(R677="BAJA(1)",1,IF(R677="MEDIA(2)",2,IF(R677="ALTA(3)",3,3))))</f>
        <v/>
      </c>
      <c r="T677" s="10">
        <f>+IF(S677&lt;6,"BAJA",IF(S677&lt;8,"MEDIA","ALTA"))</f>
        <v/>
      </c>
      <c r="U677" s="10" t="inlineStr">
        <is>
          <t>-</t>
        </is>
      </c>
      <c r="V677" s="24" t="n">
        <v>45687</v>
      </c>
      <c r="W677" s="19" t="inlineStr">
        <is>
          <t>N/A</t>
        </is>
      </c>
      <c r="X677" s="10">
        <f>+IFERROR(IF(VLOOKUP(Tabla2[[#This Row],[ID]],'EVALUACION DE RIESGO'!A:A,1,FALSE)=Tabla2[[#This Row],[ID]],"SI","NO"),"NO")</f>
        <v/>
      </c>
    </row>
    <row r="678">
      <c r="A678" s="91" t="inlineStr">
        <is>
          <t>119-GTH</t>
        </is>
      </c>
      <c r="B678" s="10" t="inlineStr">
        <is>
          <t>APOYO</t>
        </is>
      </c>
      <c r="C678" s="10" t="inlineStr">
        <is>
          <t>Gestión del Talento Humano</t>
        </is>
      </c>
      <c r="D678" s="10" t="inlineStr">
        <is>
          <t>GTH</t>
        </is>
      </c>
      <c r="E678" s="10" t="inlineStr">
        <is>
          <t xml:space="preserve">Vinculación y Desvinculación </t>
        </is>
      </c>
      <c r="F678" s="10" t="inlineStr">
        <is>
          <t>-</t>
        </is>
      </c>
      <c r="G678" s="10" t="inlineStr">
        <is>
          <t xml:space="preserve">Selección por medio de empresa externa </t>
        </is>
      </c>
      <c r="H678" s="10" t="inlineStr">
        <is>
          <t>Documentos habilitantes del personal seleccionado</t>
        </is>
      </c>
      <c r="I678" s="10" t="inlineStr">
        <is>
          <t>Consolidado de listas de control, antecedentes penales, reporte crediticio, función judicial, referencias laborales</t>
        </is>
      </c>
      <c r="J678" s="10" t="inlineStr">
        <is>
          <t>Gerente de Talento Humano</t>
        </is>
      </c>
      <c r="K678" s="10" t="inlineStr">
        <is>
          <t>Analista de Selección</t>
        </is>
      </c>
      <c r="L678" s="10" t="inlineStr">
        <is>
          <t>DOCUMENTOS FISICOS-ARCHIVOS DE LA OFICINA</t>
        </is>
      </c>
      <c r="M678" s="10" t="inlineStr">
        <is>
          <t>DOCUMENTO DE ARCHIVO-FÍSICO</t>
        </is>
      </c>
      <c r="N678" s="10" t="inlineStr">
        <is>
          <t>PRIMARIOS</t>
        </is>
      </c>
      <c r="O678" s="10" t="inlineStr">
        <is>
          <t>DOCUMENTOS TÉCNICOS</t>
        </is>
      </c>
      <c r="P678" s="10" t="inlineStr">
        <is>
          <t>USO INTERNO(2)</t>
        </is>
      </c>
      <c r="Q678" s="10" t="inlineStr">
        <is>
          <t>BAJA(1)</t>
        </is>
      </c>
      <c r="R678" s="10" t="inlineStr">
        <is>
          <t>MEDIA(2)</t>
        </is>
      </c>
      <c r="S678" s="10">
        <f>+(IF(P678="PUBLICA(1)",1,IF(P678="USO INTERNO(2)",2,IF(P678="RESTRINGIDO(3)",3,3))))+(IF(Q678="BAJA(1)",1,IF(Q678="MEDIA(2)",2,IF(Q678="ALTA(3)",3,3))))+(IF(R678="BAJA(1)",1,IF(R678="MEDIA(2)",2,IF(R678="ALTA(3)",3,3))))</f>
        <v/>
      </c>
      <c r="T678" s="10">
        <f>+IF(S678&lt;6,"BAJA",IF(S678&lt;8,"MEDIA","ALTA"))</f>
        <v/>
      </c>
      <c r="U678" s="10" t="inlineStr">
        <is>
          <t>-</t>
        </is>
      </c>
      <c r="V678" s="24" t="n">
        <v>45687</v>
      </c>
      <c r="W678" s="19" t="inlineStr">
        <is>
          <t>N/A</t>
        </is>
      </c>
      <c r="X678" s="10">
        <f>+IFERROR(IF(VLOOKUP(Tabla2[[#This Row],[ID]],'EVALUACION DE RIESGO'!A:A,1,FALSE)=Tabla2[[#This Row],[ID]],"SI","NO"),"NO")</f>
        <v/>
      </c>
    </row>
    <row r="679">
      <c r="A679" s="91" t="inlineStr">
        <is>
          <t>120-GTH</t>
        </is>
      </c>
      <c r="B679" s="10" t="inlineStr">
        <is>
          <t>APOYO</t>
        </is>
      </c>
      <c r="C679" s="10" t="inlineStr">
        <is>
          <t>Gestión del Talento Humano</t>
        </is>
      </c>
      <c r="D679" s="10" t="inlineStr">
        <is>
          <t>GTH</t>
        </is>
      </c>
      <c r="E679" s="10" t="inlineStr">
        <is>
          <t xml:space="preserve">Vinculación y Desvinculación </t>
        </is>
      </c>
      <c r="F679" s="10" t="inlineStr">
        <is>
          <t>-</t>
        </is>
      </c>
      <c r="G679" s="10" t="inlineStr">
        <is>
          <t>Contratación de Personal</t>
        </is>
      </c>
      <c r="H679" s="10" t="inlineStr">
        <is>
          <t>Contrato laboral</t>
        </is>
      </c>
      <c r="I679" s="10" t="inlineStr">
        <is>
          <t>Documento de contrato establecido con el personal formalizado</t>
        </is>
      </c>
      <c r="J679" s="10" t="inlineStr">
        <is>
          <t>Gerente de Talento Humano</t>
        </is>
      </c>
      <c r="K679" s="10" t="inlineStr">
        <is>
          <t>Analista de Selección</t>
        </is>
      </c>
      <c r="L679" s="10" t="inlineStr">
        <is>
          <t>UBICACIÓN DIGITAL-WEBCOOP</t>
        </is>
      </c>
      <c r="M679" s="10" t="inlineStr">
        <is>
          <t>SISTEMAS DE INFORMACIÓN CORPORATIVOS</t>
        </is>
      </c>
      <c r="N679" s="10" t="inlineStr">
        <is>
          <t>PRIMARIOS</t>
        </is>
      </c>
      <c r="O679" s="10" t="inlineStr">
        <is>
          <t>DOCUMENTOS HABILITANTES</t>
        </is>
      </c>
      <c r="P679" s="10" t="inlineStr">
        <is>
          <t>USO INTERNO(2)</t>
        </is>
      </c>
      <c r="Q679" s="10" t="inlineStr">
        <is>
          <t>BAJA(1)</t>
        </is>
      </c>
      <c r="R679" s="10" t="inlineStr">
        <is>
          <t>MEDIA(2)</t>
        </is>
      </c>
      <c r="S679" s="10">
        <f>+(IF(P679="PUBLICA(1)",1,IF(P679="USO INTERNO(2)",2,IF(P679="RESTRINGIDO(3)",3,3))))+(IF(Q679="BAJA(1)",1,IF(Q679="MEDIA(2)",2,IF(Q679="ALTA(3)",3,3))))+(IF(R679="BAJA(1)",1,IF(R679="MEDIA(2)",2,IF(R679="ALTA(3)",3,3))))</f>
        <v/>
      </c>
      <c r="T679" s="10">
        <f>+IF(S679&lt;6,"BAJA",IF(S679&lt;8,"MEDIA","ALTA"))</f>
        <v/>
      </c>
      <c r="U679" s="10" t="inlineStr">
        <is>
          <t>-</t>
        </is>
      </c>
      <c r="V679" s="24" t="n">
        <v>45687</v>
      </c>
      <c r="W679" s="19" t="inlineStr">
        <is>
          <t>N/A</t>
        </is>
      </c>
      <c r="X679" s="10">
        <f>+IFERROR(IF(VLOOKUP(Tabla2[[#This Row],[ID]],'EVALUACION DE RIESGO'!A:A,1,FALSE)=Tabla2[[#This Row],[ID]],"SI","NO"),"NO")</f>
        <v/>
      </c>
    </row>
    <row r="680">
      <c r="A680" s="91" t="inlineStr">
        <is>
          <t>121-GTH</t>
        </is>
      </c>
      <c r="B680" s="10" t="inlineStr">
        <is>
          <t>APOYO</t>
        </is>
      </c>
      <c r="C680" s="10" t="inlineStr">
        <is>
          <t>Gestión del Talento Humano</t>
        </is>
      </c>
      <c r="D680" s="10" t="inlineStr">
        <is>
          <t>GTH</t>
        </is>
      </c>
      <c r="E680" s="10" t="inlineStr">
        <is>
          <t xml:space="preserve">Vinculación y Desvinculación </t>
        </is>
      </c>
      <c r="F680" s="10" t="inlineStr">
        <is>
          <t>-</t>
        </is>
      </c>
      <c r="G680" s="10" t="inlineStr">
        <is>
          <t>Contratación de Personal</t>
        </is>
      </c>
      <c r="H680" s="10" t="inlineStr">
        <is>
          <t>Lista de verificación de documentos</t>
        </is>
      </c>
      <c r="I680" s="10" t="inlineStr">
        <is>
          <t>Check lista de documentos habilitantes del proceso de contratación</t>
        </is>
      </c>
      <c r="J680" s="10" t="inlineStr">
        <is>
          <t>Gerente de Talento Humano</t>
        </is>
      </c>
      <c r="K680" s="10" t="inlineStr">
        <is>
          <t>Analista de Selección</t>
        </is>
      </c>
      <c r="L680" s="10" t="inlineStr">
        <is>
          <t>DOCUMENTOS FISICOS-ARCHIVOS DE LA OFICINA</t>
        </is>
      </c>
      <c r="M680" s="10" t="inlineStr">
        <is>
          <t>DOCUMENTO DE ARCHIVO-FÍSICO</t>
        </is>
      </c>
      <c r="N680" s="10" t="inlineStr">
        <is>
          <t>PRIMARIOS</t>
        </is>
      </c>
      <c r="O680" s="10" t="inlineStr">
        <is>
          <t>DOCUMENTOS HABILITANTES</t>
        </is>
      </c>
      <c r="P680" s="10" t="inlineStr">
        <is>
          <t>USO INTERNO(2)</t>
        </is>
      </c>
      <c r="Q680" s="10" t="inlineStr">
        <is>
          <t>BAJA(1)</t>
        </is>
      </c>
      <c r="R680" s="10" t="inlineStr">
        <is>
          <t>MEDIA(2)</t>
        </is>
      </c>
      <c r="S680" s="10">
        <f>+(IF(P680="PUBLICA(1)",1,IF(P680="USO INTERNO(2)",2,IF(P680="RESTRINGIDO(3)",3,3))))+(IF(Q680="BAJA(1)",1,IF(Q680="MEDIA(2)",2,IF(Q680="ALTA(3)",3,3))))+(IF(R680="BAJA(1)",1,IF(R680="MEDIA(2)",2,IF(R680="ALTA(3)",3,3))))</f>
        <v/>
      </c>
      <c r="T680" s="10">
        <f>+IF(S680&lt;6,"BAJA",IF(S680&lt;8,"MEDIA","ALTA"))</f>
        <v/>
      </c>
      <c r="U680" s="10" t="inlineStr">
        <is>
          <t>-</t>
        </is>
      </c>
      <c r="V680" s="24" t="n">
        <v>45687</v>
      </c>
      <c r="W680" s="19" t="inlineStr">
        <is>
          <t>N/A</t>
        </is>
      </c>
      <c r="X680" s="10">
        <f>+IFERROR(IF(VLOOKUP(Tabla2[[#This Row],[ID]],'EVALUACION DE RIESGO'!A:A,1,FALSE)=Tabla2[[#This Row],[ID]],"SI","NO"),"NO")</f>
        <v/>
      </c>
    </row>
    <row r="681">
      <c r="A681" s="91" t="inlineStr">
        <is>
          <t>122-GTH</t>
        </is>
      </c>
      <c r="B681" s="10" t="inlineStr">
        <is>
          <t>APOYO</t>
        </is>
      </c>
      <c r="C681" s="10" t="inlineStr">
        <is>
          <t>Gestión del Talento Humano</t>
        </is>
      </c>
      <c r="D681" s="10" t="inlineStr">
        <is>
          <t>GTH</t>
        </is>
      </c>
      <c r="E681" s="10" t="inlineStr">
        <is>
          <t xml:space="preserve">Vinculación y Desvinculación </t>
        </is>
      </c>
      <c r="F681" s="10" t="inlineStr">
        <is>
          <t>-</t>
        </is>
      </c>
      <c r="G681" s="10" t="inlineStr">
        <is>
          <t>Contratación de Personal</t>
        </is>
      </c>
      <c r="H681" s="10" t="inlineStr">
        <is>
          <t>Solicitud de tarjeta de acceso físico</t>
        </is>
      </c>
      <c r="I681" s="10" t="inlineStr">
        <is>
          <t>Registro de correo electrónico enviado por el Asistente de Talento Humano a Seguridad Física solicitante en nuevo acceso físico</t>
        </is>
      </c>
      <c r="J681" s="10" t="inlineStr">
        <is>
          <t>Gerente de Talento Humano</t>
        </is>
      </c>
      <c r="K681" s="10" t="inlineStr">
        <is>
          <t>Asistente de Talento Humano</t>
        </is>
      </c>
      <c r="L681" s="10" t="inlineStr">
        <is>
          <t>UBICACIÓN DIGITAL-EQUIPO DEL CUSTODIO</t>
        </is>
      </c>
      <c r="M681" s="10" t="inlineStr">
        <is>
          <t>SISTEMAS DE INFORMACIÓN CORPORATIVOS</t>
        </is>
      </c>
      <c r="N681" s="10" t="inlineStr">
        <is>
          <t>PRIMARIOS</t>
        </is>
      </c>
      <c r="O681" s="10" t="inlineStr">
        <is>
          <t>DOCUMENTOS HABILITANTES</t>
        </is>
      </c>
      <c r="P681" s="10" t="inlineStr">
        <is>
          <t>USO INTERNO(2)</t>
        </is>
      </c>
      <c r="Q681" s="10" t="inlineStr">
        <is>
          <t>BAJA(1)</t>
        </is>
      </c>
      <c r="R681" s="10" t="inlineStr">
        <is>
          <t>MEDIA(2)</t>
        </is>
      </c>
      <c r="S681" s="10">
        <f>+(IF(P681="PUBLICA(1)",1,IF(P681="USO INTERNO(2)",2,IF(P681="RESTRINGIDO(3)",3,3))))+(IF(Q681="BAJA(1)",1,IF(Q681="MEDIA(2)",2,IF(Q681="ALTA(3)",3,3))))+(IF(R681="BAJA(1)",1,IF(R681="MEDIA(2)",2,IF(R681="ALTA(3)",3,3))))</f>
        <v/>
      </c>
      <c r="T681" s="10">
        <f>+IF(S681&lt;6,"BAJA",IF(S681&lt;8,"MEDIA","ALTA"))</f>
        <v/>
      </c>
      <c r="U681" s="10" t="inlineStr">
        <is>
          <t>-</t>
        </is>
      </c>
      <c r="V681" s="24" t="n">
        <v>45687</v>
      </c>
      <c r="W681" s="19" t="inlineStr">
        <is>
          <t>N/A</t>
        </is>
      </c>
      <c r="X681" s="10">
        <f>+IFERROR(IF(VLOOKUP(Tabla2[[#This Row],[ID]],'EVALUACION DE RIESGO'!A:A,1,FALSE)=Tabla2[[#This Row],[ID]],"SI","NO"),"NO")</f>
        <v/>
      </c>
    </row>
    <row r="682">
      <c r="A682" s="91" t="inlineStr">
        <is>
          <t>123-GTH</t>
        </is>
      </c>
      <c r="B682" s="10" t="inlineStr">
        <is>
          <t>APOYO</t>
        </is>
      </c>
      <c r="C682" s="10" t="inlineStr">
        <is>
          <t>Gestión del Talento Humano</t>
        </is>
      </c>
      <c r="D682" s="10" t="inlineStr">
        <is>
          <t>GTH</t>
        </is>
      </c>
      <c r="E682" s="10" t="inlineStr">
        <is>
          <t xml:space="preserve">Vinculación y Desvinculación </t>
        </is>
      </c>
      <c r="F682" s="10" t="inlineStr">
        <is>
          <t>-</t>
        </is>
      </c>
      <c r="G682" s="10" t="inlineStr">
        <is>
          <t xml:space="preserve">Vinculación de Administradores </t>
        </is>
      </c>
      <c r="H682" s="10" t="inlineStr">
        <is>
          <t>Documentos de administrador establecidos en le lista de verificación del file</t>
        </is>
      </c>
      <c r="I682" s="10" t="inlineStr">
        <is>
          <t>Check list de documentos habilitantes del proceso de contratación de administrador</t>
        </is>
      </c>
      <c r="J682" s="10" t="inlineStr">
        <is>
          <t>Gerente de Talento Humano</t>
        </is>
      </c>
      <c r="K682" s="10" t="inlineStr">
        <is>
          <t>Analista de Selección</t>
        </is>
      </c>
      <c r="L682" s="10" t="inlineStr">
        <is>
          <t>DOCUMENTOS FISICOS-ARCHIVOS DE LA OFICINA</t>
        </is>
      </c>
      <c r="M682" s="10" t="inlineStr">
        <is>
          <t>DOCUMENTO DE ARCHIVO-FÍSICO</t>
        </is>
      </c>
      <c r="N682" s="10" t="inlineStr">
        <is>
          <t>PRIMARIOS</t>
        </is>
      </c>
      <c r="O682" s="10" t="inlineStr">
        <is>
          <t>DOCUMENTOS HABILITANTES</t>
        </is>
      </c>
      <c r="P682" s="10" t="inlineStr">
        <is>
          <t>USO INTERNO(2)</t>
        </is>
      </c>
      <c r="Q682" s="10" t="inlineStr">
        <is>
          <t>BAJA(1)</t>
        </is>
      </c>
      <c r="R682" s="10" t="inlineStr">
        <is>
          <t>MEDIA(2)</t>
        </is>
      </c>
      <c r="S682" s="10">
        <f>+(IF(P682="PUBLICA(1)",1,IF(P682="USO INTERNO(2)",2,IF(P682="RESTRINGIDO(3)",3,3))))+(IF(Q682="BAJA(1)",1,IF(Q682="MEDIA(2)",2,IF(Q682="ALTA(3)",3,3))))+(IF(R682="BAJA(1)",1,IF(R682="MEDIA(2)",2,IF(R682="ALTA(3)",3,3))))</f>
        <v/>
      </c>
      <c r="T682" s="10">
        <f>+IF(S682&lt;6,"BAJA",IF(S682&lt;8,"MEDIA","ALTA"))</f>
        <v/>
      </c>
      <c r="U682" s="10" t="inlineStr">
        <is>
          <t>-</t>
        </is>
      </c>
      <c r="V682" s="24" t="n">
        <v>45687</v>
      </c>
      <c r="W682" s="19" t="inlineStr">
        <is>
          <t>N/A</t>
        </is>
      </c>
      <c r="X682" s="10">
        <f>+IFERROR(IF(VLOOKUP(Tabla2[[#This Row],[ID]],'EVALUACION DE RIESGO'!A:A,1,FALSE)=Tabla2[[#This Row],[ID]],"SI","NO"),"NO")</f>
        <v/>
      </c>
    </row>
    <row r="683">
      <c r="A683" s="91" t="inlineStr">
        <is>
          <t>124-GTH</t>
        </is>
      </c>
      <c r="B683" s="10" t="inlineStr">
        <is>
          <t>APOYO</t>
        </is>
      </c>
      <c r="C683" s="10" t="inlineStr">
        <is>
          <t>Gestión del Talento Humano</t>
        </is>
      </c>
      <c r="D683" s="10" t="inlineStr">
        <is>
          <t>GTH</t>
        </is>
      </c>
      <c r="E683" s="10" t="inlineStr">
        <is>
          <t xml:space="preserve">Vinculación y Desvinculación </t>
        </is>
      </c>
      <c r="F683" s="10" t="inlineStr">
        <is>
          <t>-</t>
        </is>
      </c>
      <c r="G683" s="10" t="inlineStr">
        <is>
          <t>Inducción del Personal</t>
        </is>
      </c>
      <c r="H683" s="10" t="inlineStr">
        <is>
          <t>Formulario de inducción y evaluación</t>
        </is>
      </c>
      <c r="I683" s="10" t="inlineStr">
        <is>
          <t>Documento de evaluación realizada por el Jefe Inmediato, indica el porcentaje de aprobación del nuevo personal.</t>
        </is>
      </c>
      <c r="J683" s="10" t="inlineStr">
        <is>
          <t>Gerente de Talento Humano</t>
        </is>
      </c>
      <c r="K683" s="10" t="inlineStr">
        <is>
          <t>Analista de Selección</t>
        </is>
      </c>
      <c r="L683" s="10" t="inlineStr">
        <is>
          <t>UBICACIÓN DIGITAL-WEBCOOP</t>
        </is>
      </c>
      <c r="M683" s="10" t="inlineStr">
        <is>
          <t>SISTEMAS DE INFORMACIÓN CORPORATIVOS</t>
        </is>
      </c>
      <c r="N683" s="10" t="inlineStr">
        <is>
          <t>PRIMARIOS</t>
        </is>
      </c>
      <c r="O683" s="10" t="inlineStr">
        <is>
          <t>DOCUMENTOS TÉCNICOS</t>
        </is>
      </c>
      <c r="P683" s="10" t="inlineStr">
        <is>
          <t>USO INTERNO(2)</t>
        </is>
      </c>
      <c r="Q683" s="10" t="inlineStr">
        <is>
          <t>BAJA(1)</t>
        </is>
      </c>
      <c r="R683" s="10" t="inlineStr">
        <is>
          <t>MEDIA(2)</t>
        </is>
      </c>
      <c r="S683" s="10">
        <f>+(IF(P683="PUBLICA(1)",1,IF(P683="USO INTERNO(2)",2,IF(P683="RESTRINGIDO(3)",3,3))))+(IF(Q683="BAJA(1)",1,IF(Q683="MEDIA(2)",2,IF(Q683="ALTA(3)",3,3))))+(IF(R683="BAJA(1)",1,IF(R683="MEDIA(2)",2,IF(R683="ALTA(3)",3,3))))</f>
        <v/>
      </c>
      <c r="T683" s="10">
        <f>+IF(S683&lt;6,"BAJA",IF(S683&lt;8,"MEDIA","ALTA"))</f>
        <v/>
      </c>
      <c r="U683" s="10" t="inlineStr">
        <is>
          <t>-</t>
        </is>
      </c>
      <c r="V683" s="24" t="n">
        <v>45687</v>
      </c>
      <c r="W683" s="19" t="inlineStr">
        <is>
          <t>N/A</t>
        </is>
      </c>
      <c r="X683" s="10">
        <f>+IFERROR(IF(VLOOKUP(Tabla2[[#This Row],[ID]],'EVALUACION DE RIESGO'!A:A,1,FALSE)=Tabla2[[#This Row],[ID]],"SI","NO"),"NO")</f>
        <v/>
      </c>
    </row>
    <row r="684">
      <c r="A684" s="91" t="inlineStr">
        <is>
          <t>125-GTH</t>
        </is>
      </c>
      <c r="B684" s="10" t="inlineStr">
        <is>
          <t>APOYO</t>
        </is>
      </c>
      <c r="C684" s="10" t="inlineStr">
        <is>
          <t>Gestión del Talento Humano</t>
        </is>
      </c>
      <c r="D684" s="10" t="inlineStr">
        <is>
          <t>GTH</t>
        </is>
      </c>
      <c r="E684" s="10" t="inlineStr">
        <is>
          <t xml:space="preserve">Vinculación y Desvinculación </t>
        </is>
      </c>
      <c r="F684" s="10" t="inlineStr">
        <is>
          <t>-</t>
        </is>
      </c>
      <c r="G684" s="10" t="inlineStr">
        <is>
          <t>Inducción del Personal</t>
        </is>
      </c>
      <c r="H684" s="10" t="inlineStr">
        <is>
          <t>Formulario de entrenamiento a cajeros</t>
        </is>
      </c>
      <c r="I684" s="10" t="inlineStr">
        <is>
          <t>Formulario aplicado al personal de cajeros, contiene información específica del proceso transaccional de cajas</t>
        </is>
      </c>
      <c r="J684" s="10" t="inlineStr">
        <is>
          <t>Gerente de Talento Humano</t>
        </is>
      </c>
      <c r="K684" s="10" t="inlineStr">
        <is>
          <t>Analista de Selección</t>
        </is>
      </c>
      <c r="L684" s="10" t="inlineStr">
        <is>
          <t>UBICACIÓN DIGITAL-WEBCOOP</t>
        </is>
      </c>
      <c r="M684" s="10" t="inlineStr">
        <is>
          <t>SISTEMAS DE INFORMACIÓN CORPORATIVOS</t>
        </is>
      </c>
      <c r="N684" s="10" t="inlineStr">
        <is>
          <t>PRIMARIOS</t>
        </is>
      </c>
      <c r="O684" s="10" t="inlineStr">
        <is>
          <t>DOCUMENTOS TÉCNICOS</t>
        </is>
      </c>
      <c r="P684" s="10" t="inlineStr">
        <is>
          <t>PUBLICA(1)</t>
        </is>
      </c>
      <c r="Q684" s="10" t="inlineStr">
        <is>
          <t>BAJA(1)</t>
        </is>
      </c>
      <c r="R684" s="10" t="inlineStr">
        <is>
          <t>MEDIA(2)</t>
        </is>
      </c>
      <c r="S684" s="10">
        <f>+(IF(P684="PUBLICA(1)",1,IF(P684="USO INTERNO(2)",2,IF(P684="RESTRINGIDO(3)",3,3))))+(IF(Q684="BAJA(1)",1,IF(Q684="MEDIA(2)",2,IF(Q684="ALTA(3)",3,3))))+(IF(R684="BAJA(1)",1,IF(R684="MEDIA(2)",2,IF(R684="ALTA(3)",3,3))))</f>
        <v/>
      </c>
      <c r="T684" s="10">
        <f>+IF(S684&lt;6,"BAJA",IF(S684&lt;8,"MEDIA","ALTA"))</f>
        <v/>
      </c>
      <c r="U684" s="10" t="inlineStr">
        <is>
          <t>-</t>
        </is>
      </c>
      <c r="V684" s="24" t="n">
        <v>45687</v>
      </c>
      <c r="W684" s="19" t="inlineStr">
        <is>
          <t>N/A</t>
        </is>
      </c>
      <c r="X684" s="10">
        <f>+IFERROR(IF(VLOOKUP(Tabla2[[#This Row],[ID]],'EVALUACION DE RIESGO'!A:A,1,FALSE)=Tabla2[[#This Row],[ID]],"SI","NO"),"NO")</f>
        <v/>
      </c>
    </row>
    <row r="685">
      <c r="A685" s="91" t="inlineStr">
        <is>
          <t>126-GTH</t>
        </is>
      </c>
      <c r="B685" s="10" t="inlineStr">
        <is>
          <t>APOYO</t>
        </is>
      </c>
      <c r="C685" s="10" t="inlineStr">
        <is>
          <t>Gestión del Talento Humano</t>
        </is>
      </c>
      <c r="D685" s="10" t="inlineStr">
        <is>
          <t>GTH</t>
        </is>
      </c>
      <c r="E685" s="10" t="inlineStr">
        <is>
          <t xml:space="preserve">Vinculación y Desvinculación </t>
        </is>
      </c>
      <c r="F685" s="10" t="inlineStr">
        <is>
          <t>-</t>
        </is>
      </c>
      <c r="G685" s="10" t="inlineStr">
        <is>
          <t>Inducción del Personal</t>
        </is>
      </c>
      <c r="H685" s="10" t="inlineStr">
        <is>
          <t>Acta entrega recepción</t>
        </is>
      </c>
      <c r="I685" s="10" t="inlineStr">
        <is>
          <t>Al inicio da entrega del puesto se realiza un acta entrega recepción de información y activos.</t>
        </is>
      </c>
      <c r="J685" s="10" t="inlineStr">
        <is>
          <t>Gerente de Talento Humano</t>
        </is>
      </c>
      <c r="K685" s="10" t="inlineStr">
        <is>
          <t>Analista de Selección</t>
        </is>
      </c>
      <c r="L685" s="10" t="inlineStr">
        <is>
          <t>DOCUMENTOS FISICOS-ARCHIVOS DE LA OFICINA</t>
        </is>
      </c>
      <c r="M685" s="10" t="inlineStr">
        <is>
          <t>DOCUMENTO DE ARCHIVO-FÍSICO</t>
        </is>
      </c>
      <c r="N685" s="10" t="inlineStr">
        <is>
          <t>PRIMARIOS</t>
        </is>
      </c>
      <c r="O685" s="10" t="inlineStr">
        <is>
          <t>DOCUMENTOS TÉCNICOS</t>
        </is>
      </c>
      <c r="P685" s="10" t="inlineStr">
        <is>
          <t>PUBLICA(1)</t>
        </is>
      </c>
      <c r="Q685" s="10" t="inlineStr">
        <is>
          <t>BAJA(1)</t>
        </is>
      </c>
      <c r="R685" s="10" t="inlineStr">
        <is>
          <t>MEDIA(2)</t>
        </is>
      </c>
      <c r="S685" s="10">
        <f>+(IF(P685="PUBLICA(1)",1,IF(P685="USO INTERNO(2)",2,IF(P685="RESTRINGIDO(3)",3,3))))+(IF(Q685="BAJA(1)",1,IF(Q685="MEDIA(2)",2,IF(Q685="ALTA(3)",3,3))))+(IF(R685="BAJA(1)",1,IF(R685="MEDIA(2)",2,IF(R685="ALTA(3)",3,3))))</f>
        <v/>
      </c>
      <c r="T685" s="10">
        <f>+IF(S685&lt;6,"BAJA",IF(S685&lt;8,"MEDIA","ALTA"))</f>
        <v/>
      </c>
      <c r="U685" s="10" t="inlineStr">
        <is>
          <t>-</t>
        </is>
      </c>
      <c r="V685" s="24" t="n">
        <v>45687</v>
      </c>
      <c r="W685" s="19" t="inlineStr">
        <is>
          <t>N/A</t>
        </is>
      </c>
      <c r="X685" s="10">
        <f>+IFERROR(IF(VLOOKUP(Tabla2[[#This Row],[ID]],'EVALUACION DE RIESGO'!A:A,1,FALSE)=Tabla2[[#This Row],[ID]],"SI","NO"),"NO")</f>
        <v/>
      </c>
    </row>
    <row r="686">
      <c r="A686" s="91" t="inlineStr">
        <is>
          <t>127-GTH</t>
        </is>
      </c>
      <c r="B686" s="10" t="inlineStr">
        <is>
          <t>APOYO</t>
        </is>
      </c>
      <c r="C686" s="10" t="inlineStr">
        <is>
          <t>Gestión del Talento Humano</t>
        </is>
      </c>
      <c r="D686" s="10" t="inlineStr">
        <is>
          <t>GTH</t>
        </is>
      </c>
      <c r="E686" s="10" t="inlineStr">
        <is>
          <t xml:space="preserve">Vinculación y Desvinculación </t>
        </is>
      </c>
      <c r="F686" s="10" t="inlineStr">
        <is>
          <t>-</t>
        </is>
      </c>
      <c r="G686" s="10" t="inlineStr">
        <is>
          <t>Desvinculación del Personal</t>
        </is>
      </c>
      <c r="H686" s="10" t="inlineStr">
        <is>
          <t>Acta de finiquito</t>
        </is>
      </c>
      <c r="I686" s="10" t="inlineStr">
        <is>
          <t>Actas que se llevan de manera física, cargado adicional en webcoop y ministerio de trabajo, contiene ingresos y egresos, descuentos, liquidación de haberes y firmas</t>
        </is>
      </c>
      <c r="J686" s="10" t="inlineStr">
        <is>
          <t>Gerente de Talento Humano</t>
        </is>
      </c>
      <c r="K686" s="10" t="inlineStr">
        <is>
          <t>Analista de Selección</t>
        </is>
      </c>
      <c r="L686" s="10" t="inlineStr">
        <is>
          <t>UBICACIÓN DIGITAL-WEBCOOP</t>
        </is>
      </c>
      <c r="M686" s="10" t="inlineStr">
        <is>
          <t>SISTEMAS DE INFORMACIÓN CORPORATIVOS</t>
        </is>
      </c>
      <c r="N686" s="10" t="inlineStr">
        <is>
          <t>PRIMARIOS</t>
        </is>
      </c>
      <c r="O686" s="10" t="inlineStr">
        <is>
          <t>DOCUMENTOS TÉCNICOS</t>
        </is>
      </c>
      <c r="P686" s="10" t="inlineStr">
        <is>
          <t>USO INTERNO(2)</t>
        </is>
      </c>
      <c r="Q686" s="10" t="inlineStr">
        <is>
          <t>BAJA(1)</t>
        </is>
      </c>
      <c r="R686" s="10" t="inlineStr">
        <is>
          <t>MEDIA(2)</t>
        </is>
      </c>
      <c r="S686" s="10">
        <f>+(IF(P686="PUBLICA(1)",1,IF(P686="USO INTERNO(2)",2,IF(P686="RESTRINGIDO(3)",3,3))))+(IF(Q686="BAJA(1)",1,IF(Q686="MEDIA(2)",2,IF(Q686="ALTA(3)",3,3))))+(IF(R686="BAJA(1)",1,IF(R686="MEDIA(2)",2,IF(R686="ALTA(3)",3,3))))</f>
        <v/>
      </c>
      <c r="T686" s="10">
        <f>+IF(S686&lt;6,"BAJA",IF(S686&lt;8,"MEDIA","ALTA"))</f>
        <v/>
      </c>
      <c r="U686" s="10" t="inlineStr">
        <is>
          <t>-</t>
        </is>
      </c>
      <c r="V686" s="24" t="n">
        <v>45687</v>
      </c>
      <c r="W686" s="19" t="inlineStr">
        <is>
          <t>N/A</t>
        </is>
      </c>
      <c r="X686" s="10">
        <f>+IFERROR(IF(VLOOKUP(Tabla2[[#This Row],[ID]],'EVALUACION DE RIESGO'!A:A,1,FALSE)=Tabla2[[#This Row],[ID]],"SI","NO"),"NO")</f>
        <v/>
      </c>
    </row>
    <row r="687">
      <c r="A687" s="91" t="inlineStr">
        <is>
          <t>128-GTH</t>
        </is>
      </c>
      <c r="B687" s="10" t="inlineStr">
        <is>
          <t>APOYO</t>
        </is>
      </c>
      <c r="C687" s="10" t="inlineStr">
        <is>
          <t>Gestión del Talento Humano</t>
        </is>
      </c>
      <c r="D687" s="10" t="inlineStr">
        <is>
          <t>GTH</t>
        </is>
      </c>
      <c r="E687" s="10" t="inlineStr">
        <is>
          <t xml:space="preserve">Vinculación y Desvinculación </t>
        </is>
      </c>
      <c r="F687" s="10" t="inlineStr">
        <is>
          <t>-</t>
        </is>
      </c>
      <c r="G687" s="10" t="inlineStr">
        <is>
          <t>Desvinculación del Personal</t>
        </is>
      </c>
      <c r="H687" s="10" t="inlineStr">
        <is>
          <t>Aviso de salida</t>
        </is>
      </c>
      <c r="I687" s="10" t="inlineStr">
        <is>
          <t>Documento enviado al IESS con información del ex empleado, causa de salida, observación</t>
        </is>
      </c>
      <c r="J687" s="10" t="inlineStr">
        <is>
          <t>Gerente de Talento Humano</t>
        </is>
      </c>
      <c r="K687" s="10" t="inlineStr">
        <is>
          <t>Analista de Selección</t>
        </is>
      </c>
      <c r="L687" s="10" t="inlineStr">
        <is>
          <t>UBICACIÓN DIGITAL-EQUIPO DEL CUSTODIO</t>
        </is>
      </c>
      <c r="M687" s="10" t="inlineStr">
        <is>
          <t>DISCOS DUROS, SERVIDORES, DISCOS O MEDIOS PORTÁTILES, CINTAS O MEDIOS DE VIDEO Y AUDIO, ETC.</t>
        </is>
      </c>
      <c r="N687" s="10" t="inlineStr">
        <is>
          <t>PRIMARIOS</t>
        </is>
      </c>
      <c r="O687" s="10" t="inlineStr">
        <is>
          <t>DOCUMENTOS TÉCNICOS</t>
        </is>
      </c>
      <c r="P687" s="10" t="inlineStr">
        <is>
          <t>PUBLICA(1)</t>
        </is>
      </c>
      <c r="Q687" s="10" t="inlineStr">
        <is>
          <t>BAJA(1)</t>
        </is>
      </c>
      <c r="R687" s="10" t="inlineStr">
        <is>
          <t>MEDIA(2)</t>
        </is>
      </c>
      <c r="S687" s="10">
        <f>+(IF(P687="PUBLICA(1)",1,IF(P687="USO INTERNO(2)",2,IF(P687="RESTRINGIDO(3)",3,3))))+(IF(Q687="BAJA(1)",1,IF(Q687="MEDIA(2)",2,IF(Q687="ALTA(3)",3,3))))+(IF(R687="BAJA(1)",1,IF(R687="MEDIA(2)",2,IF(R687="ALTA(3)",3,3))))</f>
        <v/>
      </c>
      <c r="T687" s="10">
        <f>+IF(S687&lt;6,"BAJA",IF(S687&lt;8,"MEDIA","ALTA"))</f>
        <v/>
      </c>
      <c r="U687" s="10" t="inlineStr">
        <is>
          <t>-</t>
        </is>
      </c>
      <c r="V687" s="24" t="n">
        <v>45687</v>
      </c>
      <c r="W687" s="19" t="inlineStr">
        <is>
          <t>N/A</t>
        </is>
      </c>
      <c r="X687" s="10">
        <f>+IFERROR(IF(VLOOKUP(Tabla2[[#This Row],[ID]],'EVALUACION DE RIESGO'!A:A,1,FALSE)=Tabla2[[#This Row],[ID]],"SI","NO"),"NO")</f>
        <v/>
      </c>
    </row>
    <row r="688">
      <c r="A688" s="91" t="inlineStr">
        <is>
          <t>129-GTH</t>
        </is>
      </c>
      <c r="B688" s="10" t="inlineStr">
        <is>
          <t>APOYO</t>
        </is>
      </c>
      <c r="C688" s="10" t="inlineStr">
        <is>
          <t>Gestión del Talento Humano</t>
        </is>
      </c>
      <c r="D688" s="10" t="inlineStr">
        <is>
          <t>GTH</t>
        </is>
      </c>
      <c r="E688" s="10" t="inlineStr">
        <is>
          <t xml:space="preserve">Vinculación y Desvinculación </t>
        </is>
      </c>
      <c r="F688" s="10" t="inlineStr">
        <is>
          <t>-</t>
        </is>
      </c>
      <c r="G688" s="10" t="inlineStr">
        <is>
          <t>Desvinculación del Personal</t>
        </is>
      </c>
      <c r="H688" s="10" t="inlineStr">
        <is>
          <t>Formulario 107</t>
        </is>
      </c>
      <c r="I688" s="10" t="inlineStr">
        <is>
          <t>Formularios con información de empleados que contiene ingresos y gastos, documento eventual</t>
        </is>
      </c>
      <c r="J688" s="10" t="inlineStr">
        <is>
          <t>Gerente de Talento Humano</t>
        </is>
      </c>
      <c r="K688" s="10" t="inlineStr">
        <is>
          <t>Analista de Selección</t>
        </is>
      </c>
      <c r="L688" s="10" t="inlineStr">
        <is>
          <t>UBICACIÓN DIGITAL-EQUIPO DEL CUSTODIO</t>
        </is>
      </c>
      <c r="M688" s="10" t="inlineStr">
        <is>
          <t>DISCOS DUROS, SERVIDORES, DISCOS O MEDIOS PORTÁTILES, CINTAS O MEDIOS DE VIDEO Y AUDIO, ETC.</t>
        </is>
      </c>
      <c r="N688" s="10" t="inlineStr">
        <is>
          <t>PRIMARIOS</t>
        </is>
      </c>
      <c r="O688" s="10" t="inlineStr">
        <is>
          <t>DOCUMENTOS TÉCNICOS</t>
        </is>
      </c>
      <c r="P688" s="10" t="inlineStr">
        <is>
          <t>USO INTERNO(2)</t>
        </is>
      </c>
      <c r="Q688" s="10" t="inlineStr">
        <is>
          <t>BAJA(1)</t>
        </is>
      </c>
      <c r="R688" s="10" t="inlineStr">
        <is>
          <t>MEDIA(2)</t>
        </is>
      </c>
      <c r="S688" s="10">
        <f>+(IF(P688="PUBLICA(1)",1,IF(P688="USO INTERNO(2)",2,IF(P688="RESTRINGIDO(3)",3,3))))+(IF(Q688="BAJA(1)",1,IF(Q688="MEDIA(2)",2,IF(Q688="ALTA(3)",3,3))))+(IF(R688="BAJA(1)",1,IF(R688="MEDIA(2)",2,IF(R688="ALTA(3)",3,3))))</f>
        <v/>
      </c>
      <c r="T688" s="10">
        <f>+IF(S688&lt;6,"BAJA",IF(S688&lt;8,"MEDIA","ALTA"))</f>
        <v/>
      </c>
      <c r="U688" s="10" t="inlineStr">
        <is>
          <t>-</t>
        </is>
      </c>
      <c r="V688" s="24" t="n">
        <v>45687</v>
      </c>
      <c r="W688" s="19" t="inlineStr">
        <is>
          <t>N/A</t>
        </is>
      </c>
      <c r="X688" s="10">
        <f>+IFERROR(IF(VLOOKUP(Tabla2[[#This Row],[ID]],'EVALUACION DE RIESGO'!A:A,1,FALSE)=Tabla2[[#This Row],[ID]],"SI","NO"),"NO")</f>
        <v/>
      </c>
    </row>
    <row r="689">
      <c r="A689" s="91" t="inlineStr">
        <is>
          <t>130-GTH</t>
        </is>
      </c>
      <c r="B689" s="10" t="inlineStr">
        <is>
          <t>APOYO</t>
        </is>
      </c>
      <c r="C689" s="10" t="inlineStr">
        <is>
          <t>Gestión del Talento Humano</t>
        </is>
      </c>
      <c r="D689" s="10" t="inlineStr">
        <is>
          <t>GTH</t>
        </is>
      </c>
      <c r="E689" s="10" t="inlineStr">
        <is>
          <t xml:space="preserve">Vinculación y Desvinculación </t>
        </is>
      </c>
      <c r="F689" s="10" t="inlineStr">
        <is>
          <t>-</t>
        </is>
      </c>
      <c r="G689" s="10" t="inlineStr">
        <is>
          <t>Desvinculación del Personal</t>
        </is>
      </c>
      <c r="H689" s="10" t="inlineStr">
        <is>
          <t>Acta entrega recepción de bienes</t>
        </is>
      </c>
      <c r="I689" s="10" t="inlineStr">
        <is>
          <t>Acta entrega detallada de los bienes recibidos durante la salida, con información de la persona que recibe, detalle de activos, información física y electrónica, detalle de llaves, tarjetas y otros elementos, observaciones, legalización con firmas</t>
        </is>
      </c>
      <c r="J689" s="10" t="inlineStr">
        <is>
          <t>Gerente de Talento Humano</t>
        </is>
      </c>
      <c r="K689" s="10" t="inlineStr">
        <is>
          <t>Analista de Selección</t>
        </is>
      </c>
      <c r="L689" s="10" t="inlineStr">
        <is>
          <t>UBICACIÓN DIGITAL-EQUIPO DEL CUSTODIO</t>
        </is>
      </c>
      <c r="M689" s="10" t="inlineStr">
        <is>
          <t>DISCOS DUROS, SERVIDORES, DISCOS O MEDIOS PORTÁTILES, CINTAS O MEDIOS DE VIDEO Y AUDIO, ETC.</t>
        </is>
      </c>
      <c r="N689" s="10" t="inlineStr">
        <is>
          <t>PRIMARIOS</t>
        </is>
      </c>
      <c r="O689" s="10" t="inlineStr">
        <is>
          <t>DOCUMENTOS TÉCNICOS</t>
        </is>
      </c>
      <c r="P689" s="10" t="inlineStr">
        <is>
          <t>PUBLICA(1)</t>
        </is>
      </c>
      <c r="Q689" s="10" t="inlineStr">
        <is>
          <t>BAJA(1)</t>
        </is>
      </c>
      <c r="R689" s="10" t="inlineStr">
        <is>
          <t>MEDIA(2)</t>
        </is>
      </c>
      <c r="S689" s="10">
        <f>+(IF(P689="PUBLICA(1)",1,IF(P689="USO INTERNO(2)",2,IF(P689="RESTRINGIDO(3)",3,3))))+(IF(Q689="BAJA(1)",1,IF(Q689="MEDIA(2)",2,IF(Q689="ALTA(3)",3,3))))+(IF(R689="BAJA(1)",1,IF(R689="MEDIA(2)",2,IF(R689="ALTA(3)",3,3))))</f>
        <v/>
      </c>
      <c r="T689" s="10">
        <f>+IF(S689&lt;6,"BAJA",IF(S689&lt;8,"MEDIA","ALTA"))</f>
        <v/>
      </c>
      <c r="U689" s="10" t="inlineStr">
        <is>
          <t>-</t>
        </is>
      </c>
      <c r="V689" s="24" t="n">
        <v>45687</v>
      </c>
      <c r="W689" s="19" t="inlineStr">
        <is>
          <t>N/A</t>
        </is>
      </c>
      <c r="X689" s="10">
        <f>+IFERROR(IF(VLOOKUP(Tabla2[[#This Row],[ID]],'EVALUACION DE RIESGO'!A:A,1,FALSE)=Tabla2[[#This Row],[ID]],"SI","NO"),"NO")</f>
        <v/>
      </c>
    </row>
    <row r="690">
      <c r="A690" s="91" t="inlineStr">
        <is>
          <t>131-GTH</t>
        </is>
      </c>
      <c r="B690" s="10" t="inlineStr">
        <is>
          <t>APOYO</t>
        </is>
      </c>
      <c r="C690" s="10" t="inlineStr">
        <is>
          <t>Gestión del Talento Humano</t>
        </is>
      </c>
      <c r="D690" s="10" t="inlineStr">
        <is>
          <t>GTH</t>
        </is>
      </c>
      <c r="E690" s="10" t="inlineStr">
        <is>
          <t>Gestión de Trabajo Social</t>
        </is>
      </c>
      <c r="F690" s="10" t="inlineStr">
        <is>
          <t>-</t>
        </is>
      </c>
      <c r="G690" s="10" t="inlineStr">
        <is>
          <t>Aplicación y análisis de fichas socioeconómicas</t>
        </is>
      </c>
      <c r="H690" s="10" t="inlineStr">
        <is>
          <t>Ficha socioeconómica</t>
        </is>
      </c>
      <c r="I690" s="10" t="inlineStr">
        <is>
          <t>Documentos físico que se registra físicamente con información de datos personales, cónyuge, datos generales vehículo, seguros, datos de vivienda, croquis, grupo de convivencia, información económica, información preocupacional.</t>
        </is>
      </c>
      <c r="J690" s="10" t="inlineStr">
        <is>
          <t>Gerente de Talento Humano</t>
        </is>
      </c>
      <c r="K690" s="10" t="inlineStr">
        <is>
          <t>Asistente de Talento Humano</t>
        </is>
      </c>
      <c r="L690" s="10" t="inlineStr">
        <is>
          <t>DOCUMENTOS FISICOS-ARCHIVOS DE LA OFICINA</t>
        </is>
      </c>
      <c r="M690" s="10" t="inlineStr">
        <is>
          <t>DOCUMENTO DE ARCHIVO-FÍSICO</t>
        </is>
      </c>
      <c r="N690" s="10" t="inlineStr">
        <is>
          <t>PRIMARIOS</t>
        </is>
      </c>
      <c r="O690" s="10" t="inlineStr">
        <is>
          <t>DOCUMENTOS TÉCNICOS</t>
        </is>
      </c>
      <c r="P690" s="10" t="inlineStr">
        <is>
          <t>RESTRINGIDO(3)</t>
        </is>
      </c>
      <c r="Q690" s="10" t="inlineStr">
        <is>
          <t>BAJA(1)</t>
        </is>
      </c>
      <c r="R690" s="10" t="inlineStr">
        <is>
          <t>MEDIA(2)</t>
        </is>
      </c>
      <c r="S690" s="10">
        <f>+(IF(P690="PUBLICA(1)",1,IF(P690="USO INTERNO(2)",2,IF(P690="RESTRINGIDO(3)",3,3))))+(IF(Q690="BAJA(1)",1,IF(Q690="MEDIA(2)",2,IF(Q690="ALTA(3)",3,3))))+(IF(R690="BAJA(1)",1,IF(R690="MEDIA(2)",2,IF(R690="ALTA(3)",3,3))))</f>
        <v/>
      </c>
      <c r="T690" s="10">
        <f>+IF(S690&lt;6,"BAJA",IF(S690&lt;8,"MEDIA","ALTA"))</f>
        <v/>
      </c>
      <c r="U690" s="10" t="inlineStr">
        <is>
          <t>-</t>
        </is>
      </c>
      <c r="V690" s="24" t="n">
        <v>45687</v>
      </c>
      <c r="W690" s="19" t="inlineStr">
        <is>
          <t>N/A</t>
        </is>
      </c>
      <c r="X690" s="10">
        <f>+IFERROR(IF(VLOOKUP(Tabla2[[#This Row],[ID]],'EVALUACION DE RIESGO'!A:A,1,FALSE)=Tabla2[[#This Row],[ID]],"SI","NO"),"NO")</f>
        <v/>
      </c>
    </row>
    <row r="691">
      <c r="A691" s="91" t="inlineStr">
        <is>
          <t>132-GTH</t>
        </is>
      </c>
      <c r="B691" s="10" t="inlineStr">
        <is>
          <t>APOYO</t>
        </is>
      </c>
      <c r="C691" s="10" t="inlineStr">
        <is>
          <t>Gestión del Talento Humano</t>
        </is>
      </c>
      <c r="D691" s="10" t="inlineStr">
        <is>
          <t>GTH</t>
        </is>
      </c>
      <c r="E691" s="10" t="inlineStr">
        <is>
          <t>Gestión de Trabajo Social</t>
        </is>
      </c>
      <c r="F691" s="10" t="inlineStr">
        <is>
          <t>-</t>
        </is>
      </c>
      <c r="G691" s="10" t="inlineStr">
        <is>
          <t>Aplicación y análisis de fichas socioeconómicas</t>
        </is>
      </c>
      <c r="H691" s="10" t="inlineStr">
        <is>
          <t>Cronograma de visitas domiciliarias</t>
        </is>
      </c>
      <c r="I691" s="10" t="inlineStr">
        <is>
          <t>Correo de Cronograma realizado de acuerdo a la contratación, se hace visita a cargos de criterio riesgoso, y por alertas emitidas por cumplimiento.</t>
        </is>
      </c>
      <c r="J691" s="10" t="inlineStr">
        <is>
          <t>Gerente de Talento Humano</t>
        </is>
      </c>
      <c r="K691" s="10" t="inlineStr">
        <is>
          <t>Asistente de Talento Humano</t>
        </is>
      </c>
      <c r="L691" s="10" t="inlineStr">
        <is>
          <t>UBICACIÓN DIGITAL-EQUIPO DEL CUSTODIO</t>
        </is>
      </c>
      <c r="M691" s="10" t="inlineStr">
        <is>
          <t>DISCOS DUROS, SERVIDORES, DISCOS O MEDIOS PORTÁTILES, CINTAS O MEDIOS DE VIDEO Y AUDIO, ETC.</t>
        </is>
      </c>
      <c r="N691" s="10" t="inlineStr">
        <is>
          <t>PRIMARIOS</t>
        </is>
      </c>
      <c r="O691" s="10" t="inlineStr">
        <is>
          <t>COMUNICACIÓN INTERNA</t>
        </is>
      </c>
      <c r="P691" s="10" t="inlineStr">
        <is>
          <t>USO INTERNO(2)</t>
        </is>
      </c>
      <c r="Q691" s="10" t="inlineStr">
        <is>
          <t>BAJA(1)</t>
        </is>
      </c>
      <c r="R691" s="10" t="inlineStr">
        <is>
          <t>MEDIA(2)</t>
        </is>
      </c>
      <c r="S691" s="10">
        <f>+(IF(P691="PUBLICA(1)",1,IF(P691="USO INTERNO(2)",2,IF(P691="RESTRINGIDO(3)",3,3))))+(IF(Q691="BAJA(1)",1,IF(Q691="MEDIA(2)",2,IF(Q691="ALTA(3)",3,3))))+(IF(R691="BAJA(1)",1,IF(R691="MEDIA(2)",2,IF(R691="ALTA(3)",3,3))))</f>
        <v/>
      </c>
      <c r="T691" s="10">
        <f>+IF(S691&lt;6,"BAJA",IF(S691&lt;8,"MEDIA","ALTA"))</f>
        <v/>
      </c>
      <c r="U691" s="10" t="inlineStr">
        <is>
          <t>-</t>
        </is>
      </c>
      <c r="V691" s="24" t="n">
        <v>45687</v>
      </c>
      <c r="W691" s="19" t="inlineStr">
        <is>
          <t>N/A</t>
        </is>
      </c>
      <c r="X691" s="10">
        <f>+IFERROR(IF(VLOOKUP(Tabla2[[#This Row],[ID]],'EVALUACION DE RIESGO'!A:A,1,FALSE)=Tabla2[[#This Row],[ID]],"SI","NO"),"NO")</f>
        <v/>
      </c>
    </row>
    <row r="692">
      <c r="A692" s="91" t="inlineStr">
        <is>
          <t>133-GTH</t>
        </is>
      </c>
      <c r="B692" s="10" t="inlineStr">
        <is>
          <t>APOYO</t>
        </is>
      </c>
      <c r="C692" s="10" t="inlineStr">
        <is>
          <t>Gestión del Talento Humano</t>
        </is>
      </c>
      <c r="D692" s="10" t="inlineStr">
        <is>
          <t>GTH</t>
        </is>
      </c>
      <c r="E692" s="10" t="inlineStr">
        <is>
          <t>Gestión de Trabajo Social</t>
        </is>
      </c>
      <c r="F692" s="10" t="inlineStr">
        <is>
          <t>-</t>
        </is>
      </c>
      <c r="G692" s="10" t="inlineStr">
        <is>
          <t>Aplicación y análisis de fichas socioeconómicas</t>
        </is>
      </c>
      <c r="H692" s="10" t="inlineStr">
        <is>
          <t>Informe social</t>
        </is>
      </c>
      <c r="I692" s="10" t="inlineStr">
        <is>
          <t>Informe de acción realizada presentado en el informe mensual del área</t>
        </is>
      </c>
      <c r="J692" s="10" t="inlineStr">
        <is>
          <t>Gerente de Talento Humano</t>
        </is>
      </c>
      <c r="K692" s="10" t="inlineStr">
        <is>
          <t>Asistente de Talento Humano</t>
        </is>
      </c>
      <c r="L692" s="10" t="inlineStr">
        <is>
          <t>UBICACIÓN DIGITAL-EQUIPO DEL CUSTODIO</t>
        </is>
      </c>
      <c r="M692" s="10" t="inlineStr">
        <is>
          <t>DISCOS DUROS, SERVIDORES, DISCOS O MEDIOS PORTÁTILES, CINTAS O MEDIOS DE VIDEO Y AUDIO, ETC.</t>
        </is>
      </c>
      <c r="N692" s="10" t="inlineStr">
        <is>
          <t>PRIMARIOS</t>
        </is>
      </c>
      <c r="O692" s="10" t="inlineStr">
        <is>
          <t>DOCUMENTOS TÉCNICOS</t>
        </is>
      </c>
      <c r="P692" s="10" t="inlineStr">
        <is>
          <t>USO INTERNO(2)</t>
        </is>
      </c>
      <c r="Q692" s="10" t="inlineStr">
        <is>
          <t>BAJA(1)</t>
        </is>
      </c>
      <c r="R692" s="10" t="inlineStr">
        <is>
          <t>MEDIA(2)</t>
        </is>
      </c>
      <c r="S692" s="10">
        <f>+(IF(P692="PUBLICA(1)",1,IF(P692="USO INTERNO(2)",2,IF(P692="RESTRINGIDO(3)",3,3))))+(IF(Q692="BAJA(1)",1,IF(Q692="MEDIA(2)",2,IF(Q692="ALTA(3)",3,3))))+(IF(R692="BAJA(1)",1,IF(R692="MEDIA(2)",2,IF(R692="ALTA(3)",3,3))))</f>
        <v/>
      </c>
      <c r="T692" s="10">
        <f>+IF(S692&lt;6,"BAJA",IF(S692&lt;8,"MEDIA","ALTA"))</f>
        <v/>
      </c>
      <c r="U692" s="10" t="inlineStr">
        <is>
          <t>-</t>
        </is>
      </c>
      <c r="V692" s="24" t="n">
        <v>45687</v>
      </c>
      <c r="W692" s="19" t="inlineStr">
        <is>
          <t>N/A</t>
        </is>
      </c>
      <c r="X692" s="10">
        <f>+IFERROR(IF(VLOOKUP(Tabla2[[#This Row],[ID]],'EVALUACION DE RIESGO'!A:A,1,FALSE)=Tabla2[[#This Row],[ID]],"SI","NO"),"NO")</f>
        <v/>
      </c>
    </row>
    <row r="693">
      <c r="A693" s="91" t="inlineStr">
        <is>
          <t>134-GTH</t>
        </is>
      </c>
      <c r="B693" s="10" t="inlineStr">
        <is>
          <t>APOYO</t>
        </is>
      </c>
      <c r="C693" s="10" t="inlineStr">
        <is>
          <t>Gestión del Talento Humano</t>
        </is>
      </c>
      <c r="D693" s="10" t="inlineStr">
        <is>
          <t>GTH</t>
        </is>
      </c>
      <c r="E693" s="10" t="inlineStr">
        <is>
          <t>Gestión de Trabajo Social</t>
        </is>
      </c>
      <c r="F693" s="10" t="inlineStr">
        <is>
          <t>-</t>
        </is>
      </c>
      <c r="G693" s="10" t="inlineStr">
        <is>
          <t>Visitas domiciliarias al personal</t>
        </is>
      </c>
      <c r="H693" s="10" t="inlineStr">
        <is>
          <t>Ficha socioeconómica</t>
        </is>
      </c>
      <c r="I693" s="10" t="inlineStr">
        <is>
          <t>Documentos físico que se registra físicamente con información de datos personales, cónyuge, datos generales vehículo, seguros, datos de vivienda, croquis, grupo de convivencia, información económica, información preocupacional.</t>
        </is>
      </c>
      <c r="J693" s="10" t="inlineStr">
        <is>
          <t>Gerente de Talento Humano</t>
        </is>
      </c>
      <c r="K693" s="10" t="inlineStr">
        <is>
          <t>Asistente de Talento Humano</t>
        </is>
      </c>
      <c r="L693" s="10" t="inlineStr">
        <is>
          <t>DOCUMENTOS FISICOS-ARCHIVOS DE LA OFICINA</t>
        </is>
      </c>
      <c r="M693" s="10" t="inlineStr">
        <is>
          <t>DOCUMENTO DE ARCHIVO-FÍSICO</t>
        </is>
      </c>
      <c r="N693" s="10" t="inlineStr">
        <is>
          <t>PRIMARIOS</t>
        </is>
      </c>
      <c r="O693" s="10" t="inlineStr">
        <is>
          <t>DOCUMENTOS TÉCNICOS</t>
        </is>
      </c>
      <c r="P693" s="10" t="inlineStr">
        <is>
          <t>USO INTERNO(2)</t>
        </is>
      </c>
      <c r="Q693" s="10" t="inlineStr">
        <is>
          <t>BAJA(1)</t>
        </is>
      </c>
      <c r="R693" s="10" t="inlineStr">
        <is>
          <t>MEDIA(2)</t>
        </is>
      </c>
      <c r="S693" s="10">
        <f>+(IF(P693="PUBLICA(1)",1,IF(P693="USO INTERNO(2)",2,IF(P693="RESTRINGIDO(3)",3,3))))+(IF(Q693="BAJA(1)",1,IF(Q693="MEDIA(2)",2,IF(Q693="ALTA(3)",3,3))))+(IF(R693="BAJA(1)",1,IF(R693="MEDIA(2)",2,IF(R693="ALTA(3)",3,3))))</f>
        <v/>
      </c>
      <c r="T693" s="10">
        <f>+IF(S693&lt;6,"BAJA",IF(S693&lt;8,"MEDIA","ALTA"))</f>
        <v/>
      </c>
      <c r="U693" s="10" t="inlineStr">
        <is>
          <t>-</t>
        </is>
      </c>
      <c r="V693" s="24" t="n">
        <v>45687</v>
      </c>
      <c r="W693" s="19" t="inlineStr">
        <is>
          <t>N/A</t>
        </is>
      </c>
      <c r="X693" s="10">
        <f>+IFERROR(IF(VLOOKUP(Tabla2[[#This Row],[ID]],'EVALUACION DE RIESGO'!A:A,1,FALSE)=Tabla2[[#This Row],[ID]],"SI","NO"),"NO")</f>
        <v/>
      </c>
    </row>
    <row r="694">
      <c r="A694" s="91" t="inlineStr">
        <is>
          <t>135-GTH</t>
        </is>
      </c>
      <c r="B694" s="10" t="inlineStr">
        <is>
          <t>APOYO</t>
        </is>
      </c>
      <c r="C694" s="10" t="inlineStr">
        <is>
          <t>Gestión del Talento Humano</t>
        </is>
      </c>
      <c r="D694" s="10" t="inlineStr">
        <is>
          <t>GTH</t>
        </is>
      </c>
      <c r="E694" s="10" t="inlineStr">
        <is>
          <t>Gestión de Trabajo Social</t>
        </is>
      </c>
      <c r="F694" s="10" t="inlineStr">
        <is>
          <t>-</t>
        </is>
      </c>
      <c r="G694" s="10" t="inlineStr">
        <is>
          <t>Visitas domiciliarias al personal</t>
        </is>
      </c>
      <c r="H694" s="10" t="inlineStr">
        <is>
          <t>Informe social</t>
        </is>
      </c>
      <c r="I694" s="10" t="inlineStr">
        <is>
          <t>Informe de acción realizada presentado en el informe mensual del área</t>
        </is>
      </c>
      <c r="J694" s="10" t="inlineStr">
        <is>
          <t>Gerente de Talento Humano</t>
        </is>
      </c>
      <c r="K694" s="10" t="inlineStr">
        <is>
          <t>Asistente de Talento Humano</t>
        </is>
      </c>
      <c r="L694" s="10" t="inlineStr">
        <is>
          <t>UBICACIÓN DIGITAL-EQUIPO DEL CUSTODIO</t>
        </is>
      </c>
      <c r="M694" s="10" t="inlineStr">
        <is>
          <t>DISCOS DUROS, SERVIDORES, DISCOS O MEDIOS PORTÁTILES, CINTAS O MEDIOS DE VIDEO Y AUDIO, ETC.</t>
        </is>
      </c>
      <c r="N694" s="10" t="inlineStr">
        <is>
          <t>PRIMARIOS</t>
        </is>
      </c>
      <c r="O694" s="10" t="inlineStr">
        <is>
          <t>DOCUMENTOS TÉCNICOS</t>
        </is>
      </c>
      <c r="P694" s="10" t="inlineStr">
        <is>
          <t>USO INTERNO(2)</t>
        </is>
      </c>
      <c r="Q694" s="10" t="inlineStr">
        <is>
          <t>BAJA(1)</t>
        </is>
      </c>
      <c r="R694" s="10" t="inlineStr">
        <is>
          <t>BAJA(1)</t>
        </is>
      </c>
      <c r="S694" s="10">
        <f>+(IF(P694="PUBLICA(1)",1,IF(P694="USO INTERNO(2)",2,IF(P694="RESTRINGIDO(3)",3,3))))+(IF(Q694="BAJA(1)",1,IF(Q694="MEDIA(2)",2,IF(Q694="ALTA(3)",3,3))))+(IF(R694="BAJA(1)",1,IF(R694="MEDIA(2)",2,IF(R694="ALTA(3)",3,3))))</f>
        <v/>
      </c>
      <c r="T694" s="10">
        <f>+IF(S694&lt;6,"BAJA",IF(S694&lt;8,"MEDIA","ALTA"))</f>
        <v/>
      </c>
      <c r="U694" s="10" t="inlineStr">
        <is>
          <t>-</t>
        </is>
      </c>
      <c r="V694" s="24" t="n">
        <v>45687</v>
      </c>
      <c r="W694" s="19" t="inlineStr">
        <is>
          <t>N/A</t>
        </is>
      </c>
      <c r="X694" s="10">
        <f>+IFERROR(IF(VLOOKUP(Tabla2[[#This Row],[ID]],'EVALUACION DE RIESGO'!A:A,1,FALSE)=Tabla2[[#This Row],[ID]],"SI","NO"),"NO")</f>
        <v/>
      </c>
    </row>
    <row r="695">
      <c r="A695" s="91" t="inlineStr">
        <is>
          <t>136-GTH</t>
        </is>
      </c>
      <c r="B695" s="10" t="inlineStr">
        <is>
          <t>APOYO</t>
        </is>
      </c>
      <c r="C695" s="10" t="inlineStr">
        <is>
          <t>Gestión del Talento Humano</t>
        </is>
      </c>
      <c r="D695" s="10" t="inlineStr">
        <is>
          <t>GTH</t>
        </is>
      </c>
      <c r="E695" s="10" t="inlineStr">
        <is>
          <t>Gestión de Trabajo Social</t>
        </is>
      </c>
      <c r="F695" s="10" t="inlineStr">
        <is>
          <t>-</t>
        </is>
      </c>
      <c r="G695" s="10" t="inlineStr">
        <is>
          <t>Visitas por motivos de salud</t>
        </is>
      </c>
      <c r="H695" s="10" t="inlineStr">
        <is>
          <t>Informe social / ficha de visita domiciliaria</t>
        </is>
      </c>
      <c r="I695" s="10" t="inlineStr">
        <is>
          <t>Informe de acción realizada presentado en el informe mensual del área</t>
        </is>
      </c>
      <c r="J695" s="10" t="inlineStr">
        <is>
          <t>Gerente de Talento Humano</t>
        </is>
      </c>
      <c r="K695" s="10" t="inlineStr">
        <is>
          <t>Asistente de Talento Humano</t>
        </is>
      </c>
      <c r="L695" s="10" t="inlineStr">
        <is>
          <t>UBICACIÓN DIGITAL-EQUIPO DEL CUSTODIO</t>
        </is>
      </c>
      <c r="M695" s="10" t="inlineStr">
        <is>
          <t>DISCOS DUROS, SERVIDORES, DISCOS O MEDIOS PORTÁTILES, CINTAS O MEDIOS DE VIDEO Y AUDIO, ETC.</t>
        </is>
      </c>
      <c r="N695" s="10" t="inlineStr">
        <is>
          <t>PRIMARIOS</t>
        </is>
      </c>
      <c r="O695" s="10" t="inlineStr">
        <is>
          <t>DOCUMENTOS TÉCNICOS</t>
        </is>
      </c>
      <c r="P695" s="10" t="inlineStr">
        <is>
          <t>USO INTERNO(2)</t>
        </is>
      </c>
      <c r="Q695" s="10" t="inlineStr">
        <is>
          <t>BAJA(1)</t>
        </is>
      </c>
      <c r="R695" s="10" t="inlineStr">
        <is>
          <t>BAJA(1)</t>
        </is>
      </c>
      <c r="S695" s="10">
        <f>+(IF(P695="PUBLICA(1)",1,IF(P695="USO INTERNO(2)",2,IF(P695="RESTRINGIDO(3)",3,3))))+(IF(Q695="BAJA(1)",1,IF(Q695="MEDIA(2)",2,IF(Q695="ALTA(3)",3,3))))+(IF(R695="BAJA(1)",1,IF(R695="MEDIA(2)",2,IF(R695="ALTA(3)",3,3))))</f>
        <v/>
      </c>
      <c r="T695" s="10">
        <f>+IF(S695&lt;6,"BAJA",IF(S695&lt;8,"MEDIA","ALTA"))</f>
        <v/>
      </c>
      <c r="U695" s="10" t="inlineStr">
        <is>
          <t>-</t>
        </is>
      </c>
      <c r="V695" s="24" t="n">
        <v>45687</v>
      </c>
      <c r="W695" s="19" t="inlineStr">
        <is>
          <t>N/A</t>
        </is>
      </c>
      <c r="X695" s="10">
        <f>+IFERROR(IF(VLOOKUP(Tabla2[[#This Row],[ID]],'EVALUACION DE RIESGO'!A:A,1,FALSE)=Tabla2[[#This Row],[ID]],"SI","NO"),"NO")</f>
        <v/>
      </c>
    </row>
    <row r="696">
      <c r="A696" s="91" t="inlineStr">
        <is>
          <t>137-GTH</t>
        </is>
      </c>
      <c r="B696" s="10" t="inlineStr">
        <is>
          <t>APOYO</t>
        </is>
      </c>
      <c r="C696" s="10" t="inlineStr">
        <is>
          <t>Gestión del Talento Humano</t>
        </is>
      </c>
      <c r="D696" s="10" t="inlineStr">
        <is>
          <t>GTH</t>
        </is>
      </c>
      <c r="E696" s="10" t="inlineStr">
        <is>
          <t>Gestión de Trabajo Social</t>
        </is>
      </c>
      <c r="F696" s="10" t="inlineStr">
        <is>
          <t>-</t>
        </is>
      </c>
      <c r="G696" s="10" t="inlineStr">
        <is>
          <t>Seguimiento de casos vulnerables</t>
        </is>
      </c>
      <c r="H696" s="10" t="inlineStr">
        <is>
          <t>Informe social</t>
        </is>
      </c>
      <c r="I696" s="10" t="inlineStr">
        <is>
          <t>Informe de acción realizada presentado en el informe mensual del área</t>
        </is>
      </c>
      <c r="J696" s="10" t="inlineStr">
        <is>
          <t>Gerente de Talento Humano</t>
        </is>
      </c>
      <c r="K696" s="10" t="inlineStr">
        <is>
          <t>Asistente de Talento Humano</t>
        </is>
      </c>
      <c r="L696" s="10" t="inlineStr">
        <is>
          <t>UBICACIÓN DIGITAL-EQUIPO DEL CUSTODIO</t>
        </is>
      </c>
      <c r="M696" s="10" t="inlineStr">
        <is>
          <t>DISCOS DUROS, SERVIDORES, DISCOS O MEDIOS PORTÁTILES, CINTAS O MEDIOS DE VIDEO Y AUDIO, ETC.</t>
        </is>
      </c>
      <c r="N696" s="10" t="inlineStr">
        <is>
          <t>PRIMARIOS</t>
        </is>
      </c>
      <c r="O696" s="10" t="inlineStr">
        <is>
          <t>DOCUMENTOS TÉCNICOS</t>
        </is>
      </c>
      <c r="P696" s="10" t="inlineStr">
        <is>
          <t>USO INTERNO(2)</t>
        </is>
      </c>
      <c r="Q696" s="10" t="inlineStr">
        <is>
          <t>BAJA(1)</t>
        </is>
      </c>
      <c r="R696" s="10" t="inlineStr">
        <is>
          <t>BAJA(1)</t>
        </is>
      </c>
      <c r="S696" s="10">
        <f>+(IF(P696="PUBLICA(1)",1,IF(P696="USO INTERNO(2)",2,IF(P696="RESTRINGIDO(3)",3,3))))+(IF(Q696="BAJA(1)",1,IF(Q696="MEDIA(2)",2,IF(Q696="ALTA(3)",3,3))))+(IF(R696="BAJA(1)",1,IF(R696="MEDIA(2)",2,IF(R696="ALTA(3)",3,3))))</f>
        <v/>
      </c>
      <c r="T696" s="10">
        <f>+IF(S696&lt;6,"BAJA",IF(S696&lt;8,"MEDIA","ALTA"))</f>
        <v/>
      </c>
      <c r="U696" s="10" t="inlineStr">
        <is>
          <t>-</t>
        </is>
      </c>
      <c r="V696" s="24" t="n">
        <v>45687</v>
      </c>
      <c r="W696" s="19" t="inlineStr">
        <is>
          <t>N/A</t>
        </is>
      </c>
      <c r="X696" s="10">
        <f>+IFERROR(IF(VLOOKUP(Tabla2[[#This Row],[ID]],'EVALUACION DE RIESGO'!A:A,1,FALSE)=Tabla2[[#This Row],[ID]],"SI","NO"),"NO")</f>
        <v/>
      </c>
    </row>
    <row r="697">
      <c r="A697" s="91" t="inlineStr">
        <is>
          <t>138-GTH</t>
        </is>
      </c>
      <c r="B697" s="10" t="inlineStr">
        <is>
          <t>APOYO</t>
        </is>
      </c>
      <c r="C697" s="10" t="inlineStr">
        <is>
          <t>Gestión del Talento Humano</t>
        </is>
      </c>
      <c r="D697" s="10" t="inlineStr">
        <is>
          <t>GTH</t>
        </is>
      </c>
      <c r="E697" s="10" t="inlineStr">
        <is>
          <t>Gestión de Trabajo Social</t>
        </is>
      </c>
      <c r="F697" s="10" t="inlineStr">
        <is>
          <t>-</t>
        </is>
      </c>
      <c r="G697" s="10" t="inlineStr">
        <is>
          <t>Implementación de proyectos de bienestar social</t>
        </is>
      </c>
      <c r="H697" s="10" t="inlineStr">
        <is>
          <t>Proyecto de bienestar social</t>
        </is>
      </c>
      <c r="I697" s="10" t="inlineStr">
        <is>
          <t>Proyectos de gestión social como notificaciones de cumplimiento de años de labor, gestión de beneficios a través de convenios externos</t>
        </is>
      </c>
      <c r="J697" s="10" t="inlineStr">
        <is>
          <t>Gerente de Talento Humano</t>
        </is>
      </c>
      <c r="K697" s="10" t="inlineStr">
        <is>
          <t>Asistente de Talento Humano</t>
        </is>
      </c>
      <c r="L697" s="10" t="inlineStr">
        <is>
          <t>UBICACIÓN DIGITAL-EQUIPO DEL CUSTODIO</t>
        </is>
      </c>
      <c r="M697" s="10" t="inlineStr">
        <is>
          <t>DISCOS DUROS, SERVIDORES, DISCOS O MEDIOS PORTÁTILES, CINTAS O MEDIOS DE VIDEO Y AUDIO, ETC.</t>
        </is>
      </c>
      <c r="N697" s="10" t="inlineStr">
        <is>
          <t>PRIMARIOS</t>
        </is>
      </c>
      <c r="O697" s="10" t="inlineStr">
        <is>
          <t>DOCUMENTOS TÉCNICOS</t>
        </is>
      </c>
      <c r="P697" s="10" t="inlineStr">
        <is>
          <t>PUBLICA(1)</t>
        </is>
      </c>
      <c r="Q697" s="10" t="inlineStr">
        <is>
          <t>BAJA(1)</t>
        </is>
      </c>
      <c r="R697" s="10" t="inlineStr">
        <is>
          <t>BAJA(1)</t>
        </is>
      </c>
      <c r="S697" s="10">
        <f>+(IF(P697="PUBLICA(1)",1,IF(P697="USO INTERNO(2)",2,IF(P697="RESTRINGIDO(3)",3,3))))+(IF(Q697="BAJA(1)",1,IF(Q697="MEDIA(2)",2,IF(Q697="ALTA(3)",3,3))))+(IF(R697="BAJA(1)",1,IF(R697="MEDIA(2)",2,IF(R697="ALTA(3)",3,3))))</f>
        <v/>
      </c>
      <c r="T697" s="10">
        <f>+IF(S697&lt;6,"BAJA",IF(S697&lt;8,"MEDIA","ALTA"))</f>
        <v/>
      </c>
      <c r="U697" s="10" t="inlineStr">
        <is>
          <t>-</t>
        </is>
      </c>
      <c r="V697" s="24" t="n">
        <v>45687</v>
      </c>
      <c r="W697" s="19" t="inlineStr">
        <is>
          <t>N/A</t>
        </is>
      </c>
      <c r="X697" s="10">
        <f>+IFERROR(IF(VLOOKUP(Tabla2[[#This Row],[ID]],'EVALUACION DE RIESGO'!A:A,1,FALSE)=Tabla2[[#This Row],[ID]],"SI","NO"),"NO")</f>
        <v/>
      </c>
    </row>
    <row r="698">
      <c r="A698" s="91" t="inlineStr">
        <is>
          <t>139-GTH</t>
        </is>
      </c>
      <c r="B698" s="10" t="inlineStr">
        <is>
          <t>APOYO</t>
        </is>
      </c>
      <c r="C698" s="10" t="inlineStr">
        <is>
          <t>Gestión del Talento Humano</t>
        </is>
      </c>
      <c r="D698" s="10" t="inlineStr">
        <is>
          <t>GTH</t>
        </is>
      </c>
      <c r="E698" s="10" t="inlineStr">
        <is>
          <t>Gestión de Trabajo Social</t>
        </is>
      </c>
      <c r="F698" s="10" t="inlineStr">
        <is>
          <t>-</t>
        </is>
      </c>
      <c r="G698" s="10" t="inlineStr">
        <is>
          <t>Implementación de proyectos de bienestar social</t>
        </is>
      </c>
      <c r="H698" s="10" t="inlineStr">
        <is>
          <t>Informe de resultados del proyecto</t>
        </is>
      </c>
      <c r="I698" s="10" t="inlineStr">
        <is>
          <t>Informe mensual de acciones realizadas por convenios de aseguradora</t>
        </is>
      </c>
      <c r="J698" s="10" t="inlineStr">
        <is>
          <t>Gerente de Talento Humano</t>
        </is>
      </c>
      <c r="K698" s="10" t="inlineStr">
        <is>
          <t>Asistente de Talento Humano</t>
        </is>
      </c>
      <c r="L698" s="10" t="inlineStr">
        <is>
          <t>UBICACIÓN DIGITAL-EQUIPO DEL CUSTODIO</t>
        </is>
      </c>
      <c r="M698" s="10" t="inlineStr">
        <is>
          <t>DISCOS DUROS, SERVIDORES, DISCOS O MEDIOS PORTÁTILES, CINTAS O MEDIOS DE VIDEO Y AUDIO, ETC.</t>
        </is>
      </c>
      <c r="N698" s="10" t="inlineStr">
        <is>
          <t>PRIMARIOS</t>
        </is>
      </c>
      <c r="O698" s="10" t="inlineStr">
        <is>
          <t>DOCUMENTOS TÉCNICOS</t>
        </is>
      </c>
      <c r="P698" s="10" t="inlineStr">
        <is>
          <t>USO INTERNO(2)</t>
        </is>
      </c>
      <c r="Q698" s="10" t="inlineStr">
        <is>
          <t>BAJA(1)</t>
        </is>
      </c>
      <c r="R698" s="10" t="inlineStr">
        <is>
          <t>BAJA(1)</t>
        </is>
      </c>
      <c r="S698" s="10">
        <f>+(IF(P698="PUBLICA(1)",1,IF(P698="USO INTERNO(2)",2,IF(P698="RESTRINGIDO(3)",3,3))))+(IF(Q698="BAJA(1)",1,IF(Q698="MEDIA(2)",2,IF(Q698="ALTA(3)",3,3))))+(IF(R698="BAJA(1)",1,IF(R698="MEDIA(2)",2,IF(R698="ALTA(3)",3,3))))</f>
        <v/>
      </c>
      <c r="T698" s="10">
        <f>+IF(S698&lt;6,"BAJA",IF(S698&lt;8,"MEDIA","ALTA"))</f>
        <v/>
      </c>
      <c r="U698" s="10" t="inlineStr">
        <is>
          <t>-</t>
        </is>
      </c>
      <c r="V698" s="24" t="n">
        <v>45687</v>
      </c>
      <c r="W698" s="19" t="inlineStr">
        <is>
          <t>N/A</t>
        </is>
      </c>
      <c r="X698" s="10">
        <f>+IFERROR(IF(VLOOKUP(Tabla2[[#This Row],[ID]],'EVALUACION DE RIESGO'!A:A,1,FALSE)=Tabla2[[#This Row],[ID]],"SI","NO"),"NO")</f>
        <v/>
      </c>
    </row>
    <row r="699">
      <c r="A699" s="91" t="inlineStr">
        <is>
          <t>140-GTH</t>
        </is>
      </c>
      <c r="B699" s="10" t="inlineStr">
        <is>
          <t>APOYO</t>
        </is>
      </c>
      <c r="C699" s="10" t="inlineStr">
        <is>
          <t>Gestión del Talento Humano</t>
        </is>
      </c>
      <c r="D699" s="10" t="inlineStr">
        <is>
          <t>GTH</t>
        </is>
      </c>
      <c r="E699" s="10" t="inlineStr">
        <is>
          <t>Gestión de Trabajo Social</t>
        </is>
      </c>
      <c r="F699" s="10" t="inlineStr">
        <is>
          <t>-</t>
        </is>
      </c>
      <c r="G699" s="10" t="inlineStr">
        <is>
          <t>Administración de beneficios laborales</t>
        </is>
      </c>
      <c r="H699" s="10" t="inlineStr">
        <is>
          <t>Solicitud de adquisición</t>
        </is>
      </c>
      <c r="I699" s="10" t="inlineStr">
        <is>
          <t>Solicitud de adquisición realizada por medio del sistema SARA en base al presupuesto</t>
        </is>
      </c>
      <c r="J699" s="10" t="inlineStr">
        <is>
          <t>Gerente de Talento Humano</t>
        </is>
      </c>
      <c r="K699" s="10" t="inlineStr">
        <is>
          <t>Asistente de Talento Humano</t>
        </is>
      </c>
      <c r="L699" s="10" t="inlineStr">
        <is>
          <t>UBICACIÓN DIGITAL-EQUIPO DEL CUSTODIO</t>
        </is>
      </c>
      <c r="M699" s="10" t="inlineStr">
        <is>
          <t>DISCOS DUROS, SERVIDORES, DISCOS O MEDIOS PORTÁTILES, CINTAS O MEDIOS DE VIDEO Y AUDIO, ETC.</t>
        </is>
      </c>
      <c r="N699" s="10" t="inlineStr">
        <is>
          <t>PRIMARIOS</t>
        </is>
      </c>
      <c r="O699" s="10" t="inlineStr">
        <is>
          <t>DOCUMENTOS TÉCNICOS</t>
        </is>
      </c>
      <c r="P699" s="10" t="inlineStr">
        <is>
          <t>USO INTERNO(2)</t>
        </is>
      </c>
      <c r="Q699" s="10" t="inlineStr">
        <is>
          <t>BAJA(1)</t>
        </is>
      </c>
      <c r="R699" s="10" t="inlineStr">
        <is>
          <t>BAJA(1)</t>
        </is>
      </c>
      <c r="S699" s="10">
        <f>+(IF(P699="PUBLICA(1)",1,IF(P699="USO INTERNO(2)",2,IF(P699="RESTRINGIDO(3)",3,3))))+(IF(Q699="BAJA(1)",1,IF(Q699="MEDIA(2)",2,IF(Q699="ALTA(3)",3,3))))+(IF(R699="BAJA(1)",1,IF(R699="MEDIA(2)",2,IF(R699="ALTA(3)",3,3))))</f>
        <v/>
      </c>
      <c r="T699" s="10">
        <f>+IF(S699&lt;6,"BAJA",IF(S699&lt;8,"MEDIA","ALTA"))</f>
        <v/>
      </c>
      <c r="U699" s="10" t="inlineStr">
        <is>
          <t>-</t>
        </is>
      </c>
      <c r="V699" s="24" t="n">
        <v>45687</v>
      </c>
      <c r="W699" s="19" t="inlineStr">
        <is>
          <t>N/A</t>
        </is>
      </c>
      <c r="X699" s="10">
        <f>+IFERROR(IF(VLOOKUP(Tabla2[[#This Row],[ID]],'EVALUACION DE RIESGO'!A:A,1,FALSE)=Tabla2[[#This Row],[ID]],"SI","NO"),"NO")</f>
        <v/>
      </c>
    </row>
    <row r="700">
      <c r="A700" s="91" t="inlineStr">
        <is>
          <t>141-GTH</t>
        </is>
      </c>
      <c r="B700" s="10" t="inlineStr">
        <is>
          <t>APOYO</t>
        </is>
      </c>
      <c r="C700" s="10" t="inlineStr">
        <is>
          <t>Gestión del Talento Humano</t>
        </is>
      </c>
      <c r="D700" s="10" t="inlineStr">
        <is>
          <t>GTH</t>
        </is>
      </c>
      <c r="E700" s="10" t="inlineStr">
        <is>
          <t>Gestión de Trabajo Social</t>
        </is>
      </c>
      <c r="F700" s="10" t="inlineStr">
        <is>
          <t>-</t>
        </is>
      </c>
      <c r="G700" s="10" t="inlineStr">
        <is>
          <t>Administración de beneficios laborales</t>
        </is>
      </c>
      <c r="H700" s="10" t="inlineStr">
        <is>
          <t>Registro de entrega de presentes</t>
        </is>
      </c>
      <c r="I700" s="10" t="inlineStr">
        <is>
          <t>Registro de entrega que contiene la constancia de la entrega con el motivo, fecha, detalle del presente, nombres y firma del colaborador.</t>
        </is>
      </c>
      <c r="J700" s="10" t="inlineStr">
        <is>
          <t>Gerente de Talento Humano</t>
        </is>
      </c>
      <c r="K700" s="10" t="inlineStr">
        <is>
          <t>Asistente de Talento Humano</t>
        </is>
      </c>
      <c r="L700" s="10" t="inlineStr">
        <is>
          <t>DOCUMENTOS FISICOS-ARCHIVOS DE LA OFICINA</t>
        </is>
      </c>
      <c r="M700" s="10" t="inlineStr">
        <is>
          <t>DOCUMENTO DE ARCHIVO-FÍSICO</t>
        </is>
      </c>
      <c r="N700" s="10" t="inlineStr">
        <is>
          <t>PRIMARIOS</t>
        </is>
      </c>
      <c r="O700" s="10" t="inlineStr">
        <is>
          <t>DOCUMENTOS TÉCNICOS</t>
        </is>
      </c>
      <c r="P700" s="10" t="inlineStr">
        <is>
          <t>PUBLICA(1)</t>
        </is>
      </c>
      <c r="Q700" s="10" t="inlineStr">
        <is>
          <t>BAJA(1)</t>
        </is>
      </c>
      <c r="R700" s="10" t="inlineStr">
        <is>
          <t>BAJA(1)</t>
        </is>
      </c>
      <c r="S700" s="10">
        <f>+(IF(P700="PUBLICA(1)",1,IF(P700="USO INTERNO(2)",2,IF(P700="RESTRINGIDO(3)",3,3))))+(IF(Q700="BAJA(1)",1,IF(Q700="MEDIA(2)",2,IF(Q700="ALTA(3)",3,3))))+(IF(R700="BAJA(1)",1,IF(R700="MEDIA(2)",2,IF(R700="ALTA(3)",3,3))))</f>
        <v/>
      </c>
      <c r="T700" s="10">
        <f>+IF(S700&lt;6,"BAJA",IF(S700&lt;8,"MEDIA","ALTA"))</f>
        <v/>
      </c>
      <c r="U700" s="10" t="inlineStr">
        <is>
          <t>-</t>
        </is>
      </c>
      <c r="V700" s="24" t="n">
        <v>45687</v>
      </c>
      <c r="W700" s="19" t="inlineStr">
        <is>
          <t>N/A</t>
        </is>
      </c>
      <c r="X700" s="10">
        <f>+IFERROR(IF(VLOOKUP(Tabla2[[#This Row],[ID]],'EVALUACION DE RIESGO'!A:A,1,FALSE)=Tabla2[[#This Row],[ID]],"SI","NO"),"NO")</f>
        <v/>
      </c>
    </row>
    <row r="701">
      <c r="A701" s="91" t="inlineStr">
        <is>
          <t>142-GTH</t>
        </is>
      </c>
      <c r="B701" s="10" t="inlineStr">
        <is>
          <t>APOYO</t>
        </is>
      </c>
      <c r="C701" s="10" t="inlineStr">
        <is>
          <t>Gestión del Talento Humano</t>
        </is>
      </c>
      <c r="D701" s="10" t="inlineStr">
        <is>
          <t>GTH</t>
        </is>
      </c>
      <c r="E701" s="10" t="inlineStr">
        <is>
          <t>N/A</t>
        </is>
      </c>
      <c r="F701" s="10" t="inlineStr">
        <is>
          <t>-</t>
        </is>
      </c>
      <c r="G701" s="10" t="inlineStr">
        <is>
          <t>N/A</t>
        </is>
      </c>
      <c r="H701" s="10" t="inlineStr">
        <is>
          <t xml:space="preserve">Equipos de computación </t>
        </is>
      </c>
      <c r="I701" s="10" t="inlineStr">
        <is>
          <t>Equipos de computación donde se realiza la gestión del área</t>
        </is>
      </c>
      <c r="J701" s="10" t="inlineStr">
        <is>
          <t>Gerente de Talento Humano</t>
        </is>
      </c>
      <c r="K701" s="10" t="inlineStr">
        <is>
          <t>Gerente de Talento Humano</t>
        </is>
      </c>
      <c r="L701" s="10" t="inlineStr">
        <is>
          <t>UBICACIÓN FISICA-SUCURSAL IBARRA</t>
        </is>
      </c>
      <c r="M701" s="10" t="inlineStr">
        <is>
          <t>DISCOS DUROS, SERVIDORES, DISCOS O MEDIOS PORTÁTILES, CINTAS O MEDIOS DE VIDEO Y AUDIO, ETC.</t>
        </is>
      </c>
      <c r="N701" s="10" t="inlineStr">
        <is>
          <t>APOYO</t>
        </is>
      </c>
      <c r="O701" s="10" t="inlineStr">
        <is>
          <t>HARDWARE</t>
        </is>
      </c>
      <c r="P701" s="10" t="inlineStr">
        <is>
          <t>RESTRINGIDO(3)</t>
        </is>
      </c>
      <c r="Q701" s="10" t="inlineStr">
        <is>
          <t>MEDIA(2)</t>
        </is>
      </c>
      <c r="R701" s="10" t="inlineStr">
        <is>
          <t>MEDIA(2)</t>
        </is>
      </c>
      <c r="S701" s="10">
        <f>+(IF(P701="PUBLICA(1)",1,IF(P701="USO INTERNO(2)",2,IF(P701="RESTRINGIDO(3)",3,3))))+(IF(Q701="BAJA(1)",1,IF(Q701="MEDIA(2)",2,IF(Q701="ALTA(3)",3,3))))+(IF(R701="BAJA(1)",1,IF(R701="MEDIA(2)",2,IF(R701="ALTA(3)",3,3))))</f>
        <v/>
      </c>
      <c r="T701" s="10">
        <f>+IF(S701&lt;6,"BAJA",IF(S701&lt;8,"MEDIA","ALTA"))</f>
        <v/>
      </c>
      <c r="U701" s="10" t="inlineStr">
        <is>
          <t>-</t>
        </is>
      </c>
      <c r="V701" s="24" t="n">
        <v>45712</v>
      </c>
      <c r="W701" s="19" t="inlineStr">
        <is>
          <t>N/A</t>
        </is>
      </c>
      <c r="X701" s="10">
        <f>+IFERROR(IF(VLOOKUP(Tabla2[[#This Row],[ID]],'EVALUACION DE RIESGO'!A:A,1,FALSE)=Tabla2[[#This Row],[ID]],"SI","NO"),"NO")</f>
        <v/>
      </c>
    </row>
    <row r="702">
      <c r="A702" s="91" t="inlineStr">
        <is>
          <t>143-GTH</t>
        </is>
      </c>
      <c r="B702" s="10" t="inlineStr">
        <is>
          <t>APOYO</t>
        </is>
      </c>
      <c r="C702" s="10" t="inlineStr">
        <is>
          <t>Gestión del Talento Humano</t>
        </is>
      </c>
      <c r="D702" s="10" t="inlineStr">
        <is>
          <t>GTH</t>
        </is>
      </c>
      <c r="E702" s="10" t="inlineStr">
        <is>
          <t>N/A</t>
        </is>
      </c>
      <c r="F702" s="10" t="inlineStr">
        <is>
          <t>-</t>
        </is>
      </c>
      <c r="G702" s="10" t="inlineStr">
        <is>
          <t>N/A</t>
        </is>
      </c>
      <c r="H702" s="10" t="inlineStr">
        <is>
          <t>Gerente de Talento Humano</t>
        </is>
      </c>
      <c r="I702" s="10" t="inlineStr">
        <is>
          <t>N/A</t>
        </is>
      </c>
      <c r="J702" s="10" t="inlineStr">
        <is>
          <t>Gerente de Talento Humano</t>
        </is>
      </c>
      <c r="K702" s="10" t="inlineStr">
        <is>
          <t>N/A</t>
        </is>
      </c>
      <c r="L702" s="10" t="inlineStr">
        <is>
          <t>N/A</t>
        </is>
      </c>
      <c r="M702" s="10" t="inlineStr">
        <is>
          <t>N/A</t>
        </is>
      </c>
      <c r="N702" s="10" t="inlineStr">
        <is>
          <t>APOYO</t>
        </is>
      </c>
      <c r="O702" s="10" t="inlineStr">
        <is>
          <t>RECURSO HUMANO</t>
        </is>
      </c>
      <c r="P702" s="10" t="inlineStr">
        <is>
          <t>USO INTERNO(2)</t>
        </is>
      </c>
      <c r="Q702" s="10" t="inlineStr">
        <is>
          <t>MEDIA(2)</t>
        </is>
      </c>
      <c r="R702" s="10" t="inlineStr">
        <is>
          <t>MEDIA(2)</t>
        </is>
      </c>
      <c r="S702" s="10">
        <f>+(IF(P702="PUBLICA(1)",1,IF(P702="USO INTERNO(2)",2,IF(P702="RESTRINGIDO(3)",3,3))))+(IF(Q702="BAJA(1)",1,IF(Q702="MEDIA(2)",2,IF(Q702="ALTA(3)",3,3))))+(IF(R702="BAJA(1)",1,IF(R702="MEDIA(2)",2,IF(R702="ALTA(3)",3,3))))</f>
        <v/>
      </c>
      <c r="T702" s="10">
        <f>+IF(S702&lt;6,"BAJA",IF(S702&lt;8,"MEDIA","ALTA"))</f>
        <v/>
      </c>
      <c r="U702" s="10" t="inlineStr">
        <is>
          <t>-</t>
        </is>
      </c>
      <c r="V702" s="24" t="n">
        <v>45712</v>
      </c>
      <c r="W702" s="19" t="inlineStr">
        <is>
          <t>N/A</t>
        </is>
      </c>
      <c r="X702" s="10">
        <f>+IFERROR(IF(VLOOKUP(Tabla2[[#This Row],[ID]],'EVALUACION DE RIESGO'!A:A,1,FALSE)=Tabla2[[#This Row],[ID]],"SI","NO"),"NO")</f>
        <v/>
      </c>
    </row>
    <row r="703">
      <c r="A703" s="91" t="inlineStr">
        <is>
          <t>144-GTH</t>
        </is>
      </c>
      <c r="B703" s="10" t="inlineStr">
        <is>
          <t>APOYO</t>
        </is>
      </c>
      <c r="C703" s="10" t="inlineStr">
        <is>
          <t>Gestión del Talento Humano</t>
        </is>
      </c>
      <c r="D703" s="10" t="inlineStr">
        <is>
          <t>GTH</t>
        </is>
      </c>
      <c r="E703" s="10" t="inlineStr">
        <is>
          <t>N/A</t>
        </is>
      </c>
      <c r="F703" s="10" t="inlineStr">
        <is>
          <t>-</t>
        </is>
      </c>
      <c r="G703" s="10" t="inlineStr">
        <is>
          <t>N/A</t>
        </is>
      </c>
      <c r="H703" s="10" t="inlineStr">
        <is>
          <t>Analistas de Talento Humano</t>
        </is>
      </c>
      <c r="I703" s="10" t="inlineStr">
        <is>
          <t>N/A</t>
        </is>
      </c>
      <c r="J703" s="10" t="inlineStr">
        <is>
          <t>Gerente de Talento Humano</t>
        </is>
      </c>
      <c r="K703" s="10" t="inlineStr">
        <is>
          <t>N/A</t>
        </is>
      </c>
      <c r="L703" s="10" t="inlineStr">
        <is>
          <t>N/A</t>
        </is>
      </c>
      <c r="M703" s="10" t="inlineStr">
        <is>
          <t>N/A</t>
        </is>
      </c>
      <c r="N703" s="10" t="inlineStr">
        <is>
          <t>APOYO</t>
        </is>
      </c>
      <c r="O703" s="10" t="inlineStr">
        <is>
          <t>RECURSO HUMANO</t>
        </is>
      </c>
      <c r="P703" s="10" t="inlineStr">
        <is>
          <t>USO INTERNO(2)</t>
        </is>
      </c>
      <c r="Q703" s="10" t="inlineStr">
        <is>
          <t>MEDIA(2)</t>
        </is>
      </c>
      <c r="R703" s="10" t="inlineStr">
        <is>
          <t>MEDIA(2)</t>
        </is>
      </c>
      <c r="S703" s="10">
        <f>+(IF(P703="PUBLICA(1)",1,IF(P703="USO INTERNO(2)",2,IF(P703="RESTRINGIDO(3)",3,3))))+(IF(Q703="BAJA(1)",1,IF(Q703="MEDIA(2)",2,IF(Q703="ALTA(3)",3,3))))+(IF(R703="BAJA(1)",1,IF(R703="MEDIA(2)",2,IF(R703="ALTA(3)",3,3))))</f>
        <v/>
      </c>
      <c r="T703" s="10">
        <f>+IF(S703&lt;6,"BAJA",IF(S703&lt;8,"MEDIA","ALTA"))</f>
        <v/>
      </c>
      <c r="U703" s="10" t="inlineStr">
        <is>
          <t>-</t>
        </is>
      </c>
      <c r="V703" s="24" t="n">
        <v>45712</v>
      </c>
      <c r="W703" s="19" t="inlineStr">
        <is>
          <t>N/A</t>
        </is>
      </c>
      <c r="X703" s="10">
        <f>+IFERROR(IF(VLOOKUP(Tabla2[[#This Row],[ID]],'EVALUACION DE RIESGO'!A:A,1,FALSE)=Tabla2[[#This Row],[ID]],"SI","NO"),"NO")</f>
        <v/>
      </c>
    </row>
    <row r="704">
      <c r="A704" s="91" t="inlineStr">
        <is>
          <t>1-GTI</t>
        </is>
      </c>
      <c r="B704" s="10" t="inlineStr">
        <is>
          <t>APOYO</t>
        </is>
      </c>
      <c r="C704" s="10" t="inlineStr">
        <is>
          <t>Gestión de Tecnología de la Información</t>
        </is>
      </c>
      <c r="D704" s="10" t="inlineStr">
        <is>
          <t>GTI</t>
        </is>
      </c>
      <c r="E704" s="10" t="inlineStr">
        <is>
          <t>Gestión de la Estrategia de TI</t>
        </is>
      </c>
      <c r="F704" s="10" t="inlineStr">
        <is>
          <t>-</t>
        </is>
      </c>
      <c r="G704" s="10" t="inlineStr">
        <is>
          <t>Planificación estratégica de TI</t>
        </is>
      </c>
      <c r="H704" s="10" t="inlineStr">
        <is>
          <t>Plan estratégico de TI</t>
        </is>
      </c>
      <c r="I704" s="10" t="inlineStr">
        <is>
          <t>Plan estratégico de TI alineado a los objetivos institucionales, análisis del entorno, análisis FODA y demás que sean necesarios de acuerdo a la metodología de planificación institucional. Estrategias y objetivos de tecnología.</t>
        </is>
      </c>
      <c r="J704" s="10" t="inlineStr">
        <is>
          <t>Gerente de Tecnología</t>
        </is>
      </c>
      <c r="K704" s="10" t="inlineStr">
        <is>
          <t>Gerente de Tecnología</t>
        </is>
      </c>
      <c r="L704" s="10" t="inlineStr">
        <is>
          <t>UBICACIÓN DIGITAL-EQUIPO DEL RESPONSABLE</t>
        </is>
      </c>
      <c r="M704" s="10" t="inlineStr">
        <is>
          <t>DISCOS DUROS, SERVIDORES, DISCOS O MEDIOS PORTÁTILES, CINTAS O MEDIOS DE VIDEO Y AUDIO, ETC.</t>
        </is>
      </c>
      <c r="N704" s="10" t="inlineStr">
        <is>
          <t>PRIMARIOS</t>
        </is>
      </c>
      <c r="O704" s="10" t="inlineStr">
        <is>
          <t>DOCUMENTOS TÉCNICOS</t>
        </is>
      </c>
      <c r="P704" s="10" t="inlineStr">
        <is>
          <t>USO INTERNO(2)</t>
        </is>
      </c>
      <c r="Q704" s="10" t="inlineStr">
        <is>
          <t>BAJA(1)</t>
        </is>
      </c>
      <c r="R704" s="10" t="inlineStr">
        <is>
          <t>MEDIA(2)</t>
        </is>
      </c>
      <c r="S704" s="10">
        <f>+(IF(P704="PUBLICA(1)",1,IF(P704="USO INTERNO(2)",2,IF(P704="RESTRINGIDO(3)",3,3))))+(IF(Q704="BAJA(1)",1,IF(Q704="MEDIA(2)",2,IF(Q704="ALTA(3)",3,3))))+(IF(R704="BAJA(1)",1,IF(R704="MEDIA(2)",2,IF(R704="ALTA(3)",3,3))))</f>
        <v/>
      </c>
      <c r="T704" s="10">
        <f>+IF(S704&lt;6,"BAJA",IF(S704&lt;8,"MEDIA","ALTA"))</f>
        <v/>
      </c>
      <c r="U704" s="10" t="inlineStr">
        <is>
          <t>-</t>
        </is>
      </c>
      <c r="V704" s="24" t="n">
        <v>45687</v>
      </c>
      <c r="W704" s="19" t="inlineStr">
        <is>
          <t>N/A</t>
        </is>
      </c>
      <c r="X704" s="10">
        <f>+IFERROR(IF(VLOOKUP(Tabla2[[#This Row],[ID]],'EVALUACION DE RIESGO'!A:A,1,FALSE)=Tabla2[[#This Row],[ID]],"SI","NO"),"NO")</f>
        <v/>
      </c>
    </row>
    <row r="705">
      <c r="A705" s="91" t="inlineStr">
        <is>
          <t>2-GTI</t>
        </is>
      </c>
      <c r="B705" s="10" t="inlineStr">
        <is>
          <t>APOYO</t>
        </is>
      </c>
      <c r="C705" s="10" t="inlineStr">
        <is>
          <t>Gestión de Tecnología de la Información</t>
        </is>
      </c>
      <c r="D705" s="10" t="inlineStr">
        <is>
          <t>GTI</t>
        </is>
      </c>
      <c r="E705" s="10" t="inlineStr">
        <is>
          <t>Gestión de la Estrategia de TI</t>
        </is>
      </c>
      <c r="F705" s="10" t="inlineStr">
        <is>
          <t>-</t>
        </is>
      </c>
      <c r="G705" s="10" t="inlineStr">
        <is>
          <t xml:space="preserve">Planificación operativa de TI     </t>
        </is>
      </c>
      <c r="H705" s="10" t="inlineStr">
        <is>
          <t>Plan de infraestructura tecnológica</t>
        </is>
      </c>
      <c r="I705" s="10" t="inlineStr">
        <is>
          <t>En función a los objetivos estratégicos se formaliza un documento con los informes correspondientes a las capacidades y rendimiento actual de la infraestructura tecnológica instalada así como el estado de los equipos tecnológicos, y en su función la formulación final del plan estratégico de infraestructura.</t>
        </is>
      </c>
      <c r="J705" s="10" t="inlineStr">
        <is>
          <t>Gerente de Tecnología</t>
        </is>
      </c>
      <c r="K705" s="10" t="inlineStr">
        <is>
          <t>Gerente de Tecnología</t>
        </is>
      </c>
      <c r="L705" s="10" t="inlineStr">
        <is>
          <t>UBICACIÓN DIGITAL-EQUIPO DEL RESPONSABLE</t>
        </is>
      </c>
      <c r="M705" s="10" t="inlineStr">
        <is>
          <t>DISCOS DUROS, SERVIDORES, DISCOS O MEDIOS PORTÁTILES, CINTAS O MEDIOS DE VIDEO Y AUDIO, ETC.</t>
        </is>
      </c>
      <c r="N705" s="10" t="inlineStr">
        <is>
          <t>PRIMARIOS</t>
        </is>
      </c>
      <c r="O705" s="10" t="inlineStr">
        <is>
          <t>DOCUMENTOS TÉCNICOS</t>
        </is>
      </c>
      <c r="P705" s="10" t="inlineStr">
        <is>
          <t>USO INTERNO(2)</t>
        </is>
      </c>
      <c r="Q705" s="10" t="inlineStr">
        <is>
          <t>BAJA(1)</t>
        </is>
      </c>
      <c r="R705" s="10" t="inlineStr">
        <is>
          <t>MEDIA(2)</t>
        </is>
      </c>
      <c r="S705" s="10">
        <f>+(IF(P705="PUBLICA(1)",1,IF(P705="USO INTERNO(2)",2,IF(P705="RESTRINGIDO(3)",3,3))))+(IF(Q705="BAJA(1)",1,IF(Q705="MEDIA(2)",2,IF(Q705="ALTA(3)",3,3))))+(IF(R705="BAJA(1)",1,IF(R705="MEDIA(2)",2,IF(R705="ALTA(3)",3,3))))</f>
        <v/>
      </c>
      <c r="T705" s="10">
        <f>+IF(S705&lt;6,"BAJA",IF(S705&lt;8,"MEDIA","ALTA"))</f>
        <v/>
      </c>
      <c r="U705" s="10" t="inlineStr">
        <is>
          <t>-</t>
        </is>
      </c>
      <c r="V705" s="24" t="n">
        <v>45687</v>
      </c>
      <c r="W705" s="19" t="inlineStr">
        <is>
          <t>N/A</t>
        </is>
      </c>
      <c r="X705" s="10">
        <f>+IFERROR(IF(VLOOKUP(Tabla2[[#This Row],[ID]],'EVALUACION DE RIESGO'!A:A,1,FALSE)=Tabla2[[#This Row],[ID]],"SI","NO"),"NO")</f>
        <v/>
      </c>
    </row>
    <row r="706">
      <c r="A706" s="91" t="inlineStr">
        <is>
          <t>3-GTI</t>
        </is>
      </c>
      <c r="B706" s="10" t="inlineStr">
        <is>
          <t>APOYO</t>
        </is>
      </c>
      <c r="C706" s="10" t="inlineStr">
        <is>
          <t>Gestión de Tecnología de la Información</t>
        </is>
      </c>
      <c r="D706" s="10" t="inlineStr">
        <is>
          <t>GTI</t>
        </is>
      </c>
      <c r="E706" s="10" t="inlineStr">
        <is>
          <t>Gestión de la Estrategia de TI</t>
        </is>
      </c>
      <c r="F706" s="10" t="inlineStr">
        <is>
          <t>-</t>
        </is>
      </c>
      <c r="G706" s="10" t="inlineStr">
        <is>
          <t>Definición del modelo de gestión de incidentes y peticiones</t>
        </is>
      </c>
      <c r="H706" s="10" t="inlineStr">
        <is>
          <t>Catálogo de servicios</t>
        </is>
      </c>
      <c r="I706" s="10" t="inlineStr">
        <is>
          <t>Catálogo de servicios de TI de las categorías del sistema Service Desk</t>
        </is>
      </c>
      <c r="J706" s="10" t="inlineStr">
        <is>
          <t>Gerente de Tecnología</t>
        </is>
      </c>
      <c r="K706" s="10" t="inlineStr">
        <is>
          <t>Asistente de Infraestructura tecnologica</t>
        </is>
      </c>
      <c r="L706" s="10" t="inlineStr">
        <is>
          <t>UBICACIÓN DIGITAL-EQUIPO DEL RESPONSABLE</t>
        </is>
      </c>
      <c r="M706" s="10" t="inlineStr">
        <is>
          <t>DISCOS DUROS, SERVIDORES, DISCOS O MEDIOS PORTÁTILES, CINTAS O MEDIOS DE VIDEO Y AUDIO, ETC.</t>
        </is>
      </c>
      <c r="N706" s="10" t="inlineStr">
        <is>
          <t>PRIMARIOS</t>
        </is>
      </c>
      <c r="O706" s="10" t="inlineStr">
        <is>
          <t>DOCUMENTOS TÉCNICOS</t>
        </is>
      </c>
      <c r="P706" s="10" t="inlineStr">
        <is>
          <t>USO INTERNO(2)</t>
        </is>
      </c>
      <c r="Q706" s="10" t="inlineStr">
        <is>
          <t>BAJA(1)</t>
        </is>
      </c>
      <c r="R706" s="10" t="inlineStr">
        <is>
          <t>BAJA(1)</t>
        </is>
      </c>
      <c r="S706" s="10">
        <f>+(IF(P706="PUBLICA(1)",1,IF(P706="USO INTERNO(2)",2,IF(P706="RESTRINGIDO(3)",3,3))))+(IF(Q706="BAJA(1)",1,IF(Q706="MEDIA(2)",2,IF(Q706="ALTA(3)",3,3))))+(IF(R706="BAJA(1)",1,IF(R706="MEDIA(2)",2,IF(R706="ALTA(3)",3,3))))</f>
        <v/>
      </c>
      <c r="T706" s="10">
        <f>+IF(S706&lt;6,"BAJA",IF(S706&lt;8,"MEDIA","ALTA"))</f>
        <v/>
      </c>
      <c r="U706" s="10" t="inlineStr">
        <is>
          <t>-</t>
        </is>
      </c>
      <c r="V706" s="24" t="n">
        <v>45687</v>
      </c>
      <c r="W706" s="19" t="inlineStr">
        <is>
          <t>N/A</t>
        </is>
      </c>
      <c r="X706" s="10">
        <f>+IFERROR(IF(VLOOKUP(Tabla2[[#This Row],[ID]],'EVALUACION DE RIESGO'!A:A,1,FALSE)=Tabla2[[#This Row],[ID]],"SI","NO"),"NO")</f>
        <v/>
      </c>
    </row>
    <row r="707">
      <c r="A707" s="91" t="inlineStr">
        <is>
          <t>4-GTI</t>
        </is>
      </c>
      <c r="B707" s="10" t="inlineStr">
        <is>
          <t>APOYO</t>
        </is>
      </c>
      <c r="C707" s="10" t="inlineStr">
        <is>
          <t>Gestión de Tecnología de la Información</t>
        </is>
      </c>
      <c r="D707" s="10" t="inlineStr">
        <is>
          <t>GTI</t>
        </is>
      </c>
      <c r="E707" s="10" t="inlineStr">
        <is>
          <t>Gestión de la Estrategia de TI</t>
        </is>
      </c>
      <c r="F707" s="10" t="inlineStr">
        <is>
          <t>-</t>
        </is>
      </c>
      <c r="G707" s="10" t="inlineStr">
        <is>
          <t>Definición del modelo de gestión de incidentes y peticiones</t>
        </is>
      </c>
      <c r="H707" s="10" t="inlineStr">
        <is>
          <t>Modelo de gestión de incidentes y peticiones</t>
        </is>
      </c>
      <c r="I707" s="10" t="inlineStr">
        <is>
          <t>Documento de reglas para el registro de problemas, causa y solución y el análisis de la base de conocimientos. (Sistema Service Desk)</t>
        </is>
      </c>
      <c r="J707" s="10" t="inlineStr">
        <is>
          <t>Gerente de Tecnología</t>
        </is>
      </c>
      <c r="K707" s="10" t="inlineStr">
        <is>
          <t>Asistente de Infraestructura tecnologica</t>
        </is>
      </c>
      <c r="L707" s="10" t="inlineStr">
        <is>
          <t>UBICACIÓN DIGITAL-WEBCOOP</t>
        </is>
      </c>
      <c r="M707" s="10" t="inlineStr">
        <is>
          <t>UBICACIÓN DIGITAL-WEBCOOP</t>
        </is>
      </c>
      <c r="N707" s="10" t="inlineStr">
        <is>
          <t>PRIMARIOS</t>
        </is>
      </c>
      <c r="O707" s="10" t="inlineStr">
        <is>
          <t>DOCUMENTOS TÉCNICOS</t>
        </is>
      </c>
      <c r="P707" s="10" t="inlineStr">
        <is>
          <t>USO INTERNO(2)</t>
        </is>
      </c>
      <c r="Q707" s="10" t="inlineStr">
        <is>
          <t>BAJA(1)</t>
        </is>
      </c>
      <c r="R707" s="10" t="inlineStr">
        <is>
          <t>MEDIA(2)</t>
        </is>
      </c>
      <c r="S707" s="10">
        <f>+(IF(P707="PUBLICA(1)",1,IF(P707="USO INTERNO(2)",2,IF(P707="RESTRINGIDO(3)",3,3))))+(IF(Q707="BAJA(1)",1,IF(Q707="MEDIA(2)",2,IF(Q707="ALTA(3)",3,3))))+(IF(R707="BAJA(1)",1,IF(R707="MEDIA(2)",2,IF(R707="ALTA(3)",3,3))))</f>
        <v/>
      </c>
      <c r="T707" s="10">
        <f>+IF(S707&lt;6,"BAJA",IF(S707&lt;8,"MEDIA","ALTA"))</f>
        <v/>
      </c>
      <c r="U707" s="10" t="inlineStr">
        <is>
          <t>-</t>
        </is>
      </c>
      <c r="V707" s="24" t="n">
        <v>45687</v>
      </c>
      <c r="W707" s="19" t="inlineStr">
        <is>
          <t>N/A</t>
        </is>
      </c>
      <c r="X707" s="10">
        <f>+IFERROR(IF(VLOOKUP(Tabla2[[#This Row],[ID]],'EVALUACION DE RIESGO'!A:A,1,FALSE)=Tabla2[[#This Row],[ID]],"SI","NO"),"NO")</f>
        <v/>
      </c>
    </row>
    <row r="708">
      <c r="A708" s="91" t="inlineStr">
        <is>
          <t>5-GTI</t>
        </is>
      </c>
      <c r="B708" s="10" t="inlineStr">
        <is>
          <t>APOYO</t>
        </is>
      </c>
      <c r="C708" s="10" t="inlineStr">
        <is>
          <t>Gestión de Tecnología de la Información</t>
        </is>
      </c>
      <c r="D708" s="10" t="inlineStr">
        <is>
          <t>GTI</t>
        </is>
      </c>
      <c r="E708" s="10" t="inlineStr">
        <is>
          <t>Gestión de la Estrategia de TI</t>
        </is>
      </c>
      <c r="F708" s="10" t="inlineStr">
        <is>
          <t>-</t>
        </is>
      </c>
      <c r="G708" s="10" t="inlineStr">
        <is>
          <t>Definición del modelo de gestión de incidentes y peticiones</t>
        </is>
      </c>
      <c r="H708" s="10" t="inlineStr">
        <is>
          <t>Lista de verificación de configuración de equipos</t>
        </is>
      </c>
      <c r="I708" s="10" t="inlineStr">
        <is>
          <t>Lista de verificación y definición de errores conocidos y procedimientos prestablecidos para la configuración de equipos.</t>
        </is>
      </c>
      <c r="J708" s="10" t="inlineStr">
        <is>
          <t>Gerente de Tecnología</t>
        </is>
      </c>
      <c r="K708" s="10" t="inlineStr">
        <is>
          <t>Especialista en Seguridad Informática</t>
        </is>
      </c>
      <c r="L708" s="10" t="inlineStr">
        <is>
          <t>UBICACIÓN DIGITAL-EQUIPO DEL RESPONSABLE</t>
        </is>
      </c>
      <c r="M708" s="10" t="inlineStr">
        <is>
          <t>DISCOS DUROS, SERVIDORES, DISCOS O MEDIOS PORTÁTILES, CINTAS O MEDIOS DE VIDEO Y AUDIO, ETC.</t>
        </is>
      </c>
      <c r="N708" s="10" t="inlineStr">
        <is>
          <t>PRIMARIOS</t>
        </is>
      </c>
      <c r="O708" s="10" t="inlineStr">
        <is>
          <t>DOCUMENTOS TÉCNICOS</t>
        </is>
      </c>
      <c r="P708" s="10" t="inlineStr">
        <is>
          <t>USO INTERNO(2)</t>
        </is>
      </c>
      <c r="Q708" s="10" t="inlineStr">
        <is>
          <t>BAJA(1)</t>
        </is>
      </c>
      <c r="R708" s="10" t="inlineStr">
        <is>
          <t>MEDIA(2)</t>
        </is>
      </c>
      <c r="S708" s="10">
        <f>+(IF(P708="PUBLICA(1)",1,IF(P708="USO INTERNO(2)",2,IF(P708="RESTRINGIDO(3)",3,3))))+(IF(Q708="BAJA(1)",1,IF(Q708="MEDIA(2)",2,IF(Q708="ALTA(3)",3,3))))+(IF(R708="BAJA(1)",1,IF(R708="MEDIA(2)",2,IF(R708="ALTA(3)",3,3))))</f>
        <v/>
      </c>
      <c r="T708" s="10">
        <f>+IF(S708&lt;6,"BAJA",IF(S708&lt;8,"MEDIA","ALTA"))</f>
        <v/>
      </c>
      <c r="U708" s="10" t="inlineStr">
        <is>
          <t>-</t>
        </is>
      </c>
      <c r="V708" s="24" t="n">
        <v>45687</v>
      </c>
      <c r="W708" s="19" t="inlineStr">
        <is>
          <t>N/A</t>
        </is>
      </c>
      <c r="X708" s="10">
        <f>+IFERROR(IF(VLOOKUP(Tabla2[[#This Row],[ID]],'EVALUACION DE RIESGO'!A:A,1,FALSE)=Tabla2[[#This Row],[ID]],"SI","NO"),"NO")</f>
        <v/>
      </c>
    </row>
    <row r="709">
      <c r="A709" s="91" t="inlineStr">
        <is>
          <t>6-GTI</t>
        </is>
      </c>
      <c r="B709" s="10" t="inlineStr">
        <is>
          <t>APOYO</t>
        </is>
      </c>
      <c r="C709" s="10" t="inlineStr">
        <is>
          <t>Gestión de Tecnología de la Información</t>
        </is>
      </c>
      <c r="D709" s="10" t="inlineStr">
        <is>
          <t>GTI</t>
        </is>
      </c>
      <c r="E709" s="10" t="inlineStr">
        <is>
          <t>Gestión de la Estrategia de TI</t>
        </is>
      </c>
      <c r="F709" s="10" t="inlineStr">
        <is>
          <t>-</t>
        </is>
      </c>
      <c r="G709" s="10" t="inlineStr">
        <is>
          <t>Definición del modelo de gestión de incidentes y peticiones</t>
        </is>
      </c>
      <c r="H709" s="10" t="inlineStr">
        <is>
          <t>Perfil de hardware y software de usuario</t>
        </is>
      </c>
      <c r="I709" s="10" t="inlineStr">
        <is>
          <t>Matriz de perfiles de accesos a hardware y software de acuerdo al cargo / adjunto a Lista de verificación de configuración de equipos</t>
        </is>
      </c>
      <c r="J709" s="10" t="inlineStr">
        <is>
          <t>Gerente de Tecnología</t>
        </is>
      </c>
      <c r="K709" s="10" t="inlineStr">
        <is>
          <t>Especialista en Seguridad Informática</t>
        </is>
      </c>
      <c r="L709" s="10" t="inlineStr">
        <is>
          <t>UBICACIÓN DIGITAL-EQUIPO DEL RESPONSABLE</t>
        </is>
      </c>
      <c r="M709" s="10" t="inlineStr">
        <is>
          <t>DISCOS DUROS, SERVIDORES, DISCOS O MEDIOS PORTÁTILES, CINTAS O MEDIOS DE VIDEO Y AUDIO, ETC.</t>
        </is>
      </c>
      <c r="N709" s="10" t="inlineStr">
        <is>
          <t>PRIMARIOS</t>
        </is>
      </c>
      <c r="O709" s="10" t="inlineStr">
        <is>
          <t>DOCUMENTOS TÉCNICOS</t>
        </is>
      </c>
      <c r="P709" s="10" t="inlineStr">
        <is>
          <t>USO INTERNO(2)</t>
        </is>
      </c>
      <c r="Q709" s="10" t="inlineStr">
        <is>
          <t>MEDIA(2)</t>
        </is>
      </c>
      <c r="R709" s="10" t="inlineStr">
        <is>
          <t>MEDIA(2)</t>
        </is>
      </c>
      <c r="S709" s="10">
        <f>+(IF(P709="PUBLICA(1)",1,IF(P709="USO INTERNO(2)",2,IF(P709="RESTRINGIDO(3)",3,3))))+(IF(Q709="BAJA(1)",1,IF(Q709="MEDIA(2)",2,IF(Q709="ALTA(3)",3,3))))+(IF(R709="BAJA(1)",1,IF(R709="MEDIA(2)",2,IF(R709="ALTA(3)",3,3))))</f>
        <v/>
      </c>
      <c r="T709" s="10">
        <f>+IF(S709&lt;6,"BAJA",IF(S709&lt;8,"MEDIA","ALTA"))</f>
        <v/>
      </c>
      <c r="U709" s="10" t="inlineStr">
        <is>
          <t>-</t>
        </is>
      </c>
      <c r="V709" s="24" t="n">
        <v>45687</v>
      </c>
      <c r="W709" s="19" t="inlineStr">
        <is>
          <t>N/A</t>
        </is>
      </c>
      <c r="X709" s="10">
        <f>+IFERROR(IF(VLOOKUP(Tabla2[[#This Row],[ID]],'EVALUACION DE RIESGO'!A:A,1,FALSE)=Tabla2[[#This Row],[ID]],"SI","NO"),"NO")</f>
        <v/>
      </c>
    </row>
    <row r="710">
      <c r="A710" s="91" t="inlineStr">
        <is>
          <t>7-GTI</t>
        </is>
      </c>
      <c r="B710" s="10" t="inlineStr">
        <is>
          <t>APOYO</t>
        </is>
      </c>
      <c r="C710" s="10" t="inlineStr">
        <is>
          <t>Gestión de Tecnología de la Información</t>
        </is>
      </c>
      <c r="D710" s="10" t="inlineStr">
        <is>
          <t>GTI</t>
        </is>
      </c>
      <c r="E710" s="10" t="inlineStr">
        <is>
          <t>Gestión de la Estrategia de TI</t>
        </is>
      </c>
      <c r="F710" s="10" t="inlineStr">
        <is>
          <t>-</t>
        </is>
      </c>
      <c r="G710" s="10" t="inlineStr">
        <is>
          <t>Elaboración de acuerdos de servicios</t>
        </is>
      </c>
      <c r="H710" s="10" t="inlineStr">
        <is>
          <t>Acuerdos de nivel de servicio SLAs</t>
        </is>
      </c>
      <c r="I710" s="10" t="inlineStr">
        <is>
          <t>Modelo de gestión de incidentes y peticiones formalizado por las jefaturas</t>
        </is>
      </c>
      <c r="J710" s="10" t="inlineStr">
        <is>
          <t>Gerente de Tecnología</t>
        </is>
      </c>
      <c r="K710" s="10" t="inlineStr">
        <is>
          <t>Gerente de Tecnología</t>
        </is>
      </c>
      <c r="L710" s="10" t="inlineStr">
        <is>
          <t>UBICACIÓN DIGITAL-EQUIPO DEL RESPONSABLE</t>
        </is>
      </c>
      <c r="M710" s="10" t="inlineStr">
        <is>
          <t>DISCOS DUROS, SERVIDORES, DISCOS O MEDIOS PORTÁTILES, CINTAS O MEDIOS DE VIDEO Y AUDIO, ETC.</t>
        </is>
      </c>
      <c r="N710" s="10" t="inlineStr">
        <is>
          <t>PRIMARIOS</t>
        </is>
      </c>
      <c r="O710" s="10" t="inlineStr">
        <is>
          <t>DOCUMENTOS TÉCNICOS</t>
        </is>
      </c>
      <c r="P710" s="10" t="inlineStr">
        <is>
          <t>USO INTERNO(2)</t>
        </is>
      </c>
      <c r="Q710" s="10" t="inlineStr">
        <is>
          <t>BAJA(1)</t>
        </is>
      </c>
      <c r="R710" s="10" t="inlineStr">
        <is>
          <t>BAJA(1)</t>
        </is>
      </c>
      <c r="S710" s="10">
        <f>+(IF(P710="PUBLICA(1)",1,IF(P710="USO INTERNO(2)",2,IF(P710="RESTRINGIDO(3)",3,3))))+(IF(Q710="BAJA(1)",1,IF(Q710="MEDIA(2)",2,IF(Q710="ALTA(3)",3,3))))+(IF(R710="BAJA(1)",1,IF(R710="MEDIA(2)",2,IF(R710="ALTA(3)",3,3))))</f>
        <v/>
      </c>
      <c r="T710" s="10">
        <f>+IF(S710&lt;6,"BAJA",IF(S710&lt;8,"MEDIA","ALTA"))</f>
        <v/>
      </c>
      <c r="U710" s="10" t="inlineStr">
        <is>
          <t>-</t>
        </is>
      </c>
      <c r="V710" s="24" t="n">
        <v>45687</v>
      </c>
      <c r="W710" s="19" t="inlineStr">
        <is>
          <t>N/A</t>
        </is>
      </c>
      <c r="X710" s="10">
        <f>+IFERROR(IF(VLOOKUP(Tabla2[[#This Row],[ID]],'EVALUACION DE RIESGO'!A:A,1,FALSE)=Tabla2[[#This Row],[ID]],"SI","NO"),"NO")</f>
        <v/>
      </c>
    </row>
    <row r="711">
      <c r="A711" s="91" t="inlineStr">
        <is>
          <t>8-GTI</t>
        </is>
      </c>
      <c r="B711" s="10" t="inlineStr">
        <is>
          <t>APOYO</t>
        </is>
      </c>
      <c r="C711" s="10" t="inlineStr">
        <is>
          <t>Gestión de Tecnología de la Información</t>
        </is>
      </c>
      <c r="D711" s="10" t="inlineStr">
        <is>
          <t>GTI</t>
        </is>
      </c>
      <c r="E711" s="10" t="inlineStr">
        <is>
          <t>Gestión de la Estrategia de TI</t>
        </is>
      </c>
      <c r="F711" s="10" t="inlineStr">
        <is>
          <t>-</t>
        </is>
      </c>
      <c r="G711" s="10" t="inlineStr">
        <is>
          <t>Evaluación operativa</t>
        </is>
      </c>
      <c r="H711" s="10" t="inlineStr">
        <is>
          <t>Sumilla de resoluciones</t>
        </is>
      </c>
      <c r="I711" s="10" t="inlineStr">
        <is>
          <t>Sumilla de resoluciones para el seguimiento del las acciones correctivas y razones de justificación de la evaluación operativa.</t>
        </is>
      </c>
      <c r="J711" s="10" t="inlineStr">
        <is>
          <t>Gerente de Tecnología</t>
        </is>
      </c>
      <c r="K711" s="10" t="inlineStr">
        <is>
          <t>Gerente de Tecnología</t>
        </is>
      </c>
      <c r="L711" s="10" t="inlineStr">
        <is>
          <t>UBICACIÓN DIGITAL-EQUIPO DEL RESPONSABLE</t>
        </is>
      </c>
      <c r="M711" s="10" t="inlineStr">
        <is>
          <t>DISCOS DUROS, SERVIDORES, DISCOS O MEDIOS PORTÁTILES, CINTAS O MEDIOS DE VIDEO Y AUDIO, ETC.</t>
        </is>
      </c>
      <c r="N711" s="10" t="inlineStr">
        <is>
          <t>PRIMARIOS</t>
        </is>
      </c>
      <c r="O711" s="10" t="inlineStr">
        <is>
          <t>DOCUMENTOS TÉCNICOS</t>
        </is>
      </c>
      <c r="P711" s="10" t="inlineStr">
        <is>
          <t>USO INTERNO(2)</t>
        </is>
      </c>
      <c r="Q711" s="10" t="inlineStr">
        <is>
          <t>BAJA(1)</t>
        </is>
      </c>
      <c r="R711" s="10" t="inlineStr">
        <is>
          <t>BAJA(1)</t>
        </is>
      </c>
      <c r="S711" s="10">
        <f>+(IF(P711="PUBLICA(1)",1,IF(P711="USO INTERNO(2)",2,IF(P711="RESTRINGIDO(3)",3,3))))+(IF(Q711="BAJA(1)",1,IF(Q711="MEDIA(2)",2,IF(Q711="ALTA(3)",3,3))))+(IF(R711="BAJA(1)",1,IF(R711="MEDIA(2)",2,IF(R711="ALTA(3)",3,3))))</f>
        <v/>
      </c>
      <c r="T711" s="10">
        <f>+IF(S711&lt;6,"BAJA",IF(S711&lt;8,"MEDIA","ALTA"))</f>
        <v/>
      </c>
      <c r="U711" s="10" t="inlineStr">
        <is>
          <t>-</t>
        </is>
      </c>
      <c r="V711" s="24" t="n">
        <v>45687</v>
      </c>
      <c r="W711" s="19" t="inlineStr">
        <is>
          <t>N/A</t>
        </is>
      </c>
      <c r="X711" s="10">
        <f>+IFERROR(IF(VLOOKUP(Tabla2[[#This Row],[ID]],'EVALUACION DE RIESGO'!A:A,1,FALSE)=Tabla2[[#This Row],[ID]],"SI","NO"),"NO")</f>
        <v/>
      </c>
    </row>
    <row r="712">
      <c r="A712" s="91" t="inlineStr">
        <is>
          <t>9-GTI</t>
        </is>
      </c>
      <c r="B712" s="10" t="inlineStr">
        <is>
          <t>APOYO</t>
        </is>
      </c>
      <c r="C712" s="10" t="inlineStr">
        <is>
          <t>Gestión de Tecnología de la Información</t>
        </is>
      </c>
      <c r="D712" s="10" t="inlineStr">
        <is>
          <t>GTI</t>
        </is>
      </c>
      <c r="E712" s="10" t="inlineStr">
        <is>
          <t>Gestión de la Estrategia de TI</t>
        </is>
      </c>
      <c r="F712" s="10" t="inlineStr">
        <is>
          <t>-</t>
        </is>
      </c>
      <c r="G712" s="10" t="inlineStr">
        <is>
          <t>Evaluación operativa</t>
        </is>
      </c>
      <c r="H712" s="10" t="inlineStr">
        <is>
          <t>Informe trimestral</t>
        </is>
      </c>
      <c r="I712" s="10" t="inlineStr">
        <is>
          <t>Informe presentado al Comité de TI para su análisis y conocimiento</t>
        </is>
      </c>
      <c r="J712" s="10" t="inlineStr">
        <is>
          <t>Gerente de Tecnología</t>
        </is>
      </c>
      <c r="K712" s="10" t="inlineStr">
        <is>
          <t>Gerente de Tecnología</t>
        </is>
      </c>
      <c r="L712" s="10" t="inlineStr">
        <is>
          <t>UBICACIÓN DIGITAL-EQUIPO DEL RESPONSABLE</t>
        </is>
      </c>
      <c r="M712" s="10" t="inlineStr">
        <is>
          <t>DISCOS DUROS, SERVIDORES, DISCOS O MEDIOS PORTÁTILES, CINTAS O MEDIOS DE VIDEO Y AUDIO, ETC.</t>
        </is>
      </c>
      <c r="N712" s="10" t="inlineStr">
        <is>
          <t>PRIMARIOS</t>
        </is>
      </c>
      <c r="O712" s="10" t="inlineStr">
        <is>
          <t>DOCUMENTOS TÉCNICOS</t>
        </is>
      </c>
      <c r="P712" s="10" t="inlineStr">
        <is>
          <t>USO INTERNO(2)</t>
        </is>
      </c>
      <c r="Q712" s="10" t="inlineStr">
        <is>
          <t>BAJA(1)</t>
        </is>
      </c>
      <c r="R712" s="10" t="inlineStr">
        <is>
          <t>BAJA(1)</t>
        </is>
      </c>
      <c r="S712" s="10">
        <f>+(IF(P712="PUBLICA(1)",1,IF(P712="USO INTERNO(2)",2,IF(P712="RESTRINGIDO(3)",3,3))))+(IF(Q712="BAJA(1)",1,IF(Q712="MEDIA(2)",2,IF(Q712="ALTA(3)",3,3))))+(IF(R712="BAJA(1)",1,IF(R712="MEDIA(2)",2,IF(R712="ALTA(3)",3,3))))</f>
        <v/>
      </c>
      <c r="T712" s="10">
        <f>+IF(S712&lt;6,"BAJA",IF(S712&lt;8,"MEDIA","ALTA"))</f>
        <v/>
      </c>
      <c r="U712" s="10" t="inlineStr">
        <is>
          <t>-</t>
        </is>
      </c>
      <c r="V712" s="24" t="n">
        <v>45687</v>
      </c>
      <c r="W712" s="19" t="inlineStr">
        <is>
          <t>N/A</t>
        </is>
      </c>
      <c r="X712" s="10">
        <f>+IFERROR(IF(VLOOKUP(Tabla2[[#This Row],[ID]],'EVALUACION DE RIESGO'!A:A,1,FALSE)=Tabla2[[#This Row],[ID]],"SI","NO"),"NO")</f>
        <v/>
      </c>
    </row>
    <row r="713">
      <c r="A713" s="91" t="inlineStr">
        <is>
          <t>10-GTI</t>
        </is>
      </c>
      <c r="B713" s="10" t="inlineStr">
        <is>
          <t>APOYO</t>
        </is>
      </c>
      <c r="C713" s="10" t="inlineStr">
        <is>
          <t>Gestión de Tecnología de la Información</t>
        </is>
      </c>
      <c r="D713" s="10" t="inlineStr">
        <is>
          <t>GTI</t>
        </is>
      </c>
      <c r="E713" s="10" t="inlineStr">
        <is>
          <t>Gestión de la Estrategia de TI</t>
        </is>
      </c>
      <c r="F713" s="10" t="inlineStr">
        <is>
          <t>-</t>
        </is>
      </c>
      <c r="G713" s="10" t="inlineStr">
        <is>
          <t>Evaluación de acuerdos de servicios</t>
        </is>
      </c>
      <c r="H713" s="10" t="inlineStr">
        <is>
          <t>Informe de gestión trimestral</t>
        </is>
      </c>
      <c r="I713" s="10" t="inlineStr">
        <is>
          <t>Informe presentado al Comité de TI para su análisis y conocimiento</t>
        </is>
      </c>
      <c r="J713" s="10" t="inlineStr">
        <is>
          <t>Gerente de Tecnología</t>
        </is>
      </c>
      <c r="K713" s="10" t="inlineStr">
        <is>
          <t>Gerente de Tecnología</t>
        </is>
      </c>
      <c r="L713" s="10" t="inlineStr">
        <is>
          <t>UBICACIÓN DIGITAL-EQUIPO DEL RESPONSABLE</t>
        </is>
      </c>
      <c r="M713" s="10" t="inlineStr">
        <is>
          <t>DISCOS DUROS, SERVIDORES, DISCOS O MEDIOS PORTÁTILES, CINTAS O MEDIOS DE VIDEO Y AUDIO, ETC.</t>
        </is>
      </c>
      <c r="N713" s="10" t="inlineStr">
        <is>
          <t>PRIMARIOS</t>
        </is>
      </c>
      <c r="O713" s="10" t="inlineStr">
        <is>
          <t>DOCUMENTOS TÉCNICOS</t>
        </is>
      </c>
      <c r="P713" s="10" t="inlineStr">
        <is>
          <t>USO INTERNO(2)</t>
        </is>
      </c>
      <c r="Q713" s="10" t="inlineStr">
        <is>
          <t>BAJA(1)</t>
        </is>
      </c>
      <c r="R713" s="10" t="inlineStr">
        <is>
          <t>BAJA(1)</t>
        </is>
      </c>
      <c r="S713" s="10">
        <f>+(IF(P713="PUBLICA(1)",1,IF(P713="USO INTERNO(2)",2,IF(P713="RESTRINGIDO(3)",3,3))))+(IF(Q713="BAJA(1)",1,IF(Q713="MEDIA(2)",2,IF(Q713="ALTA(3)",3,3))))+(IF(R713="BAJA(1)",1,IF(R713="MEDIA(2)",2,IF(R713="ALTA(3)",3,3))))</f>
        <v/>
      </c>
      <c r="T713" s="10">
        <f>+IF(S713&lt;6,"BAJA",IF(S713&lt;8,"MEDIA","ALTA"))</f>
        <v/>
      </c>
      <c r="U713" s="10" t="inlineStr">
        <is>
          <t>-</t>
        </is>
      </c>
      <c r="V713" s="24" t="n">
        <v>45687</v>
      </c>
      <c r="W713" s="19" t="inlineStr">
        <is>
          <t>N/A</t>
        </is>
      </c>
      <c r="X713" s="10">
        <f>+IFERROR(IF(VLOOKUP(Tabla2[[#This Row],[ID]],'EVALUACION DE RIESGO'!A:A,1,FALSE)=Tabla2[[#This Row],[ID]],"SI","NO"),"NO")</f>
        <v/>
      </c>
    </row>
    <row r="714">
      <c r="A714" s="91" t="inlineStr">
        <is>
          <t>11-GTI</t>
        </is>
      </c>
      <c r="B714" s="10" t="inlineStr">
        <is>
          <t>APOYO</t>
        </is>
      </c>
      <c r="C714" s="10" t="inlineStr">
        <is>
          <t>Gestión de Tecnología de la Información</t>
        </is>
      </c>
      <c r="D714" s="10" t="inlineStr">
        <is>
          <t>GTI</t>
        </is>
      </c>
      <c r="E714" s="10" t="inlineStr">
        <is>
          <t>Gestión de la Estrategia de TI</t>
        </is>
      </c>
      <c r="F714" s="10" t="inlineStr">
        <is>
          <t>-</t>
        </is>
      </c>
      <c r="G714" s="10" t="inlineStr">
        <is>
          <t xml:space="preserve">Adquisición de tecnología </t>
        </is>
      </c>
      <c r="H714" s="10" t="inlineStr">
        <is>
          <t>Requerimiento anual de compras / Solicitud de adquisiciones</t>
        </is>
      </c>
      <c r="I714" s="10" t="inlineStr">
        <is>
          <t>Análisis de TDR y Solicitud de adquisiciones emitida a Adquisiciones para proceder con la contratación</t>
        </is>
      </c>
      <c r="J714" s="10" t="inlineStr">
        <is>
          <t>Gerente de Tecnología</t>
        </is>
      </c>
      <c r="K714" s="10" t="inlineStr">
        <is>
          <t>Gerente de Tecnología</t>
        </is>
      </c>
      <c r="L714" s="10" t="inlineStr">
        <is>
          <t>UBICACIÓN DIGITAL - SISTEMA SARA</t>
        </is>
      </c>
      <c r="M714" s="10" t="inlineStr">
        <is>
          <t>DOCUMENTO DE ARCHIVO-ELECTRÓNICO</t>
        </is>
      </c>
      <c r="N714" s="10" t="inlineStr">
        <is>
          <t>PRIMARIOS</t>
        </is>
      </c>
      <c r="O714" s="10" t="inlineStr">
        <is>
          <t>DOCUMENTOS TÉCNICOS</t>
        </is>
      </c>
      <c r="P714" s="10" t="inlineStr">
        <is>
          <t>USO INTERNO(2)</t>
        </is>
      </c>
      <c r="Q714" s="10" t="inlineStr">
        <is>
          <t>BAJA(1)</t>
        </is>
      </c>
      <c r="R714" s="10" t="inlineStr">
        <is>
          <t>BAJA(1)</t>
        </is>
      </c>
      <c r="S714" s="10">
        <f>+(IF(P714="PUBLICA(1)",1,IF(P714="USO INTERNO(2)",2,IF(P714="RESTRINGIDO(3)",3,3))))+(IF(Q714="BAJA(1)",1,IF(Q714="MEDIA(2)",2,IF(Q714="ALTA(3)",3,3))))+(IF(R714="BAJA(1)",1,IF(R714="MEDIA(2)",2,IF(R714="ALTA(3)",3,3))))</f>
        <v/>
      </c>
      <c r="T714" s="10">
        <f>+IF(S714&lt;6,"BAJA",IF(S714&lt;8,"MEDIA","ALTA"))</f>
        <v/>
      </c>
      <c r="U714" s="10" t="inlineStr">
        <is>
          <t>-</t>
        </is>
      </c>
      <c r="V714" s="24" t="n">
        <v>45687</v>
      </c>
      <c r="W714" s="19" t="inlineStr">
        <is>
          <t>N/A</t>
        </is>
      </c>
      <c r="X714" s="10">
        <f>+IFERROR(IF(VLOOKUP(Tabla2[[#This Row],[ID]],'EVALUACION DE RIESGO'!A:A,1,FALSE)=Tabla2[[#This Row],[ID]],"SI","NO"),"NO")</f>
        <v/>
      </c>
    </row>
    <row r="715">
      <c r="A715" s="91" t="inlineStr">
        <is>
          <t>12-GTI</t>
        </is>
      </c>
      <c r="B715" s="10" t="inlineStr">
        <is>
          <t>APOYO</t>
        </is>
      </c>
      <c r="C715" s="10" t="inlineStr">
        <is>
          <t>Gestión de Tecnología de la Información</t>
        </is>
      </c>
      <c r="D715" s="10" t="inlineStr">
        <is>
          <t>GTI</t>
        </is>
      </c>
      <c r="E715" s="10" t="inlineStr">
        <is>
          <t>Gestión de la Estrategia de TI</t>
        </is>
      </c>
      <c r="F715" s="10" t="inlineStr">
        <is>
          <t>-</t>
        </is>
      </c>
      <c r="G715" s="10" t="inlineStr">
        <is>
          <t xml:space="preserve">Adquisición de tecnología </t>
        </is>
      </c>
      <c r="H715" s="10" t="inlineStr">
        <is>
          <t>Catálogo de proveedores</t>
        </is>
      </c>
      <c r="I715" s="10" t="inlineStr">
        <is>
          <t>Términos de referencia para la adquisición de tecnología</t>
        </is>
      </c>
      <c r="J715" s="10" t="inlineStr">
        <is>
          <t>Gerente de Tecnología</t>
        </is>
      </c>
      <c r="K715" s="10" t="inlineStr">
        <is>
          <t>Gerente de Tecnología</t>
        </is>
      </c>
      <c r="L715" s="10" t="inlineStr">
        <is>
          <t>UBICACIÓN DIGITAL - SISTEMA SARA</t>
        </is>
      </c>
      <c r="M715" s="10" t="inlineStr">
        <is>
          <t>DOCUMENTO DE ARCHIVO-ELECTRÓNICO</t>
        </is>
      </c>
      <c r="N715" s="10" t="inlineStr">
        <is>
          <t>PRIMARIOS</t>
        </is>
      </c>
      <c r="O715" s="10" t="inlineStr">
        <is>
          <t>DOCUMENTOS TÉCNICOS</t>
        </is>
      </c>
      <c r="P715" s="10" t="inlineStr">
        <is>
          <t>USO INTERNO(2)</t>
        </is>
      </c>
      <c r="Q715" s="10" t="inlineStr">
        <is>
          <t>BAJA(1)</t>
        </is>
      </c>
      <c r="R715" s="10" t="inlineStr">
        <is>
          <t>BAJA(1)</t>
        </is>
      </c>
      <c r="S715" s="10">
        <f>+(IF(P715="PUBLICA(1)",1,IF(P715="USO INTERNO(2)",2,IF(P715="RESTRINGIDO(3)",3,3))))+(IF(Q715="BAJA(1)",1,IF(Q715="MEDIA(2)",2,IF(Q715="ALTA(3)",3,3))))+(IF(R715="BAJA(1)",1,IF(R715="MEDIA(2)",2,IF(R715="ALTA(3)",3,3))))</f>
        <v/>
      </c>
      <c r="T715" s="10">
        <f>+IF(S715&lt;6,"BAJA",IF(S715&lt;8,"MEDIA","ALTA"))</f>
        <v/>
      </c>
      <c r="U715" s="10" t="inlineStr">
        <is>
          <t>-</t>
        </is>
      </c>
      <c r="V715" s="24" t="n">
        <v>45687</v>
      </c>
      <c r="W715" s="19" t="inlineStr">
        <is>
          <t>N/A</t>
        </is>
      </c>
      <c r="X715" s="10">
        <f>+IFERROR(IF(VLOOKUP(Tabla2[[#This Row],[ID]],'EVALUACION DE RIESGO'!A:A,1,FALSE)=Tabla2[[#This Row],[ID]],"SI","NO"),"NO")</f>
        <v/>
      </c>
    </row>
    <row r="716">
      <c r="A716" s="91" t="inlineStr">
        <is>
          <t>13-GTI</t>
        </is>
      </c>
      <c r="B716" s="10" t="inlineStr">
        <is>
          <t>APOYO</t>
        </is>
      </c>
      <c r="C716" s="10" t="inlineStr">
        <is>
          <t>Gestión de Tecnología de la Información</t>
        </is>
      </c>
      <c r="D716" s="10" t="inlineStr">
        <is>
          <t>GTI</t>
        </is>
      </c>
      <c r="E716" s="10" t="inlineStr">
        <is>
          <t>Gestión de la Estrategia de TI</t>
        </is>
      </c>
      <c r="F716" s="10" t="inlineStr">
        <is>
          <t>-</t>
        </is>
      </c>
      <c r="G716" s="10" t="inlineStr">
        <is>
          <t>Control de contratos de tecnología</t>
        </is>
      </c>
      <c r="H716" s="10" t="inlineStr">
        <is>
          <t>Informe de evaluación de proveedores/Control de contratos</t>
        </is>
      </c>
      <c r="I716" s="10" t="inlineStr">
        <is>
          <t>Evaluación del cumplimiento de los requisitos y las condiciones de los contratos con los proveedores actuales</t>
        </is>
      </c>
      <c r="J716" s="10" t="inlineStr">
        <is>
          <t>Gerente de Tecnología</t>
        </is>
      </c>
      <c r="K716" s="10" t="inlineStr">
        <is>
          <t>Gerente de Tecnología</t>
        </is>
      </c>
      <c r="L716" s="10" t="inlineStr">
        <is>
          <t>UBICACIÓN DIGITAL - SISTEMA SARA</t>
        </is>
      </c>
      <c r="M716" s="10" t="inlineStr">
        <is>
          <t>DOCUMENTO DE ARCHIVO-ELECTRÓNICO</t>
        </is>
      </c>
      <c r="N716" s="10" t="inlineStr">
        <is>
          <t>PRIMARIOS</t>
        </is>
      </c>
      <c r="O716" s="10" t="inlineStr">
        <is>
          <t>DOCUMENTOS TÉCNICOS</t>
        </is>
      </c>
      <c r="P716" s="10" t="inlineStr">
        <is>
          <t>USO INTERNO(2)</t>
        </is>
      </c>
      <c r="Q716" s="10" t="inlineStr">
        <is>
          <t>BAJA(1)</t>
        </is>
      </c>
      <c r="R716" s="10" t="inlineStr">
        <is>
          <t>BAJA(1)</t>
        </is>
      </c>
      <c r="S716" s="10">
        <f>+(IF(P716="PUBLICA(1)",1,IF(P716="USO INTERNO(2)",2,IF(P716="RESTRINGIDO(3)",3,3))))+(IF(Q716="BAJA(1)",1,IF(Q716="MEDIA(2)",2,IF(Q716="ALTA(3)",3,3))))+(IF(R716="BAJA(1)",1,IF(R716="MEDIA(2)",2,IF(R716="ALTA(3)",3,3))))</f>
        <v/>
      </c>
      <c r="T716" s="10">
        <f>+IF(S716&lt;6,"BAJA",IF(S716&lt;8,"MEDIA","ALTA"))</f>
        <v/>
      </c>
      <c r="U716" s="10" t="inlineStr">
        <is>
          <t>-</t>
        </is>
      </c>
      <c r="V716" s="24" t="n">
        <v>45687</v>
      </c>
      <c r="W716" s="19" t="inlineStr">
        <is>
          <t>N/A</t>
        </is>
      </c>
      <c r="X716" s="10">
        <f>+IFERROR(IF(VLOOKUP(Tabla2[[#This Row],[ID]],'EVALUACION DE RIESGO'!A:A,1,FALSE)=Tabla2[[#This Row],[ID]],"SI","NO"),"NO")</f>
        <v/>
      </c>
    </row>
    <row r="717">
      <c r="A717" s="91" t="inlineStr">
        <is>
          <t>14-GTI</t>
        </is>
      </c>
      <c r="B717" s="10" t="inlineStr">
        <is>
          <t>APOYO</t>
        </is>
      </c>
      <c r="C717" s="10" t="inlineStr">
        <is>
          <t>Gestión de Tecnología de la Información</t>
        </is>
      </c>
      <c r="D717" s="10" t="inlineStr">
        <is>
          <t>GTI</t>
        </is>
      </c>
      <c r="E717" s="10" t="inlineStr">
        <is>
          <t>Gestión de las Operaciones de TI</t>
        </is>
      </c>
      <c r="F717" s="10" t="inlineStr">
        <is>
          <t>-</t>
        </is>
      </c>
      <c r="G717" s="10" t="inlineStr">
        <is>
          <t>Ejecución de procesos Batch</t>
        </is>
      </c>
      <c r="H717" s="10" t="inlineStr">
        <is>
          <t>Check List Fin Día / Fin Mes</t>
        </is>
      </c>
      <c r="I717" s="10" t="inlineStr">
        <is>
          <t>Matriz de seguimiento de ejecución de transacciones del proceso batch</t>
        </is>
      </c>
      <c r="J717" s="10" t="inlineStr">
        <is>
          <t>Gerente de Tecnología</t>
        </is>
      </c>
      <c r="K717" s="10" t="inlineStr">
        <is>
          <t>Asistente de Infraestructura tecnologica</t>
        </is>
      </c>
      <c r="L717" s="10" t="inlineStr">
        <is>
          <t>UBICACIÓN DIGITAL-EQUIPO DEL CUSTODIO</t>
        </is>
      </c>
      <c r="M717" s="10" t="inlineStr">
        <is>
          <t>DISCOS DUROS, SERVIDORES, DISCOS O MEDIOS PORTÁTILES, CINTAS O MEDIOS DE VIDEO Y AUDIO, ETC.</t>
        </is>
      </c>
      <c r="N717" s="10" t="inlineStr">
        <is>
          <t>PRIMARIOS</t>
        </is>
      </c>
      <c r="O717" s="10" t="inlineStr">
        <is>
          <t>DOCUMENTOS TÉCNICOS</t>
        </is>
      </c>
      <c r="P717" s="10" t="inlineStr">
        <is>
          <t>USO INTERNO(2)</t>
        </is>
      </c>
      <c r="Q717" s="10" t="inlineStr">
        <is>
          <t>ALTA(3)</t>
        </is>
      </c>
      <c r="R717" s="10" t="inlineStr">
        <is>
          <t>MEDIA(2)</t>
        </is>
      </c>
      <c r="S717" s="10">
        <f>+(IF(P717="PUBLICA(1)",1,IF(P717="USO INTERNO(2)",2,IF(P717="RESTRINGIDO(3)",3,3))))+(IF(Q717="BAJA(1)",1,IF(Q717="MEDIA(2)",2,IF(Q717="ALTA(3)",3,3))))+(IF(R717="BAJA(1)",1,IF(R717="MEDIA(2)",2,IF(R717="ALTA(3)",3,3))))</f>
        <v/>
      </c>
      <c r="T717" s="10">
        <f>+IF(S717&lt;6,"BAJA",IF(S717&lt;8,"MEDIA","ALTA"))</f>
        <v/>
      </c>
      <c r="U717" s="10" t="inlineStr">
        <is>
          <t>-</t>
        </is>
      </c>
      <c r="V717" s="24" t="n">
        <v>45687</v>
      </c>
      <c r="W717" s="19" t="inlineStr">
        <is>
          <t>N/A</t>
        </is>
      </c>
      <c r="X717" s="10">
        <f>+IFERROR(IF(VLOOKUP(Tabla2[[#This Row],[ID]],'EVALUACION DE RIESGO'!A:A,1,FALSE)=Tabla2[[#This Row],[ID]],"SI","NO"),"NO")</f>
        <v/>
      </c>
    </row>
    <row r="718">
      <c r="A718" s="91" t="inlineStr">
        <is>
          <t>15-GTI</t>
        </is>
      </c>
      <c r="B718" s="10" t="inlineStr">
        <is>
          <t>APOYO</t>
        </is>
      </c>
      <c r="C718" s="10" t="inlineStr">
        <is>
          <t>Gestión de Tecnología de la Información</t>
        </is>
      </c>
      <c r="D718" s="10" t="inlineStr">
        <is>
          <t>GTI</t>
        </is>
      </c>
      <c r="E718" s="10" t="inlineStr">
        <is>
          <t>Gestión de las Operaciones de TI</t>
        </is>
      </c>
      <c r="F718" s="10" t="inlineStr">
        <is>
          <t>-</t>
        </is>
      </c>
      <c r="G718" s="10" t="inlineStr">
        <is>
          <t>Ejecución de procesos Batch</t>
        </is>
      </c>
      <c r="H718" s="10" t="inlineStr">
        <is>
          <t>Notificación de procesamiento batch</t>
        </is>
      </c>
      <c r="I718" s="10" t="inlineStr">
        <is>
          <t>Notificación de inicio y de fin del proceso por mensaje de texto al Responsable del Procedimiento, después del fin del proceso se notifica por correo electrónico los error existentes o novedades</t>
        </is>
      </c>
      <c r="J718" s="10" t="inlineStr">
        <is>
          <t>Gerente de Tecnología</t>
        </is>
      </c>
      <c r="K718" s="10" t="inlineStr">
        <is>
          <t>Asistente de Infraestructura tecnologica</t>
        </is>
      </c>
      <c r="L718" s="10" t="inlineStr">
        <is>
          <t>UBICACIÓN DIGITAL-EQUIPO DEL CUSTODIO</t>
        </is>
      </c>
      <c r="M718" s="10" t="inlineStr">
        <is>
          <t>DISCOS DUROS, SERVIDORES, DISCOS O MEDIOS PORTÁTILES, CINTAS O MEDIOS DE VIDEO Y AUDIO, ETC.</t>
        </is>
      </c>
      <c r="N718" s="10" t="inlineStr">
        <is>
          <t>PRIMARIOS</t>
        </is>
      </c>
      <c r="O718" s="10" t="inlineStr">
        <is>
          <t>COMUNICACIÓN INTERNA</t>
        </is>
      </c>
      <c r="P718" s="10" t="inlineStr">
        <is>
          <t>USO INTERNO(2)</t>
        </is>
      </c>
      <c r="Q718" s="10" t="inlineStr">
        <is>
          <t>ALTA(3)</t>
        </is>
      </c>
      <c r="R718" s="10" t="inlineStr">
        <is>
          <t>MEDIA(2)</t>
        </is>
      </c>
      <c r="S718" s="10">
        <f>+(IF(P718="PUBLICA(1)",1,IF(P718="USO INTERNO(2)",2,IF(P718="RESTRINGIDO(3)",3,3))))+(IF(Q718="BAJA(1)",1,IF(Q718="MEDIA(2)",2,IF(Q718="ALTA(3)",3,3))))+(IF(R718="BAJA(1)",1,IF(R718="MEDIA(2)",2,IF(R718="ALTA(3)",3,3))))</f>
        <v/>
      </c>
      <c r="T718" s="10">
        <f>+IF(S718&lt;6,"BAJA",IF(S718&lt;8,"MEDIA","ALTA"))</f>
        <v/>
      </c>
      <c r="U718" s="10" t="inlineStr">
        <is>
          <t>-</t>
        </is>
      </c>
      <c r="V718" s="24" t="n">
        <v>45687</v>
      </c>
      <c r="W718" s="19" t="inlineStr">
        <is>
          <t>N/A</t>
        </is>
      </c>
      <c r="X718" s="10">
        <f>+IFERROR(IF(VLOOKUP(Tabla2[[#This Row],[ID]],'EVALUACION DE RIESGO'!A:A,1,FALSE)=Tabla2[[#This Row],[ID]],"SI","NO"),"NO")</f>
        <v/>
      </c>
    </row>
    <row r="719" ht="12" customHeight="1" s="98">
      <c r="A719" s="40" t="inlineStr">
        <is>
          <t>16-GTI</t>
        </is>
      </c>
      <c r="B719" s="10" t="inlineStr">
        <is>
          <t>APOYO</t>
        </is>
      </c>
      <c r="C719" s="10" t="inlineStr">
        <is>
          <t>Gestión de Tecnología de la Información</t>
        </is>
      </c>
      <c r="D719" s="10" t="inlineStr">
        <is>
          <t>GTI</t>
        </is>
      </c>
      <c r="E719" s="10" t="inlineStr">
        <is>
          <t>Gestión de las Operaciones de TI</t>
        </is>
      </c>
      <c r="F719" s="10" t="inlineStr">
        <is>
          <t>-</t>
        </is>
      </c>
      <c r="G719" s="10" t="inlineStr">
        <is>
          <t>Ejecución de procesos Batch</t>
        </is>
      </c>
      <c r="H719" s="17" t="inlineStr">
        <is>
          <t>Respaldo de información</t>
        </is>
      </c>
      <c r="I719" s="17" t="inlineStr">
        <is>
          <t xml:space="preserve">Respaldo de Base de Datos (diario) </t>
        </is>
      </c>
      <c r="J719" s="10" t="inlineStr">
        <is>
          <t>Gerente de Tecnología</t>
        </is>
      </c>
      <c r="K719" s="10" t="inlineStr">
        <is>
          <t>Asistente de Infraestructura tecnologica</t>
        </is>
      </c>
      <c r="L719" s="10" t="inlineStr">
        <is>
          <t>DISCO DURO EXTERNO</t>
        </is>
      </c>
      <c r="M719" s="10" t="inlineStr">
        <is>
          <t>DISCOS DUROS, SERVIDORES, DISCOS O MEDIOS PORTÁTILES, CINTAS O MEDIOS DE VIDEO Y AUDIO, ETC.</t>
        </is>
      </c>
      <c r="N719" s="10" t="inlineStr">
        <is>
          <t>APOYO</t>
        </is>
      </c>
      <c r="O719" s="10" t="inlineStr">
        <is>
          <t>OTROS</t>
        </is>
      </c>
      <c r="P719" s="10" t="inlineStr">
        <is>
          <t>RESTRINGIDO(3)</t>
        </is>
      </c>
      <c r="Q719" s="10" t="inlineStr">
        <is>
          <t>ALTA(3)</t>
        </is>
      </c>
      <c r="R719" s="10" t="inlineStr">
        <is>
          <t>ALTA(3)</t>
        </is>
      </c>
      <c r="S719" s="10">
        <f>+(IF(P719="PUBLICA(1)",1,IF(P719="USO INTERNO(2)",2,IF(P719="RESTRINGIDO(3)",3,3))))+(IF(Q719="BAJA(1)",1,IF(Q719="MEDIA(2)",2,IF(Q719="ALTA(3)",3,3))))+(IF(R719="BAJA(1)",1,IF(R719="MEDIA(2)",2,IF(R719="ALTA(3)",3,3))))</f>
        <v/>
      </c>
      <c r="T719" s="10">
        <f>+IF(S719&lt;6,"BAJA",IF(S719&lt;8,"MEDIA","ALTA"))</f>
        <v/>
      </c>
      <c r="U719" s="10" t="inlineStr">
        <is>
          <t>-</t>
        </is>
      </c>
      <c r="V719" s="24" t="n">
        <v>45687</v>
      </c>
      <c r="W719" s="19" t="inlineStr">
        <is>
          <t>N/A</t>
        </is>
      </c>
      <c r="X719" s="10">
        <f>+IFERROR(IF(VLOOKUP(Tabla2[[#This Row],[ID]],'EVALUACION DE RIESGO'!A:A,1,FALSE)=Tabla2[[#This Row],[ID]],"SI","NO"),"NO")</f>
        <v/>
      </c>
    </row>
    <row r="720">
      <c r="A720" s="91" t="inlineStr">
        <is>
          <t>17-GTI</t>
        </is>
      </c>
      <c r="B720" s="10" t="inlineStr">
        <is>
          <t>APOYO</t>
        </is>
      </c>
      <c r="C720" s="10" t="inlineStr">
        <is>
          <t>Gestión de Tecnología de la Información</t>
        </is>
      </c>
      <c r="D720" s="10" t="inlineStr">
        <is>
          <t>GTI</t>
        </is>
      </c>
      <c r="E720" s="10" t="inlineStr">
        <is>
          <t>Gestión de las Operaciones de TI</t>
        </is>
      </c>
      <c r="F720" s="10" t="inlineStr">
        <is>
          <t>-</t>
        </is>
      </c>
      <c r="G720" s="10" t="inlineStr">
        <is>
          <t>Afectación directa a la base de datos / Creación de objetos de base de datos</t>
        </is>
      </c>
      <c r="H720" s="10" t="inlineStr">
        <is>
          <t>Requerimiento de Service desk</t>
        </is>
      </c>
      <c r="I720" s="10" t="inlineStr">
        <is>
          <t>Registros de requerimientos de usuarios contenidos en el sistema webcoop, base de datos SYBASE</t>
        </is>
      </c>
      <c r="J720" s="10" t="inlineStr">
        <is>
          <t>Gerente de Tecnología</t>
        </is>
      </c>
      <c r="K720" s="10" t="inlineStr">
        <is>
          <t>Asistente de Infraestructura tecnologica</t>
        </is>
      </c>
      <c r="L720" s="10" t="inlineStr">
        <is>
          <t>UBICACIÓN DIGITAL-WEBCOOP</t>
        </is>
      </c>
      <c r="M720" s="10" t="inlineStr">
        <is>
          <t>SISTEMAS DE BASE DE DATOS</t>
        </is>
      </c>
      <c r="N720" s="10" t="inlineStr">
        <is>
          <t>APOYO</t>
        </is>
      </c>
      <c r="O720" s="10" t="inlineStr">
        <is>
          <t>OTROS</t>
        </is>
      </c>
      <c r="P720" s="10" t="inlineStr">
        <is>
          <t>USO INTERNO(2)</t>
        </is>
      </c>
      <c r="Q720" s="10" t="inlineStr">
        <is>
          <t>BAJA(1)</t>
        </is>
      </c>
      <c r="R720" s="10" t="inlineStr">
        <is>
          <t>MEDIA(2)</t>
        </is>
      </c>
      <c r="S720" s="10">
        <f>+(IF(P720="PUBLICA(1)",1,IF(P720="USO INTERNO(2)",2,IF(P720="RESTRINGIDO(3)",3,3))))+(IF(Q720="BAJA(1)",1,IF(Q720="MEDIA(2)",2,IF(Q720="ALTA(3)",3,3))))+(IF(R720="BAJA(1)",1,IF(R720="MEDIA(2)",2,IF(R720="ALTA(3)",3,3))))</f>
        <v/>
      </c>
      <c r="T720" s="10">
        <f>+IF(S720&lt;6,"BAJA",IF(S720&lt;8,"MEDIA","ALTA"))</f>
        <v/>
      </c>
      <c r="U720" s="10" t="inlineStr">
        <is>
          <t>-</t>
        </is>
      </c>
      <c r="V720" s="24" t="n">
        <v>45687</v>
      </c>
      <c r="W720" s="19" t="inlineStr">
        <is>
          <t>N/A</t>
        </is>
      </c>
      <c r="X720" s="10">
        <f>+IFERROR(IF(VLOOKUP(Tabla2[[#This Row],[ID]],'EVALUACION DE RIESGO'!A:A,1,FALSE)=Tabla2[[#This Row],[ID]],"SI","NO"),"NO")</f>
        <v/>
      </c>
    </row>
    <row r="721">
      <c r="A721" s="91" t="inlineStr">
        <is>
          <t>18-GTI</t>
        </is>
      </c>
      <c r="B721" s="10" t="inlineStr">
        <is>
          <t>APOYO</t>
        </is>
      </c>
      <c r="C721" s="10" t="inlineStr">
        <is>
          <t>Gestión de Tecnología de la Información</t>
        </is>
      </c>
      <c r="D721" s="10" t="inlineStr">
        <is>
          <t>GTI</t>
        </is>
      </c>
      <c r="E721" s="10" t="inlineStr">
        <is>
          <t>Gestión de las Operaciones de TI</t>
        </is>
      </c>
      <c r="F721" s="10" t="inlineStr">
        <is>
          <t>-</t>
        </is>
      </c>
      <c r="G721" s="10" t="inlineStr">
        <is>
          <t>Puesta en producción del Core financiero</t>
        </is>
      </c>
      <c r="H721" s="10" t="inlineStr">
        <is>
          <t>Formulario de pruebas de aceptación de usuario</t>
        </is>
      </c>
      <c r="I721" s="10" t="inlineStr">
        <is>
          <t>Autorización de la aplicación en el ambiente de producción de las correcciones o nuevas implementaciones por medio del formulario de pruebas de aceptación del usuario final</t>
        </is>
      </c>
      <c r="J721" s="10" t="inlineStr">
        <is>
          <t>Gerente de Tecnología</t>
        </is>
      </c>
      <c r="K721" s="10" t="inlineStr">
        <is>
          <t>Asistente de Infraestructura tecnologica</t>
        </is>
      </c>
      <c r="L721" s="10" t="inlineStr">
        <is>
          <t>UBICACIÓN DIGITAL-EQUIPO DEL CUSTODIO</t>
        </is>
      </c>
      <c r="M721" s="10" t="inlineStr">
        <is>
          <t>DOCUMENTO DE ARCHIVO-ELECTRÓNICO</t>
        </is>
      </c>
      <c r="N721" s="10" t="inlineStr">
        <is>
          <t>PRIMARIOS</t>
        </is>
      </c>
      <c r="O721" s="10" t="inlineStr">
        <is>
          <t>DOCUMENTOS TÉCNICOS</t>
        </is>
      </c>
      <c r="P721" s="10" t="inlineStr">
        <is>
          <t>USO INTERNO(2)</t>
        </is>
      </c>
      <c r="Q721" s="10" t="inlineStr">
        <is>
          <t>BAJA(1)</t>
        </is>
      </c>
      <c r="R721" s="10" t="inlineStr">
        <is>
          <t>BAJA(1)</t>
        </is>
      </c>
      <c r="S721" s="10">
        <f>+(IF(P721="PUBLICA(1)",1,IF(P721="USO INTERNO(2)",2,IF(P721="RESTRINGIDO(3)",3,3))))+(IF(Q721="BAJA(1)",1,IF(Q721="MEDIA(2)",2,IF(Q721="ALTA(3)",3,3))))+(IF(R721="BAJA(1)",1,IF(R721="MEDIA(2)",2,IF(R721="ALTA(3)",3,3))))</f>
        <v/>
      </c>
      <c r="T721" s="10">
        <f>+IF(S721&lt;6,"BAJA",IF(S721&lt;8,"MEDIA","ALTA"))</f>
        <v/>
      </c>
      <c r="U721" s="10" t="inlineStr">
        <is>
          <t>-</t>
        </is>
      </c>
      <c r="V721" s="24" t="n">
        <v>45687</v>
      </c>
      <c r="W721" s="19" t="inlineStr">
        <is>
          <t>N/A</t>
        </is>
      </c>
      <c r="X721" s="10">
        <f>+IFERROR(IF(VLOOKUP(Tabla2[[#This Row],[ID]],'EVALUACION DE RIESGO'!A:A,1,FALSE)=Tabla2[[#This Row],[ID]],"SI","NO"),"NO")</f>
        <v/>
      </c>
    </row>
    <row r="722">
      <c r="A722" s="91" t="inlineStr">
        <is>
          <t>19-GTI</t>
        </is>
      </c>
      <c r="B722" s="10" t="inlineStr">
        <is>
          <t>APOYO</t>
        </is>
      </c>
      <c r="C722" s="10" t="inlineStr">
        <is>
          <t>Gestión de Tecnología de la Información</t>
        </is>
      </c>
      <c r="D722" s="10" t="inlineStr">
        <is>
          <t>GTI</t>
        </is>
      </c>
      <c r="E722" s="10" t="inlineStr">
        <is>
          <t>Gestión de las Operaciones de TI</t>
        </is>
      </c>
      <c r="F722" s="10" t="inlineStr">
        <is>
          <t>-</t>
        </is>
      </c>
      <c r="G722" s="10" t="inlineStr">
        <is>
          <t>Administración de la replicación</t>
        </is>
      </c>
      <c r="H722" s="10" t="inlineStr">
        <is>
          <t>Matriz de incidentes</t>
        </is>
      </c>
      <c r="I722" s="10" t="inlineStr">
        <is>
          <t>Análisis, corrección y documentos de errores presentados en el procesos de replicación</t>
        </is>
      </c>
      <c r="J722" s="10" t="inlineStr">
        <is>
          <t>Gerente de Tecnología</t>
        </is>
      </c>
      <c r="K722" s="10" t="inlineStr">
        <is>
          <t>Asistente de Infraestructura tecnologica</t>
        </is>
      </c>
      <c r="L722" s="10" t="inlineStr">
        <is>
          <t>UBICACIÓN DIGITAL-EQUIPO DEL CUSTODIO</t>
        </is>
      </c>
      <c r="M722" s="10" t="inlineStr">
        <is>
          <t>DOCUMENTO DE ARCHIVO-ELECTRÓNICO</t>
        </is>
      </c>
      <c r="N722" s="10" t="inlineStr">
        <is>
          <t>PRIMARIOS</t>
        </is>
      </c>
      <c r="O722" s="10" t="inlineStr">
        <is>
          <t>DOCUMENTOS TÉCNICOS</t>
        </is>
      </c>
      <c r="P722" s="10" t="inlineStr">
        <is>
          <t>USO INTERNO(2)</t>
        </is>
      </c>
      <c r="Q722" s="10" t="inlineStr">
        <is>
          <t>MEDIA(2)</t>
        </is>
      </c>
      <c r="R722" s="10" t="inlineStr">
        <is>
          <t>MEDIA(2)</t>
        </is>
      </c>
      <c r="S722" s="10">
        <f>+(IF(P722="PUBLICA(1)",1,IF(P722="USO INTERNO(2)",2,IF(P722="RESTRINGIDO(3)",3,3))))+(IF(Q722="BAJA(1)",1,IF(Q722="MEDIA(2)",2,IF(Q722="ALTA(3)",3,3))))+(IF(R722="BAJA(1)",1,IF(R722="MEDIA(2)",2,IF(R722="ALTA(3)",3,3))))</f>
        <v/>
      </c>
      <c r="T722" s="10">
        <f>+IF(S722&lt;6,"BAJA",IF(S722&lt;8,"MEDIA","ALTA"))</f>
        <v/>
      </c>
      <c r="U722" s="10" t="inlineStr">
        <is>
          <t>-</t>
        </is>
      </c>
      <c r="V722" s="24" t="n">
        <v>45687</v>
      </c>
      <c r="W722" s="19" t="inlineStr">
        <is>
          <t>N/A</t>
        </is>
      </c>
      <c r="X722" s="10">
        <f>+IFERROR(IF(VLOOKUP(Tabla2[[#This Row],[ID]],'EVALUACION DE RIESGO'!A:A,1,FALSE)=Tabla2[[#This Row],[ID]],"SI","NO"),"NO")</f>
        <v/>
      </c>
    </row>
    <row r="723">
      <c r="A723" s="91" t="inlineStr">
        <is>
          <t>20-GTI</t>
        </is>
      </c>
      <c r="B723" s="10" t="inlineStr">
        <is>
          <t>APOYO</t>
        </is>
      </c>
      <c r="C723" s="10" t="inlineStr">
        <is>
          <t>Gestión de Tecnología de la Información</t>
        </is>
      </c>
      <c r="D723" s="10" t="inlineStr">
        <is>
          <t>GTI</t>
        </is>
      </c>
      <c r="E723" s="10" t="inlineStr">
        <is>
          <t>Gestión de las Operaciones de TI</t>
        </is>
      </c>
      <c r="F723" s="10" t="inlineStr">
        <is>
          <t>-</t>
        </is>
      </c>
      <c r="G723" s="10" t="inlineStr">
        <is>
          <t>Administración de servidores</t>
        </is>
      </c>
      <c r="H723" s="10" t="inlineStr">
        <is>
          <t>Reporte de incidentes</t>
        </is>
      </c>
      <c r="I723" s="10" t="inlineStr">
        <is>
          <t>Reporte de incidentes presentados, estado y observaciones</t>
        </is>
      </c>
      <c r="J723" s="10" t="inlineStr">
        <is>
          <t>Gerente de Tecnología</t>
        </is>
      </c>
      <c r="K723" s="10" t="inlineStr">
        <is>
          <t>Asistente de Infraestructura tecnologica</t>
        </is>
      </c>
      <c r="L723" s="10" t="inlineStr">
        <is>
          <t>UBICACIÓN DIGITAL-EQUIPO DEL CUSTODIO</t>
        </is>
      </c>
      <c r="M723" s="10" t="inlineStr">
        <is>
          <t>DOCUMENTO DE ARCHIVO-ELECTRÓNICO</t>
        </is>
      </c>
      <c r="N723" s="10" t="inlineStr">
        <is>
          <t>PRIMARIOS</t>
        </is>
      </c>
      <c r="O723" s="10" t="inlineStr">
        <is>
          <t>DOCUMENTOS TÉCNICOS</t>
        </is>
      </c>
      <c r="P723" s="10" t="inlineStr">
        <is>
          <t>USO INTERNO(2)</t>
        </is>
      </c>
      <c r="Q723" s="10" t="inlineStr">
        <is>
          <t>MEDIA(2)</t>
        </is>
      </c>
      <c r="R723" s="10" t="inlineStr">
        <is>
          <t>MEDIA(2)</t>
        </is>
      </c>
      <c r="S723" s="10">
        <f>+(IF(P723="PUBLICA(1)",1,IF(P723="USO INTERNO(2)",2,IF(P723="RESTRINGIDO(3)",3,3))))+(IF(Q723="BAJA(1)",1,IF(Q723="MEDIA(2)",2,IF(Q723="ALTA(3)",3,3))))+(IF(R723="BAJA(1)",1,IF(R723="MEDIA(2)",2,IF(R723="ALTA(3)",3,3))))</f>
        <v/>
      </c>
      <c r="T723" s="10">
        <f>+IF(S723&lt;6,"BAJA",IF(S723&lt;8,"MEDIA","ALTA"))</f>
        <v/>
      </c>
      <c r="U723" s="10" t="inlineStr">
        <is>
          <t>-</t>
        </is>
      </c>
      <c r="V723" s="24" t="n">
        <v>45687</v>
      </c>
      <c r="W723" s="19" t="inlineStr">
        <is>
          <t>N/A</t>
        </is>
      </c>
      <c r="X723" s="10">
        <f>+IFERROR(IF(VLOOKUP(Tabla2[[#This Row],[ID]],'EVALUACION DE RIESGO'!A:A,1,FALSE)=Tabla2[[#This Row],[ID]],"SI","NO"),"NO")</f>
        <v/>
      </c>
    </row>
    <row r="724" ht="20.5" customHeight="1" s="98">
      <c r="A724" s="40" t="inlineStr">
        <is>
          <t>21-GTI</t>
        </is>
      </c>
      <c r="B724" s="10" t="inlineStr">
        <is>
          <t>APOYO</t>
        </is>
      </c>
      <c r="C724" s="10" t="inlineStr">
        <is>
          <t>Gestión de Tecnología de la Información</t>
        </is>
      </c>
      <c r="D724" s="10" t="inlineStr">
        <is>
          <t>GTI</t>
        </is>
      </c>
      <c r="E724" s="10" t="inlineStr">
        <is>
          <t>Gestión de las Operaciones de TI</t>
        </is>
      </c>
      <c r="F724" s="10" t="inlineStr">
        <is>
          <t>-</t>
        </is>
      </c>
      <c r="G724" s="10" t="inlineStr">
        <is>
          <t>Respaldo de Información mensual</t>
        </is>
      </c>
      <c r="H724" s="17" t="inlineStr">
        <is>
          <t>Registro control de respaldos</t>
        </is>
      </c>
      <c r="I724" s="17" t="inlineStr">
        <is>
          <t>Matriz de registro de respaldos realizados por fechas, tipo de respaldo y responsable</t>
        </is>
      </c>
      <c r="J724" s="10" t="inlineStr">
        <is>
          <t>Gerente de Tecnología</t>
        </is>
      </c>
      <c r="K724" s="10" t="inlineStr">
        <is>
          <t>Asistente de Infraestructura tecnologica</t>
        </is>
      </c>
      <c r="L724" s="10" t="inlineStr">
        <is>
          <t>DISCO DURO EXTERNO</t>
        </is>
      </c>
      <c r="M724" s="10" t="inlineStr">
        <is>
          <t>DISCOS DUROS, SERVIDORES, DISCOS O MEDIOS PORTÁTILES, CINTAS O MEDIOS DE VIDEO Y AUDIO, ETC.</t>
        </is>
      </c>
      <c r="N724" s="10" t="inlineStr">
        <is>
          <t>PRIMARIOS</t>
        </is>
      </c>
      <c r="O724" s="10" t="inlineStr">
        <is>
          <t>DOCUMENTOS TÉCNICOS</t>
        </is>
      </c>
      <c r="P724" s="10" t="inlineStr">
        <is>
          <t>USO INTERNO(2)</t>
        </is>
      </c>
      <c r="Q724" s="10" t="inlineStr">
        <is>
          <t>ALTA(3)</t>
        </is>
      </c>
      <c r="R724" s="10" t="inlineStr">
        <is>
          <t>ALTA(3)</t>
        </is>
      </c>
      <c r="S724" s="10">
        <f>+(IF(P724="PUBLICA(1)",1,IF(P724="USO INTERNO(2)",2,IF(P724="RESTRINGIDO(3)",3,3))))+(IF(Q724="BAJA(1)",1,IF(Q724="MEDIA(2)",2,IF(Q724="ALTA(3)",3,3))))+(IF(R724="BAJA(1)",1,IF(R724="MEDIA(2)",2,IF(R724="ALTA(3)",3,3))))</f>
        <v/>
      </c>
      <c r="T724" s="10">
        <f>+IF(S724&lt;6,"BAJA",IF(S724&lt;8,"MEDIA","ALTA"))</f>
        <v/>
      </c>
      <c r="U724" s="10" t="inlineStr">
        <is>
          <t>-</t>
        </is>
      </c>
      <c r="V724" s="24" t="n">
        <v>45687</v>
      </c>
      <c r="W724" s="19" t="inlineStr">
        <is>
          <t>N/A</t>
        </is>
      </c>
      <c r="X724" s="10">
        <f>+IFERROR(IF(VLOOKUP(Tabla2[[#This Row],[ID]],'EVALUACION DE RIESGO'!A:A,1,FALSE)=Tabla2[[#This Row],[ID]],"SI","NO"),"NO")</f>
        <v/>
      </c>
    </row>
    <row r="725">
      <c r="A725" s="91" t="inlineStr">
        <is>
          <t>22-GTI</t>
        </is>
      </c>
      <c r="B725" s="10" t="inlineStr">
        <is>
          <t>APOYO</t>
        </is>
      </c>
      <c r="C725" s="10" t="inlineStr">
        <is>
          <t>Gestión de Tecnología de la Información</t>
        </is>
      </c>
      <c r="D725" s="10" t="inlineStr">
        <is>
          <t>GTI</t>
        </is>
      </c>
      <c r="E725" s="10" t="inlineStr">
        <is>
          <t>Gestión de las Operaciones de TI</t>
        </is>
      </c>
      <c r="F725" s="10" t="inlineStr">
        <is>
          <t>-</t>
        </is>
      </c>
      <c r="G725" s="10" t="inlineStr">
        <is>
          <t>Restauración de respaldos</t>
        </is>
      </c>
      <c r="H725" s="10" t="inlineStr">
        <is>
          <t>Formulario de control de respaldos</t>
        </is>
      </c>
      <c r="I725" s="10" t="inlineStr">
        <is>
          <t>Registro de control de respaldos para evidenciar que toda la información se encuentra respaldada</t>
        </is>
      </c>
      <c r="J725" s="10" t="inlineStr">
        <is>
          <t>Gerente de Tecnología</t>
        </is>
      </c>
      <c r="K725" s="10" t="inlineStr">
        <is>
          <t>Asistente de Infraestructura tecnologica</t>
        </is>
      </c>
      <c r="L725" s="10" t="inlineStr">
        <is>
          <t>UBICACIÓN DIGITAL-EQUIPO DEL CUSTODIO</t>
        </is>
      </c>
      <c r="M725" s="10" t="inlineStr">
        <is>
          <t>DISCOS DUROS, SERVIDORES, DISCOS O MEDIOS PORTÁTILES, CINTAS O MEDIOS DE VIDEO Y AUDIO, ETC.</t>
        </is>
      </c>
      <c r="N725" s="10" t="inlineStr">
        <is>
          <t>PRIMARIOS</t>
        </is>
      </c>
      <c r="O725" s="10" t="inlineStr">
        <is>
          <t>DOCUMENTOS TÉCNICOS</t>
        </is>
      </c>
      <c r="P725" s="10" t="inlineStr">
        <is>
          <t>USO INTERNO(2)</t>
        </is>
      </c>
      <c r="Q725" s="10" t="inlineStr">
        <is>
          <t>MEDIA(2)</t>
        </is>
      </c>
      <c r="R725" s="10" t="inlineStr">
        <is>
          <t>MEDIA(2)</t>
        </is>
      </c>
      <c r="S725" s="10">
        <f>+(IF(P725="PUBLICA(1)",1,IF(P725="USO INTERNO(2)",2,IF(P725="RESTRINGIDO(3)",3,3))))+(IF(Q725="BAJA(1)",1,IF(Q725="MEDIA(2)",2,IF(Q725="ALTA(3)",3,3))))+(IF(R725="BAJA(1)",1,IF(R725="MEDIA(2)",2,IF(R725="ALTA(3)",3,3))))</f>
        <v/>
      </c>
      <c r="T725" s="10">
        <f>+IF(S725&lt;6,"BAJA",IF(S725&lt;8,"MEDIA","ALTA"))</f>
        <v/>
      </c>
      <c r="U725" s="10" t="inlineStr">
        <is>
          <t>-</t>
        </is>
      </c>
      <c r="V725" s="24" t="n">
        <v>45687</v>
      </c>
      <c r="W725" s="19" t="inlineStr">
        <is>
          <t>N/A</t>
        </is>
      </c>
      <c r="X725" s="10">
        <f>+IFERROR(IF(VLOOKUP(Tabla2[[#This Row],[ID]],'EVALUACION DE RIESGO'!A:A,1,FALSE)=Tabla2[[#This Row],[ID]],"SI","NO"),"NO")</f>
        <v/>
      </c>
    </row>
    <row r="726">
      <c r="A726" s="91" t="inlineStr">
        <is>
          <t>23-GTI</t>
        </is>
      </c>
      <c r="B726" s="10" t="inlineStr">
        <is>
          <t>APOYO</t>
        </is>
      </c>
      <c r="C726" s="10" t="inlineStr">
        <is>
          <t>Gestión de Tecnología de la Información</t>
        </is>
      </c>
      <c r="D726" s="10" t="inlineStr">
        <is>
          <t>GTI</t>
        </is>
      </c>
      <c r="E726" s="10" t="inlineStr">
        <is>
          <t>Gestión de las Operaciones de TI</t>
        </is>
      </c>
      <c r="F726" s="10" t="inlineStr">
        <is>
          <t>-</t>
        </is>
      </c>
      <c r="G726" s="10" t="inlineStr">
        <is>
          <t>Administración de la capacidad y desempeño de la infraestructura de TI</t>
        </is>
      </c>
      <c r="H726" s="10" t="inlineStr">
        <is>
          <t>Reportes de monitoreo de la herramienta de software</t>
        </is>
      </c>
      <c r="I726" s="10" t="inlineStr">
        <is>
          <t>Reporte de monitoreo de recursos críticos según los parámetros de la herramienta de software de monitoreo</t>
        </is>
      </c>
      <c r="J726" s="10" t="inlineStr">
        <is>
          <t>Gerente de Tecnología</t>
        </is>
      </c>
      <c r="K726" s="10" t="inlineStr">
        <is>
          <t>Administrador de Comunicaicones e Infraestructura</t>
        </is>
      </c>
      <c r="L726" s="10" t="inlineStr">
        <is>
          <t>UBICACIÓN DIGITAL-DESKTOP CENTRAL</t>
        </is>
      </c>
      <c r="M726" s="10" t="inlineStr">
        <is>
          <t>SISTEMAS DE INFORMACIÓN CORPORATIVOS</t>
        </is>
      </c>
      <c r="N726" s="10" t="inlineStr">
        <is>
          <t>PRIMARIOS</t>
        </is>
      </c>
      <c r="O726" s="10" t="inlineStr">
        <is>
          <t>DOCUMENTOS TÉCNICOS</t>
        </is>
      </c>
      <c r="P726" s="10" t="inlineStr">
        <is>
          <t>USO INTERNO(2)</t>
        </is>
      </c>
      <c r="Q726" s="10" t="inlineStr">
        <is>
          <t>MEDIA(2)</t>
        </is>
      </c>
      <c r="R726" s="10" t="inlineStr">
        <is>
          <t>MEDIA(2)</t>
        </is>
      </c>
      <c r="S726" s="10">
        <f>+(IF(P726="PUBLICA(1)",1,IF(P726="USO INTERNO(2)",2,IF(P726="RESTRINGIDO(3)",3,3))))+(IF(Q726="BAJA(1)",1,IF(Q726="MEDIA(2)",2,IF(Q726="ALTA(3)",3,3))))+(IF(R726="BAJA(1)",1,IF(R726="MEDIA(2)",2,IF(R726="ALTA(3)",3,3))))</f>
        <v/>
      </c>
      <c r="T726" s="10">
        <f>+IF(S726&lt;6,"BAJA",IF(S726&lt;8,"MEDIA","ALTA"))</f>
        <v/>
      </c>
      <c r="U726" s="10" t="inlineStr">
        <is>
          <t>-</t>
        </is>
      </c>
      <c r="V726" s="24" t="n">
        <v>45687</v>
      </c>
      <c r="W726" s="19" t="inlineStr">
        <is>
          <t>N/A</t>
        </is>
      </c>
      <c r="X726" s="10">
        <f>+IFERROR(IF(VLOOKUP(Tabla2[[#This Row],[ID]],'EVALUACION DE RIESGO'!A:A,1,FALSE)=Tabla2[[#This Row],[ID]],"SI","NO"),"NO")</f>
        <v/>
      </c>
    </row>
    <row r="727">
      <c r="A727" s="91" t="inlineStr">
        <is>
          <t>24-GTI</t>
        </is>
      </c>
      <c r="B727" s="10" t="inlineStr">
        <is>
          <t>APOYO</t>
        </is>
      </c>
      <c r="C727" s="10" t="inlineStr">
        <is>
          <t>Gestión de Tecnología de la Información</t>
        </is>
      </c>
      <c r="D727" s="10" t="inlineStr">
        <is>
          <t>GTI</t>
        </is>
      </c>
      <c r="E727" s="10" t="inlineStr">
        <is>
          <t>Gestión de las Operaciones de TI</t>
        </is>
      </c>
      <c r="F727" s="10" t="inlineStr">
        <is>
          <t>-</t>
        </is>
      </c>
      <c r="G727" s="10" t="inlineStr">
        <is>
          <t>Administración de la capacidad y desempeño de la infraestructura de TI</t>
        </is>
      </c>
      <c r="H727" s="10" t="inlineStr">
        <is>
          <t>Plan de infraestructura de TI nuevo</t>
        </is>
      </c>
      <c r="I727" s="10" t="inlineStr">
        <is>
          <t>Informes y evaluación de las acciones tomadas y las necesidades de actualizar la infraestructura actual.</t>
        </is>
      </c>
      <c r="J727" s="10" t="inlineStr">
        <is>
          <t>Gerente de Tecnología</t>
        </is>
      </c>
      <c r="K727" s="10" t="inlineStr">
        <is>
          <t>Administrador de Comunicaicones e Infraestructura</t>
        </is>
      </c>
      <c r="L727" s="10" t="inlineStr">
        <is>
          <t>UBICACIÓN DIGITAL-EQUIPO DEL CUSTODIO</t>
        </is>
      </c>
      <c r="M727" s="10" t="inlineStr">
        <is>
          <t>DISCOS DUROS, SERVIDORES, DISCOS O MEDIOS PORTÁTILES, CINTAS O MEDIOS DE VIDEO Y AUDIO, ETC.</t>
        </is>
      </c>
      <c r="N727" s="10" t="inlineStr">
        <is>
          <t>PRIMARIOS</t>
        </is>
      </c>
      <c r="O727" s="10" t="inlineStr">
        <is>
          <t>DOCUMENTOS TÉCNICOS</t>
        </is>
      </c>
      <c r="P727" s="10" t="inlineStr">
        <is>
          <t>USO INTERNO(2)</t>
        </is>
      </c>
      <c r="Q727" s="10" t="inlineStr">
        <is>
          <t>BAJA(1)</t>
        </is>
      </c>
      <c r="R727" s="10" t="inlineStr">
        <is>
          <t>MEDIA(2)</t>
        </is>
      </c>
      <c r="S727" s="10">
        <f>+(IF(P727="PUBLICA(1)",1,IF(P727="USO INTERNO(2)",2,IF(P727="RESTRINGIDO(3)",3,3))))+(IF(Q727="BAJA(1)",1,IF(Q727="MEDIA(2)",2,IF(Q727="ALTA(3)",3,3))))+(IF(R727="BAJA(1)",1,IF(R727="MEDIA(2)",2,IF(R727="ALTA(3)",3,3))))</f>
        <v/>
      </c>
      <c r="T727" s="10">
        <f>+IF(S727&lt;6,"BAJA",IF(S727&lt;8,"MEDIA","ALTA"))</f>
        <v/>
      </c>
      <c r="U727" s="10" t="inlineStr">
        <is>
          <t>-</t>
        </is>
      </c>
      <c r="V727" s="24" t="n">
        <v>45687</v>
      </c>
      <c r="W727" s="19" t="inlineStr">
        <is>
          <t>N/A</t>
        </is>
      </c>
      <c r="X727" s="10">
        <f>+IFERROR(IF(VLOOKUP(Tabla2[[#This Row],[ID]],'EVALUACION DE RIESGO'!A:A,1,FALSE)=Tabla2[[#This Row],[ID]],"SI","NO"),"NO")</f>
        <v/>
      </c>
    </row>
    <row r="728">
      <c r="A728" s="91" t="inlineStr">
        <is>
          <t>25-GTI</t>
        </is>
      </c>
      <c r="B728" s="10" t="inlineStr">
        <is>
          <t>APOYO</t>
        </is>
      </c>
      <c r="C728" s="10" t="inlineStr">
        <is>
          <t>Gestión de Tecnología de la Información</t>
        </is>
      </c>
      <c r="D728" s="10" t="inlineStr">
        <is>
          <t>GTI</t>
        </is>
      </c>
      <c r="E728" s="10" t="inlineStr">
        <is>
          <t>Gestión de las Operaciones de TI</t>
        </is>
      </c>
      <c r="F728" s="10" t="inlineStr">
        <is>
          <t>-</t>
        </is>
      </c>
      <c r="G728" s="10" t="inlineStr">
        <is>
          <t>Gestionar las Instalaciones de TI</t>
        </is>
      </c>
      <c r="H728" s="10" t="inlineStr">
        <is>
          <t>Matriz de incidentes</t>
        </is>
      </c>
      <c r="I728" s="10" t="inlineStr">
        <is>
          <t>Análisis, corrección y documentos de errores presentados en el procesos de implementación</t>
        </is>
      </c>
      <c r="J728" s="10" t="inlineStr">
        <is>
          <t>Gerente de Tecnología</t>
        </is>
      </c>
      <c r="K728" s="10" t="inlineStr">
        <is>
          <t>Administrador de Comunicaicones e Infraestructura</t>
        </is>
      </c>
      <c r="L728" s="10" t="inlineStr">
        <is>
          <t>UBICACIÓN DIGITAL-EQUIPO DEL CUSTODIO</t>
        </is>
      </c>
      <c r="M728" s="10" t="inlineStr">
        <is>
          <t>DISCOS DUROS, SERVIDORES, DISCOS O MEDIOS PORTÁTILES, CINTAS O MEDIOS DE VIDEO Y AUDIO, ETC.</t>
        </is>
      </c>
      <c r="N728" s="10" t="inlineStr">
        <is>
          <t>PRIMARIOS</t>
        </is>
      </c>
      <c r="O728" s="10" t="inlineStr">
        <is>
          <t>DOCUMENTOS TÉCNICOS</t>
        </is>
      </c>
      <c r="P728" s="10" t="inlineStr">
        <is>
          <t>USO INTERNO(2)</t>
        </is>
      </c>
      <c r="Q728" s="10" t="inlineStr">
        <is>
          <t>MEDIA(2)</t>
        </is>
      </c>
      <c r="R728" s="10" t="inlineStr">
        <is>
          <t>MEDIA(2)</t>
        </is>
      </c>
      <c r="S728" s="10">
        <f>+(IF(P728="PUBLICA(1)",1,IF(P728="USO INTERNO(2)",2,IF(P728="RESTRINGIDO(3)",3,3))))+(IF(Q728="BAJA(1)",1,IF(Q728="MEDIA(2)",2,IF(Q728="ALTA(3)",3,3))))+(IF(R728="BAJA(1)",1,IF(R728="MEDIA(2)",2,IF(R728="ALTA(3)",3,3))))</f>
        <v/>
      </c>
      <c r="T728" s="10">
        <f>+IF(S728&lt;6,"BAJA",IF(S728&lt;8,"MEDIA","ALTA"))</f>
        <v/>
      </c>
      <c r="U728" s="10" t="inlineStr">
        <is>
          <t>-</t>
        </is>
      </c>
      <c r="V728" s="24" t="n">
        <v>45687</v>
      </c>
      <c r="W728" s="19" t="inlineStr">
        <is>
          <t>N/A</t>
        </is>
      </c>
      <c r="X728" s="10">
        <f>+IFERROR(IF(VLOOKUP(Tabla2[[#This Row],[ID]],'EVALUACION DE RIESGO'!A:A,1,FALSE)=Tabla2[[#This Row],[ID]],"SI","NO"),"NO")</f>
        <v/>
      </c>
    </row>
    <row r="729">
      <c r="A729" s="91" t="inlineStr">
        <is>
          <t>26-GTI</t>
        </is>
      </c>
      <c r="B729" s="10" t="inlineStr">
        <is>
          <t>APOYO</t>
        </is>
      </c>
      <c r="C729" s="10" t="inlineStr">
        <is>
          <t>Gestión de Tecnología de la Información</t>
        </is>
      </c>
      <c r="D729" s="10" t="inlineStr">
        <is>
          <t>GTI</t>
        </is>
      </c>
      <c r="E729" s="10" t="inlineStr">
        <is>
          <t>Gestión de las Operaciones de TI</t>
        </is>
      </c>
      <c r="F729" s="10" t="inlineStr">
        <is>
          <t>-</t>
        </is>
      </c>
      <c r="G729" s="10" t="inlineStr">
        <is>
          <t>Cambios planificados a la Infraestructura</t>
        </is>
      </c>
      <c r="H729" s="10" t="inlineStr">
        <is>
          <t>Plan de cambios</t>
        </is>
      </c>
      <c r="I729" s="10" t="inlineStr">
        <is>
          <t>Realización de los cambios realizados de acuerdo a la planificación POA, seguimientos y novedades</t>
        </is>
      </c>
      <c r="J729" s="10" t="inlineStr">
        <is>
          <t>Gerente de Tecnología</t>
        </is>
      </c>
      <c r="K729" s="10" t="inlineStr">
        <is>
          <t>Jefe de Infraestructura y Operaciones</t>
        </is>
      </c>
      <c r="L729" s="10" t="inlineStr">
        <is>
          <t>UBICACIÓN DIGITAL-EQUIPO DEL CUSTODIO</t>
        </is>
      </c>
      <c r="M729" s="10" t="inlineStr">
        <is>
          <t>DISCOS DUROS, SERVIDORES, DISCOS O MEDIOS PORTÁTILES, CINTAS O MEDIOS DE VIDEO Y AUDIO, ETC.</t>
        </is>
      </c>
      <c r="N729" s="10" t="inlineStr">
        <is>
          <t>PRIMARIOS</t>
        </is>
      </c>
      <c r="O729" s="10" t="inlineStr">
        <is>
          <t>DOCUMENTOS TÉCNICOS</t>
        </is>
      </c>
      <c r="P729" s="10" t="inlineStr">
        <is>
          <t>USO INTERNO(2)</t>
        </is>
      </c>
      <c r="Q729" s="10" t="inlineStr">
        <is>
          <t>MEDIA(2)</t>
        </is>
      </c>
      <c r="R729" s="10" t="inlineStr">
        <is>
          <t>MEDIA(2)</t>
        </is>
      </c>
      <c r="S729" s="10">
        <f>+(IF(P729="PUBLICA(1)",1,IF(P729="USO INTERNO(2)",2,IF(P729="RESTRINGIDO(3)",3,3))))+(IF(Q729="BAJA(1)",1,IF(Q729="MEDIA(2)",2,IF(Q729="ALTA(3)",3,3))))+(IF(R729="BAJA(1)",1,IF(R729="MEDIA(2)",2,IF(R729="ALTA(3)",3,3))))</f>
        <v/>
      </c>
      <c r="T729" s="10">
        <f>+IF(S729&lt;6,"BAJA",IF(S729&lt;8,"MEDIA","ALTA"))</f>
        <v/>
      </c>
      <c r="U729" s="10" t="inlineStr">
        <is>
          <t>-</t>
        </is>
      </c>
      <c r="V729" s="24" t="n">
        <v>45687</v>
      </c>
      <c r="W729" s="19" t="inlineStr">
        <is>
          <t>N/A</t>
        </is>
      </c>
      <c r="X729" s="10">
        <f>+IFERROR(IF(VLOOKUP(Tabla2[[#This Row],[ID]],'EVALUACION DE RIESGO'!A:A,1,FALSE)=Tabla2[[#This Row],[ID]],"SI","NO"),"NO")</f>
        <v/>
      </c>
    </row>
    <row r="730">
      <c r="A730" s="91" t="inlineStr">
        <is>
          <t>27-GTI</t>
        </is>
      </c>
      <c r="B730" s="10" t="inlineStr">
        <is>
          <t>APOYO</t>
        </is>
      </c>
      <c r="C730" s="10" t="inlineStr">
        <is>
          <t>Gestión de Tecnología de la Información</t>
        </is>
      </c>
      <c r="D730" s="10" t="inlineStr">
        <is>
          <t>GTI</t>
        </is>
      </c>
      <c r="E730" s="10" t="inlineStr">
        <is>
          <t>Gestión de las Operaciones de TI</t>
        </is>
      </c>
      <c r="F730" s="10" t="inlineStr">
        <is>
          <t>-</t>
        </is>
      </c>
      <c r="G730" s="10" t="inlineStr">
        <is>
          <t xml:space="preserve">Cambios estándar de la Infraestructura </t>
        </is>
      </c>
      <c r="H730" s="10" t="inlineStr">
        <is>
          <t>Informe mensual</t>
        </is>
      </c>
      <c r="I730" s="10" t="inlineStr">
        <is>
          <t>Informe mensual de las actividades gestionadas en los ámbitos de redes e infraestructura</t>
        </is>
      </c>
      <c r="J730" s="10" t="inlineStr">
        <is>
          <t>Gerente de Tecnología</t>
        </is>
      </c>
      <c r="K730" s="10" t="inlineStr">
        <is>
          <t>Jefe de Infraestructura y Operaciones</t>
        </is>
      </c>
      <c r="L730" s="10" t="inlineStr">
        <is>
          <t>UBICACIÓN DIGITAL-EQUIPO DEL CUSTODIO</t>
        </is>
      </c>
      <c r="M730" s="10" t="inlineStr">
        <is>
          <t>DISCOS DUROS, SERVIDORES, DISCOS O MEDIOS PORTÁTILES, CINTAS O MEDIOS DE VIDEO Y AUDIO, ETC.</t>
        </is>
      </c>
      <c r="N730" s="10" t="inlineStr">
        <is>
          <t>PRIMARIOS</t>
        </is>
      </c>
      <c r="O730" s="10" t="inlineStr">
        <is>
          <t>DOCUMENTOS TÉCNICOS</t>
        </is>
      </c>
      <c r="P730" s="10" t="inlineStr">
        <is>
          <t>USO INTERNO(2)</t>
        </is>
      </c>
      <c r="Q730" s="10" t="inlineStr">
        <is>
          <t>BAJA(1)</t>
        </is>
      </c>
      <c r="R730" s="10" t="inlineStr">
        <is>
          <t>MEDIA(2)</t>
        </is>
      </c>
      <c r="S730" s="10">
        <f>+(IF(P730="PUBLICA(1)",1,IF(P730="USO INTERNO(2)",2,IF(P730="RESTRINGIDO(3)",3,3))))+(IF(Q730="BAJA(1)",1,IF(Q730="MEDIA(2)",2,IF(Q730="ALTA(3)",3,3))))+(IF(R730="BAJA(1)",1,IF(R730="MEDIA(2)",2,IF(R730="ALTA(3)",3,3))))</f>
        <v/>
      </c>
      <c r="T730" s="10">
        <f>+IF(S730&lt;6,"BAJA",IF(S730&lt;8,"MEDIA","ALTA"))</f>
        <v/>
      </c>
      <c r="U730" s="10" t="inlineStr">
        <is>
          <t>-</t>
        </is>
      </c>
      <c r="V730" s="24" t="n">
        <v>45687</v>
      </c>
      <c r="W730" s="19" t="inlineStr">
        <is>
          <t>N/A</t>
        </is>
      </c>
      <c r="X730" s="10">
        <f>+IFERROR(IF(VLOOKUP(Tabla2[[#This Row],[ID]],'EVALUACION DE RIESGO'!A:A,1,FALSE)=Tabla2[[#This Row],[ID]],"SI","NO"),"NO")</f>
        <v/>
      </c>
    </row>
    <row r="731">
      <c r="A731" s="91" t="inlineStr">
        <is>
          <t>28-GTI</t>
        </is>
      </c>
      <c r="B731" s="10" t="inlineStr">
        <is>
          <t>APOYO</t>
        </is>
      </c>
      <c r="C731" s="10" t="inlineStr">
        <is>
          <t>Gestión de Tecnología de la Información</t>
        </is>
      </c>
      <c r="D731" s="10" t="inlineStr">
        <is>
          <t>GTI</t>
        </is>
      </c>
      <c r="E731" s="10" t="inlineStr">
        <is>
          <t>Gestión de las Operaciones de TI</t>
        </is>
      </c>
      <c r="F731" s="10" t="inlineStr">
        <is>
          <t>-</t>
        </is>
      </c>
      <c r="G731" s="10" t="inlineStr">
        <is>
          <t>Cambios emergentes</t>
        </is>
      </c>
      <c r="H731" s="10" t="inlineStr">
        <is>
          <t>Registro de cambios</t>
        </is>
      </c>
      <c r="I731" s="10" t="inlineStr">
        <is>
          <t>Reporte de cambios realizados anexados al informe mensual</t>
        </is>
      </c>
      <c r="J731" s="10" t="inlineStr">
        <is>
          <t>Gestión del Servicio y Soporte de TI</t>
        </is>
      </c>
      <c r="K731" s="10" t="inlineStr">
        <is>
          <t>Jefe de Infraestructura y Operaciones</t>
        </is>
      </c>
      <c r="L731" s="10" t="inlineStr">
        <is>
          <t>UBICACIÓN DIGITAL-EQUIPO DEL CUSTODIO</t>
        </is>
      </c>
      <c r="M731" s="10" t="inlineStr">
        <is>
          <t>DISCOS DUROS, SERVIDORES, DISCOS O MEDIOS PORTÁTILES, CINTAS O MEDIOS DE VIDEO Y AUDIO, ETC.</t>
        </is>
      </c>
      <c r="N731" s="10" t="inlineStr">
        <is>
          <t>PRIMARIOS</t>
        </is>
      </c>
      <c r="O731" s="10" t="inlineStr">
        <is>
          <t>DOCUMENTOS TÉCNICOS</t>
        </is>
      </c>
      <c r="P731" s="10" t="inlineStr">
        <is>
          <t>USO INTERNO(2)</t>
        </is>
      </c>
      <c r="Q731" s="10" t="inlineStr">
        <is>
          <t>BAJA(1)</t>
        </is>
      </c>
      <c r="R731" s="10" t="inlineStr">
        <is>
          <t>MEDIA(2)</t>
        </is>
      </c>
      <c r="S731" s="10">
        <f>+(IF(P731="PUBLICA(1)",1,IF(P731="USO INTERNO(2)",2,IF(P731="RESTRINGIDO(3)",3,3))))+(IF(Q731="BAJA(1)",1,IF(Q731="MEDIA(2)",2,IF(Q731="ALTA(3)",3,3))))+(IF(R731="BAJA(1)",1,IF(R731="MEDIA(2)",2,IF(R731="ALTA(3)",3,3))))</f>
        <v/>
      </c>
      <c r="T731" s="10">
        <f>+IF(S731&lt;6,"BAJA",IF(S731&lt;8,"MEDIA","ALTA"))</f>
        <v/>
      </c>
      <c r="U731" s="10" t="inlineStr">
        <is>
          <t>-</t>
        </is>
      </c>
      <c r="V731" s="24" t="n">
        <v>45687</v>
      </c>
      <c r="W731" s="19" t="inlineStr">
        <is>
          <t>N/A</t>
        </is>
      </c>
      <c r="X731" s="10">
        <f>+IFERROR(IF(VLOOKUP(Tabla2[[#This Row],[ID]],'EVALUACION DE RIESGO'!A:A,1,FALSE)=Tabla2[[#This Row],[ID]],"SI","NO"),"NO")</f>
        <v/>
      </c>
    </row>
    <row r="732">
      <c r="A732" s="91" t="inlineStr">
        <is>
          <t>29-GTI</t>
        </is>
      </c>
      <c r="B732" s="10" t="inlineStr">
        <is>
          <t>APOYO</t>
        </is>
      </c>
      <c r="C732" s="10" t="inlineStr">
        <is>
          <t>Gestión de Tecnología de la Información</t>
        </is>
      </c>
      <c r="D732" s="10" t="inlineStr">
        <is>
          <t>GTI</t>
        </is>
      </c>
      <c r="E732" s="10" t="inlineStr">
        <is>
          <t>Gestión del Servicio y Soporte de TI</t>
        </is>
      </c>
      <c r="F732" s="10" t="inlineStr">
        <is>
          <t>-</t>
        </is>
      </c>
      <c r="G732" s="10" t="inlineStr">
        <is>
          <t>Atención de peticiones e incidentes de tecnología</t>
        </is>
      </c>
      <c r="H732" s="10" t="inlineStr">
        <is>
          <t>Requerimiento de Service desk</t>
        </is>
      </c>
      <c r="I732" s="10" t="inlineStr">
        <is>
          <t>Registros de requerimientos de usuarios contenidos en el sistema webcoop, base de datos SYBASE</t>
        </is>
      </c>
      <c r="J732" s="10" t="inlineStr">
        <is>
          <t>Gestión del Servicio y Soporte de TI</t>
        </is>
      </c>
      <c r="K732" s="10" t="inlineStr">
        <is>
          <t>Asistente de Infraestructura tecnologica</t>
        </is>
      </c>
      <c r="L732" s="10" t="inlineStr">
        <is>
          <t>UBICACIÓN DIGITAL-WEBCOOP</t>
        </is>
      </c>
      <c r="M732" s="10" t="inlineStr">
        <is>
          <t>SISTEMAS DE INFORMACIÓN CORPORATIVOS</t>
        </is>
      </c>
      <c r="N732" s="10" t="inlineStr">
        <is>
          <t>PRIMARIOS</t>
        </is>
      </c>
      <c r="O732" s="10" t="inlineStr">
        <is>
          <t>DOCUMENTOS TÉCNICOS</t>
        </is>
      </c>
      <c r="P732" s="10" t="inlineStr">
        <is>
          <t>USO INTERNO(2)</t>
        </is>
      </c>
      <c r="Q732" s="10" t="inlineStr">
        <is>
          <t>MEDIA(2)</t>
        </is>
      </c>
      <c r="R732" s="10" t="inlineStr">
        <is>
          <t>MEDIA(2)</t>
        </is>
      </c>
      <c r="S732" s="10">
        <f>+(IF(P732="PUBLICA(1)",1,IF(P732="USO INTERNO(2)",2,IF(P732="RESTRINGIDO(3)",3,3))))+(IF(Q732="BAJA(1)",1,IF(Q732="MEDIA(2)",2,IF(Q732="ALTA(3)",3,3))))+(IF(R732="BAJA(1)",1,IF(R732="MEDIA(2)",2,IF(R732="ALTA(3)",3,3))))</f>
        <v/>
      </c>
      <c r="T732" s="10">
        <f>+IF(S732&lt;6,"BAJA",IF(S732&lt;8,"MEDIA","ALTA"))</f>
        <v/>
      </c>
      <c r="U732" s="10" t="inlineStr">
        <is>
          <t>-</t>
        </is>
      </c>
      <c r="V732" s="24" t="n">
        <v>45687</v>
      </c>
      <c r="W732" s="19" t="inlineStr">
        <is>
          <t>N/A</t>
        </is>
      </c>
      <c r="X732" s="10">
        <f>+IFERROR(IF(VLOOKUP(Tabla2[[#This Row],[ID]],'EVALUACION DE RIESGO'!A:A,1,FALSE)=Tabla2[[#This Row],[ID]],"SI","NO"),"NO")</f>
        <v/>
      </c>
    </row>
    <row r="733">
      <c r="A733" s="91" t="inlineStr">
        <is>
          <t>30-GTI</t>
        </is>
      </c>
      <c r="B733" s="10" t="inlineStr">
        <is>
          <t>APOYO</t>
        </is>
      </c>
      <c r="C733" s="10" t="inlineStr">
        <is>
          <t>Gestión de Tecnología de la Información</t>
        </is>
      </c>
      <c r="D733" s="10" t="inlineStr">
        <is>
          <t>GTI</t>
        </is>
      </c>
      <c r="E733" s="10" t="inlineStr">
        <is>
          <t>Gestión del Servicio y Soporte de TI</t>
        </is>
      </c>
      <c r="F733" s="10" t="inlineStr">
        <is>
          <t>-</t>
        </is>
      </c>
      <c r="G733" s="10" t="inlineStr">
        <is>
          <t>Instalación de hardware y software</t>
        </is>
      </c>
      <c r="H733" s="10" t="inlineStr">
        <is>
          <t>Lista de chequeo de configuración de equipos/Perfil de software de usuario</t>
        </is>
      </c>
      <c r="I733" s="10" t="inlineStr">
        <is>
          <t>Matriz que describe el perfil del usuario, mismo que sirve para configurar el equipo y las herramientas necesarias</t>
        </is>
      </c>
      <c r="J733" s="10" t="inlineStr">
        <is>
          <t>Gestión del Servicio y Soporte de TI</t>
        </is>
      </c>
      <c r="K733" s="10" t="inlineStr">
        <is>
          <t>Asistente de Infraestructura tecnologica</t>
        </is>
      </c>
      <c r="L733" s="10" t="inlineStr">
        <is>
          <t>UBICACIÓN VIRTUAL-SERVIDORES VIRTUALES</t>
        </is>
      </c>
      <c r="M733" s="10" t="inlineStr">
        <is>
          <t>DOCUMENTO DE ARCHIVO-ELECTRÓNICO</t>
        </is>
      </c>
      <c r="N733" s="10" t="inlineStr">
        <is>
          <t>PRIMARIOS</t>
        </is>
      </c>
      <c r="O733" s="10" t="inlineStr">
        <is>
          <t>DOCUMENTOS TÉCNICOS</t>
        </is>
      </c>
      <c r="P733" s="10" t="inlineStr">
        <is>
          <t>USO INTERNO(2)</t>
        </is>
      </c>
      <c r="Q733" s="10" t="inlineStr">
        <is>
          <t>MEDIA(2)</t>
        </is>
      </c>
      <c r="R733" s="10" t="inlineStr">
        <is>
          <t>BAJA(1)</t>
        </is>
      </c>
      <c r="S733" s="10">
        <f>+(IF(P733="PUBLICA(1)",1,IF(P733="USO INTERNO(2)",2,IF(P733="RESTRINGIDO(3)",3,3))))+(IF(Q733="BAJA(1)",1,IF(Q733="MEDIA(2)",2,IF(Q733="ALTA(3)",3,3))))+(IF(R733="BAJA(1)",1,IF(R733="MEDIA(2)",2,IF(R733="ALTA(3)",3,3))))</f>
        <v/>
      </c>
      <c r="T733" s="10">
        <f>+IF(S733&lt;6,"BAJA",IF(S733&lt;8,"MEDIA","ALTA"))</f>
        <v/>
      </c>
      <c r="U733" s="10" t="inlineStr">
        <is>
          <t>-</t>
        </is>
      </c>
      <c r="V733" s="24" t="n">
        <v>45687</v>
      </c>
      <c r="W733" s="19" t="inlineStr">
        <is>
          <t>N/A</t>
        </is>
      </c>
      <c r="X733" s="10">
        <f>+IFERROR(IF(VLOOKUP(Tabla2[[#This Row],[ID]],'EVALUACION DE RIESGO'!A:A,1,FALSE)=Tabla2[[#This Row],[ID]],"SI","NO"),"NO")</f>
        <v/>
      </c>
    </row>
    <row r="734">
      <c r="A734" s="91" t="inlineStr">
        <is>
          <t>31-GTI</t>
        </is>
      </c>
      <c r="B734" s="10" t="inlineStr">
        <is>
          <t>APOYO</t>
        </is>
      </c>
      <c r="C734" s="10" t="inlineStr">
        <is>
          <t>Gestión de Tecnología de la Información</t>
        </is>
      </c>
      <c r="D734" s="10" t="inlineStr">
        <is>
          <t>GTI</t>
        </is>
      </c>
      <c r="E734" s="10" t="inlineStr">
        <is>
          <t>Gestión del Servicio y Soporte de TI</t>
        </is>
      </c>
      <c r="F734" s="10" t="inlineStr">
        <is>
          <t>-</t>
        </is>
      </c>
      <c r="G734" s="10" t="inlineStr">
        <is>
          <t>Instalación de hardware y software</t>
        </is>
      </c>
      <c r="H734" s="10" t="inlineStr">
        <is>
          <t>Inventario de hardware / software</t>
        </is>
      </c>
      <c r="I734" s="10" t="inlineStr">
        <is>
          <t>Matriz de inventario registrada en la aplicación Desktop Central, contiene detalle de las licencias por equipos mediante un endpoint</t>
        </is>
      </c>
      <c r="J734" s="10" t="inlineStr">
        <is>
          <t>Gestión del Servicio y Soporte de TI</t>
        </is>
      </c>
      <c r="K734" s="10" t="inlineStr">
        <is>
          <t>Asistente de Infraestructura tecnologica</t>
        </is>
      </c>
      <c r="L734" s="10" t="inlineStr">
        <is>
          <t>UBICACIÓN DIGITAL-DESKTOP CENTRAL</t>
        </is>
      </c>
      <c r="M734" s="10" t="inlineStr">
        <is>
          <t>SISTEMAS DE INFORMACIÓN CORPORATIVOS</t>
        </is>
      </c>
      <c r="N734" s="10" t="inlineStr">
        <is>
          <t>PRIMARIOS</t>
        </is>
      </c>
      <c r="O734" s="10" t="inlineStr">
        <is>
          <t>DOCUMENTOS TÉCNICOS</t>
        </is>
      </c>
      <c r="P734" s="10" t="inlineStr">
        <is>
          <t>USO INTERNO(2)</t>
        </is>
      </c>
      <c r="Q734" s="10" t="inlineStr">
        <is>
          <t>ALTA(3)</t>
        </is>
      </c>
      <c r="R734" s="10" t="inlineStr">
        <is>
          <t>MEDIA(2)</t>
        </is>
      </c>
      <c r="S734" s="10">
        <f>+(IF(P734="PUBLICA(1)",1,IF(P734="USO INTERNO(2)",2,IF(P734="RESTRINGIDO(3)",3,3))))+(IF(Q734="BAJA(1)",1,IF(Q734="MEDIA(2)",2,IF(Q734="ALTA(3)",3,3))))+(IF(R734="BAJA(1)",1,IF(R734="MEDIA(2)",2,IF(R734="ALTA(3)",3,3))))</f>
        <v/>
      </c>
      <c r="T734" s="10">
        <f>+IF(S734&lt;6,"BAJA",IF(S734&lt;8,"MEDIA","ALTA"))</f>
        <v/>
      </c>
      <c r="U734" s="10" t="inlineStr">
        <is>
          <t>-</t>
        </is>
      </c>
      <c r="V734" s="24" t="n">
        <v>45687</v>
      </c>
      <c r="W734" s="19" t="inlineStr">
        <is>
          <t>N/A</t>
        </is>
      </c>
      <c r="X734" s="10">
        <f>+IFERROR(IF(VLOOKUP(Tabla2[[#This Row],[ID]],'EVALUACION DE RIESGO'!A:A,1,FALSE)=Tabla2[[#This Row],[ID]],"SI","NO"),"NO")</f>
        <v/>
      </c>
    </row>
    <row r="735">
      <c r="A735" s="91" t="inlineStr">
        <is>
          <t>32-GTI</t>
        </is>
      </c>
      <c r="B735" s="10" t="inlineStr">
        <is>
          <t>APOYO</t>
        </is>
      </c>
      <c r="C735" s="10" t="inlineStr">
        <is>
          <t>Gestión de Tecnología de la Información</t>
        </is>
      </c>
      <c r="D735" s="10" t="inlineStr">
        <is>
          <t>GTI</t>
        </is>
      </c>
      <c r="E735" s="10" t="inlineStr">
        <is>
          <t>Gestión del Servicio y Soporte de TI</t>
        </is>
      </c>
      <c r="F735" s="10" t="inlineStr">
        <is>
          <t>-</t>
        </is>
      </c>
      <c r="G735" s="10" t="inlineStr">
        <is>
          <t>Mantenimiento correctivo de equipos</t>
        </is>
      </c>
      <c r="H735" s="10" t="inlineStr">
        <is>
          <t>Informe de mantenimiento de equipos</t>
        </is>
      </c>
      <c r="I735" s="10" t="inlineStr">
        <is>
          <t>Informe del mantenimientos realizados anexado al informe mensual, el detalle se obtiene del reporte compartido por el proveedor hartecnology que contiene el detalle del equipo diagnostico, valores, responsable</t>
        </is>
      </c>
      <c r="J735" s="10" t="inlineStr">
        <is>
          <t>Gestión del Servicio y Soporte de TI</t>
        </is>
      </c>
      <c r="K735" s="10" t="inlineStr">
        <is>
          <t>Asistente de Infraestructura tecnologica</t>
        </is>
      </c>
      <c r="L735" s="10" t="inlineStr">
        <is>
          <t>UBICACIÓN DIGITAL-EQUIPO DEL CUSTODIO</t>
        </is>
      </c>
      <c r="M735" s="10" t="inlineStr">
        <is>
          <t>DISCOS DUROS, SERVIDORES, DISCOS O MEDIOS PORTÁTILES, CINTAS O MEDIOS DE VIDEO Y AUDIO, ETC.</t>
        </is>
      </c>
      <c r="N735" s="10" t="inlineStr">
        <is>
          <t>PRIMARIOS</t>
        </is>
      </c>
      <c r="O735" s="10" t="inlineStr">
        <is>
          <t>DOCUMENTOS TÉCNICOS</t>
        </is>
      </c>
      <c r="P735" s="10" t="inlineStr">
        <is>
          <t>USO INTERNO(2)</t>
        </is>
      </c>
      <c r="Q735" s="10" t="inlineStr">
        <is>
          <t>BAJA(1)</t>
        </is>
      </c>
      <c r="R735" s="10" t="inlineStr">
        <is>
          <t>MEDIA(2)</t>
        </is>
      </c>
      <c r="S735" s="10">
        <f>+(IF(P735="PUBLICA(1)",1,IF(P735="USO INTERNO(2)",2,IF(P735="RESTRINGIDO(3)",3,3))))+(IF(Q735="BAJA(1)",1,IF(Q735="MEDIA(2)",2,IF(Q735="ALTA(3)",3,3))))+(IF(R735="BAJA(1)",1,IF(R735="MEDIA(2)",2,IF(R735="ALTA(3)",3,3))))</f>
        <v/>
      </c>
      <c r="T735" s="10">
        <f>+IF(S735&lt;6,"BAJA",IF(S735&lt;8,"MEDIA","ALTA"))</f>
        <v/>
      </c>
      <c r="U735" s="10" t="inlineStr">
        <is>
          <t>-</t>
        </is>
      </c>
      <c r="V735" s="24" t="n">
        <v>45687</v>
      </c>
      <c r="W735" s="19" t="inlineStr">
        <is>
          <t>N/A</t>
        </is>
      </c>
      <c r="X735" s="10">
        <f>+IFERROR(IF(VLOOKUP(Tabla2[[#This Row],[ID]],'EVALUACION DE RIESGO'!A:A,1,FALSE)=Tabla2[[#This Row],[ID]],"SI","NO"),"NO")</f>
        <v/>
      </c>
    </row>
    <row r="736">
      <c r="A736" s="91" t="inlineStr">
        <is>
          <t>33-GTI</t>
        </is>
      </c>
      <c r="B736" s="10" t="inlineStr">
        <is>
          <t>APOYO</t>
        </is>
      </c>
      <c r="C736" s="10" t="inlineStr">
        <is>
          <t>Gestión de Tecnología de la Información</t>
        </is>
      </c>
      <c r="D736" s="10" t="inlineStr">
        <is>
          <t>GTI</t>
        </is>
      </c>
      <c r="E736" s="10" t="inlineStr">
        <is>
          <t>Gestión del Servicio y Soporte de TI</t>
        </is>
      </c>
      <c r="F736" s="10" t="inlineStr">
        <is>
          <t>-</t>
        </is>
      </c>
      <c r="G736" s="10" t="inlineStr">
        <is>
          <t>Generación de reportes</t>
        </is>
      </c>
      <c r="H736" s="10" t="inlineStr">
        <is>
          <t>Reportes</t>
        </is>
      </c>
      <c r="I736" s="10" t="inlineStr">
        <is>
          <t>Respuesta el requerimiento por service desk adjunto el SQL del nuevo reporte</t>
        </is>
      </c>
      <c r="J736" s="10" t="inlineStr">
        <is>
          <t>Gestión del Servicio y Soporte de TI</t>
        </is>
      </c>
      <c r="K736" s="10" t="inlineStr">
        <is>
          <t>Asistente de Infraestructura tecnologica</t>
        </is>
      </c>
      <c r="L736" s="10" t="inlineStr">
        <is>
          <t>UBICACIÓN DIGITAL-WEBCOOP</t>
        </is>
      </c>
      <c r="M736" s="10" t="inlineStr">
        <is>
          <t>SISTEMAS DE INFORMACIÓN CORPORATIVOS</t>
        </is>
      </c>
      <c r="N736" s="10" t="inlineStr">
        <is>
          <t>PRIMARIOS</t>
        </is>
      </c>
      <c r="O736" s="10" t="inlineStr">
        <is>
          <t>DOCUMENTOS TÉCNICOS</t>
        </is>
      </c>
      <c r="P736" s="10" t="inlineStr">
        <is>
          <t>USO INTERNO(2)</t>
        </is>
      </c>
      <c r="Q736" s="10" t="inlineStr">
        <is>
          <t>BAJA(1)</t>
        </is>
      </c>
      <c r="R736" s="10" t="inlineStr">
        <is>
          <t>MEDIA(2)</t>
        </is>
      </c>
      <c r="S736" s="10">
        <f>+(IF(P736="PUBLICA(1)",1,IF(P736="USO INTERNO(2)",2,IF(P736="RESTRINGIDO(3)",3,3))))+(IF(Q736="BAJA(1)",1,IF(Q736="MEDIA(2)",2,IF(Q736="ALTA(3)",3,3))))+(IF(R736="BAJA(1)",1,IF(R736="MEDIA(2)",2,IF(R736="ALTA(3)",3,3))))</f>
        <v/>
      </c>
      <c r="T736" s="10">
        <f>+IF(S736&lt;6,"BAJA",IF(S736&lt;8,"MEDIA","ALTA"))</f>
        <v/>
      </c>
      <c r="U736" s="10" t="inlineStr">
        <is>
          <t>-</t>
        </is>
      </c>
      <c r="V736" s="24" t="n">
        <v>45687</v>
      </c>
      <c r="W736" s="19" t="inlineStr">
        <is>
          <t>N/A</t>
        </is>
      </c>
      <c r="X736" s="10">
        <f>+IFERROR(IF(VLOOKUP(Tabla2[[#This Row],[ID]],'EVALUACION DE RIESGO'!A:A,1,FALSE)=Tabla2[[#This Row],[ID]],"SI","NO"),"NO")</f>
        <v/>
      </c>
    </row>
    <row r="737">
      <c r="A737" s="91" t="inlineStr">
        <is>
          <t>34-GTI</t>
        </is>
      </c>
      <c r="B737" s="10" t="inlineStr">
        <is>
          <t>APOYO</t>
        </is>
      </c>
      <c r="C737" s="10" t="inlineStr">
        <is>
          <t>Gestión de Tecnología de la Información</t>
        </is>
      </c>
      <c r="D737" s="10" t="inlineStr">
        <is>
          <t>GTI</t>
        </is>
      </c>
      <c r="E737" s="10" t="inlineStr">
        <is>
          <t>Gestión del Servicio y Soporte de TI</t>
        </is>
      </c>
      <c r="F737" s="10" t="inlineStr">
        <is>
          <t>-</t>
        </is>
      </c>
      <c r="G737" s="10" t="inlineStr">
        <is>
          <t>Registro y respaldo de software</t>
        </is>
      </c>
      <c r="H737" s="10" t="inlineStr">
        <is>
          <t>Inventario de software</t>
        </is>
      </c>
      <c r="I737" s="10" t="inlineStr">
        <is>
          <t>Respaldo del inventario de aplicaciones(mensual)</t>
        </is>
      </c>
      <c r="J737" s="10" t="inlineStr">
        <is>
          <t>Gestión del Servicio y Soporte de TI</t>
        </is>
      </c>
      <c r="K737" s="10" t="inlineStr">
        <is>
          <t>Asistente de Infraestructura tecnologica</t>
        </is>
      </c>
      <c r="L737" s="10" t="inlineStr">
        <is>
          <t>DISCO DURO EXTERNO</t>
        </is>
      </c>
      <c r="M737" s="10" t="inlineStr">
        <is>
          <t>DISCOS DUROS, SERVIDORES, DISCOS O MEDIOS PORTÁTILES, CINTAS O MEDIOS DE VIDEO Y AUDIO, ETC.</t>
        </is>
      </c>
      <c r="N737" s="10" t="inlineStr">
        <is>
          <t>PRIMARIOS</t>
        </is>
      </c>
      <c r="O737" s="10" t="inlineStr">
        <is>
          <t>DOCUMENTOS TÉCNICOS</t>
        </is>
      </c>
      <c r="P737" s="10" t="inlineStr">
        <is>
          <t>USO INTERNO(2)</t>
        </is>
      </c>
      <c r="Q737" s="10" t="inlineStr">
        <is>
          <t>MEDIA(2)</t>
        </is>
      </c>
      <c r="R737" s="10" t="inlineStr">
        <is>
          <t>BAJA(1)</t>
        </is>
      </c>
      <c r="S737" s="10">
        <f>+(IF(P737="PUBLICA(1)",1,IF(P737="USO INTERNO(2)",2,IF(P737="RESTRINGIDO(3)",3,3))))+(IF(Q737="BAJA(1)",1,IF(Q737="MEDIA(2)",2,IF(Q737="ALTA(3)",3,3))))+(IF(R737="BAJA(1)",1,IF(R737="MEDIA(2)",2,IF(R737="ALTA(3)",3,3))))</f>
        <v/>
      </c>
      <c r="T737" s="10">
        <f>+IF(S737&lt;6,"BAJA",IF(S737&lt;8,"MEDIA","ALTA"))</f>
        <v/>
      </c>
      <c r="U737" s="10" t="inlineStr">
        <is>
          <t>-</t>
        </is>
      </c>
      <c r="V737" s="24" t="n">
        <v>45687</v>
      </c>
      <c r="W737" s="19" t="inlineStr">
        <is>
          <t>N/A</t>
        </is>
      </c>
      <c r="X737" s="10">
        <f>+IFERROR(IF(VLOOKUP(Tabla2[[#This Row],[ID]],'EVALUACION DE RIESGO'!A:A,1,FALSE)=Tabla2[[#This Row],[ID]],"SI","NO"),"NO")</f>
        <v/>
      </c>
    </row>
    <row r="738">
      <c r="A738" s="91" t="inlineStr">
        <is>
          <t>35-GTI</t>
        </is>
      </c>
      <c r="B738" s="10" t="inlineStr">
        <is>
          <t>APOYO</t>
        </is>
      </c>
      <c r="C738" s="10" t="inlineStr">
        <is>
          <t>Gestión de Tecnología de la Información</t>
        </is>
      </c>
      <c r="D738" s="10" t="inlineStr">
        <is>
          <t>GTI</t>
        </is>
      </c>
      <c r="E738" s="10" t="inlineStr">
        <is>
          <t>Gestión de Seguridad Informática</t>
        </is>
      </c>
      <c r="F738" s="10" t="inlineStr">
        <is>
          <t>-</t>
        </is>
      </c>
      <c r="G738" s="10" t="inlineStr">
        <is>
          <t>Administración de la seguridad perimetral</t>
        </is>
      </c>
      <c r="H738" s="10" t="inlineStr">
        <is>
          <t>Informe de gestión</t>
        </is>
      </c>
      <c r="I738" s="10" t="inlineStr">
        <is>
          <t>Análisis , documentación y gestión de inconvenientes y ejecución de nuevos controles y políticas de seguridad</t>
        </is>
      </c>
      <c r="J738" s="10" t="inlineStr">
        <is>
          <t>Administrador de seguridad informática</t>
        </is>
      </c>
      <c r="K738" s="10" t="inlineStr">
        <is>
          <t>Administrador de Seguridad Informática</t>
        </is>
      </c>
      <c r="L738" s="10" t="inlineStr">
        <is>
          <t>UBICACIÓN DIGITAL-EQUIPO DEL CUSTODIO</t>
        </is>
      </c>
      <c r="M738" s="10" t="inlineStr">
        <is>
          <t>DISCOS DUROS, SERVIDORES, DISCOS O MEDIOS PORTÁTILES, CINTAS O MEDIOS DE VIDEO Y AUDIO, ETC.</t>
        </is>
      </c>
      <c r="N738" s="10" t="inlineStr">
        <is>
          <t>PRIMARIOS</t>
        </is>
      </c>
      <c r="O738" s="10" t="inlineStr">
        <is>
          <t>DOCUMENTOS TÉCNICOS</t>
        </is>
      </c>
      <c r="P738" s="10" t="inlineStr">
        <is>
          <t>RESTRINGIDO(3)</t>
        </is>
      </c>
      <c r="Q738" s="10" t="inlineStr">
        <is>
          <t>BAJA(1)</t>
        </is>
      </c>
      <c r="R738" s="10" t="inlineStr">
        <is>
          <t>MEDIA(2)</t>
        </is>
      </c>
      <c r="S738" s="10">
        <f>+(IF(P738="PUBLICA(1)",1,IF(P738="USO INTERNO(2)",2,IF(P738="RESTRINGIDO(3)",3,3))))+(IF(Q738="BAJA(1)",1,IF(Q738="MEDIA(2)",2,IF(Q738="ALTA(3)",3,3))))+(IF(R738="BAJA(1)",1,IF(R738="MEDIA(2)",2,IF(R738="ALTA(3)",3,3))))</f>
        <v/>
      </c>
      <c r="T738" s="10">
        <f>+IF(S738&lt;6,"BAJA",IF(S738&lt;8,"MEDIA","ALTA"))</f>
        <v/>
      </c>
      <c r="U738" s="10" t="inlineStr">
        <is>
          <t>-</t>
        </is>
      </c>
      <c r="V738" s="24" t="n">
        <v>45687</v>
      </c>
      <c r="W738" s="19" t="inlineStr">
        <is>
          <t>N/A</t>
        </is>
      </c>
      <c r="X738" s="10">
        <f>+IFERROR(IF(VLOOKUP(Tabla2[[#This Row],[ID]],'EVALUACION DE RIESGO'!A:A,1,FALSE)=Tabla2[[#This Row],[ID]],"SI","NO"),"NO")</f>
        <v/>
      </c>
    </row>
    <row r="739">
      <c r="A739" s="91" t="inlineStr">
        <is>
          <t>36-GTI</t>
        </is>
      </c>
      <c r="B739" s="10" t="inlineStr">
        <is>
          <t>APOYO</t>
        </is>
      </c>
      <c r="C739" s="10" t="inlineStr">
        <is>
          <t>Gestión de Tecnología de la Información</t>
        </is>
      </c>
      <c r="D739" s="10" t="inlineStr">
        <is>
          <t>GTI</t>
        </is>
      </c>
      <c r="E739" s="10" t="inlineStr">
        <is>
          <t>Gestión de Seguridad Informática</t>
        </is>
      </c>
      <c r="F739" s="10" t="inlineStr">
        <is>
          <t>-</t>
        </is>
      </c>
      <c r="G739" s="10" t="inlineStr">
        <is>
          <t>Control de software malicioso</t>
        </is>
      </c>
      <c r="H739" s="10" t="inlineStr">
        <is>
          <t>Informe de gestión</t>
        </is>
      </c>
      <c r="I739" s="10" t="inlineStr">
        <is>
          <t>Registro de revisión y mantenimiento de equipos infectados, de ser necesario se planifica acciones adicionales a las realizadas</t>
        </is>
      </c>
      <c r="J739" s="10" t="inlineStr">
        <is>
          <t>Administrador de seguridad informática</t>
        </is>
      </c>
      <c r="K739" s="10" t="inlineStr">
        <is>
          <t>Administrador de Seguridad Informática</t>
        </is>
      </c>
      <c r="L739" s="10" t="inlineStr">
        <is>
          <t>UBICACIÓN DIGITAL-EQUIPO DEL CUSTODIO</t>
        </is>
      </c>
      <c r="M739" s="10" t="inlineStr">
        <is>
          <t>DISCOS DUROS, SERVIDORES, DISCOS O MEDIOS PORTÁTILES, CINTAS O MEDIOS DE VIDEO Y AUDIO, ETC.</t>
        </is>
      </c>
      <c r="N739" s="10" t="inlineStr">
        <is>
          <t>PRIMARIOS</t>
        </is>
      </c>
      <c r="O739" s="10" t="inlineStr">
        <is>
          <t>DOCUMENTOS TÉCNICOS</t>
        </is>
      </c>
      <c r="P739" s="10" t="inlineStr">
        <is>
          <t>USO INTERNO(2)</t>
        </is>
      </c>
      <c r="Q739" s="10" t="inlineStr">
        <is>
          <t>BAJA(1)</t>
        </is>
      </c>
      <c r="R739" s="10" t="inlineStr">
        <is>
          <t>MEDIA(2)</t>
        </is>
      </c>
      <c r="S739" s="10">
        <f>+(IF(P739="PUBLICA(1)",1,IF(P739="USO INTERNO(2)",2,IF(P739="RESTRINGIDO(3)",3,3))))+(IF(Q739="BAJA(1)",1,IF(Q739="MEDIA(2)",2,IF(Q739="ALTA(3)",3,3))))+(IF(R739="BAJA(1)",1,IF(R739="MEDIA(2)",2,IF(R739="ALTA(3)",3,3))))</f>
        <v/>
      </c>
      <c r="T739" s="10">
        <f>+IF(S739&lt;6,"BAJA",IF(S739&lt;8,"MEDIA","ALTA"))</f>
        <v/>
      </c>
      <c r="U739" s="10" t="inlineStr">
        <is>
          <t>-</t>
        </is>
      </c>
      <c r="V739" s="24" t="n">
        <v>45687</v>
      </c>
      <c r="W739" s="19" t="inlineStr">
        <is>
          <t>N/A</t>
        </is>
      </c>
      <c r="X739" s="10">
        <f>+IFERROR(IF(VLOOKUP(Tabla2[[#This Row],[ID]],'EVALUACION DE RIESGO'!A:A,1,FALSE)=Tabla2[[#This Row],[ID]],"SI","NO"),"NO")</f>
        <v/>
      </c>
    </row>
    <row r="740">
      <c r="A740" s="91" t="inlineStr">
        <is>
          <t>37-GTI</t>
        </is>
      </c>
      <c r="B740" s="10" t="inlineStr">
        <is>
          <t>APOYO</t>
        </is>
      </c>
      <c r="C740" s="10" t="inlineStr">
        <is>
          <t>Gestión de Tecnología de la Información</t>
        </is>
      </c>
      <c r="D740" s="10" t="inlineStr">
        <is>
          <t>GTI</t>
        </is>
      </c>
      <c r="E740" s="10" t="inlineStr">
        <is>
          <t>Gestión de Seguridad Informática</t>
        </is>
      </c>
      <c r="F740" s="10" t="inlineStr">
        <is>
          <t>-</t>
        </is>
      </c>
      <c r="G740" s="10" t="inlineStr">
        <is>
          <t xml:space="preserve">Administración web     </t>
        </is>
      </c>
      <c r="H740" s="10" t="inlineStr">
        <is>
          <t>Requerimiento de Service desk</t>
        </is>
      </c>
      <c r="I740" s="10" t="inlineStr">
        <is>
          <t>Registro de accesos requeridos por los usuarios</t>
        </is>
      </c>
      <c r="J740" s="10" t="inlineStr">
        <is>
          <t>Administrador de seguridad informática</t>
        </is>
      </c>
      <c r="K740" s="10" t="inlineStr">
        <is>
          <t>Administrador de Seguridad Informática</t>
        </is>
      </c>
      <c r="L740" s="10" t="inlineStr">
        <is>
          <t>UBICACIÓN DIGITAL-WEBCOOP</t>
        </is>
      </c>
      <c r="M740" s="10" t="inlineStr">
        <is>
          <t>SISTEMAS DE INFORMACIÓN CORPORATIVOS</t>
        </is>
      </c>
      <c r="N740" s="10" t="inlineStr">
        <is>
          <t>PRIMARIOS</t>
        </is>
      </c>
      <c r="O740" s="10" t="inlineStr">
        <is>
          <t>DOCUMENTOS TÉCNICOS</t>
        </is>
      </c>
      <c r="P740" s="10" t="inlineStr">
        <is>
          <t>USO INTERNO(2)</t>
        </is>
      </c>
      <c r="Q740" s="10" t="inlineStr">
        <is>
          <t>BAJA(1)</t>
        </is>
      </c>
      <c r="R740" s="10" t="inlineStr">
        <is>
          <t>MEDIA(2)</t>
        </is>
      </c>
      <c r="S740" s="10">
        <f>+(IF(P740="PUBLICA(1)",1,IF(P740="USO INTERNO(2)",2,IF(P740="RESTRINGIDO(3)",3,3))))+(IF(Q740="BAJA(1)",1,IF(Q740="MEDIA(2)",2,IF(Q740="ALTA(3)",3,3))))+(IF(R740="BAJA(1)",1,IF(R740="MEDIA(2)",2,IF(R740="ALTA(3)",3,3))))</f>
        <v/>
      </c>
      <c r="T740" s="10">
        <f>+IF(S740&lt;6,"BAJA",IF(S740&lt;8,"MEDIA","ALTA"))</f>
        <v/>
      </c>
      <c r="U740" s="10" t="inlineStr">
        <is>
          <t>-</t>
        </is>
      </c>
      <c r="V740" s="24" t="n">
        <v>45687</v>
      </c>
      <c r="W740" s="19" t="inlineStr">
        <is>
          <t>N/A</t>
        </is>
      </c>
      <c r="X740" s="10">
        <f>+IFERROR(IF(VLOOKUP(Tabla2[[#This Row],[ID]],'EVALUACION DE RIESGO'!A:A,1,FALSE)=Tabla2[[#This Row],[ID]],"SI","NO"),"NO")</f>
        <v/>
      </c>
    </row>
    <row r="741">
      <c r="A741" s="91" t="inlineStr">
        <is>
          <t>38-GTI</t>
        </is>
      </c>
      <c r="B741" s="10" t="inlineStr">
        <is>
          <t>APOYO</t>
        </is>
      </c>
      <c r="C741" s="10" t="inlineStr">
        <is>
          <t>Gestión de Tecnología de la Información</t>
        </is>
      </c>
      <c r="D741" s="10" t="inlineStr">
        <is>
          <t>GTI</t>
        </is>
      </c>
      <c r="E741" s="10" t="inlineStr">
        <is>
          <t>Gestión de Seguridad Informática</t>
        </is>
      </c>
      <c r="F741" s="10" t="inlineStr">
        <is>
          <t>-</t>
        </is>
      </c>
      <c r="G741" s="10" t="inlineStr">
        <is>
          <t xml:space="preserve">Administración web     </t>
        </is>
      </c>
      <c r="H741" s="10" t="inlineStr">
        <is>
          <t>Informe de gestión</t>
        </is>
      </c>
      <c r="I741" s="10" t="inlineStr">
        <is>
          <t>Registro de la gestión de accesos realizada y reporte de incidentes cuando sea necesario.</t>
        </is>
      </c>
      <c r="J741" s="10" t="inlineStr">
        <is>
          <t>Administrador de seguridad informática</t>
        </is>
      </c>
      <c r="K741" s="10" t="inlineStr">
        <is>
          <t>Administrador de Seguridad Informática</t>
        </is>
      </c>
      <c r="L741" s="10" t="inlineStr">
        <is>
          <t>UBICACIÓN DIGITAL-EQUIPO DEL CUSTODIO</t>
        </is>
      </c>
      <c r="M741" s="10" t="inlineStr">
        <is>
          <t>DISCOS DUROS, SERVIDORES, DISCOS O MEDIOS PORTÁTILES, CINTAS O MEDIOS DE VIDEO Y AUDIO, ETC.</t>
        </is>
      </c>
      <c r="N741" s="10" t="inlineStr">
        <is>
          <t>PRIMARIOS</t>
        </is>
      </c>
      <c r="O741" s="10" t="inlineStr">
        <is>
          <t>DOCUMENTOS TÉCNICOS</t>
        </is>
      </c>
      <c r="P741" s="10" t="inlineStr">
        <is>
          <t>USO INTERNO(2)</t>
        </is>
      </c>
      <c r="Q741" s="10" t="inlineStr">
        <is>
          <t>BAJA(1)</t>
        </is>
      </c>
      <c r="R741" s="10" t="inlineStr">
        <is>
          <t>MEDIA(2)</t>
        </is>
      </c>
      <c r="S741" s="10">
        <f>+(IF(P741="PUBLICA(1)",1,IF(P741="USO INTERNO(2)",2,IF(P741="RESTRINGIDO(3)",3,3))))+(IF(Q741="BAJA(1)",1,IF(Q741="MEDIA(2)",2,IF(Q741="ALTA(3)",3,3))))+(IF(R741="BAJA(1)",1,IF(R741="MEDIA(2)",2,IF(R741="ALTA(3)",3,3))))</f>
        <v/>
      </c>
      <c r="T741" s="10">
        <f>+IF(S741&lt;6,"BAJA",IF(S741&lt;8,"MEDIA","ALTA"))</f>
        <v/>
      </c>
      <c r="U741" s="10" t="inlineStr">
        <is>
          <t>-</t>
        </is>
      </c>
      <c r="V741" s="24" t="n">
        <v>45687</v>
      </c>
      <c r="W741" s="19" t="inlineStr">
        <is>
          <t>N/A</t>
        </is>
      </c>
      <c r="X741" s="10">
        <f>+IFERROR(IF(VLOOKUP(Tabla2[[#This Row],[ID]],'EVALUACION DE RIESGO'!A:A,1,FALSE)=Tabla2[[#This Row],[ID]],"SI","NO"),"NO")</f>
        <v/>
      </c>
    </row>
    <row r="742">
      <c r="A742" s="91" t="inlineStr">
        <is>
          <t>39-GTI</t>
        </is>
      </c>
      <c r="B742" s="10" t="inlineStr">
        <is>
          <t>APOYO</t>
        </is>
      </c>
      <c r="C742" s="10" t="inlineStr">
        <is>
          <t>Gestión de Tecnología de la Información</t>
        </is>
      </c>
      <c r="D742" s="10" t="inlineStr">
        <is>
          <t>GTI</t>
        </is>
      </c>
      <c r="E742" s="10" t="inlineStr">
        <is>
          <t>Gestión de Seguridad Informática</t>
        </is>
      </c>
      <c r="F742" s="10" t="inlineStr">
        <is>
          <t>-</t>
        </is>
      </c>
      <c r="G742" s="10" t="inlineStr">
        <is>
          <t xml:space="preserve">Administración de seguridad en equipos y servidores de aplicación       </t>
        </is>
      </c>
      <c r="H742" s="10" t="inlineStr">
        <is>
          <t>Requerimiento de Service desk</t>
        </is>
      </c>
      <c r="I742" s="10" t="inlineStr">
        <is>
          <t>Requerimiento de generación de llaves criptográficas</t>
        </is>
      </c>
      <c r="J742" s="10" t="inlineStr">
        <is>
          <t>Administrador de seguridad informática</t>
        </is>
      </c>
      <c r="K742" s="10" t="inlineStr">
        <is>
          <t>Administrador de Seguridad Informática</t>
        </is>
      </c>
      <c r="L742" s="10" t="inlineStr">
        <is>
          <t>UBICACIÓN DIGITAL-WEBCOOP</t>
        </is>
      </c>
      <c r="M742" s="10" t="inlineStr">
        <is>
          <t>SISTEMAS DE INFORMACIÓN CORPORATIVOS</t>
        </is>
      </c>
      <c r="N742" s="10" t="inlineStr">
        <is>
          <t>PRIMARIOS</t>
        </is>
      </c>
      <c r="O742" s="10" t="inlineStr">
        <is>
          <t>DOCUMENTOS TÉCNICOS</t>
        </is>
      </c>
      <c r="P742" s="10" t="inlineStr">
        <is>
          <t>RESTRINGIDO(3)</t>
        </is>
      </c>
      <c r="Q742" s="10" t="inlineStr">
        <is>
          <t>MEDIA(2)</t>
        </is>
      </c>
      <c r="R742" s="10" t="inlineStr">
        <is>
          <t>BAJA(1)</t>
        </is>
      </c>
      <c r="S742" s="10">
        <f>+(IF(P742="PUBLICA(1)",1,IF(P742="USO INTERNO(2)",2,IF(P742="RESTRINGIDO(3)",3,3))))+(IF(Q742="BAJA(1)",1,IF(Q742="MEDIA(2)",2,IF(Q742="ALTA(3)",3,3))))+(IF(R742="BAJA(1)",1,IF(R742="MEDIA(2)",2,IF(R742="ALTA(3)",3,3))))</f>
        <v/>
      </c>
      <c r="T742" s="10">
        <f>+IF(S742&lt;6,"BAJA",IF(S742&lt;8,"MEDIA","ALTA"))</f>
        <v/>
      </c>
      <c r="U742" s="10" t="inlineStr">
        <is>
          <t>-</t>
        </is>
      </c>
      <c r="V742" s="24" t="n">
        <v>45687</v>
      </c>
      <c r="W742" s="19" t="inlineStr">
        <is>
          <t>N/A</t>
        </is>
      </c>
      <c r="X742" s="10">
        <f>+IFERROR(IF(VLOOKUP(Tabla2[[#This Row],[ID]],'EVALUACION DE RIESGO'!A:A,1,FALSE)=Tabla2[[#This Row],[ID]],"SI","NO"),"NO")</f>
        <v/>
      </c>
    </row>
    <row r="743">
      <c r="A743" s="91" t="inlineStr">
        <is>
          <t>40-GTI</t>
        </is>
      </c>
      <c r="B743" s="10" t="inlineStr">
        <is>
          <t>APOYO</t>
        </is>
      </c>
      <c r="C743" s="10" t="inlineStr">
        <is>
          <t>Gestión de Tecnología de la Información</t>
        </is>
      </c>
      <c r="D743" s="10" t="inlineStr">
        <is>
          <t>GTI</t>
        </is>
      </c>
      <c r="E743" s="10" t="inlineStr">
        <is>
          <t>Gestión de Seguridad Informática</t>
        </is>
      </c>
      <c r="F743" s="10" t="inlineStr">
        <is>
          <t>-</t>
        </is>
      </c>
      <c r="G743" s="10" t="inlineStr">
        <is>
          <t xml:space="preserve">Administración de seguridad en equipos y servidores de aplicación       </t>
        </is>
      </c>
      <c r="H743" s="10" t="inlineStr">
        <is>
          <t>Informe de gestión</t>
        </is>
      </c>
      <c r="I743" s="10" t="inlineStr">
        <is>
          <t>Realiza la gestión necesaria para la generación de componentes de encriptación</t>
        </is>
      </c>
      <c r="J743" s="10" t="inlineStr">
        <is>
          <t>Administrador de seguridad informática</t>
        </is>
      </c>
      <c r="K743" s="10" t="inlineStr">
        <is>
          <t>Administrador de Seguridad Informática</t>
        </is>
      </c>
      <c r="L743" s="10" t="inlineStr">
        <is>
          <t>UBICACIÓN DIGITAL-EQUIPO DEL CUSTODIO</t>
        </is>
      </c>
      <c r="M743" s="10" t="inlineStr">
        <is>
          <t>DISCOS DUROS, SERVIDORES, DISCOS O MEDIOS PORTÁTILES, CINTAS O MEDIOS DE VIDEO Y AUDIO, ETC.</t>
        </is>
      </c>
      <c r="N743" s="10" t="inlineStr">
        <is>
          <t>PRIMARIOS</t>
        </is>
      </c>
      <c r="O743" s="10" t="inlineStr">
        <is>
          <t>DOCUMENTOS TÉCNICOS</t>
        </is>
      </c>
      <c r="P743" s="10" t="inlineStr">
        <is>
          <t>RESTRINGIDO(3)</t>
        </is>
      </c>
      <c r="Q743" s="10" t="inlineStr">
        <is>
          <t>BAJA(1)</t>
        </is>
      </c>
      <c r="R743" s="10" t="inlineStr">
        <is>
          <t>MEDIA(2)</t>
        </is>
      </c>
      <c r="S743" s="10">
        <f>+(IF(P743="PUBLICA(1)",1,IF(P743="USO INTERNO(2)",2,IF(P743="RESTRINGIDO(3)",3,3))))+(IF(Q743="BAJA(1)",1,IF(Q743="MEDIA(2)",2,IF(Q743="ALTA(3)",3,3))))+(IF(R743="BAJA(1)",1,IF(R743="MEDIA(2)",2,IF(R743="ALTA(3)",3,3))))</f>
        <v/>
      </c>
      <c r="T743" s="10">
        <f>+IF(S743&lt;6,"BAJA",IF(S743&lt;8,"MEDIA","ALTA"))</f>
        <v/>
      </c>
      <c r="U743" s="10" t="inlineStr">
        <is>
          <t>-</t>
        </is>
      </c>
      <c r="V743" s="24" t="n">
        <v>45687</v>
      </c>
      <c r="W743" s="19" t="inlineStr">
        <is>
          <t>N/A</t>
        </is>
      </c>
      <c r="X743" s="10">
        <f>+IFERROR(IF(VLOOKUP(Tabla2[[#This Row],[ID]],'EVALUACION DE RIESGO'!A:A,1,FALSE)=Tabla2[[#This Row],[ID]],"SI","NO"),"NO")</f>
        <v/>
      </c>
    </row>
    <row r="744">
      <c r="A744" s="91" t="inlineStr">
        <is>
          <t>41-GTI</t>
        </is>
      </c>
      <c r="B744" s="10" t="inlineStr">
        <is>
          <t>APOYO</t>
        </is>
      </c>
      <c r="C744" s="10" t="inlineStr">
        <is>
          <t>Gestión de Tecnología de la Información</t>
        </is>
      </c>
      <c r="D744" s="10" t="inlineStr">
        <is>
          <t>GTI</t>
        </is>
      </c>
      <c r="E744" s="10" t="inlineStr">
        <is>
          <t>Gestión de Seguridad Informática</t>
        </is>
      </c>
      <c r="F744" s="10" t="inlineStr">
        <is>
          <t>-</t>
        </is>
      </c>
      <c r="G744" s="10" t="inlineStr">
        <is>
          <t xml:space="preserve">Administración y virtualización de herramientas de seguridad </t>
        </is>
      </c>
      <c r="H744" s="10" t="inlineStr">
        <is>
          <t>Informe de gestión</t>
        </is>
      </c>
      <c r="I744" s="10" t="inlineStr">
        <is>
          <t>Validación del correcto funcionamiento y registro de acciones realizadas</t>
        </is>
      </c>
      <c r="J744" s="10" t="inlineStr">
        <is>
          <t>Administrador de seguridad informática</t>
        </is>
      </c>
      <c r="K744" s="10" t="inlineStr">
        <is>
          <t>Administrador de Seguridad Informática</t>
        </is>
      </c>
      <c r="L744" s="10" t="inlineStr">
        <is>
          <t>UBICACIÓN DIGITAL-EQUIPO DEL CUSTODIO</t>
        </is>
      </c>
      <c r="M744" s="10" t="inlineStr">
        <is>
          <t>DISCOS DUROS, SERVIDORES, DISCOS O MEDIOS PORTÁTILES, CINTAS O MEDIOS DE VIDEO Y AUDIO, ETC.</t>
        </is>
      </c>
      <c r="N744" s="10" t="inlineStr">
        <is>
          <t>PRIMARIOS</t>
        </is>
      </c>
      <c r="O744" s="10" t="inlineStr">
        <is>
          <t>DOCUMENTOS TÉCNICOS</t>
        </is>
      </c>
      <c r="P744" s="10" t="inlineStr">
        <is>
          <t>RESTRINGIDO(3)</t>
        </is>
      </c>
      <c r="Q744" s="10" t="inlineStr">
        <is>
          <t>BAJA(1)</t>
        </is>
      </c>
      <c r="R744" s="10" t="inlineStr">
        <is>
          <t>MEDIA(2)</t>
        </is>
      </c>
      <c r="S744" s="10">
        <f>+(IF(P744="PUBLICA(1)",1,IF(P744="USO INTERNO(2)",2,IF(P744="RESTRINGIDO(3)",3,3))))+(IF(Q744="BAJA(1)",1,IF(Q744="MEDIA(2)",2,IF(Q744="ALTA(3)",3,3))))+(IF(R744="BAJA(1)",1,IF(R744="MEDIA(2)",2,IF(R744="ALTA(3)",3,3))))</f>
        <v/>
      </c>
      <c r="T744" s="10">
        <f>+IF(S744&lt;6,"BAJA",IF(S744&lt;8,"MEDIA","ALTA"))</f>
        <v/>
      </c>
      <c r="U744" s="10" t="inlineStr">
        <is>
          <t>-</t>
        </is>
      </c>
      <c r="V744" s="24" t="n">
        <v>45687</v>
      </c>
      <c r="W744" s="19" t="inlineStr">
        <is>
          <t>N/A</t>
        </is>
      </c>
      <c r="X744" s="10">
        <f>+IFERROR(IF(VLOOKUP(Tabla2[[#This Row],[ID]],'EVALUACION DE RIESGO'!A:A,1,FALSE)=Tabla2[[#This Row],[ID]],"SI","NO"),"NO")</f>
        <v/>
      </c>
    </row>
    <row r="745">
      <c r="A745" s="91" t="inlineStr">
        <is>
          <t>42-GTI</t>
        </is>
      </c>
      <c r="B745" s="10" t="inlineStr">
        <is>
          <t>APOYO</t>
        </is>
      </c>
      <c r="C745" s="10" t="inlineStr">
        <is>
          <t>Gestión de Tecnología de la Información</t>
        </is>
      </c>
      <c r="D745" s="10" t="inlineStr">
        <is>
          <t>GTI</t>
        </is>
      </c>
      <c r="E745" s="10" t="inlineStr">
        <is>
          <t>Gestión de Seguridad Informática</t>
        </is>
      </c>
      <c r="F745" s="10" t="inlineStr">
        <is>
          <t>-</t>
        </is>
      </c>
      <c r="G745" s="10" t="inlineStr">
        <is>
          <t xml:space="preserve">Gestión de respaldos        </t>
        </is>
      </c>
      <c r="H745" s="10" t="inlineStr">
        <is>
          <t>Informe de gestión</t>
        </is>
      </c>
      <c r="I745" s="10" t="inlineStr">
        <is>
          <t>Despliegue, revisión del correcto funcionamiento del respaldo y registro de actividades</t>
        </is>
      </c>
      <c r="J745" s="10" t="inlineStr">
        <is>
          <t>Administrador de seguridad informática</t>
        </is>
      </c>
      <c r="K745" s="10" t="inlineStr">
        <is>
          <t>Administrador de Seguridad Informática</t>
        </is>
      </c>
      <c r="L745" s="10" t="inlineStr">
        <is>
          <t>UBICACIÓN DIGITAL-EQUIPO DEL CUSTODIO</t>
        </is>
      </c>
      <c r="M745" s="10" t="inlineStr">
        <is>
          <t>DISCOS DUROS, SERVIDORES, DISCOS O MEDIOS PORTÁTILES, CINTAS O MEDIOS DE VIDEO Y AUDIO, ETC.</t>
        </is>
      </c>
      <c r="N745" s="10" t="inlineStr">
        <is>
          <t>PRIMARIOS</t>
        </is>
      </c>
      <c r="O745" s="10" t="inlineStr">
        <is>
          <t>DOCUMENTOS TÉCNICOS</t>
        </is>
      </c>
      <c r="P745" s="10" t="inlineStr">
        <is>
          <t>RESTRINGIDO(3)</t>
        </is>
      </c>
      <c r="Q745" s="10" t="inlineStr">
        <is>
          <t>MEDIA(2)</t>
        </is>
      </c>
      <c r="R745" s="10" t="inlineStr">
        <is>
          <t>MEDIA(2)</t>
        </is>
      </c>
      <c r="S745" s="10">
        <f>+(IF(P745="PUBLICA(1)",1,IF(P745="USO INTERNO(2)",2,IF(P745="RESTRINGIDO(3)",3,3))))+(IF(Q745="BAJA(1)",1,IF(Q745="MEDIA(2)",2,IF(Q745="ALTA(3)",3,3))))+(IF(R745="BAJA(1)",1,IF(R745="MEDIA(2)",2,IF(R745="ALTA(3)",3,3))))</f>
        <v/>
      </c>
      <c r="T745" s="10">
        <f>+IF(S745&lt;6,"BAJA",IF(S745&lt;8,"MEDIA","ALTA"))</f>
        <v/>
      </c>
      <c r="U745" s="10" t="inlineStr">
        <is>
          <t>-</t>
        </is>
      </c>
      <c r="V745" s="24" t="n">
        <v>45687</v>
      </c>
      <c r="W745" s="19" t="inlineStr">
        <is>
          <t>N/A</t>
        </is>
      </c>
      <c r="X745" s="10">
        <f>+IFERROR(IF(VLOOKUP(Tabla2[[#This Row],[ID]],'EVALUACION DE RIESGO'!A:A,1,FALSE)=Tabla2[[#This Row],[ID]],"SI","NO"),"NO")</f>
        <v/>
      </c>
    </row>
    <row r="746">
      <c r="A746" s="91" t="inlineStr">
        <is>
          <t>43-GTI</t>
        </is>
      </c>
      <c r="B746" s="10" t="inlineStr">
        <is>
          <t>APOYO</t>
        </is>
      </c>
      <c r="C746" s="10" t="inlineStr">
        <is>
          <t>Gestión de Tecnología de la Información</t>
        </is>
      </c>
      <c r="D746" s="10" t="inlineStr">
        <is>
          <t>GTI</t>
        </is>
      </c>
      <c r="E746" s="10" t="inlineStr">
        <is>
          <t>Gestión de Seguridad Informática</t>
        </is>
      </c>
      <c r="F746" s="10" t="inlineStr">
        <is>
          <t>-</t>
        </is>
      </c>
      <c r="G746" s="10" t="inlineStr">
        <is>
          <t xml:space="preserve">Gestión de cambios en cuentas criticas </t>
        </is>
      </c>
      <c r="H746" s="10" t="inlineStr">
        <is>
          <t>Informe de gestión</t>
        </is>
      </c>
      <c r="I746" s="10" t="inlineStr">
        <is>
          <t>Registro de cambios realizados y custodia de las cuentas modificadas</t>
        </is>
      </c>
      <c r="J746" s="10" t="inlineStr">
        <is>
          <t>Administrador de seguridad informática</t>
        </is>
      </c>
      <c r="K746" s="10" t="inlineStr">
        <is>
          <t>Administrador de Seguridad Informática</t>
        </is>
      </c>
      <c r="L746" s="10" t="inlineStr">
        <is>
          <t>UBICACIÓN DIGITAL-EQUIPO DEL CUSTODIO</t>
        </is>
      </c>
      <c r="M746" s="10" t="inlineStr">
        <is>
          <t>DISCOS DUROS, SERVIDORES, DISCOS O MEDIOS PORTÁTILES, CINTAS O MEDIOS DE VIDEO Y AUDIO, ETC.</t>
        </is>
      </c>
      <c r="N746" s="10" t="inlineStr">
        <is>
          <t>PRIMARIOS</t>
        </is>
      </c>
      <c r="O746" s="10" t="inlineStr">
        <is>
          <t>DOCUMENTOS TÉCNICOS</t>
        </is>
      </c>
      <c r="P746" s="10" t="inlineStr">
        <is>
          <t>USO INTERNO(2)</t>
        </is>
      </c>
      <c r="Q746" s="10" t="inlineStr">
        <is>
          <t>BAJA(1)</t>
        </is>
      </c>
      <c r="R746" s="10" t="inlineStr">
        <is>
          <t>MEDIA(2)</t>
        </is>
      </c>
      <c r="S746" s="10">
        <f>+(IF(P746="PUBLICA(1)",1,IF(P746="USO INTERNO(2)",2,IF(P746="RESTRINGIDO(3)",3,3))))+(IF(Q746="BAJA(1)",1,IF(Q746="MEDIA(2)",2,IF(Q746="ALTA(3)",3,3))))+(IF(R746="BAJA(1)",1,IF(R746="MEDIA(2)",2,IF(R746="ALTA(3)",3,3))))</f>
        <v/>
      </c>
      <c r="T746" s="10">
        <f>+IF(S746&lt;6,"BAJA",IF(S746&lt;8,"MEDIA","ALTA"))</f>
        <v/>
      </c>
      <c r="U746" s="10" t="inlineStr">
        <is>
          <t>-</t>
        </is>
      </c>
      <c r="V746" s="24" t="n">
        <v>45687</v>
      </c>
      <c r="W746" s="19" t="inlineStr">
        <is>
          <t>N/A</t>
        </is>
      </c>
      <c r="X746" s="10">
        <f>+IFERROR(IF(VLOOKUP(Tabla2[[#This Row],[ID]],'EVALUACION DE RIESGO'!A:A,1,FALSE)=Tabla2[[#This Row],[ID]],"SI","NO"),"NO")</f>
        <v/>
      </c>
    </row>
    <row r="747">
      <c r="A747" s="91" t="inlineStr">
        <is>
          <t>44-GTI</t>
        </is>
      </c>
      <c r="B747" s="10" t="inlineStr">
        <is>
          <t>APOYO</t>
        </is>
      </c>
      <c r="C747" s="10" t="inlineStr">
        <is>
          <t>Gestión de Tecnología de la Información</t>
        </is>
      </c>
      <c r="D747" s="10" t="inlineStr">
        <is>
          <t>GTI</t>
        </is>
      </c>
      <c r="E747" s="10" t="inlineStr">
        <is>
          <t>Gestión de Seguridad Informática</t>
        </is>
      </c>
      <c r="F747" s="10" t="inlineStr">
        <is>
          <t>-</t>
        </is>
      </c>
      <c r="G747" s="10" t="inlineStr">
        <is>
          <t xml:space="preserve">Administración de disponibilidad en las seguridades </t>
        </is>
      </c>
      <c r="H747" s="10" t="inlineStr">
        <is>
          <t>Informe de gestión</t>
        </is>
      </c>
      <c r="I747" s="10" t="inlineStr">
        <is>
          <t>Registro de los cambios y acciones realizadas</t>
        </is>
      </c>
      <c r="J747" s="10" t="inlineStr">
        <is>
          <t>Administrador de seguridad informática</t>
        </is>
      </c>
      <c r="K747" s="10" t="inlineStr">
        <is>
          <t>Administrador de Seguridad Informática</t>
        </is>
      </c>
      <c r="L747" s="10" t="inlineStr">
        <is>
          <t>UBICACIÓN DIGITAL-EQUIPO DEL CUSTODIO</t>
        </is>
      </c>
      <c r="M747" s="10" t="inlineStr">
        <is>
          <t>DISCOS DUROS, SERVIDORES, DISCOS O MEDIOS PORTÁTILES, CINTAS O MEDIOS DE VIDEO Y AUDIO, ETC.</t>
        </is>
      </c>
      <c r="N747" s="10" t="inlineStr">
        <is>
          <t>PRIMARIOS</t>
        </is>
      </c>
      <c r="O747" s="10" t="inlineStr">
        <is>
          <t>DOCUMENTOS TÉCNICOS</t>
        </is>
      </c>
      <c r="P747" s="10" t="inlineStr">
        <is>
          <t>USO INTERNO(2)</t>
        </is>
      </c>
      <c r="Q747" s="10" t="inlineStr">
        <is>
          <t>BAJA(1)</t>
        </is>
      </c>
      <c r="R747" s="10" t="inlineStr">
        <is>
          <t>MEDIA(2)</t>
        </is>
      </c>
      <c r="S747" s="10">
        <f>+(IF(P747="PUBLICA(1)",1,IF(P747="USO INTERNO(2)",2,IF(P747="RESTRINGIDO(3)",3,3))))+(IF(Q747="BAJA(1)",1,IF(Q747="MEDIA(2)",2,IF(Q747="ALTA(3)",3,3))))+(IF(R747="BAJA(1)",1,IF(R747="MEDIA(2)",2,IF(R747="ALTA(3)",3,3))))</f>
        <v/>
      </c>
      <c r="T747" s="10">
        <f>+IF(S747&lt;6,"BAJA",IF(S747&lt;8,"MEDIA","ALTA"))</f>
        <v/>
      </c>
      <c r="U747" s="10" t="inlineStr">
        <is>
          <t>-</t>
        </is>
      </c>
      <c r="V747" s="24" t="n">
        <v>45687</v>
      </c>
      <c r="W747" s="19" t="inlineStr">
        <is>
          <t>N/A</t>
        </is>
      </c>
      <c r="X747" s="10">
        <f>+IFERROR(IF(VLOOKUP(Tabla2[[#This Row],[ID]],'EVALUACION DE RIESGO'!A:A,1,FALSE)=Tabla2[[#This Row],[ID]],"SI","NO"),"NO")</f>
        <v/>
      </c>
    </row>
    <row r="748">
      <c r="A748" s="91" t="inlineStr">
        <is>
          <t>45-GTI</t>
        </is>
      </c>
      <c r="B748" s="10" t="inlineStr">
        <is>
          <t>APOYO</t>
        </is>
      </c>
      <c r="C748" s="10" t="inlineStr">
        <is>
          <t>Gestión de Tecnología de la Información</t>
        </is>
      </c>
      <c r="D748" s="10" t="inlineStr">
        <is>
          <t>GTI</t>
        </is>
      </c>
      <c r="E748" s="10" t="inlineStr">
        <is>
          <t>Gestión de Seguridad Informática</t>
        </is>
      </c>
      <c r="F748" s="10" t="inlineStr">
        <is>
          <t>-</t>
        </is>
      </c>
      <c r="G748" s="10" t="inlineStr">
        <is>
          <t>Gestión de incidentes de seguridad</t>
        </is>
      </c>
      <c r="H748" s="10" t="inlineStr">
        <is>
          <t>Informe de gestión</t>
        </is>
      </c>
      <c r="I748" s="10" t="inlineStr">
        <is>
          <t>Informe de incidentes presentados, análisis y selección de nuevos controles que ayuden a mitigar los riesgos y lo incluye en plan de infraestructura</t>
        </is>
      </c>
      <c r="J748" s="10" t="inlineStr">
        <is>
          <t>Administrador de seguridad informática</t>
        </is>
      </c>
      <c r="K748" s="10" t="inlineStr">
        <is>
          <t>Administrador de Seguridad Informática</t>
        </is>
      </c>
      <c r="L748" s="10" t="inlineStr">
        <is>
          <t>UBICACIÓN DIGITAL-EQUIPO DEL CUSTODIO</t>
        </is>
      </c>
      <c r="M748" s="10" t="inlineStr">
        <is>
          <t>DISCOS DUROS, SERVIDORES, DISCOS O MEDIOS PORTÁTILES, CINTAS O MEDIOS DE VIDEO Y AUDIO, ETC.</t>
        </is>
      </c>
      <c r="N748" s="10" t="inlineStr">
        <is>
          <t>PRIMARIOS</t>
        </is>
      </c>
      <c r="O748" s="10" t="inlineStr">
        <is>
          <t>DOCUMENTOS TÉCNICOS</t>
        </is>
      </c>
      <c r="P748" s="10" t="inlineStr">
        <is>
          <t>RESTRINGIDO(3)</t>
        </is>
      </c>
      <c r="Q748" s="10" t="inlineStr">
        <is>
          <t>BAJA(1)</t>
        </is>
      </c>
      <c r="R748" s="10" t="inlineStr">
        <is>
          <t>MEDIA(2)</t>
        </is>
      </c>
      <c r="S748" s="10">
        <f>+(IF(P748="PUBLICA(1)",1,IF(P748="USO INTERNO(2)",2,IF(P748="RESTRINGIDO(3)",3,3))))+(IF(Q748="BAJA(1)",1,IF(Q748="MEDIA(2)",2,IF(Q748="ALTA(3)",3,3))))+(IF(R748="BAJA(1)",1,IF(R748="MEDIA(2)",2,IF(R748="ALTA(3)",3,3))))</f>
        <v/>
      </c>
      <c r="T748" s="10">
        <f>+IF(S748&lt;6,"BAJA",IF(S748&lt;8,"MEDIA","ALTA"))</f>
        <v/>
      </c>
      <c r="U748" s="10" t="inlineStr">
        <is>
          <t>-</t>
        </is>
      </c>
      <c r="V748" s="24" t="n">
        <v>45687</v>
      </c>
      <c r="W748" s="19" t="inlineStr">
        <is>
          <t>N/A</t>
        </is>
      </c>
      <c r="X748" s="10">
        <f>+IFERROR(IF(VLOOKUP(Tabla2[[#This Row],[ID]],'EVALUACION DE RIESGO'!A:A,1,FALSE)=Tabla2[[#This Row],[ID]],"SI","NO"),"NO")</f>
        <v/>
      </c>
    </row>
    <row r="749">
      <c r="A749" s="91" t="inlineStr">
        <is>
          <t>46-GTI</t>
        </is>
      </c>
      <c r="B749" s="10" t="inlineStr">
        <is>
          <t>APOYO</t>
        </is>
      </c>
      <c r="C749" s="10" t="inlineStr">
        <is>
          <t>Gestión de Tecnología de la Información</t>
        </is>
      </c>
      <c r="D749" s="10" t="inlineStr">
        <is>
          <t>GTI</t>
        </is>
      </c>
      <c r="E749" s="10" t="inlineStr">
        <is>
          <t>Gestión de Seguridad Informática</t>
        </is>
      </c>
      <c r="F749" s="10" t="inlineStr">
        <is>
          <t>-</t>
        </is>
      </c>
      <c r="G749" s="10" t="inlineStr">
        <is>
          <t>Control de la seguridad de la red</t>
        </is>
      </c>
      <c r="H749" s="10" t="inlineStr">
        <is>
          <t>Informe de gestión</t>
        </is>
      </c>
      <c r="I749" s="10" t="inlineStr">
        <is>
          <t>Ejecución de planes de acción a las vulnerabilidades detectadas</t>
        </is>
      </c>
      <c r="J749" s="10" t="inlineStr">
        <is>
          <t>Administrador de seguridad informática</t>
        </is>
      </c>
      <c r="K749" s="10" t="inlineStr">
        <is>
          <t>Administrador de Seguridad Informática</t>
        </is>
      </c>
      <c r="L749" s="10" t="inlineStr">
        <is>
          <t>UBICACIÓN DIGITAL-EQUIPO DEL CUSTODIO</t>
        </is>
      </c>
      <c r="M749" s="10" t="inlineStr">
        <is>
          <t>DISCOS DUROS, SERVIDORES, DISCOS O MEDIOS PORTÁTILES, CINTAS O MEDIOS DE VIDEO Y AUDIO, ETC.</t>
        </is>
      </c>
      <c r="N749" s="10" t="inlineStr">
        <is>
          <t>PRIMARIOS</t>
        </is>
      </c>
      <c r="O749" s="10" t="inlineStr">
        <is>
          <t>DOCUMENTOS TÉCNICOS</t>
        </is>
      </c>
      <c r="P749" s="10" t="inlineStr">
        <is>
          <t>USO INTERNO(2)</t>
        </is>
      </c>
      <c r="Q749" s="10" t="inlineStr">
        <is>
          <t>BAJA(1)</t>
        </is>
      </c>
      <c r="R749" s="10" t="inlineStr">
        <is>
          <t>MEDIA(2)</t>
        </is>
      </c>
      <c r="S749" s="10">
        <f>+(IF(P749="PUBLICA(1)",1,IF(P749="USO INTERNO(2)",2,IF(P749="RESTRINGIDO(3)",3,3))))+(IF(Q749="BAJA(1)",1,IF(Q749="MEDIA(2)",2,IF(Q749="ALTA(3)",3,3))))+(IF(R749="BAJA(1)",1,IF(R749="MEDIA(2)",2,IF(R749="ALTA(3)",3,3))))</f>
        <v/>
      </c>
      <c r="T749" s="10">
        <f>+IF(S749&lt;6,"BAJA",IF(S749&lt;8,"MEDIA","ALTA"))</f>
        <v/>
      </c>
      <c r="U749" s="10" t="inlineStr">
        <is>
          <t>-</t>
        </is>
      </c>
      <c r="V749" s="24" t="n">
        <v>45687</v>
      </c>
      <c r="W749" s="19" t="inlineStr">
        <is>
          <t>N/A</t>
        </is>
      </c>
      <c r="X749" s="10">
        <f>+IFERROR(IF(VLOOKUP(Tabla2[[#This Row],[ID]],'EVALUACION DE RIESGO'!A:A,1,FALSE)=Tabla2[[#This Row],[ID]],"SI","NO"),"NO")</f>
        <v/>
      </c>
    </row>
    <row r="750">
      <c r="A750" s="91" t="inlineStr">
        <is>
          <t>47-GTI</t>
        </is>
      </c>
      <c r="B750" s="10" t="inlineStr">
        <is>
          <t>APOYO</t>
        </is>
      </c>
      <c r="C750" s="10" t="inlineStr">
        <is>
          <t>Gestión de Tecnología de la Información</t>
        </is>
      </c>
      <c r="D750" s="10" t="inlineStr">
        <is>
          <t>GTI</t>
        </is>
      </c>
      <c r="E750" s="10" t="inlineStr">
        <is>
          <t>Gestión del Desarrollo del Software</t>
        </is>
      </c>
      <c r="F750" s="10" t="inlineStr">
        <is>
          <t>-</t>
        </is>
      </c>
      <c r="G750" s="10" t="inlineStr">
        <is>
          <t>Análisis del requerimiento</t>
        </is>
      </c>
      <c r="H750" s="10" t="inlineStr">
        <is>
          <t>Formulario de requerimiento legalizado</t>
        </is>
      </c>
      <c r="I750" s="10" t="inlineStr">
        <is>
          <t>Formulario que contiene toda la definición funcional del alcance del requerimiento, responsables, objetivo</t>
        </is>
      </c>
      <c r="J750" s="10" t="inlineStr">
        <is>
          <t>Administrador de desarrollo de software</t>
        </is>
      </c>
      <c r="K750" s="10" t="inlineStr">
        <is>
          <t>Jefe de Desarrollo de software</t>
        </is>
      </c>
      <c r="L750" s="10" t="inlineStr">
        <is>
          <t>UBICACIÓN DIGITAL-EQUIPO DEL RESPONSABLE</t>
        </is>
      </c>
      <c r="M750" s="10" t="inlineStr">
        <is>
          <t>DISCOS DUROS, SERVIDORES, DISCOS O MEDIOS PORTÁTILES, CINTAS O MEDIOS DE VIDEO Y AUDIO, ETC.</t>
        </is>
      </c>
      <c r="N750" s="10" t="inlineStr">
        <is>
          <t>PRIMARIOS</t>
        </is>
      </c>
      <c r="O750" s="10" t="inlineStr">
        <is>
          <t>DOCUMENTOS TÉCNICOS</t>
        </is>
      </c>
      <c r="P750" s="10" t="inlineStr">
        <is>
          <t>USO INTERNO(2)</t>
        </is>
      </c>
      <c r="Q750" s="10" t="inlineStr">
        <is>
          <t>BAJA(1)</t>
        </is>
      </c>
      <c r="R750" s="10" t="inlineStr">
        <is>
          <t>BAJA(1)</t>
        </is>
      </c>
      <c r="S750" s="10">
        <f>+(IF(P750="PUBLICA(1)",1,IF(P750="USO INTERNO(2)",2,IF(P750="RESTRINGIDO(3)",3,3))))+(IF(Q750="BAJA(1)",1,IF(Q750="MEDIA(2)",2,IF(Q750="ALTA(3)",3,3))))+(IF(R750="BAJA(1)",1,IF(R750="MEDIA(2)",2,IF(R750="ALTA(3)",3,3))))</f>
        <v/>
      </c>
      <c r="T750" s="10">
        <f>+IF(S750&lt;6,"BAJA",IF(S750&lt;8,"MEDIA","ALTA"))</f>
        <v/>
      </c>
      <c r="U750" s="10" t="inlineStr">
        <is>
          <t>-</t>
        </is>
      </c>
      <c r="V750" s="24" t="n">
        <v>45687</v>
      </c>
      <c r="W750" s="19" t="inlineStr">
        <is>
          <t>N/A</t>
        </is>
      </c>
      <c r="X750" s="10">
        <f>+IFERROR(IF(VLOOKUP(Tabla2[[#This Row],[ID]],'EVALUACION DE RIESGO'!A:A,1,FALSE)=Tabla2[[#This Row],[ID]],"SI","NO"),"NO")</f>
        <v/>
      </c>
    </row>
    <row r="751">
      <c r="A751" s="91" t="inlineStr">
        <is>
          <t>48-GTI</t>
        </is>
      </c>
      <c r="B751" s="10" t="inlineStr">
        <is>
          <t>APOYO</t>
        </is>
      </c>
      <c r="C751" s="10" t="inlineStr">
        <is>
          <t>Gestión de Tecnología de la Información</t>
        </is>
      </c>
      <c r="D751" s="10" t="inlineStr">
        <is>
          <t>GTI</t>
        </is>
      </c>
      <c r="E751" s="10" t="inlineStr">
        <is>
          <t>Gestión del Desarrollo del Software</t>
        </is>
      </c>
      <c r="F751" s="10" t="inlineStr">
        <is>
          <t>-</t>
        </is>
      </c>
      <c r="G751" s="10" t="inlineStr">
        <is>
          <t>Diseño del software</t>
        </is>
      </c>
      <c r="H751" s="10" t="inlineStr">
        <is>
          <t>Diagramas de diseño del software</t>
        </is>
      </c>
      <c r="I751" s="10" t="inlineStr">
        <is>
          <t>Documento que contiene el diagrama de componentes, entidad relación de BDD y mecanismo de conexión con terceros</t>
        </is>
      </c>
      <c r="J751" s="10" t="inlineStr">
        <is>
          <t>Administrador de desarrollo de software</t>
        </is>
      </c>
      <c r="K751" s="10" t="inlineStr">
        <is>
          <t>Jefe de Desarrollo de software</t>
        </is>
      </c>
      <c r="L751" s="10" t="inlineStr">
        <is>
          <t>UBICACIÓN DIGITAL-EQUIPO DEL RESPONSABLE</t>
        </is>
      </c>
      <c r="M751" s="10" t="inlineStr">
        <is>
          <t>DISCOS DUROS, SERVIDORES, DISCOS O MEDIOS PORTÁTILES, CINTAS O MEDIOS DE VIDEO Y AUDIO, ETC.</t>
        </is>
      </c>
      <c r="N751" s="10" t="inlineStr">
        <is>
          <t>PRIMARIOS</t>
        </is>
      </c>
      <c r="O751" s="10" t="inlineStr">
        <is>
          <t>DOCUMENTOS TÉCNICOS</t>
        </is>
      </c>
      <c r="P751" s="10" t="inlineStr">
        <is>
          <t>USO INTERNO(2)</t>
        </is>
      </c>
      <c r="Q751" s="10" t="inlineStr">
        <is>
          <t>BAJA(1)</t>
        </is>
      </c>
      <c r="R751" s="10" t="inlineStr">
        <is>
          <t>MEDIA(2)</t>
        </is>
      </c>
      <c r="S751" s="10">
        <f>+(IF(P751="PUBLICA(1)",1,IF(P751="USO INTERNO(2)",2,IF(P751="RESTRINGIDO(3)",3,3))))+(IF(Q751="BAJA(1)",1,IF(Q751="MEDIA(2)",2,IF(Q751="ALTA(3)",3,3))))+(IF(R751="BAJA(1)",1,IF(R751="MEDIA(2)",2,IF(R751="ALTA(3)",3,3))))</f>
        <v/>
      </c>
      <c r="T751" s="10">
        <f>+IF(S751&lt;6,"BAJA",IF(S751&lt;8,"MEDIA","ALTA"))</f>
        <v/>
      </c>
      <c r="U751" s="10" t="inlineStr">
        <is>
          <t>-</t>
        </is>
      </c>
      <c r="V751" s="24" t="n">
        <v>45687</v>
      </c>
      <c r="W751" s="19" t="inlineStr">
        <is>
          <t>N/A</t>
        </is>
      </c>
      <c r="X751" s="10">
        <f>+IFERROR(IF(VLOOKUP(Tabla2[[#This Row],[ID]],'EVALUACION DE RIESGO'!A:A,1,FALSE)=Tabla2[[#This Row],[ID]],"SI","NO"),"NO")</f>
        <v/>
      </c>
    </row>
    <row r="752">
      <c r="A752" s="91" t="inlineStr">
        <is>
          <t>49-GTI</t>
        </is>
      </c>
      <c r="B752" s="10" t="inlineStr">
        <is>
          <t>APOYO</t>
        </is>
      </c>
      <c r="C752" s="10" t="inlineStr">
        <is>
          <t>Gestión de Tecnología de la Información</t>
        </is>
      </c>
      <c r="D752" s="10" t="inlineStr">
        <is>
          <t>GTI</t>
        </is>
      </c>
      <c r="E752" s="10" t="inlineStr">
        <is>
          <t>Gestión del Desarrollo del Software</t>
        </is>
      </c>
      <c r="F752" s="10" t="inlineStr">
        <is>
          <t>-</t>
        </is>
      </c>
      <c r="G752" s="10" t="inlineStr">
        <is>
          <t>Diseño del software</t>
        </is>
      </c>
      <c r="H752" s="10" t="inlineStr">
        <is>
          <t>Diccionario de datos</t>
        </is>
      </c>
      <c r="I752" s="10" t="inlineStr">
        <is>
          <t>Diagrama de entidad relación y detalle estructural de cada tabla de BDD</t>
        </is>
      </c>
      <c r="J752" s="10" t="inlineStr">
        <is>
          <t>Administrador de desarrollo de software</t>
        </is>
      </c>
      <c r="K752" s="10" t="inlineStr">
        <is>
          <t>Jefe de Desarrollo de software</t>
        </is>
      </c>
      <c r="L752" s="10" t="inlineStr">
        <is>
          <t>UBICACIÓN DIGITAL-EQUIPO DEL RESPONSABLE</t>
        </is>
      </c>
      <c r="M752" s="10" t="inlineStr">
        <is>
          <t>DISCOS DUROS, SERVIDORES, DISCOS O MEDIOS PORTÁTILES, CINTAS O MEDIOS DE VIDEO Y AUDIO, ETC.</t>
        </is>
      </c>
      <c r="N752" s="10" t="inlineStr">
        <is>
          <t>PRIMARIOS</t>
        </is>
      </c>
      <c r="O752" s="10" t="inlineStr">
        <is>
          <t>DOCUMENTOS TÉCNICOS</t>
        </is>
      </c>
      <c r="P752" s="10" t="inlineStr">
        <is>
          <t>USO INTERNO(2)</t>
        </is>
      </c>
      <c r="Q752" s="10" t="inlineStr">
        <is>
          <t>BAJA(1)</t>
        </is>
      </c>
      <c r="R752" s="10" t="inlineStr">
        <is>
          <t>MEDIA(2)</t>
        </is>
      </c>
      <c r="S752" s="10">
        <f>+(IF(P752="PUBLICA(1)",1,IF(P752="USO INTERNO(2)",2,IF(P752="RESTRINGIDO(3)",3,3))))+(IF(Q752="BAJA(1)",1,IF(Q752="MEDIA(2)",2,IF(Q752="ALTA(3)",3,3))))+(IF(R752="BAJA(1)",1,IF(R752="MEDIA(2)",2,IF(R752="ALTA(3)",3,3))))</f>
        <v/>
      </c>
      <c r="T752" s="10">
        <f>+IF(S752&lt;6,"BAJA",IF(S752&lt;8,"MEDIA","ALTA"))</f>
        <v/>
      </c>
      <c r="U752" s="10" t="inlineStr">
        <is>
          <t>-</t>
        </is>
      </c>
      <c r="V752" s="24" t="n">
        <v>45687</v>
      </c>
      <c r="W752" s="19" t="inlineStr">
        <is>
          <t>N/A</t>
        </is>
      </c>
      <c r="X752" s="10">
        <f>+IFERROR(IF(VLOOKUP(Tabla2[[#This Row],[ID]],'EVALUACION DE RIESGO'!A:A,1,FALSE)=Tabla2[[#This Row],[ID]],"SI","NO"),"NO")</f>
        <v/>
      </c>
    </row>
    <row r="753">
      <c r="A753" s="91" t="inlineStr">
        <is>
          <t>50-GTI</t>
        </is>
      </c>
      <c r="B753" s="10" t="inlineStr">
        <is>
          <t>APOYO</t>
        </is>
      </c>
      <c r="C753" s="10" t="inlineStr">
        <is>
          <t>Gestión de Tecnología de la Información</t>
        </is>
      </c>
      <c r="D753" s="10" t="inlineStr">
        <is>
          <t>GTI</t>
        </is>
      </c>
      <c r="E753" s="10" t="inlineStr">
        <is>
          <t>Gestión del Desarrollo del Software</t>
        </is>
      </c>
      <c r="F753" s="10" t="inlineStr">
        <is>
          <t>-</t>
        </is>
      </c>
      <c r="G753" s="10" t="inlineStr">
        <is>
          <t>Construcción del software</t>
        </is>
      </c>
      <c r="H753" s="10" t="inlineStr">
        <is>
          <t>Formulario de pruebas de aceptación</t>
        </is>
      </c>
      <c r="I753" s="10" t="inlineStr">
        <is>
          <t>Documento generado una vez certificado el desarrollo con firmas de autorización para el paso a producción</t>
        </is>
      </c>
      <c r="J753" s="10" t="inlineStr">
        <is>
          <t>Administrador de desarrollo de software</t>
        </is>
      </c>
      <c r="K753" s="10" t="inlineStr">
        <is>
          <t>Jefe de Desarrollo de software</t>
        </is>
      </c>
      <c r="L753" s="10" t="inlineStr">
        <is>
          <t>UBICACIÓN DIGITAL-EQUIPO DEL RESPONSABLE</t>
        </is>
      </c>
      <c r="M753" s="10" t="inlineStr">
        <is>
          <t>DISCOS DUROS, SERVIDORES, DISCOS O MEDIOS PORTÁTILES, CINTAS O MEDIOS DE VIDEO Y AUDIO, ETC.</t>
        </is>
      </c>
      <c r="N753" s="10" t="inlineStr">
        <is>
          <t>PRIMARIOS</t>
        </is>
      </c>
      <c r="O753" s="10" t="inlineStr">
        <is>
          <t>DOCUMENTOS TÉCNICOS</t>
        </is>
      </c>
      <c r="P753" s="10" t="inlineStr">
        <is>
          <t>USO INTERNO(2)</t>
        </is>
      </c>
      <c r="Q753" s="10" t="inlineStr">
        <is>
          <t>BAJA(1)</t>
        </is>
      </c>
      <c r="R753" s="10" t="inlineStr">
        <is>
          <t>MEDIA(2)</t>
        </is>
      </c>
      <c r="S753" s="10">
        <f>+(IF(P753="PUBLICA(1)",1,IF(P753="USO INTERNO(2)",2,IF(P753="RESTRINGIDO(3)",3,3))))+(IF(Q753="BAJA(1)",1,IF(Q753="MEDIA(2)",2,IF(Q753="ALTA(3)",3,3))))+(IF(R753="BAJA(1)",1,IF(R753="MEDIA(2)",2,IF(R753="ALTA(3)",3,3))))</f>
        <v/>
      </c>
      <c r="T753" s="10">
        <f>+IF(S753&lt;6,"BAJA",IF(S753&lt;8,"MEDIA","ALTA"))</f>
        <v/>
      </c>
      <c r="U753" s="10" t="inlineStr">
        <is>
          <t>-</t>
        </is>
      </c>
      <c r="V753" s="24" t="n">
        <v>45687</v>
      </c>
      <c r="W753" s="19" t="inlineStr">
        <is>
          <t>N/A</t>
        </is>
      </c>
      <c r="X753" s="10">
        <f>+IFERROR(IF(VLOOKUP(Tabla2[[#This Row],[ID]],'EVALUACION DE RIESGO'!A:A,1,FALSE)=Tabla2[[#This Row],[ID]],"SI","NO"),"NO")</f>
        <v/>
      </c>
    </row>
    <row r="754">
      <c r="A754" s="91" t="inlineStr">
        <is>
          <t>51-GTI</t>
        </is>
      </c>
      <c r="B754" s="10" t="inlineStr">
        <is>
          <t>APOYO</t>
        </is>
      </c>
      <c r="C754" s="10" t="inlineStr">
        <is>
          <t>Gestión de Tecnología de la Información</t>
        </is>
      </c>
      <c r="D754" s="10" t="inlineStr">
        <is>
          <t>GTI</t>
        </is>
      </c>
      <c r="E754" s="10" t="inlineStr">
        <is>
          <t>Gestión del Desarrollo del Software</t>
        </is>
      </c>
      <c r="F754" s="10" t="inlineStr">
        <is>
          <t>-</t>
        </is>
      </c>
      <c r="G754" s="10" t="inlineStr">
        <is>
          <t>Construcción del software</t>
        </is>
      </c>
      <c r="H754" s="10" t="inlineStr">
        <is>
          <t>Formulario de paso a producción</t>
        </is>
      </c>
      <c r="I754" s="10" t="inlineStr">
        <is>
          <t>Formulario que contiene todo el detalle del despliegue en producción, scripts, configuraciones y demás insumos para implementar la solución, capacitaciones a usuarios.</t>
        </is>
      </c>
      <c r="J754" s="10" t="inlineStr">
        <is>
          <t>Administrador de desarrollo de software</t>
        </is>
      </c>
      <c r="K754" s="10" t="inlineStr">
        <is>
          <t>Jefe de Desarrollo de software</t>
        </is>
      </c>
      <c r="L754" s="10" t="inlineStr">
        <is>
          <t>UBICACIÓN DIGITAL-EQUIPO DEL RESPONSABLE</t>
        </is>
      </c>
      <c r="M754" s="10" t="inlineStr">
        <is>
          <t>DISCOS DUROS, SERVIDORES, DISCOS O MEDIOS PORTÁTILES, CINTAS O MEDIOS DE VIDEO Y AUDIO, ETC.</t>
        </is>
      </c>
      <c r="N754" s="10" t="inlineStr">
        <is>
          <t>PRIMARIOS</t>
        </is>
      </c>
      <c r="O754" s="10" t="inlineStr">
        <is>
          <t>DOCUMENTOS TÉCNICOS</t>
        </is>
      </c>
      <c r="P754" s="10" t="inlineStr">
        <is>
          <t>USO INTERNO(2)</t>
        </is>
      </c>
      <c r="Q754" s="10" t="inlineStr">
        <is>
          <t>BAJA(1)</t>
        </is>
      </c>
      <c r="R754" s="10" t="inlineStr">
        <is>
          <t>MEDIA(2)</t>
        </is>
      </c>
      <c r="S754" s="10">
        <f>+(IF(P754="PUBLICA(1)",1,IF(P754="USO INTERNO(2)",2,IF(P754="RESTRINGIDO(3)",3,3))))+(IF(Q754="BAJA(1)",1,IF(Q754="MEDIA(2)",2,IF(Q754="ALTA(3)",3,3))))+(IF(R754="BAJA(1)",1,IF(R754="MEDIA(2)",2,IF(R754="ALTA(3)",3,3))))</f>
        <v/>
      </c>
      <c r="T754" s="10">
        <f>+IF(S754&lt;6,"BAJA",IF(S754&lt;8,"MEDIA","ALTA"))</f>
        <v/>
      </c>
      <c r="U754" s="10" t="inlineStr">
        <is>
          <t>-</t>
        </is>
      </c>
      <c r="V754" s="24" t="n">
        <v>45687</v>
      </c>
      <c r="W754" s="19" t="inlineStr">
        <is>
          <t>N/A</t>
        </is>
      </c>
      <c r="X754" s="10">
        <f>+IFERROR(IF(VLOOKUP(Tabla2[[#This Row],[ID]],'EVALUACION DE RIESGO'!A:A,1,FALSE)=Tabla2[[#This Row],[ID]],"SI","NO"),"NO")</f>
        <v/>
      </c>
    </row>
    <row r="755">
      <c r="A755" s="91" t="inlineStr">
        <is>
          <t>52-GTI</t>
        </is>
      </c>
      <c r="B755" s="10" t="inlineStr">
        <is>
          <t>APOYO</t>
        </is>
      </c>
      <c r="C755" s="10" t="inlineStr">
        <is>
          <t>Gestión de Tecnología de la Información</t>
        </is>
      </c>
      <c r="D755" s="10" t="inlineStr">
        <is>
          <t>GTI</t>
        </is>
      </c>
      <c r="E755" s="10" t="inlineStr">
        <is>
          <t>Gestión del Desarrollo del Software</t>
        </is>
      </c>
      <c r="F755" s="10" t="inlineStr">
        <is>
          <t>-</t>
        </is>
      </c>
      <c r="G755" s="10" t="inlineStr">
        <is>
          <t>Construcción del software</t>
        </is>
      </c>
      <c r="H755" s="10" t="inlineStr">
        <is>
          <t>Manual técnico del software</t>
        </is>
      </c>
      <c r="I755" s="10" t="inlineStr">
        <is>
          <t>Manual de instrucciones para el área de Infraestructura Operacional, con el retalle técnico del desarrollo</t>
        </is>
      </c>
      <c r="J755" s="10" t="inlineStr">
        <is>
          <t>Administrador de desarrollo de software</t>
        </is>
      </c>
      <c r="K755" s="10" t="inlineStr">
        <is>
          <t>Jefe de Desarrollo de software</t>
        </is>
      </c>
      <c r="L755" s="10" t="inlineStr">
        <is>
          <t>UBICACIÓN DIGITAL-EQUIPO DEL RESPONSABLE</t>
        </is>
      </c>
      <c r="M755" s="10" t="inlineStr">
        <is>
          <t>DISCOS DUROS, SERVIDORES, DISCOS O MEDIOS PORTÁTILES, CINTAS O MEDIOS DE VIDEO Y AUDIO, ETC.</t>
        </is>
      </c>
      <c r="N755" s="10" t="inlineStr">
        <is>
          <t>PRIMARIOS</t>
        </is>
      </c>
      <c r="O755" s="10" t="inlineStr">
        <is>
          <t>DOCUMENTOS TÉCNICOS</t>
        </is>
      </c>
      <c r="P755" s="10" t="inlineStr">
        <is>
          <t>USO INTERNO(2)</t>
        </is>
      </c>
      <c r="Q755" s="10" t="inlineStr">
        <is>
          <t>BAJA(1)</t>
        </is>
      </c>
      <c r="R755" s="10" t="inlineStr">
        <is>
          <t>MEDIA(2)</t>
        </is>
      </c>
      <c r="S755" s="10">
        <f>+(IF(P755="PUBLICA(1)",1,IF(P755="USO INTERNO(2)",2,IF(P755="RESTRINGIDO(3)",3,3))))+(IF(Q755="BAJA(1)",1,IF(Q755="MEDIA(2)",2,IF(Q755="ALTA(3)",3,3))))+(IF(R755="BAJA(1)",1,IF(R755="MEDIA(2)",2,IF(R755="ALTA(3)",3,3))))</f>
        <v/>
      </c>
      <c r="T755" s="10">
        <f>+IF(S755&lt;6,"BAJA",IF(S755&lt;8,"MEDIA","ALTA"))</f>
        <v/>
      </c>
      <c r="U755" s="10" t="inlineStr">
        <is>
          <t>-</t>
        </is>
      </c>
      <c r="V755" s="24" t="n">
        <v>45687</v>
      </c>
      <c r="W755" s="19" t="inlineStr">
        <is>
          <t>N/A</t>
        </is>
      </c>
      <c r="X755" s="10">
        <f>+IFERROR(IF(VLOOKUP(Tabla2[[#This Row],[ID]],'EVALUACION DE RIESGO'!A:A,1,FALSE)=Tabla2[[#This Row],[ID]],"SI","NO"),"NO")</f>
        <v/>
      </c>
    </row>
    <row r="756">
      <c r="A756" s="91" t="inlineStr">
        <is>
          <t>53-GTI</t>
        </is>
      </c>
      <c r="B756" s="10" t="inlineStr">
        <is>
          <t>APOYO</t>
        </is>
      </c>
      <c r="C756" s="10" t="inlineStr">
        <is>
          <t>Gestión de Tecnología de la Información</t>
        </is>
      </c>
      <c r="D756" s="10" t="inlineStr">
        <is>
          <t>GTI</t>
        </is>
      </c>
      <c r="E756" s="10" t="inlineStr">
        <is>
          <t>Gestión del Desarrollo del Software</t>
        </is>
      </c>
      <c r="F756" s="10" t="inlineStr">
        <is>
          <t>-</t>
        </is>
      </c>
      <c r="G756" s="10" t="inlineStr">
        <is>
          <t>Construcción del software</t>
        </is>
      </c>
      <c r="H756" s="10" t="inlineStr">
        <is>
          <t>Manual de usuario</t>
        </is>
      </c>
      <c r="I756" s="10" t="inlineStr">
        <is>
          <t>Manual de la solución para el usuario final, funcionamiento de la implementación, datos de entrada y salida</t>
        </is>
      </c>
      <c r="J756" s="10" t="inlineStr">
        <is>
          <t>Administrador de desarrollo de software</t>
        </is>
      </c>
      <c r="K756" s="10" t="inlineStr">
        <is>
          <t>Jefe de Desarrollo de software</t>
        </is>
      </c>
      <c r="L756" s="10" t="inlineStr">
        <is>
          <t>UBICACIÓN DIGITAL-EQUIPO DEL RESPONSABLE</t>
        </is>
      </c>
      <c r="M756" s="10" t="inlineStr">
        <is>
          <t>DISCOS DUROS, SERVIDORES, DISCOS O MEDIOS PORTÁTILES, CINTAS O MEDIOS DE VIDEO Y AUDIO, ETC.</t>
        </is>
      </c>
      <c r="N756" s="10" t="inlineStr">
        <is>
          <t>PRIMARIOS</t>
        </is>
      </c>
      <c r="O756" s="10" t="inlineStr">
        <is>
          <t>DOCUMENTOS TÉCNICOS</t>
        </is>
      </c>
      <c r="P756" s="10" t="inlineStr">
        <is>
          <t>USO INTERNO(2)</t>
        </is>
      </c>
      <c r="Q756" s="10" t="inlineStr">
        <is>
          <t>BAJA(1)</t>
        </is>
      </c>
      <c r="R756" s="10" t="inlineStr">
        <is>
          <t>MEDIA(2)</t>
        </is>
      </c>
      <c r="S756" s="10">
        <f>+(IF(P756="PUBLICA(1)",1,IF(P756="USO INTERNO(2)",2,IF(P756="RESTRINGIDO(3)",3,3))))+(IF(Q756="BAJA(1)",1,IF(Q756="MEDIA(2)",2,IF(Q756="ALTA(3)",3,3))))+(IF(R756="BAJA(1)",1,IF(R756="MEDIA(2)",2,IF(R756="ALTA(3)",3,3))))</f>
        <v/>
      </c>
      <c r="T756" s="10">
        <f>+IF(S756&lt;6,"BAJA",IF(S756&lt;8,"MEDIA","ALTA"))</f>
        <v/>
      </c>
      <c r="U756" s="10" t="inlineStr">
        <is>
          <t>-</t>
        </is>
      </c>
      <c r="V756" s="24" t="n">
        <v>45687</v>
      </c>
      <c r="W756" s="19" t="inlineStr">
        <is>
          <t>N/A</t>
        </is>
      </c>
      <c r="X756" s="10">
        <f>+IFERROR(IF(VLOOKUP(Tabla2[[#This Row],[ID]],'EVALUACION DE RIESGO'!A:A,1,FALSE)=Tabla2[[#This Row],[ID]],"SI","NO"),"NO")</f>
        <v/>
      </c>
    </row>
    <row r="757">
      <c r="A757" s="91" t="inlineStr">
        <is>
          <t>54-GTI</t>
        </is>
      </c>
      <c r="B757" s="10" t="inlineStr">
        <is>
          <t>APOYO</t>
        </is>
      </c>
      <c r="C757" s="10" t="inlineStr">
        <is>
          <t>Gestión de Tecnología de la Información</t>
        </is>
      </c>
      <c r="D757" s="10" t="inlineStr">
        <is>
          <t>GTI</t>
        </is>
      </c>
      <c r="E757" s="10" t="inlineStr">
        <is>
          <t>Gestión del Desarrollo del Software</t>
        </is>
      </c>
      <c r="F757" s="10" t="inlineStr">
        <is>
          <t>-</t>
        </is>
      </c>
      <c r="G757" s="10" t="inlineStr">
        <is>
          <t>Construcción del software</t>
        </is>
      </c>
      <c r="H757" s="10" t="inlineStr">
        <is>
          <t>Paquete de actualizaciones</t>
        </is>
      </c>
      <c r="I757" s="10" t="inlineStr">
        <is>
          <t>Detalle realizado en el Formulario de paso a producción en el caso de existir nuevas transacciones</t>
        </is>
      </c>
      <c r="J757" s="10" t="inlineStr">
        <is>
          <t>Administrador de desarrollo de software</t>
        </is>
      </c>
      <c r="K757" s="10" t="inlineStr">
        <is>
          <t>Jefe de Desarrollo de software</t>
        </is>
      </c>
      <c r="L757" s="10" t="inlineStr">
        <is>
          <t>UBICACIÓN DIGITAL-EQUIPO DEL RESPONSABLE</t>
        </is>
      </c>
      <c r="M757" s="10" t="inlineStr">
        <is>
          <t>DISCOS DUROS, SERVIDORES, DISCOS O MEDIOS PORTÁTILES, CINTAS O MEDIOS DE VIDEO Y AUDIO, ETC.</t>
        </is>
      </c>
      <c r="N757" s="10" t="inlineStr">
        <is>
          <t>PRIMARIOS</t>
        </is>
      </c>
      <c r="O757" s="10" t="inlineStr">
        <is>
          <t>DOCUMENTOS TÉCNICOS</t>
        </is>
      </c>
      <c r="P757" s="10" t="inlineStr">
        <is>
          <t>USO INTERNO(2)</t>
        </is>
      </c>
      <c r="Q757" s="10" t="inlineStr">
        <is>
          <t>BAJA(1)</t>
        </is>
      </c>
      <c r="R757" s="10" t="inlineStr">
        <is>
          <t>MEDIA(2)</t>
        </is>
      </c>
      <c r="S757" s="10">
        <f>+(IF(P757="PUBLICA(1)",1,IF(P757="USO INTERNO(2)",2,IF(P757="RESTRINGIDO(3)",3,3))))+(IF(Q757="BAJA(1)",1,IF(Q757="MEDIA(2)",2,IF(Q757="ALTA(3)",3,3))))+(IF(R757="BAJA(1)",1,IF(R757="MEDIA(2)",2,IF(R757="ALTA(3)",3,3))))</f>
        <v/>
      </c>
      <c r="T757" s="10">
        <f>+IF(S757&lt;6,"BAJA",IF(S757&lt;8,"MEDIA","ALTA"))</f>
        <v/>
      </c>
      <c r="U757" s="10" t="inlineStr">
        <is>
          <t>-</t>
        </is>
      </c>
      <c r="V757" s="24" t="n">
        <v>45687</v>
      </c>
      <c r="W757" s="19" t="inlineStr">
        <is>
          <t>N/A</t>
        </is>
      </c>
      <c r="X757" s="10">
        <f>+IFERROR(IF(VLOOKUP(Tabla2[[#This Row],[ID]],'EVALUACION DE RIESGO'!A:A,1,FALSE)=Tabla2[[#This Row],[ID]],"SI","NO"),"NO")</f>
        <v/>
      </c>
    </row>
    <row r="758">
      <c r="A758" s="91" t="inlineStr">
        <is>
          <t>55-GTI</t>
        </is>
      </c>
      <c r="B758" s="10" t="inlineStr">
        <is>
          <t>APOYO</t>
        </is>
      </c>
      <c r="C758" s="10" t="inlineStr">
        <is>
          <t>Gestión de Tecnología de la Información</t>
        </is>
      </c>
      <c r="D758" s="10" t="inlineStr">
        <is>
          <t>GTI</t>
        </is>
      </c>
      <c r="E758" s="10" t="inlineStr">
        <is>
          <t>Gestión del Desarrollo del Software</t>
        </is>
      </c>
      <c r="F758" s="10" t="inlineStr">
        <is>
          <t>-</t>
        </is>
      </c>
      <c r="G758" s="10" t="inlineStr">
        <is>
          <t>Paso a producción del software</t>
        </is>
      </c>
      <c r="H758" s="10" t="inlineStr">
        <is>
          <t>Formulario de paso a producción</t>
        </is>
      </c>
      <c r="I758" s="10" t="inlineStr">
        <is>
          <t>Formulario que contiene todo el detalle del despliegue en producción, scripts, configuraciones y demás insumos para implementar la solución, capacitaciones a usuarios.</t>
        </is>
      </c>
      <c r="J758" s="10" t="inlineStr">
        <is>
          <t>Administrador de desarrollo de software</t>
        </is>
      </c>
      <c r="K758" s="10" t="inlineStr">
        <is>
          <t>Jefe de Desarrollo de software</t>
        </is>
      </c>
      <c r="L758" s="10" t="inlineStr">
        <is>
          <t>UBICACIÓN DIGITAL-EQUIPO DEL RESPONSABLE</t>
        </is>
      </c>
      <c r="M758" s="10" t="inlineStr">
        <is>
          <t>DISCOS DUROS, SERVIDORES, DISCOS O MEDIOS PORTÁTILES, CINTAS O MEDIOS DE VIDEO Y AUDIO, ETC.</t>
        </is>
      </c>
      <c r="N758" s="10" t="inlineStr">
        <is>
          <t>PRIMARIOS</t>
        </is>
      </c>
      <c r="O758" s="10" t="inlineStr">
        <is>
          <t>DOCUMENTOS TÉCNICOS</t>
        </is>
      </c>
      <c r="P758" s="10" t="inlineStr">
        <is>
          <t>USO INTERNO(2)</t>
        </is>
      </c>
      <c r="Q758" s="10" t="inlineStr">
        <is>
          <t>BAJA(1)</t>
        </is>
      </c>
      <c r="R758" s="10" t="inlineStr">
        <is>
          <t>MEDIA(2)</t>
        </is>
      </c>
      <c r="S758" s="10">
        <f>+(IF(P758="PUBLICA(1)",1,IF(P758="USO INTERNO(2)",2,IF(P758="RESTRINGIDO(3)",3,3))))+(IF(Q758="BAJA(1)",1,IF(Q758="MEDIA(2)",2,IF(Q758="ALTA(3)",3,3))))+(IF(R758="BAJA(1)",1,IF(R758="MEDIA(2)",2,IF(R758="ALTA(3)",3,3))))</f>
        <v/>
      </c>
      <c r="T758" s="10">
        <f>+IF(S758&lt;6,"BAJA",IF(S758&lt;8,"MEDIA","ALTA"))</f>
        <v/>
      </c>
      <c r="U758" s="10" t="inlineStr">
        <is>
          <t>-</t>
        </is>
      </c>
      <c r="V758" s="24" t="n">
        <v>45687</v>
      </c>
      <c r="W758" s="19" t="inlineStr">
        <is>
          <t>N/A</t>
        </is>
      </c>
      <c r="X758" s="10">
        <f>+IFERROR(IF(VLOOKUP(Tabla2[[#This Row],[ID]],'EVALUACION DE RIESGO'!A:A,1,FALSE)=Tabla2[[#This Row],[ID]],"SI","NO"),"NO")</f>
        <v/>
      </c>
    </row>
    <row r="759">
      <c r="A759" s="91" t="inlineStr">
        <is>
          <t>56-GTI</t>
        </is>
      </c>
      <c r="B759" s="10" t="inlineStr">
        <is>
          <t>APOYO</t>
        </is>
      </c>
      <c r="C759" s="10" t="inlineStr">
        <is>
          <t>Gestión de Tecnología de la Información</t>
        </is>
      </c>
      <c r="D759" s="10" t="inlineStr">
        <is>
          <t>GTI</t>
        </is>
      </c>
      <c r="E759" s="10" t="inlineStr">
        <is>
          <t>Gestión del Desarrollo del Software</t>
        </is>
      </c>
      <c r="F759" s="10" t="inlineStr">
        <is>
          <t>-</t>
        </is>
      </c>
      <c r="G759" s="10" t="inlineStr">
        <is>
          <t>Resolución de incidentes de software</t>
        </is>
      </c>
      <c r="H759" s="10" t="inlineStr">
        <is>
          <t>Formulario de pruebas</t>
        </is>
      </c>
      <c r="I759" s="10" t="inlineStr">
        <is>
          <t>Documento generado una vez certificado el desarrollo con firmas de autorización para el paso a producción</t>
        </is>
      </c>
      <c r="J759" s="10" t="inlineStr">
        <is>
          <t>Administrador de desarrollo de software</t>
        </is>
      </c>
      <c r="K759" s="10" t="inlineStr">
        <is>
          <t>Jefe de Desarrollo de software</t>
        </is>
      </c>
      <c r="L759" s="10" t="inlineStr">
        <is>
          <t>UBICACIÓN DIGITAL-EQUIPO DEL RESPONSABLE</t>
        </is>
      </c>
      <c r="M759" s="10" t="inlineStr">
        <is>
          <t>DISCOS DUROS, SERVIDORES, DISCOS O MEDIOS PORTÁTILES, CINTAS O MEDIOS DE VIDEO Y AUDIO, ETC.</t>
        </is>
      </c>
      <c r="N759" s="10" t="inlineStr">
        <is>
          <t>PRIMARIOS</t>
        </is>
      </c>
      <c r="O759" s="10" t="inlineStr">
        <is>
          <t>DOCUMENTOS TÉCNICOS</t>
        </is>
      </c>
      <c r="P759" s="10" t="inlineStr">
        <is>
          <t>USO INTERNO(2)</t>
        </is>
      </c>
      <c r="Q759" s="10" t="inlineStr">
        <is>
          <t>BAJA(1)</t>
        </is>
      </c>
      <c r="R759" s="10" t="inlineStr">
        <is>
          <t>MEDIA(2)</t>
        </is>
      </c>
      <c r="S759" s="10">
        <f>+(IF(P759="PUBLICA(1)",1,IF(P759="USO INTERNO(2)",2,IF(P759="RESTRINGIDO(3)",3,3))))+(IF(Q759="BAJA(1)",1,IF(Q759="MEDIA(2)",2,IF(Q759="ALTA(3)",3,3))))+(IF(R759="BAJA(1)",1,IF(R759="MEDIA(2)",2,IF(R759="ALTA(3)",3,3))))</f>
        <v/>
      </c>
      <c r="T759" s="10">
        <f>+IF(S759&lt;6,"BAJA",IF(S759&lt;8,"MEDIA","ALTA"))</f>
        <v/>
      </c>
      <c r="U759" s="10" t="inlineStr">
        <is>
          <t>-</t>
        </is>
      </c>
      <c r="V759" s="24" t="n">
        <v>45687</v>
      </c>
      <c r="W759" s="19" t="inlineStr">
        <is>
          <t>N/A</t>
        </is>
      </c>
      <c r="X759" s="10">
        <f>+IFERROR(IF(VLOOKUP(Tabla2[[#This Row],[ID]],'EVALUACION DE RIESGO'!A:A,1,FALSE)=Tabla2[[#This Row],[ID]],"SI","NO"),"NO")</f>
        <v/>
      </c>
    </row>
    <row r="760">
      <c r="A760" s="91" t="inlineStr">
        <is>
          <t>57-GTI</t>
        </is>
      </c>
      <c r="B760" s="10" t="inlineStr">
        <is>
          <t>APOYO</t>
        </is>
      </c>
      <c r="C760" s="10" t="inlineStr">
        <is>
          <t>Gestión de Tecnología de la Información</t>
        </is>
      </c>
      <c r="D760" s="10" t="inlineStr">
        <is>
          <t>GTI</t>
        </is>
      </c>
      <c r="E760" s="10" t="inlineStr">
        <is>
          <t>Gestión del Desarrollo del Software</t>
        </is>
      </c>
      <c r="F760" s="10" t="inlineStr">
        <is>
          <t>-</t>
        </is>
      </c>
      <c r="G760" s="10" t="inlineStr">
        <is>
          <t>Resolución de incidentes de software</t>
        </is>
      </c>
      <c r="H760" s="10" t="inlineStr">
        <is>
          <t>Manual técnico del software</t>
        </is>
      </c>
      <c r="I760" s="10" t="inlineStr">
        <is>
          <t>Manual de instrucciones para el área de Infraestructura Operacional, con el retalle técnico del desarrollo</t>
        </is>
      </c>
      <c r="J760" s="10" t="inlineStr">
        <is>
          <t>Administrador de desarrollo de software</t>
        </is>
      </c>
      <c r="K760" s="10" t="inlineStr">
        <is>
          <t>Jefe de Desarrollo de software</t>
        </is>
      </c>
      <c r="L760" s="10" t="inlineStr">
        <is>
          <t>UBICACIÓN DIGITAL-EQUIPO DEL RESPONSABLE</t>
        </is>
      </c>
      <c r="M760" s="10" t="inlineStr">
        <is>
          <t>DISCOS DUROS, SERVIDORES, DISCOS O MEDIOS PORTÁTILES, CINTAS O MEDIOS DE VIDEO Y AUDIO, ETC.</t>
        </is>
      </c>
      <c r="N760" s="10" t="inlineStr">
        <is>
          <t>PRIMARIOS</t>
        </is>
      </c>
      <c r="O760" s="10" t="inlineStr">
        <is>
          <t>DOCUMENTOS TÉCNICOS</t>
        </is>
      </c>
      <c r="P760" s="10" t="inlineStr">
        <is>
          <t>USO INTERNO(2)</t>
        </is>
      </c>
      <c r="Q760" s="10" t="inlineStr">
        <is>
          <t>BAJA(1)</t>
        </is>
      </c>
      <c r="R760" s="10" t="inlineStr">
        <is>
          <t>MEDIA(2)</t>
        </is>
      </c>
      <c r="S760" s="10">
        <f>+(IF(P760="PUBLICA(1)",1,IF(P760="USO INTERNO(2)",2,IF(P760="RESTRINGIDO(3)",3,3))))+(IF(Q760="BAJA(1)",1,IF(Q760="MEDIA(2)",2,IF(Q760="ALTA(3)",3,3))))+(IF(R760="BAJA(1)",1,IF(R760="MEDIA(2)",2,IF(R760="ALTA(3)",3,3))))</f>
        <v/>
      </c>
      <c r="T760" s="10">
        <f>+IF(S760&lt;6,"BAJA",IF(S760&lt;8,"MEDIA","ALTA"))</f>
        <v/>
      </c>
      <c r="U760" s="10" t="inlineStr">
        <is>
          <t>-</t>
        </is>
      </c>
      <c r="V760" s="24" t="n">
        <v>45687</v>
      </c>
      <c r="W760" s="19" t="inlineStr">
        <is>
          <t>N/A</t>
        </is>
      </c>
      <c r="X760" s="10">
        <f>+IFERROR(IF(VLOOKUP(Tabla2[[#This Row],[ID]],'EVALUACION DE RIESGO'!A:A,1,FALSE)=Tabla2[[#This Row],[ID]],"SI","NO"),"NO")</f>
        <v/>
      </c>
    </row>
    <row r="761">
      <c r="A761" s="91" t="inlineStr">
        <is>
          <t>58-GTI</t>
        </is>
      </c>
      <c r="B761" s="10" t="inlineStr">
        <is>
          <t>APOYO</t>
        </is>
      </c>
      <c r="C761" s="10" t="inlineStr">
        <is>
          <t>Gestión de Tecnología de la Información</t>
        </is>
      </c>
      <c r="D761" s="10" t="inlineStr">
        <is>
          <t>GTI</t>
        </is>
      </c>
      <c r="E761" s="10" t="inlineStr">
        <is>
          <t>Gestión del Desarrollo del Software</t>
        </is>
      </c>
      <c r="F761" s="10" t="inlineStr">
        <is>
          <t>-</t>
        </is>
      </c>
      <c r="G761" s="10" t="inlineStr">
        <is>
          <t>Resolución de incidentes de software</t>
        </is>
      </c>
      <c r="H761" s="10" t="inlineStr">
        <is>
          <t>Diccionario de datos</t>
        </is>
      </c>
      <c r="I761" s="10" t="inlineStr">
        <is>
          <t>Diagrama de entidad relación y detalle estructural de cada tabla de BDD</t>
        </is>
      </c>
      <c r="J761" s="10" t="inlineStr">
        <is>
          <t>Administrador de desarrollo de software</t>
        </is>
      </c>
      <c r="K761" s="10" t="inlineStr">
        <is>
          <t>Jefe de Desarrollo de software</t>
        </is>
      </c>
      <c r="L761" s="10" t="inlineStr">
        <is>
          <t>UBICACIÓN DIGITAL-EQUIPO DEL RESPONSABLE</t>
        </is>
      </c>
      <c r="M761" s="10" t="inlineStr">
        <is>
          <t>DISCOS DUROS, SERVIDORES, DISCOS O MEDIOS PORTÁTILES, CINTAS O MEDIOS DE VIDEO Y AUDIO, ETC.</t>
        </is>
      </c>
      <c r="N761" s="10" t="inlineStr">
        <is>
          <t>PRIMARIOS</t>
        </is>
      </c>
      <c r="O761" s="10" t="inlineStr">
        <is>
          <t>DOCUMENTOS TÉCNICOS</t>
        </is>
      </c>
      <c r="P761" s="10" t="inlineStr">
        <is>
          <t>USO INTERNO(2)</t>
        </is>
      </c>
      <c r="Q761" s="10" t="inlineStr">
        <is>
          <t>BAJA(1)</t>
        </is>
      </c>
      <c r="R761" s="10" t="inlineStr">
        <is>
          <t>MEDIA(2)</t>
        </is>
      </c>
      <c r="S761" s="10">
        <f>+(IF(P761="PUBLICA(1)",1,IF(P761="USO INTERNO(2)",2,IF(P761="RESTRINGIDO(3)",3,3))))+(IF(Q761="BAJA(1)",1,IF(Q761="MEDIA(2)",2,IF(Q761="ALTA(3)",3,3))))+(IF(R761="BAJA(1)",1,IF(R761="MEDIA(2)",2,IF(R761="ALTA(3)",3,3))))</f>
        <v/>
      </c>
      <c r="T761" s="10">
        <f>+IF(S761&lt;6,"BAJA",IF(S761&lt;8,"MEDIA","ALTA"))</f>
        <v/>
      </c>
      <c r="U761" s="10" t="inlineStr">
        <is>
          <t>-</t>
        </is>
      </c>
      <c r="V761" s="24" t="n">
        <v>45687</v>
      </c>
      <c r="W761" s="19" t="inlineStr">
        <is>
          <t>N/A</t>
        </is>
      </c>
      <c r="X761" s="10">
        <f>+IFERROR(IF(VLOOKUP(Tabla2[[#This Row],[ID]],'EVALUACION DE RIESGO'!A:A,1,FALSE)=Tabla2[[#This Row],[ID]],"SI","NO"),"NO")</f>
        <v/>
      </c>
    </row>
    <row r="762">
      <c r="A762" s="91" t="inlineStr">
        <is>
          <t>59-GTI</t>
        </is>
      </c>
      <c r="B762" s="10" t="inlineStr">
        <is>
          <t>APOYO</t>
        </is>
      </c>
      <c r="C762" s="10" t="inlineStr">
        <is>
          <t>Gestión de Tecnología de la Información</t>
        </is>
      </c>
      <c r="D762" s="10" t="inlineStr">
        <is>
          <t>GTI</t>
        </is>
      </c>
      <c r="E762" s="10" t="inlineStr">
        <is>
          <t>Gestión del Desarrollo del Software</t>
        </is>
      </c>
      <c r="F762" s="10" t="inlineStr">
        <is>
          <t>-</t>
        </is>
      </c>
      <c r="G762" s="10" t="inlineStr">
        <is>
          <t>Resolución de incidentes de software</t>
        </is>
      </c>
      <c r="H762" s="10" t="inlineStr">
        <is>
          <t>Paquete de actualizaciones</t>
        </is>
      </c>
      <c r="I762" s="10" t="inlineStr">
        <is>
          <t>Detalle realizado en el Formulario de paso a producción en el caso de existir nuevas transacciones</t>
        </is>
      </c>
      <c r="J762" s="10" t="inlineStr">
        <is>
          <t>Administrador de desarrollo de software</t>
        </is>
      </c>
      <c r="K762" s="10" t="inlineStr">
        <is>
          <t>Jefe de Desarrollo de software</t>
        </is>
      </c>
      <c r="L762" s="10" t="inlineStr">
        <is>
          <t>UBICACIÓN DIGITAL-EQUIPO DEL RESPONSABLE</t>
        </is>
      </c>
      <c r="M762" s="10" t="inlineStr">
        <is>
          <t>DISCOS DUROS, SERVIDORES, DISCOS O MEDIOS PORTÁTILES, CINTAS O MEDIOS DE VIDEO Y AUDIO, ETC.</t>
        </is>
      </c>
      <c r="N762" s="10" t="inlineStr">
        <is>
          <t>PRIMARIOS</t>
        </is>
      </c>
      <c r="O762" s="10" t="inlineStr">
        <is>
          <t>DOCUMENTOS TÉCNICOS</t>
        </is>
      </c>
      <c r="P762" s="10" t="inlineStr">
        <is>
          <t>USO INTERNO(2)</t>
        </is>
      </c>
      <c r="Q762" s="10" t="inlineStr">
        <is>
          <t>BAJA(1)</t>
        </is>
      </c>
      <c r="R762" s="10" t="inlineStr">
        <is>
          <t>MEDIA(2)</t>
        </is>
      </c>
      <c r="S762" s="10">
        <f>+(IF(P762="PUBLICA(1)",1,IF(P762="USO INTERNO(2)",2,IF(P762="RESTRINGIDO(3)",3,3))))+(IF(Q762="BAJA(1)",1,IF(Q762="MEDIA(2)",2,IF(Q762="ALTA(3)",3,3))))+(IF(R762="BAJA(1)",1,IF(R762="MEDIA(2)",2,IF(R762="ALTA(3)",3,3))))</f>
        <v/>
      </c>
      <c r="T762" s="10">
        <f>+IF(S762&lt;6,"BAJA",IF(S762&lt;8,"MEDIA","ALTA"))</f>
        <v/>
      </c>
      <c r="U762" s="10" t="inlineStr">
        <is>
          <t>-</t>
        </is>
      </c>
      <c r="V762" s="24" t="n">
        <v>45687</v>
      </c>
      <c r="W762" s="19" t="inlineStr">
        <is>
          <t>N/A</t>
        </is>
      </c>
      <c r="X762" s="10">
        <f>+IFERROR(IF(VLOOKUP(Tabla2[[#This Row],[ID]],'EVALUACION DE RIESGO'!A:A,1,FALSE)=Tabla2[[#This Row],[ID]],"SI","NO"),"NO")</f>
        <v/>
      </c>
    </row>
    <row r="763">
      <c r="A763" s="91" t="inlineStr">
        <is>
          <t>60-GTI</t>
        </is>
      </c>
      <c r="B763" s="10" t="inlineStr">
        <is>
          <t>APOYO</t>
        </is>
      </c>
      <c r="C763" s="10" t="inlineStr">
        <is>
          <t>Gestión de Tecnología de la Información</t>
        </is>
      </c>
      <c r="D763" s="10" t="inlineStr">
        <is>
          <t>GTI</t>
        </is>
      </c>
      <c r="E763" s="10" t="inlineStr">
        <is>
          <t>Gestión del Desarrollo del Software</t>
        </is>
      </c>
      <c r="F763" s="10" t="inlineStr">
        <is>
          <t>-</t>
        </is>
      </c>
      <c r="G763" s="10" t="inlineStr">
        <is>
          <t>Respaldo del software</t>
        </is>
      </c>
      <c r="H763" s="10" t="inlineStr">
        <is>
          <t>Formulario de respaldos</t>
        </is>
      </c>
      <c r="I763" s="10" t="inlineStr">
        <is>
          <t>Reporte mensual de respaldos realizada por el área de Infraestructura Operacional</t>
        </is>
      </c>
      <c r="J763" s="10" t="inlineStr">
        <is>
          <t>Administrador de desarrollo de software</t>
        </is>
      </c>
      <c r="K763" s="10" t="inlineStr">
        <is>
          <t>Asistente de Infraestructura tecnologica</t>
        </is>
      </c>
      <c r="L763" s="10" t="inlineStr">
        <is>
          <t>DISCO DURO EXTERNO</t>
        </is>
      </c>
      <c r="M763" s="10" t="inlineStr">
        <is>
          <t>DISCOS DUROS, SERVIDORES, DISCOS O MEDIOS PORTÁTILES, CINTAS O MEDIOS DE VIDEO Y AUDIO, ETC.</t>
        </is>
      </c>
      <c r="N763" s="10" t="inlineStr">
        <is>
          <t>PRIMARIOS</t>
        </is>
      </c>
      <c r="O763" s="10" t="inlineStr">
        <is>
          <t>DOCUMENTOS TÉCNICOS</t>
        </is>
      </c>
      <c r="P763" s="10" t="inlineStr">
        <is>
          <t>USO INTERNO(2)</t>
        </is>
      </c>
      <c r="Q763" s="10" t="inlineStr">
        <is>
          <t>BAJA(1)</t>
        </is>
      </c>
      <c r="R763" s="10" t="inlineStr">
        <is>
          <t>MEDIA(2)</t>
        </is>
      </c>
      <c r="S763" s="10">
        <f>+(IF(P763="PUBLICA(1)",1,IF(P763="USO INTERNO(2)",2,IF(P763="RESTRINGIDO(3)",3,3))))+(IF(Q763="BAJA(1)",1,IF(Q763="MEDIA(2)",2,IF(Q763="ALTA(3)",3,3))))+(IF(R763="BAJA(1)",1,IF(R763="MEDIA(2)",2,IF(R763="ALTA(3)",3,3))))</f>
        <v/>
      </c>
      <c r="T763" s="10">
        <f>+IF(S763&lt;6,"BAJA",IF(S763&lt;8,"MEDIA","ALTA"))</f>
        <v/>
      </c>
      <c r="U763" s="10" t="inlineStr">
        <is>
          <t>-</t>
        </is>
      </c>
      <c r="V763" s="24" t="n">
        <v>45687</v>
      </c>
      <c r="W763" s="19" t="inlineStr">
        <is>
          <t>N/A</t>
        </is>
      </c>
      <c r="X763" s="10">
        <f>+IFERROR(IF(VLOOKUP(Tabla2[[#This Row],[ID]],'EVALUACION DE RIESGO'!A:A,1,FALSE)=Tabla2[[#This Row],[ID]],"SI","NO"),"NO")</f>
        <v/>
      </c>
    </row>
    <row r="764">
      <c r="A764" s="91" t="inlineStr">
        <is>
          <t>61-GTI</t>
        </is>
      </c>
      <c r="B764" s="10" t="inlineStr">
        <is>
          <t>APOYO</t>
        </is>
      </c>
      <c r="C764" s="10" t="inlineStr">
        <is>
          <t>Gestión de Tecnología de la Información</t>
        </is>
      </c>
      <c r="D764" s="10" t="inlineStr">
        <is>
          <t>GTI</t>
        </is>
      </c>
      <c r="E764" s="10" t="inlineStr">
        <is>
          <t>Gestión del Desarrollo del Software</t>
        </is>
      </c>
      <c r="F764" s="10" t="inlineStr">
        <is>
          <t>-</t>
        </is>
      </c>
      <c r="G764" s="10" t="inlineStr">
        <is>
          <t>Baja de software</t>
        </is>
      </c>
      <c r="H764" s="10" t="inlineStr">
        <is>
          <t>Formulario de baja de software</t>
        </is>
      </c>
      <c r="I764" s="10" t="inlineStr">
        <is>
          <t>Formulario realizado cuando una aplicación finaliza la vida útil del software, detalle, motivo y legalización de la baja del software</t>
        </is>
      </c>
      <c r="J764" s="10" t="inlineStr">
        <is>
          <t>Administrador de desarrollo de software</t>
        </is>
      </c>
      <c r="K764" s="10" t="inlineStr">
        <is>
          <t>Jefe de Desarrollo de software</t>
        </is>
      </c>
      <c r="L764" s="10" t="inlineStr">
        <is>
          <t>UBICACIÓN DIGITAL-EQUIPO DEL RESPONSABLE</t>
        </is>
      </c>
      <c r="M764" s="10" t="inlineStr">
        <is>
          <t>DISCOS DUROS, SERVIDORES, DISCOS O MEDIOS PORTÁTILES, CINTAS O MEDIOS DE VIDEO Y AUDIO, ETC.</t>
        </is>
      </c>
      <c r="N764" s="10" t="inlineStr">
        <is>
          <t>PRIMARIOS</t>
        </is>
      </c>
      <c r="O764" s="10" t="inlineStr">
        <is>
          <t>DOCUMENTOS TÉCNICOS</t>
        </is>
      </c>
      <c r="P764" s="10" t="inlineStr">
        <is>
          <t>USO INTERNO(2)</t>
        </is>
      </c>
      <c r="Q764" s="10" t="inlineStr">
        <is>
          <t>BAJA(1)</t>
        </is>
      </c>
      <c r="R764" s="10" t="inlineStr">
        <is>
          <t>MEDIA(2)</t>
        </is>
      </c>
      <c r="S764" s="10">
        <f>+(IF(P764="PUBLICA(1)",1,IF(P764="USO INTERNO(2)",2,IF(P764="RESTRINGIDO(3)",3,3))))+(IF(Q764="BAJA(1)",1,IF(Q764="MEDIA(2)",2,IF(Q764="ALTA(3)",3,3))))+(IF(R764="BAJA(1)",1,IF(R764="MEDIA(2)",2,IF(R764="ALTA(3)",3,3))))</f>
        <v/>
      </c>
      <c r="T764" s="10">
        <f>+IF(S764&lt;6,"BAJA",IF(S764&lt;8,"MEDIA","ALTA"))</f>
        <v/>
      </c>
      <c r="U764" s="10" t="inlineStr">
        <is>
          <t>-</t>
        </is>
      </c>
      <c r="V764" s="24" t="n">
        <v>45687</v>
      </c>
      <c r="W764" s="19" t="inlineStr">
        <is>
          <t>N/A</t>
        </is>
      </c>
      <c r="X764" s="10">
        <f>+IFERROR(IF(VLOOKUP(Tabla2[[#This Row],[ID]],'EVALUACION DE RIESGO'!A:A,1,FALSE)=Tabla2[[#This Row],[ID]],"SI","NO"),"NO")</f>
        <v/>
      </c>
    </row>
    <row r="765">
      <c r="A765" s="91" t="inlineStr">
        <is>
          <t>62-GTI</t>
        </is>
      </c>
      <c r="B765" s="10" t="inlineStr">
        <is>
          <t>APOYO</t>
        </is>
      </c>
      <c r="C765" s="10" t="inlineStr">
        <is>
          <t>Gestión de Tecnología de la Información</t>
        </is>
      </c>
      <c r="D765" s="10" t="inlineStr">
        <is>
          <t>GTI</t>
        </is>
      </c>
      <c r="E765" s="10" t="inlineStr">
        <is>
          <t>Gestión del Desarrollo del Software</t>
        </is>
      </c>
      <c r="F765" s="10" t="inlineStr">
        <is>
          <t>-</t>
        </is>
      </c>
      <c r="G765" s="10" t="inlineStr">
        <is>
          <t>Baja de software</t>
        </is>
      </c>
      <c r="H765" s="10" t="inlineStr">
        <is>
          <t>Resolución del Comité Informático</t>
        </is>
      </c>
      <c r="I765" s="10" t="inlineStr">
        <is>
          <t>Resolución de aprobación generada en el Comité Informático</t>
        </is>
      </c>
      <c r="J765" s="10" t="inlineStr">
        <is>
          <t>Administrador de desarrollo de software</t>
        </is>
      </c>
      <c r="K765" s="10" t="inlineStr">
        <is>
          <t>Jefe de Desarrollo de software</t>
        </is>
      </c>
      <c r="L765" s="10" t="inlineStr">
        <is>
          <t>UBICACIÓN DIGITAL-EQUIPO DEL RESPONSABLE</t>
        </is>
      </c>
      <c r="M765" s="10" t="inlineStr">
        <is>
          <t>DISCOS DUROS, SERVIDORES, DISCOS O MEDIOS PORTÁTILES, CINTAS O MEDIOS DE VIDEO Y AUDIO, ETC.</t>
        </is>
      </c>
      <c r="N765" s="10" t="inlineStr">
        <is>
          <t>PRIMARIOS</t>
        </is>
      </c>
      <c r="O765" s="10" t="inlineStr">
        <is>
          <t>COMUNICACIÓN INTERNA</t>
        </is>
      </c>
      <c r="P765" s="10" t="inlineStr">
        <is>
          <t>USO INTERNO(2)</t>
        </is>
      </c>
      <c r="Q765" s="10" t="inlineStr">
        <is>
          <t>BAJA(1)</t>
        </is>
      </c>
      <c r="R765" s="10" t="inlineStr">
        <is>
          <t>MEDIA(2)</t>
        </is>
      </c>
      <c r="S765" s="10">
        <f>+(IF(P765="PUBLICA(1)",1,IF(P765="USO INTERNO(2)",2,IF(P765="RESTRINGIDO(3)",3,3))))+(IF(Q765="BAJA(1)",1,IF(Q765="MEDIA(2)",2,IF(Q765="ALTA(3)",3,3))))+(IF(R765="BAJA(1)",1,IF(R765="MEDIA(2)",2,IF(R765="ALTA(3)",3,3))))</f>
        <v/>
      </c>
      <c r="T765" s="10">
        <f>+IF(S765&lt;6,"BAJA",IF(S765&lt;8,"MEDIA","ALTA"))</f>
        <v/>
      </c>
      <c r="U765" s="10" t="inlineStr">
        <is>
          <t>-</t>
        </is>
      </c>
      <c r="V765" s="24" t="n">
        <v>45687</v>
      </c>
      <c r="W765" s="19" t="inlineStr">
        <is>
          <t>N/A</t>
        </is>
      </c>
      <c r="X765" s="10">
        <f>+IFERROR(IF(VLOOKUP(Tabla2[[#This Row],[ID]],'EVALUACION DE RIESGO'!A:A,1,FALSE)=Tabla2[[#This Row],[ID]],"SI","NO"),"NO")</f>
        <v/>
      </c>
    </row>
    <row r="766" ht="12" customHeight="1" s="98">
      <c r="A766" s="40" t="inlineStr">
        <is>
          <t>63-GTI</t>
        </is>
      </c>
      <c r="B766" s="10" t="inlineStr">
        <is>
          <t>APOYO</t>
        </is>
      </c>
      <c r="C766" s="10" t="inlineStr">
        <is>
          <t>Gestión de Tecnología de la Información</t>
        </is>
      </c>
      <c r="D766" s="10" t="inlineStr">
        <is>
          <t>GTI</t>
        </is>
      </c>
      <c r="E766" s="10" t="inlineStr">
        <is>
          <t>Gestión de Seguridad Informática</t>
        </is>
      </c>
      <c r="F766" s="10" t="inlineStr">
        <is>
          <t>-</t>
        </is>
      </c>
      <c r="G766" s="10" t="inlineStr">
        <is>
          <t>Administración de accesos a sistemas de aplicación</t>
        </is>
      </c>
      <c r="H766" s="17" t="inlineStr">
        <is>
          <t>Home Banking</t>
        </is>
      </c>
      <c r="I766" s="17" t="inlineStr">
        <is>
          <t>Aplicación Banca Virtual</t>
        </is>
      </c>
      <c r="J766" s="10" t="inlineStr">
        <is>
          <t>GERENTE DE TI</t>
        </is>
      </c>
      <c r="K766" s="10" t="inlineStr">
        <is>
          <t>ADMINISTRADOR DE SEGURIDAD INFORMÁTICA</t>
        </is>
      </c>
      <c r="L766" s="10" t="inlineStr">
        <is>
          <t>UBICACIÓN FISICA-SUCURSAL IBARRA</t>
        </is>
      </c>
      <c r="M766" s="10" t="inlineStr">
        <is>
          <t>DISCOS DUROS, SERVIDORES, DISCOS O MEDIOS PORTÁTILES, CINTAS O MEDIOS DE VIDEO Y AUDIO, ETC.</t>
        </is>
      </c>
      <c r="N766" s="10" t="inlineStr">
        <is>
          <t>APOYO</t>
        </is>
      </c>
      <c r="O766" s="10" t="inlineStr">
        <is>
          <t>SOFTWARE</t>
        </is>
      </c>
      <c r="P766" s="10" t="inlineStr">
        <is>
          <t>RESTRINGIDO(3)</t>
        </is>
      </c>
      <c r="Q766" s="10" t="inlineStr">
        <is>
          <t>MEDIA(2)</t>
        </is>
      </c>
      <c r="R766" s="10" t="inlineStr">
        <is>
          <t>ALTA(3)</t>
        </is>
      </c>
      <c r="S766" s="10">
        <f>+(IF(P766="PUBLICA(1)",1,IF(P766="USO INTERNO(2)",2,IF(P766="RESTRINGIDO(3)",3,3))))+(IF(Q766="BAJA(1)",1,IF(Q766="MEDIA(2)",2,IF(Q766="ALTA(3)",3,3))))+(IF(R766="BAJA(1)",1,IF(R766="MEDIA(2)",2,IF(R766="ALTA(3)",3,3))))</f>
        <v/>
      </c>
      <c r="T766" s="10">
        <f>+IF(S766&lt;6,"BAJA",IF(S766&lt;8,"MEDIA","ALTA"))</f>
        <v/>
      </c>
      <c r="U766" s="10" t="inlineStr">
        <is>
          <t>-</t>
        </is>
      </c>
      <c r="V766" s="24" t="n">
        <v>43815</v>
      </c>
      <c r="W766" s="19" t="inlineStr">
        <is>
          <t>N/A</t>
        </is>
      </c>
      <c r="X766" s="10">
        <f>+IFERROR(IF(VLOOKUP(Tabla2[[#This Row],[ID]],'EVALUACION DE RIESGO'!A:A,1,FALSE)=Tabla2[[#This Row],[ID]],"SI","NO"),"NO")</f>
        <v/>
      </c>
    </row>
    <row r="767" ht="20.5" customHeight="1" s="98">
      <c r="A767" s="40" t="inlineStr">
        <is>
          <t>64-GTI</t>
        </is>
      </c>
      <c r="B767" s="10" t="inlineStr">
        <is>
          <t>APOYO</t>
        </is>
      </c>
      <c r="C767" s="10" t="inlineStr">
        <is>
          <t>Gestión de Tecnología de la Información</t>
        </is>
      </c>
      <c r="D767" s="10" t="inlineStr">
        <is>
          <t>GTI</t>
        </is>
      </c>
      <c r="E767" s="10" t="inlineStr">
        <is>
          <t>Gestión de Seguridad Informática</t>
        </is>
      </c>
      <c r="F767" s="10" t="inlineStr">
        <is>
          <t>-</t>
        </is>
      </c>
      <c r="G767" s="10" t="inlineStr">
        <is>
          <t>Administración de accesos a sistemas de aplicación</t>
        </is>
      </c>
      <c r="H767" s="17" t="inlineStr">
        <is>
          <t>Cooperativa Virtual</t>
        </is>
      </c>
      <c r="I767" s="17" t="inlineStr">
        <is>
          <t>Servidor que aloja la Banca Electronica  
192.168.23.11</t>
        </is>
      </c>
      <c r="J767" s="10" t="inlineStr">
        <is>
          <t>GERENTE DE TI</t>
        </is>
      </c>
      <c r="K767" s="10" t="inlineStr">
        <is>
          <t>ADMINISTRADOR DE SEGURIDAD INFORMÁTICA</t>
        </is>
      </c>
      <c r="L767" s="10" t="inlineStr">
        <is>
          <t>UBICACIÓN FISICA-SUCURSAL IBARRA</t>
        </is>
      </c>
      <c r="M767" s="10" t="inlineStr">
        <is>
          <t>DISCOS DUROS, SERVIDORES, DISCOS O MEDIOS PORTÁTILES, CINTAS O MEDIOS DE VIDEO Y AUDIO, ETC.</t>
        </is>
      </c>
      <c r="N767" s="10" t="inlineStr">
        <is>
          <t>APOYO</t>
        </is>
      </c>
      <c r="O767" s="10" t="inlineStr">
        <is>
          <t>HARDWARE</t>
        </is>
      </c>
      <c r="P767" s="10" t="inlineStr">
        <is>
          <t>USO INTERNO(2)</t>
        </is>
      </c>
      <c r="Q767" s="10" t="inlineStr">
        <is>
          <t>ALTA(3)</t>
        </is>
      </c>
      <c r="R767" s="10" t="inlineStr">
        <is>
          <t>ALTA(3)</t>
        </is>
      </c>
      <c r="S767" s="10">
        <f>+(IF(P767="PUBLICA(1)",1,IF(P767="USO INTERNO(2)",2,IF(P767="RESTRINGIDO(3)",3,3))))+(IF(Q767="BAJA(1)",1,IF(Q767="MEDIA(2)",2,IF(Q767="ALTA(3)",3,3))))+(IF(R767="BAJA(1)",1,IF(R767="MEDIA(2)",2,IF(R767="ALTA(3)",3,3))))</f>
        <v/>
      </c>
      <c r="T767" s="10">
        <f>+IF(S767&lt;6,"BAJA",IF(S767&lt;8,"MEDIA","ALTA"))</f>
        <v/>
      </c>
      <c r="U767" s="10" t="inlineStr">
        <is>
          <t>-</t>
        </is>
      </c>
      <c r="V767" s="24" t="n">
        <v>43815</v>
      </c>
      <c r="W767" s="19" t="inlineStr">
        <is>
          <t>N/A</t>
        </is>
      </c>
      <c r="X767" s="10">
        <f>+IFERROR(IF(VLOOKUP(Tabla2[[#This Row],[ID]],'EVALUACION DE RIESGO'!A:A,1,FALSE)=Tabla2[[#This Row],[ID]],"SI","NO"),"NO")</f>
        <v/>
      </c>
    </row>
    <row r="768" ht="12" customHeight="1" s="98">
      <c r="A768" s="40" t="inlineStr">
        <is>
          <t>65-GTI</t>
        </is>
      </c>
      <c r="B768" s="10" t="inlineStr">
        <is>
          <t>APOYO</t>
        </is>
      </c>
      <c r="C768" s="10" t="inlineStr">
        <is>
          <t>Gestión de Tecnología de la Información</t>
        </is>
      </c>
      <c r="D768" s="10" t="inlineStr">
        <is>
          <t>GTI</t>
        </is>
      </c>
      <c r="E768" s="10" t="inlineStr">
        <is>
          <t>Gestión de Seguridad Informática</t>
        </is>
      </c>
      <c r="F768" s="10" t="inlineStr">
        <is>
          <t>-</t>
        </is>
      </c>
      <c r="G768" s="10" t="inlineStr">
        <is>
          <t>Administración de accesos a sistemas de aplicación</t>
        </is>
      </c>
      <c r="H768" s="17" t="inlineStr">
        <is>
          <t>Sendmail</t>
        </is>
      </c>
      <c r="I768" s="17" t="inlineStr">
        <is>
          <t>Administracion Contenidos y Correo electrónico</t>
        </is>
      </c>
      <c r="J768" s="10" t="inlineStr">
        <is>
          <t>GERENTE DE TI</t>
        </is>
      </c>
      <c r="K768" s="10" t="inlineStr">
        <is>
          <t>ADMINISTRADOR DE SEGURIDAD INFORMÁTICA</t>
        </is>
      </c>
      <c r="L768" s="10" t="inlineStr">
        <is>
          <t>UBICACIÓN FISICA-SUCURSAL IBARRA</t>
        </is>
      </c>
      <c r="M768" s="10" t="inlineStr">
        <is>
          <t>DISCOS DUROS, SERVIDORES, DISCOS O MEDIOS PORTÁTILES, CINTAS O MEDIOS DE VIDEO Y AUDIO, ETC.</t>
        </is>
      </c>
      <c r="N768" s="10" t="inlineStr">
        <is>
          <t>APOYO</t>
        </is>
      </c>
      <c r="O768" s="10" t="inlineStr">
        <is>
          <t>SOFTWARE</t>
        </is>
      </c>
      <c r="P768" s="10" t="inlineStr">
        <is>
          <t>RESTRINGIDO(3)</t>
        </is>
      </c>
      <c r="Q768" s="10" t="inlineStr">
        <is>
          <t>MEDIA(2)</t>
        </is>
      </c>
      <c r="R768" s="10" t="inlineStr">
        <is>
          <t>ALTA(3)</t>
        </is>
      </c>
      <c r="S768" s="10">
        <f>+(IF(P768="PUBLICA(1)",1,IF(P768="USO INTERNO(2)",2,IF(P768="RESTRINGIDO(3)",3,3))))+(IF(Q768="BAJA(1)",1,IF(Q768="MEDIA(2)",2,IF(Q768="ALTA(3)",3,3))))+(IF(R768="BAJA(1)",1,IF(R768="MEDIA(2)",2,IF(R768="ALTA(3)",3,3))))</f>
        <v/>
      </c>
      <c r="T768" s="10">
        <f>+IF(S768&lt;6,"BAJA",IF(S768&lt;8,"MEDIA","ALTA"))</f>
        <v/>
      </c>
      <c r="U768" s="10" t="inlineStr">
        <is>
          <t>-</t>
        </is>
      </c>
      <c r="V768" s="24" t="n">
        <v>43815</v>
      </c>
      <c r="W768" s="19" t="inlineStr">
        <is>
          <t>N/A</t>
        </is>
      </c>
      <c r="X768" s="10">
        <f>+IFERROR(IF(VLOOKUP(Tabla2[[#This Row],[ID]],'EVALUACION DE RIESGO'!A:A,1,FALSE)=Tabla2[[#This Row],[ID]],"SI","NO"),"NO")</f>
        <v/>
      </c>
    </row>
    <row r="769" ht="20.5" customHeight="1" s="98">
      <c r="A769" s="40" t="inlineStr">
        <is>
          <t>66-GTI</t>
        </is>
      </c>
      <c r="B769" s="10" t="inlineStr">
        <is>
          <t>APOYO</t>
        </is>
      </c>
      <c r="C769" s="10" t="inlineStr">
        <is>
          <t>Gestión de Tecnología de la Información</t>
        </is>
      </c>
      <c r="D769" s="10" t="inlineStr">
        <is>
          <t>GTI</t>
        </is>
      </c>
      <c r="E769" s="10" t="inlineStr">
        <is>
          <t>Gestión de Seguridad Informática</t>
        </is>
      </c>
      <c r="F769" s="10" t="inlineStr">
        <is>
          <t>-</t>
        </is>
      </c>
      <c r="G769" s="10" t="inlineStr">
        <is>
          <t>Administración de accesos a sistemas de aplicación</t>
        </is>
      </c>
      <c r="H769" s="17" t="inlineStr">
        <is>
          <t>correo electronico</t>
        </is>
      </c>
      <c r="I769" s="17" t="inlineStr">
        <is>
          <t>Servidor web administracion correo electronico
192.168.23.2</t>
        </is>
      </c>
      <c r="J769" s="10" t="inlineStr">
        <is>
          <t>GERENTE DE TI</t>
        </is>
      </c>
      <c r="K769" s="10" t="inlineStr">
        <is>
          <t>ADMINISTRADOR DE SEGURIDAD INFORMÁTICA</t>
        </is>
      </c>
      <c r="L769" s="10" t="inlineStr">
        <is>
          <t>UBICACIÓN FISICA-SUCURSAL IBARRA</t>
        </is>
      </c>
      <c r="M769" s="10" t="inlineStr">
        <is>
          <t>DISCOS DUROS, SERVIDORES, DISCOS O MEDIOS PORTÁTILES, CINTAS O MEDIOS DE VIDEO Y AUDIO, ETC.</t>
        </is>
      </c>
      <c r="N769" s="10" t="inlineStr">
        <is>
          <t>APOYO</t>
        </is>
      </c>
      <c r="O769" s="10" t="inlineStr">
        <is>
          <t>HARDWARE</t>
        </is>
      </c>
      <c r="P769" s="10" t="inlineStr">
        <is>
          <t>USO INTERNO(2)</t>
        </is>
      </c>
      <c r="Q769" s="10" t="inlineStr">
        <is>
          <t>ALTA(3)</t>
        </is>
      </c>
      <c r="R769" s="10" t="inlineStr">
        <is>
          <t>ALTA(3)</t>
        </is>
      </c>
      <c r="S769" s="10">
        <f>+(IF(P769="PUBLICA(1)",1,IF(P769="USO INTERNO(2)",2,IF(P769="RESTRINGIDO(3)",3,3))))+(IF(Q769="BAJA(1)",1,IF(Q769="MEDIA(2)",2,IF(Q769="ALTA(3)",3,3))))+(IF(R769="BAJA(1)",1,IF(R769="MEDIA(2)",2,IF(R769="ALTA(3)",3,3))))</f>
        <v/>
      </c>
      <c r="T769" s="10">
        <f>+IF(S769&lt;6,"BAJA",IF(S769&lt;8,"MEDIA","ALTA"))</f>
        <v/>
      </c>
      <c r="U769" s="10" t="inlineStr">
        <is>
          <t>-</t>
        </is>
      </c>
      <c r="V769" s="24" t="n">
        <v>43815</v>
      </c>
      <c r="W769" s="19" t="inlineStr">
        <is>
          <t>N/A</t>
        </is>
      </c>
      <c r="X769" s="10">
        <f>+IFERROR(IF(VLOOKUP(Tabla2[[#This Row],[ID]],'EVALUACION DE RIESGO'!A:A,1,FALSE)=Tabla2[[#This Row],[ID]],"SI","NO"),"NO")</f>
        <v/>
      </c>
    </row>
    <row r="770" ht="20.5" customHeight="1" s="98">
      <c r="A770" s="40" t="inlineStr">
        <is>
          <t>67-GTI</t>
        </is>
      </c>
      <c r="B770" s="10" t="inlineStr">
        <is>
          <t>APOYO</t>
        </is>
      </c>
      <c r="C770" s="10" t="inlineStr">
        <is>
          <t>Gestión de Tecnología de la Información</t>
        </is>
      </c>
      <c r="D770" s="10" t="inlineStr">
        <is>
          <t>GTI</t>
        </is>
      </c>
      <c r="E770" s="10" t="inlineStr">
        <is>
          <t>Gestión de Seguridad Informática</t>
        </is>
      </c>
      <c r="F770" s="10" t="inlineStr">
        <is>
          <t>-</t>
        </is>
      </c>
      <c r="G770" s="10" t="inlineStr">
        <is>
          <t>Control de la seguridad de la red</t>
        </is>
      </c>
      <c r="H770" s="17" t="inlineStr">
        <is>
          <t>Check Point</t>
        </is>
      </c>
      <c r="I770" s="17" t="inlineStr">
        <is>
          <t>Proteccion perimetral, Analiza todas las conexiones, eventos inusuales</t>
        </is>
      </c>
      <c r="J770" s="10" t="inlineStr">
        <is>
          <t>GERENTE DE TI</t>
        </is>
      </c>
      <c r="K770" s="10" t="inlineStr">
        <is>
          <t>ADMINISTRADOR DE SEGURIDAD INFORMÁTICA</t>
        </is>
      </c>
      <c r="L770" s="10" t="inlineStr">
        <is>
          <t>UBICACIÓN FISICA-SUCURSAL IBARRA</t>
        </is>
      </c>
      <c r="M770" s="10" t="inlineStr">
        <is>
          <t>DISCOS DUROS, SERVIDORES, DISCOS O MEDIOS PORTÁTILES, CINTAS O MEDIOS DE VIDEO Y AUDIO, ETC.</t>
        </is>
      </c>
      <c r="N770" s="10" t="inlineStr">
        <is>
          <t>APOYO</t>
        </is>
      </c>
      <c r="O770" s="10" t="inlineStr">
        <is>
          <t>SOFTWARE</t>
        </is>
      </c>
      <c r="P770" s="10" t="inlineStr">
        <is>
          <t>RESTRINGIDO(3)</t>
        </is>
      </c>
      <c r="Q770" s="10" t="inlineStr">
        <is>
          <t>MEDIA(2)</t>
        </is>
      </c>
      <c r="R770" s="10" t="inlineStr">
        <is>
          <t>ALTA(3)</t>
        </is>
      </c>
      <c r="S770" s="10">
        <f>+(IF(P770="PUBLICA(1)",1,IF(P770="USO INTERNO(2)",2,IF(P770="RESTRINGIDO(3)",3,3))))+(IF(Q770="BAJA(1)",1,IF(Q770="MEDIA(2)",2,IF(Q770="ALTA(3)",3,3))))+(IF(R770="BAJA(1)",1,IF(R770="MEDIA(2)",2,IF(R770="ALTA(3)",3,3))))</f>
        <v/>
      </c>
      <c r="T770" s="10">
        <f>+IF(S770&lt;6,"BAJA",IF(S770&lt;8,"MEDIA","ALTA"))</f>
        <v/>
      </c>
      <c r="U770" s="10" t="inlineStr">
        <is>
          <t>-</t>
        </is>
      </c>
      <c r="V770" s="24" t="n">
        <v>43815</v>
      </c>
      <c r="W770" s="19" t="inlineStr">
        <is>
          <t>N/A</t>
        </is>
      </c>
      <c r="X770" s="10">
        <f>+IFERROR(IF(VLOOKUP(Tabla2[[#This Row],[ID]],'EVALUACION DE RIESGO'!A:A,1,FALSE)=Tabla2[[#This Row],[ID]],"SI","NO"),"NO")</f>
        <v/>
      </c>
    </row>
    <row r="771" ht="12" customHeight="1" s="98">
      <c r="A771" s="40" t="inlineStr">
        <is>
          <t>68-GTI</t>
        </is>
      </c>
      <c r="B771" s="10" t="inlineStr">
        <is>
          <t>APOYO</t>
        </is>
      </c>
      <c r="C771" s="10" t="inlineStr">
        <is>
          <t>Gestión de Tecnología de la Información</t>
        </is>
      </c>
      <c r="D771" s="10" t="inlineStr">
        <is>
          <t>GTI</t>
        </is>
      </c>
      <c r="E771" s="10" t="inlineStr">
        <is>
          <t>Gestión de Seguridad Informática</t>
        </is>
      </c>
      <c r="F771" s="10" t="inlineStr">
        <is>
          <t>-</t>
        </is>
      </c>
      <c r="G771" s="10" t="inlineStr">
        <is>
          <t>Control de la seguridad de la red</t>
        </is>
      </c>
      <c r="H771" s="17" t="inlineStr">
        <is>
          <t>FortiAnalyzer</t>
        </is>
      </c>
      <c r="I771" s="17" t="inlineStr">
        <is>
          <t>Analizador de logs</t>
        </is>
      </c>
      <c r="J771" s="10" t="inlineStr">
        <is>
          <t>GERENTE DE TI</t>
        </is>
      </c>
      <c r="K771" s="10" t="inlineStr">
        <is>
          <t>ADMINISTRADOR DE SEGURIDAD INFORMÁTICA</t>
        </is>
      </c>
      <c r="L771" s="10" t="inlineStr">
        <is>
          <t>UBICACIÓN FISICA-SUCURSAL IBARRA</t>
        </is>
      </c>
      <c r="M771" s="10" t="inlineStr">
        <is>
          <t>DISCOS DUROS, SERVIDORES, DISCOS O MEDIOS PORTÁTILES, CINTAS O MEDIOS DE VIDEO Y AUDIO, ETC.</t>
        </is>
      </c>
      <c r="N771" s="10" t="inlineStr">
        <is>
          <t>APOYO</t>
        </is>
      </c>
      <c r="O771" s="10" t="inlineStr">
        <is>
          <t>SOFTWARE</t>
        </is>
      </c>
      <c r="P771" s="10" t="inlineStr">
        <is>
          <t>RESTRINGIDO(3)</t>
        </is>
      </c>
      <c r="Q771" s="10" t="inlineStr">
        <is>
          <t>MEDIA(2)</t>
        </is>
      </c>
      <c r="R771" s="10" t="inlineStr">
        <is>
          <t>ALTA(3)</t>
        </is>
      </c>
      <c r="S771" s="10">
        <f>+(IF(P771="PUBLICA(1)",1,IF(P771="USO INTERNO(2)",2,IF(P771="RESTRINGIDO(3)",3,3))))+(IF(Q771="BAJA(1)",1,IF(Q771="MEDIA(2)",2,IF(Q771="ALTA(3)",3,3))))+(IF(R771="BAJA(1)",1,IF(R771="MEDIA(2)",2,IF(R771="ALTA(3)",3,3))))</f>
        <v/>
      </c>
      <c r="T771" s="10">
        <f>+IF(S771&lt;6,"BAJA",IF(S771&lt;8,"MEDIA","ALTA"))</f>
        <v/>
      </c>
      <c r="U771" s="10" t="inlineStr">
        <is>
          <t>-</t>
        </is>
      </c>
      <c r="V771" s="24" t="n">
        <v>43815</v>
      </c>
      <c r="W771" s="19" t="inlineStr">
        <is>
          <t>N/A</t>
        </is>
      </c>
      <c r="X771" s="10">
        <f>+IFERROR(IF(VLOOKUP(Tabla2[[#This Row],[ID]],'EVALUACION DE RIESGO'!A:A,1,FALSE)=Tabla2[[#This Row],[ID]],"SI","NO"),"NO")</f>
        <v/>
      </c>
    </row>
    <row r="772" ht="12" customHeight="1" s="98">
      <c r="A772" s="40" t="inlineStr">
        <is>
          <t>69-GTI</t>
        </is>
      </c>
      <c r="B772" s="10" t="inlineStr">
        <is>
          <t>APOYO</t>
        </is>
      </c>
      <c r="C772" s="10" t="inlineStr">
        <is>
          <t>Gestión de Tecnología de la Información</t>
        </is>
      </c>
      <c r="D772" s="10" t="inlineStr">
        <is>
          <t>GTI</t>
        </is>
      </c>
      <c r="E772" s="10" t="inlineStr">
        <is>
          <t>Gestión de Seguridad Informática</t>
        </is>
      </c>
      <c r="F772" s="10" t="inlineStr">
        <is>
          <t>-</t>
        </is>
      </c>
      <c r="G772" s="10" t="inlineStr">
        <is>
          <t>Control de la seguridad de la red</t>
        </is>
      </c>
      <c r="H772" s="17" t="inlineStr">
        <is>
          <t>UTM Fortinet</t>
        </is>
      </c>
      <c r="I772" s="17" t="inlineStr">
        <is>
          <t>Revision y categorizacion urls y sitios peligrosos</t>
        </is>
      </c>
      <c r="J772" s="10" t="inlineStr">
        <is>
          <t>GERENTE DE TI</t>
        </is>
      </c>
      <c r="K772" s="10" t="inlineStr">
        <is>
          <t>ADMINISTRADOR DE SEGURIDAD INFORMÁTICA</t>
        </is>
      </c>
      <c r="L772" s="10" t="inlineStr">
        <is>
          <t>UBICACIÓN FISICA-SUCURSAL IBARRA</t>
        </is>
      </c>
      <c r="M772" s="10" t="inlineStr">
        <is>
          <t>DISCOS DUROS, SERVIDORES, DISCOS O MEDIOS PORTÁTILES, CINTAS O MEDIOS DE VIDEO Y AUDIO, ETC.</t>
        </is>
      </c>
      <c r="N772" s="10" t="inlineStr">
        <is>
          <t>APOYO</t>
        </is>
      </c>
      <c r="O772" s="10" t="inlineStr">
        <is>
          <t>SOFTWARE</t>
        </is>
      </c>
      <c r="P772" s="10" t="inlineStr">
        <is>
          <t>RESTRINGIDO(3)</t>
        </is>
      </c>
      <c r="Q772" s="10" t="inlineStr">
        <is>
          <t>MEDIA(2)</t>
        </is>
      </c>
      <c r="R772" s="10" t="inlineStr">
        <is>
          <t>ALTA(3)</t>
        </is>
      </c>
      <c r="S772" s="10">
        <f>+(IF(P772="PUBLICA(1)",1,IF(P772="USO INTERNO(2)",2,IF(P772="RESTRINGIDO(3)",3,3))))+(IF(Q772="BAJA(1)",1,IF(Q772="MEDIA(2)",2,IF(Q772="ALTA(3)",3,3))))+(IF(R772="BAJA(1)",1,IF(R772="MEDIA(2)",2,IF(R772="ALTA(3)",3,3))))</f>
        <v/>
      </c>
      <c r="T772" s="10">
        <f>+IF(S772&lt;6,"BAJA",IF(S772&lt;8,"MEDIA","ALTA"))</f>
        <v/>
      </c>
      <c r="U772" s="10" t="inlineStr">
        <is>
          <t>-</t>
        </is>
      </c>
      <c r="V772" s="24" t="n">
        <v>43815</v>
      </c>
      <c r="W772" s="19" t="inlineStr">
        <is>
          <t>N/A</t>
        </is>
      </c>
      <c r="X772" s="10">
        <f>+IFERROR(IF(VLOOKUP(Tabla2[[#This Row],[ID]],'EVALUACION DE RIESGO'!A:A,1,FALSE)=Tabla2[[#This Row],[ID]],"SI","NO"),"NO")</f>
        <v/>
      </c>
    </row>
    <row r="773" ht="12" customHeight="1" s="98">
      <c r="A773" s="40" t="inlineStr">
        <is>
          <t>70-GTI</t>
        </is>
      </c>
      <c r="B773" s="10" t="inlineStr">
        <is>
          <t>APOYO</t>
        </is>
      </c>
      <c r="C773" s="10" t="inlineStr">
        <is>
          <t>Gestión de Tecnología de la Información</t>
        </is>
      </c>
      <c r="D773" s="10" t="inlineStr">
        <is>
          <t>GTI</t>
        </is>
      </c>
      <c r="E773" s="10" t="inlineStr">
        <is>
          <t>Gestión de Seguridad Informática</t>
        </is>
      </c>
      <c r="F773" s="10" t="inlineStr">
        <is>
          <t>-</t>
        </is>
      </c>
      <c r="G773" s="10" t="inlineStr">
        <is>
          <t>Control de software malicioso</t>
        </is>
      </c>
      <c r="H773" s="17" t="inlineStr">
        <is>
          <t>Eset Endpoint Security</t>
        </is>
      </c>
      <c r="I773" s="17" t="inlineStr">
        <is>
          <t>Herramienta de control de software malicioso</t>
        </is>
      </c>
      <c r="J773" s="10" t="inlineStr">
        <is>
          <t>GERENTE DE TI</t>
        </is>
      </c>
      <c r="K773" s="10" t="inlineStr">
        <is>
          <t>ADMINISTRADOR DE SEGURIDAD INFORMÁTICA</t>
        </is>
      </c>
      <c r="L773" s="10" t="inlineStr">
        <is>
          <t>UBICACIÓN FISICA-SUCURSAL IBARRA</t>
        </is>
      </c>
      <c r="M773" s="10" t="inlineStr">
        <is>
          <t>DISCOS DUROS, SERVIDORES, DISCOS O MEDIOS PORTÁTILES, CINTAS O MEDIOS DE VIDEO Y AUDIO, ETC.</t>
        </is>
      </c>
      <c r="N773" s="10" t="inlineStr">
        <is>
          <t>APOYO</t>
        </is>
      </c>
      <c r="O773" s="10" t="inlineStr">
        <is>
          <t>SOFTWARE</t>
        </is>
      </c>
      <c r="P773" s="10" t="inlineStr">
        <is>
          <t>RESTRINGIDO(3)</t>
        </is>
      </c>
      <c r="Q773" s="10" t="inlineStr">
        <is>
          <t>MEDIA(2)</t>
        </is>
      </c>
      <c r="R773" s="10" t="inlineStr">
        <is>
          <t>ALTA(3)</t>
        </is>
      </c>
      <c r="S773" s="10">
        <f>+(IF(P773="PUBLICA(1)",1,IF(P773="USO INTERNO(2)",2,IF(P773="RESTRINGIDO(3)",3,3))))+(IF(Q773="BAJA(1)",1,IF(Q773="MEDIA(2)",2,IF(Q773="ALTA(3)",3,3))))+(IF(R773="BAJA(1)",1,IF(R773="MEDIA(2)",2,IF(R773="ALTA(3)",3,3))))</f>
        <v/>
      </c>
      <c r="T773" s="10">
        <f>+IF(S773&lt;6,"BAJA",IF(S773&lt;8,"MEDIA","ALTA"))</f>
        <v/>
      </c>
      <c r="U773" s="10" t="inlineStr">
        <is>
          <t>-</t>
        </is>
      </c>
      <c r="V773" s="24" t="n">
        <v>43815</v>
      </c>
      <c r="W773" s="19" t="inlineStr">
        <is>
          <t>N/A</t>
        </is>
      </c>
      <c r="X773" s="10">
        <f>+IFERROR(IF(VLOOKUP(Tabla2[[#This Row],[ID]],'EVALUACION DE RIESGO'!A:A,1,FALSE)=Tabla2[[#This Row],[ID]],"SI","NO"),"NO")</f>
        <v/>
      </c>
    </row>
    <row r="774" ht="12" customHeight="1" s="98">
      <c r="A774" s="40" t="inlineStr">
        <is>
          <t>71-GTI</t>
        </is>
      </c>
      <c r="B774" s="10" t="inlineStr">
        <is>
          <t>APOYO</t>
        </is>
      </c>
      <c r="C774" s="10" t="inlineStr">
        <is>
          <t>Gestión de Tecnología de la Información</t>
        </is>
      </c>
      <c r="D774" s="10" t="inlineStr">
        <is>
          <t>GTI</t>
        </is>
      </c>
      <c r="E774" s="10" t="inlineStr">
        <is>
          <t>Gestión de Seguridad Informática</t>
        </is>
      </c>
      <c r="F774" s="10" t="inlineStr">
        <is>
          <t>-</t>
        </is>
      </c>
      <c r="G774" s="10" t="inlineStr">
        <is>
          <t>Control de software malicioso</t>
        </is>
      </c>
      <c r="H774" s="17" t="inlineStr">
        <is>
          <t>FortiMail</t>
        </is>
      </c>
      <c r="I774" s="17" t="inlineStr">
        <is>
          <t>Control de correo no deseado Antispam</t>
        </is>
      </c>
      <c r="J774" s="10" t="inlineStr">
        <is>
          <t>GERENTE DE TI</t>
        </is>
      </c>
      <c r="K774" s="10" t="inlineStr">
        <is>
          <t>ADMINISTRADOR DE SEGURIDAD INFORMÁTICA</t>
        </is>
      </c>
      <c r="L774" s="10" t="inlineStr">
        <is>
          <t>UBICACIÓN FISICA-SUCURSAL IBARRA</t>
        </is>
      </c>
      <c r="M774" s="10" t="inlineStr">
        <is>
          <t>DISCOS DUROS, SERVIDORES, DISCOS O MEDIOS PORTÁTILES, CINTAS O MEDIOS DE VIDEO Y AUDIO, ETC.</t>
        </is>
      </c>
      <c r="N774" s="10" t="inlineStr">
        <is>
          <t>APOYO</t>
        </is>
      </c>
      <c r="O774" s="10" t="inlineStr">
        <is>
          <t>SOFTWARE</t>
        </is>
      </c>
      <c r="P774" s="10" t="inlineStr">
        <is>
          <t>RESTRINGIDO(3)</t>
        </is>
      </c>
      <c r="Q774" s="10" t="inlineStr">
        <is>
          <t>MEDIA(2)</t>
        </is>
      </c>
      <c r="R774" s="10" t="inlineStr">
        <is>
          <t>ALTA(3)</t>
        </is>
      </c>
      <c r="S774" s="10">
        <f>+(IF(P774="PUBLICA(1)",1,IF(P774="USO INTERNO(2)",2,IF(P774="RESTRINGIDO(3)",3,3))))+(IF(Q774="BAJA(1)",1,IF(Q774="MEDIA(2)",2,IF(Q774="ALTA(3)",3,3))))+(IF(R774="BAJA(1)",1,IF(R774="MEDIA(2)",2,IF(R774="ALTA(3)",3,3))))</f>
        <v/>
      </c>
      <c r="T774" s="10">
        <f>+IF(S774&lt;6,"BAJA",IF(S774&lt;8,"MEDIA","ALTA"))</f>
        <v/>
      </c>
      <c r="U774" s="10" t="inlineStr">
        <is>
          <t>-</t>
        </is>
      </c>
      <c r="V774" s="24" t="n">
        <v>43815</v>
      </c>
      <c r="W774" s="19" t="inlineStr">
        <is>
          <t>N/A</t>
        </is>
      </c>
      <c r="X774" s="10">
        <f>+IFERROR(IF(VLOOKUP(Tabla2[[#This Row],[ID]],'EVALUACION DE RIESGO'!A:A,1,FALSE)=Tabla2[[#This Row],[ID]],"SI","NO"),"NO")</f>
        <v/>
      </c>
    </row>
    <row r="775" ht="12" customHeight="1" s="98">
      <c r="A775" s="40" t="inlineStr">
        <is>
          <t>72-GTI</t>
        </is>
      </c>
      <c r="B775" s="10" t="inlineStr">
        <is>
          <t>APOYO</t>
        </is>
      </c>
      <c r="C775" s="10" t="inlineStr">
        <is>
          <t>Gestión de Tecnología de la Información</t>
        </is>
      </c>
      <c r="D775" s="10" t="inlineStr">
        <is>
          <t>GTI</t>
        </is>
      </c>
      <c r="E775" s="10" t="inlineStr">
        <is>
          <t>Gestión de Seguridad Informática</t>
        </is>
      </c>
      <c r="F775" s="10" t="inlineStr">
        <is>
          <t>-</t>
        </is>
      </c>
      <c r="G775" s="10" t="inlineStr">
        <is>
          <t>Gestión de incidentes de seguridad</t>
        </is>
      </c>
      <c r="H775" s="17" t="inlineStr">
        <is>
          <t>Informe de gestión</t>
        </is>
      </c>
      <c r="I775" s="17" t="inlineStr">
        <is>
          <t>Informe eventos de seguridad</t>
        </is>
      </c>
      <c r="J775" s="10" t="inlineStr">
        <is>
          <t>GERENTE DE TI</t>
        </is>
      </c>
      <c r="K775" s="10" t="inlineStr">
        <is>
          <t>ADMINISTRADOR DE SEGURIDAD INFORMÁTICA</t>
        </is>
      </c>
      <c r="L775" s="10" t="inlineStr">
        <is>
          <t>UBICACIÓN FISICA-SUCURSAL IBARRA</t>
        </is>
      </c>
      <c r="M775" s="10" t="inlineStr">
        <is>
          <t>DISCOS DUROS, SERVIDORES, DISCOS O MEDIOS PORTÁTILES, CINTAS O MEDIOS DE VIDEO Y AUDIO, ETC.</t>
        </is>
      </c>
      <c r="N775" s="10" t="inlineStr">
        <is>
          <t>PRIMARIOS</t>
        </is>
      </c>
      <c r="O775" s="10" t="inlineStr">
        <is>
          <t>DOCUMENTOS TÉCNICOS</t>
        </is>
      </c>
      <c r="P775" s="10" t="inlineStr">
        <is>
          <t>RESTRINGIDO(3)</t>
        </is>
      </c>
      <c r="Q775" s="10" t="inlineStr">
        <is>
          <t>MEDIA(2)</t>
        </is>
      </c>
      <c r="R775" s="10" t="inlineStr">
        <is>
          <t>ALTA(3)</t>
        </is>
      </c>
      <c r="S775" s="10">
        <f>+(IF(P775="PUBLICA(1)",1,IF(P775="USO INTERNO(2)",2,IF(P775="RESTRINGIDO(3)",3,3))))+(IF(Q775="BAJA(1)",1,IF(Q775="MEDIA(2)",2,IF(Q775="ALTA(3)",3,3))))+(IF(R775="BAJA(1)",1,IF(R775="MEDIA(2)",2,IF(R775="ALTA(3)",3,3))))</f>
        <v/>
      </c>
      <c r="T775" s="10">
        <f>+IF(S775&lt;6,"BAJA",IF(S775&lt;8,"MEDIA","ALTA"))</f>
        <v/>
      </c>
      <c r="U775" s="10" t="inlineStr">
        <is>
          <t>-</t>
        </is>
      </c>
      <c r="V775" s="24" t="n">
        <v>43815</v>
      </c>
      <c r="W775" s="19" t="inlineStr">
        <is>
          <t>N/A</t>
        </is>
      </c>
      <c r="X775" s="10">
        <f>+IFERROR(IF(VLOOKUP(Tabla2[[#This Row],[ID]],'EVALUACION DE RIESGO'!A:A,1,FALSE)=Tabla2[[#This Row],[ID]],"SI","NO"),"NO")</f>
        <v/>
      </c>
    </row>
    <row r="776" ht="20.5" customHeight="1" s="98">
      <c r="A776" s="40" t="inlineStr">
        <is>
          <t>73-GTI</t>
        </is>
      </c>
      <c r="B776" s="10" t="inlineStr">
        <is>
          <t>APOYO</t>
        </is>
      </c>
      <c r="C776" s="10" t="inlineStr">
        <is>
          <t>Gestión de Tecnología de la Información</t>
        </is>
      </c>
      <c r="D776" s="10" t="inlineStr">
        <is>
          <t>GTI</t>
        </is>
      </c>
      <c r="E776" s="10" t="inlineStr">
        <is>
          <t>Gestión de Seguridad Informática</t>
        </is>
      </c>
      <c r="F776" s="10" t="inlineStr">
        <is>
          <t>-</t>
        </is>
      </c>
      <c r="G776" s="10" t="inlineStr">
        <is>
          <t>Control de software malicioso</t>
        </is>
      </c>
      <c r="H776" s="17" t="inlineStr">
        <is>
          <t>Consola ESET</t>
        </is>
      </c>
      <c r="I776" s="17" t="inlineStr">
        <is>
          <t>Servidor control software malicioso 
192.168.100.235</t>
        </is>
      </c>
      <c r="J776" s="10" t="inlineStr">
        <is>
          <t>GERENTE DE TI</t>
        </is>
      </c>
      <c r="K776" s="10" t="inlineStr">
        <is>
          <t>ADMINISTRADOR DE SEGURIDAD INFORMÁTICA</t>
        </is>
      </c>
      <c r="L776" s="10" t="inlineStr">
        <is>
          <t>UBICACIÓN FISICA-SUCURSAL IBARRA</t>
        </is>
      </c>
      <c r="M776" s="10" t="inlineStr">
        <is>
          <t>DISCOS DUROS, SERVIDORES, DISCOS O MEDIOS PORTÁTILES, CINTAS O MEDIOS DE VIDEO Y AUDIO, ETC.</t>
        </is>
      </c>
      <c r="N776" s="10" t="inlineStr">
        <is>
          <t>APOYO</t>
        </is>
      </c>
      <c r="O776" s="10" t="inlineStr">
        <is>
          <t>HARDWARE</t>
        </is>
      </c>
      <c r="P776" s="10" t="inlineStr">
        <is>
          <t>USO INTERNO(2)</t>
        </is>
      </c>
      <c r="Q776" s="10" t="inlineStr">
        <is>
          <t>ALTA(3)</t>
        </is>
      </c>
      <c r="R776" s="10" t="inlineStr">
        <is>
          <t>ALTA(3)</t>
        </is>
      </c>
      <c r="S776" s="10">
        <f>+(IF(P776="PUBLICA(1)",1,IF(P776="USO INTERNO(2)",2,IF(P776="RESTRINGIDO(3)",3,3))))+(IF(Q776="BAJA(1)",1,IF(Q776="MEDIA(2)",2,IF(Q776="ALTA(3)",3,3))))+(IF(R776="BAJA(1)",1,IF(R776="MEDIA(2)",2,IF(R776="ALTA(3)",3,3))))</f>
        <v/>
      </c>
      <c r="T776" s="10">
        <f>+IF(S776&lt;6,"BAJA",IF(S776&lt;8,"MEDIA","ALTA"))</f>
        <v/>
      </c>
      <c r="U776" s="10" t="inlineStr">
        <is>
          <t>-</t>
        </is>
      </c>
      <c r="V776" s="24" t="n">
        <v>43815</v>
      </c>
      <c r="W776" s="19" t="inlineStr">
        <is>
          <t>N/A</t>
        </is>
      </c>
      <c r="X776" s="10">
        <f>+IFERROR(IF(VLOOKUP(Tabla2[[#This Row],[ID]],'EVALUACION DE RIESGO'!A:A,1,FALSE)=Tabla2[[#This Row],[ID]],"SI","NO"),"NO")</f>
        <v/>
      </c>
    </row>
    <row r="777" ht="20.5" customHeight="1" s="98">
      <c r="A777" s="40" t="inlineStr">
        <is>
          <t>74-GTI</t>
        </is>
      </c>
      <c r="B777" s="10" t="inlineStr">
        <is>
          <t>APOYO</t>
        </is>
      </c>
      <c r="C777" s="10" t="inlineStr">
        <is>
          <t>Gestión de Tecnología de la Información</t>
        </is>
      </c>
      <c r="D777" s="10" t="inlineStr">
        <is>
          <t>GTI</t>
        </is>
      </c>
      <c r="E777" s="10" t="inlineStr">
        <is>
          <t>Gestión de Seguridad Informática</t>
        </is>
      </c>
      <c r="F777" s="10" t="inlineStr">
        <is>
          <t>-</t>
        </is>
      </c>
      <c r="G777" s="10" t="inlineStr">
        <is>
          <t>Control de software malicioso</t>
        </is>
      </c>
      <c r="H777" s="17" t="inlineStr">
        <is>
          <t>Consola AntiSpam</t>
        </is>
      </c>
      <c r="I777" s="17" t="inlineStr">
        <is>
          <t>Servidor prevencion correo no deseado  
192.168.23.6</t>
        </is>
      </c>
      <c r="J777" s="10" t="inlineStr">
        <is>
          <t>GERENTE DE TI</t>
        </is>
      </c>
      <c r="K777" s="10" t="inlineStr">
        <is>
          <t>ADMINISTRADOR DE SEGURIDAD INFORMÁTICA</t>
        </is>
      </c>
      <c r="L777" s="10" t="inlineStr">
        <is>
          <t>UBICACIÓN FISICA-SUCURSAL IBARRA</t>
        </is>
      </c>
      <c r="M777" s="10" t="inlineStr">
        <is>
          <t>DISCOS DUROS, SERVIDORES, DISCOS O MEDIOS PORTÁTILES, CINTAS O MEDIOS DE VIDEO Y AUDIO, ETC.</t>
        </is>
      </c>
      <c r="N777" s="10" t="inlineStr">
        <is>
          <t>APOYO</t>
        </is>
      </c>
      <c r="O777" s="10" t="inlineStr">
        <is>
          <t>HARDWARE</t>
        </is>
      </c>
      <c r="P777" s="10" t="inlineStr">
        <is>
          <t>USO INTERNO(2)</t>
        </is>
      </c>
      <c r="Q777" s="10" t="inlineStr">
        <is>
          <t>ALTA(3)</t>
        </is>
      </c>
      <c r="R777" s="10" t="inlineStr">
        <is>
          <t>ALTA(3)</t>
        </is>
      </c>
      <c r="S777" s="10">
        <f>+(IF(P777="PUBLICA(1)",1,IF(P777="USO INTERNO(2)",2,IF(P777="RESTRINGIDO(3)",3,3))))+(IF(Q777="BAJA(1)",1,IF(Q777="MEDIA(2)",2,IF(Q777="ALTA(3)",3,3))))+(IF(R777="BAJA(1)",1,IF(R777="MEDIA(2)",2,IF(R777="ALTA(3)",3,3))))</f>
        <v/>
      </c>
      <c r="T777" s="10">
        <f>+IF(S777&lt;6,"BAJA",IF(S777&lt;8,"MEDIA","ALTA"))</f>
        <v/>
      </c>
      <c r="U777" s="10" t="inlineStr">
        <is>
          <t>-</t>
        </is>
      </c>
      <c r="V777" s="24" t="n">
        <v>43815</v>
      </c>
      <c r="W777" s="19" t="inlineStr">
        <is>
          <t>N/A</t>
        </is>
      </c>
      <c r="X777" s="10">
        <f>+IFERROR(IF(VLOOKUP(Tabla2[[#This Row],[ID]],'EVALUACION DE RIESGO'!A:A,1,FALSE)=Tabla2[[#This Row],[ID]],"SI","NO"),"NO")</f>
        <v/>
      </c>
    </row>
    <row r="778" ht="20.5" customHeight="1" s="98">
      <c r="A778" s="40" t="inlineStr">
        <is>
          <t>75-GTI</t>
        </is>
      </c>
      <c r="B778" s="10" t="inlineStr">
        <is>
          <t>APOYO</t>
        </is>
      </c>
      <c r="C778" s="10" t="inlineStr">
        <is>
          <t>Gestión de Tecnología de la Información</t>
        </is>
      </c>
      <c r="D778" s="10" t="inlineStr">
        <is>
          <t>GTI</t>
        </is>
      </c>
      <c r="E778" s="10" t="inlineStr">
        <is>
          <t>Gestión de Seguridad Informática</t>
        </is>
      </c>
      <c r="F778" s="10" t="inlineStr">
        <is>
          <t>-</t>
        </is>
      </c>
      <c r="G778" s="10" t="inlineStr">
        <is>
          <t>Seguridad Perimetral</t>
        </is>
      </c>
      <c r="H778" s="17" t="inlineStr">
        <is>
          <t>Consola Firewall</t>
        </is>
      </c>
      <c r="I778" s="17" t="inlineStr">
        <is>
          <t>Consola de administracion firewall
192.168.21.2</t>
        </is>
      </c>
      <c r="J778" s="10" t="inlineStr">
        <is>
          <t>GERENTE DE TI</t>
        </is>
      </c>
      <c r="K778" s="10" t="inlineStr">
        <is>
          <t>ADMINISTRADOR DE SEGURIDAD INFORMÁTICA</t>
        </is>
      </c>
      <c r="L778" s="10" t="inlineStr">
        <is>
          <t>UBICACIÓN FISICA-SUCURSAL IBARRA</t>
        </is>
      </c>
      <c r="M778" s="10" t="inlineStr">
        <is>
          <t>DISCOS DUROS, SERVIDORES, DISCOS O MEDIOS PORTÁTILES, CINTAS O MEDIOS DE VIDEO Y AUDIO, ETC.</t>
        </is>
      </c>
      <c r="N778" s="10" t="inlineStr">
        <is>
          <t>APOYO</t>
        </is>
      </c>
      <c r="O778" s="10" t="inlineStr">
        <is>
          <t>HARDWARE</t>
        </is>
      </c>
      <c r="P778" s="10" t="inlineStr">
        <is>
          <t>USO INTERNO(2)</t>
        </is>
      </c>
      <c r="Q778" s="10" t="inlineStr">
        <is>
          <t>ALTA(3)</t>
        </is>
      </c>
      <c r="R778" s="10" t="inlineStr">
        <is>
          <t>ALTA(3)</t>
        </is>
      </c>
      <c r="S778" s="10">
        <f>+(IF(P778="PUBLICA(1)",1,IF(P778="USO INTERNO(2)",2,IF(P778="RESTRINGIDO(3)",3,3))))+(IF(Q778="BAJA(1)",1,IF(Q778="MEDIA(2)",2,IF(Q778="ALTA(3)",3,3))))+(IF(R778="BAJA(1)",1,IF(R778="MEDIA(2)",2,IF(R778="ALTA(3)",3,3))))</f>
        <v/>
      </c>
      <c r="T778" s="10">
        <f>+IF(S778&lt;6,"BAJA",IF(S778&lt;8,"MEDIA","ALTA"))</f>
        <v/>
      </c>
      <c r="U778" s="10" t="inlineStr">
        <is>
          <t>-</t>
        </is>
      </c>
      <c r="V778" s="24" t="n">
        <v>43815</v>
      </c>
      <c r="W778" s="19" t="inlineStr">
        <is>
          <t>N/A</t>
        </is>
      </c>
      <c r="X778" s="10">
        <f>+IFERROR(IF(VLOOKUP(Tabla2[[#This Row],[ID]],'EVALUACION DE RIESGO'!A:A,1,FALSE)=Tabla2[[#This Row],[ID]],"SI","NO"),"NO")</f>
        <v/>
      </c>
    </row>
    <row r="779">
      <c r="A779" s="91" t="inlineStr">
        <is>
          <t>76-GTI</t>
        </is>
      </c>
      <c r="B779" s="10" t="inlineStr">
        <is>
          <t>APOYO</t>
        </is>
      </c>
      <c r="C779" s="10" t="inlineStr">
        <is>
          <t>Gestión de Tecnología de la Información</t>
        </is>
      </c>
      <c r="D779" s="10" t="inlineStr">
        <is>
          <t>GTI</t>
        </is>
      </c>
      <c r="E779" s="10" t="inlineStr">
        <is>
          <t>Gestión de Seguridad Informática</t>
        </is>
      </c>
      <c r="F779" s="10" t="inlineStr">
        <is>
          <t>-</t>
        </is>
      </c>
      <c r="G779" s="10" t="inlineStr">
        <is>
          <t>Seguridad Perimetral</t>
        </is>
      </c>
      <c r="H779" s="10" t="inlineStr">
        <is>
          <t>Firewall</t>
        </is>
      </c>
      <c r="I779" s="10" t="inlineStr">
        <is>
          <t>Firewall Perimetral
192.168.21.1</t>
        </is>
      </c>
      <c r="J779" s="10" t="inlineStr">
        <is>
          <t>GERENTE DE TI</t>
        </is>
      </c>
      <c r="K779" s="10" t="inlineStr">
        <is>
          <t>ADMINISTRADOR DE SEGURIDAD INFORMÁTICA</t>
        </is>
      </c>
      <c r="L779" s="10" t="inlineStr">
        <is>
          <t>UBICACIÓN FISICA-SUCURSAL IBARRA</t>
        </is>
      </c>
      <c r="M779" s="10" t="inlineStr">
        <is>
          <t>DISCOS DUROS, SERVIDORES, DISCOS O MEDIOS PORTÁTILES, CINTAS O MEDIOS DE VIDEO Y AUDIO, ETC.</t>
        </is>
      </c>
      <c r="N779" s="10" t="inlineStr">
        <is>
          <t>APOYO</t>
        </is>
      </c>
      <c r="O779" s="10" t="inlineStr">
        <is>
          <t>HARDWARE</t>
        </is>
      </c>
      <c r="P779" s="10" t="inlineStr">
        <is>
          <t>USO INTERNO(2)</t>
        </is>
      </c>
      <c r="Q779" s="10" t="inlineStr">
        <is>
          <t>BAJA(1)</t>
        </is>
      </c>
      <c r="R779" s="10" t="inlineStr">
        <is>
          <t>ALTA(3)</t>
        </is>
      </c>
      <c r="S779" s="10">
        <f>+(IF(P779="PUBLICA(1)",1,IF(P779="USO INTERNO(2)",2,IF(P779="RESTRINGIDO(3)",3,3))))+(IF(Q779="BAJA(1)",1,IF(Q779="MEDIA(2)",2,IF(Q779="ALTA(3)",3,3))))+(IF(R779="BAJA(1)",1,IF(R779="MEDIA(2)",2,IF(R779="ALTA(3)",3,3))))</f>
        <v/>
      </c>
      <c r="T779" s="10">
        <f>+IF(S779&lt;6,"BAJA",IF(S779&lt;8,"MEDIA","ALTA"))</f>
        <v/>
      </c>
      <c r="U779" s="10" t="inlineStr">
        <is>
          <t>-</t>
        </is>
      </c>
      <c r="V779" s="24" t="n">
        <v>43815</v>
      </c>
      <c r="W779" s="19" t="inlineStr">
        <is>
          <t>N/A</t>
        </is>
      </c>
      <c r="X779" s="10">
        <f>+IFERROR(IF(VLOOKUP(Tabla2[[#This Row],[ID]],'EVALUACION DE RIESGO'!A:A,1,FALSE)=Tabla2[[#This Row],[ID]],"SI","NO"),"NO")</f>
        <v/>
      </c>
    </row>
    <row r="780" ht="20.5" customHeight="1" s="98">
      <c r="A780" s="40" t="inlineStr">
        <is>
          <t>77-GTI</t>
        </is>
      </c>
      <c r="B780" s="10" t="inlineStr">
        <is>
          <t>APOYO</t>
        </is>
      </c>
      <c r="C780" s="10" t="inlineStr">
        <is>
          <t>Gestión de Tecnología de la Información</t>
        </is>
      </c>
      <c r="D780" s="10" t="inlineStr">
        <is>
          <t>GTI</t>
        </is>
      </c>
      <c r="E780" s="10" t="inlineStr">
        <is>
          <t>Gestión de Seguridad Informática</t>
        </is>
      </c>
      <c r="F780" s="10" t="inlineStr">
        <is>
          <t>-</t>
        </is>
      </c>
      <c r="G780" s="10" t="inlineStr">
        <is>
          <t>Seguridad Perimetral</t>
        </is>
      </c>
      <c r="H780" s="17" t="inlineStr">
        <is>
          <t>Consola FortiAnalizer</t>
        </is>
      </c>
      <c r="I780" s="17" t="inlineStr">
        <is>
          <t>Analizador de logs
192.168.100.232</t>
        </is>
      </c>
      <c r="J780" s="10" t="inlineStr">
        <is>
          <t>GERENTE DE TI</t>
        </is>
      </c>
      <c r="K780" s="10" t="inlineStr">
        <is>
          <t>ADMINISTRADOR DE SEGURIDAD INFORMÁTICA</t>
        </is>
      </c>
      <c r="L780" s="10" t="inlineStr">
        <is>
          <t>UBICACIÓN FISICA-SUCURSAL IBARRA</t>
        </is>
      </c>
      <c r="M780" s="10" t="inlineStr">
        <is>
          <t>DISCOS DUROS, SERVIDORES, DISCOS O MEDIOS PORTÁTILES, CINTAS O MEDIOS DE VIDEO Y AUDIO, ETC.</t>
        </is>
      </c>
      <c r="N780" s="10" t="inlineStr">
        <is>
          <t>APOYO</t>
        </is>
      </c>
      <c r="O780" s="10" t="inlineStr">
        <is>
          <t>HARDWARE</t>
        </is>
      </c>
      <c r="P780" s="10" t="inlineStr">
        <is>
          <t>USO INTERNO(2)</t>
        </is>
      </c>
      <c r="Q780" s="10" t="inlineStr">
        <is>
          <t>ALTA(3)</t>
        </is>
      </c>
      <c r="R780" s="10" t="inlineStr">
        <is>
          <t>ALTA(3)</t>
        </is>
      </c>
      <c r="S780" s="10">
        <f>+(IF(P780="PUBLICA(1)",1,IF(P780="USO INTERNO(2)",2,IF(P780="RESTRINGIDO(3)",3,3))))+(IF(Q780="BAJA(1)",1,IF(Q780="MEDIA(2)",2,IF(Q780="ALTA(3)",3,3))))+(IF(R780="BAJA(1)",1,IF(R780="MEDIA(2)",2,IF(R780="ALTA(3)",3,3))))</f>
        <v/>
      </c>
      <c r="T780" s="10">
        <f>+IF(S780&lt;6,"BAJA",IF(S780&lt;8,"MEDIA","ALTA"))</f>
        <v/>
      </c>
      <c r="U780" s="10" t="inlineStr">
        <is>
          <t>-</t>
        </is>
      </c>
      <c r="V780" s="24" t="n">
        <v>43815</v>
      </c>
      <c r="W780" s="19" t="inlineStr">
        <is>
          <t>N/A</t>
        </is>
      </c>
      <c r="X780" s="10">
        <f>+IFERROR(IF(VLOOKUP(Tabla2[[#This Row],[ID]],'EVALUACION DE RIESGO'!A:A,1,FALSE)=Tabla2[[#This Row],[ID]],"SI","NO"),"NO")</f>
        <v/>
      </c>
    </row>
    <row r="781" ht="20.5" customHeight="1" s="98">
      <c r="A781" s="91" t="inlineStr">
        <is>
          <t>78-GTI</t>
        </is>
      </c>
      <c r="B781" s="10" t="inlineStr">
        <is>
          <t>APOYO</t>
        </is>
      </c>
      <c r="C781" s="10" t="inlineStr">
        <is>
          <t>Gestión de Tecnología de la Información</t>
        </is>
      </c>
      <c r="D781" s="10" t="inlineStr">
        <is>
          <t>GTI</t>
        </is>
      </c>
      <c r="E781" s="10" t="inlineStr">
        <is>
          <t>Gestión de Seguridad Informática</t>
        </is>
      </c>
      <c r="F781" s="10" t="inlineStr">
        <is>
          <t>-</t>
        </is>
      </c>
      <c r="G781" s="10" t="inlineStr">
        <is>
          <t>Seguridad Perimetral</t>
        </is>
      </c>
      <c r="H781" s="17" t="inlineStr">
        <is>
          <t>FortiGate</t>
        </is>
      </c>
      <c r="I781" s="17" t="inlineStr">
        <is>
          <t>Consola de administracion  
192.168.100.238</t>
        </is>
      </c>
      <c r="J781" s="10" t="inlineStr">
        <is>
          <t>GERENTE DE TI</t>
        </is>
      </c>
      <c r="K781" s="10" t="inlineStr">
        <is>
          <t>ADMINISTRADOR DE SEGURIDAD INFORMÁTICA</t>
        </is>
      </c>
      <c r="L781" s="10" t="inlineStr">
        <is>
          <t>UBICACIÓN FISICA-SUCURSAL IBARRA</t>
        </is>
      </c>
      <c r="M781" s="10" t="inlineStr">
        <is>
          <t>DISCOS DUROS, SERVIDORES, DISCOS O MEDIOS PORTÁTILES, CINTAS O MEDIOS DE VIDEO Y AUDIO, ETC.</t>
        </is>
      </c>
      <c r="N781" s="10" t="inlineStr">
        <is>
          <t>APOYO</t>
        </is>
      </c>
      <c r="O781" s="10" t="inlineStr">
        <is>
          <t>HARDWARE</t>
        </is>
      </c>
      <c r="P781" s="10" t="inlineStr">
        <is>
          <t>USO INTERNO(2)</t>
        </is>
      </c>
      <c r="Q781" s="10" t="inlineStr">
        <is>
          <t>ALTA(3)</t>
        </is>
      </c>
      <c r="R781" s="10" t="inlineStr">
        <is>
          <t>ALTA(3)</t>
        </is>
      </c>
      <c r="S781" s="10">
        <f>+(IF(P781="PUBLICA(1)",1,IF(P781="USO INTERNO(2)",2,IF(P781="RESTRINGIDO(3)",3,3))))+(IF(Q781="BAJA(1)",1,IF(Q781="MEDIA(2)",2,IF(Q781="ALTA(3)",3,3))))+(IF(R781="BAJA(1)",1,IF(R781="MEDIA(2)",2,IF(R781="ALTA(3)",3,3))))</f>
        <v/>
      </c>
      <c r="T781" s="10">
        <f>+IF(S781&lt;6,"BAJA",IF(S781&lt;8,"MEDIA","ALTA"))</f>
        <v/>
      </c>
      <c r="U781" s="10" t="inlineStr">
        <is>
          <t>-</t>
        </is>
      </c>
      <c r="V781" s="24" t="n">
        <v>43815</v>
      </c>
      <c r="W781" s="19" t="inlineStr">
        <is>
          <t>N/A</t>
        </is>
      </c>
      <c r="X781" s="10">
        <f>+IFERROR(IF(VLOOKUP(Tabla2[[#This Row],[ID]],'EVALUACION DE RIESGO'!A:A,1,FALSE)=Tabla2[[#This Row],[ID]],"SI","NO"),"NO")</f>
        <v/>
      </c>
    </row>
    <row r="782">
      <c r="A782" s="91" t="inlineStr">
        <is>
          <t>79-GTI</t>
        </is>
      </c>
      <c r="B782" s="10" t="inlineStr">
        <is>
          <t>APOYO</t>
        </is>
      </c>
      <c r="C782" s="10" t="inlineStr">
        <is>
          <t>Gestión de Tecnología de la Información</t>
        </is>
      </c>
      <c r="D782" s="10" t="inlineStr">
        <is>
          <t>GTI</t>
        </is>
      </c>
      <c r="E782" s="10" t="inlineStr">
        <is>
          <t>Gestión de Seguridad Informática</t>
        </is>
      </c>
      <c r="F782" s="10" t="inlineStr">
        <is>
          <t>-</t>
        </is>
      </c>
      <c r="G782" s="10" t="inlineStr">
        <is>
          <t xml:space="preserve">Gestión de respaldos        </t>
        </is>
      </c>
      <c r="H782" s="10" t="inlineStr">
        <is>
          <t>Veeam Backup</t>
        </is>
      </c>
      <c r="I782" s="10" t="inlineStr">
        <is>
          <t>Servidor de copias de seguridad 
192.168.100.233</t>
        </is>
      </c>
      <c r="J782" s="10" t="inlineStr">
        <is>
          <t>GERENTE DE TI</t>
        </is>
      </c>
      <c r="K782" s="10" t="inlineStr">
        <is>
          <t>ADMINISTRADOR DE SEGURIDAD INFORMÁTICA</t>
        </is>
      </c>
      <c r="L782" s="10" t="inlineStr">
        <is>
          <t>UBICACIÓN FISICA-SUCURSAL IBARRA</t>
        </is>
      </c>
      <c r="M782" s="10" t="inlineStr">
        <is>
          <t>DISCOS DUROS, SERVIDORES, DISCOS O MEDIOS PORTÁTILES, CINTAS O MEDIOS DE VIDEO Y AUDIO, ETC.</t>
        </is>
      </c>
      <c r="N782" s="10" t="inlineStr">
        <is>
          <t>APOYO</t>
        </is>
      </c>
      <c r="O782" s="10" t="inlineStr">
        <is>
          <t>HARDWARE</t>
        </is>
      </c>
      <c r="P782" s="10" t="inlineStr">
        <is>
          <t>USO INTERNO(2)</t>
        </is>
      </c>
      <c r="Q782" s="10" t="inlineStr">
        <is>
          <t>MEDIA(2)</t>
        </is>
      </c>
      <c r="R782" s="10" t="inlineStr">
        <is>
          <t>MEDIA(2)</t>
        </is>
      </c>
      <c r="S782" s="10">
        <f>+(IF(P782="PUBLICA(1)",1,IF(P782="USO INTERNO(2)",2,IF(P782="RESTRINGIDO(3)",3,3))))+(IF(Q782="BAJA(1)",1,IF(Q782="MEDIA(2)",2,IF(Q782="ALTA(3)",3,3))))+(IF(R782="BAJA(1)",1,IF(R782="MEDIA(2)",2,IF(R782="ALTA(3)",3,3))))</f>
        <v/>
      </c>
      <c r="T782" s="10">
        <f>+IF(S782&lt;6,"BAJA",IF(S782&lt;8,"MEDIA","ALTA"))</f>
        <v/>
      </c>
      <c r="U782" s="10" t="inlineStr">
        <is>
          <t>-</t>
        </is>
      </c>
      <c r="V782" s="24" t="n">
        <v>43815</v>
      </c>
      <c r="W782" s="19" t="inlineStr">
        <is>
          <t>N/A</t>
        </is>
      </c>
      <c r="X782" s="10">
        <f>+IFERROR(IF(VLOOKUP(Tabla2[[#This Row],[ID]],'EVALUACION DE RIESGO'!A:A,1,FALSE)=Tabla2[[#This Row],[ID]],"SI","NO"),"NO")</f>
        <v/>
      </c>
    </row>
    <row r="783" ht="20.5" customHeight="1" s="98">
      <c r="A783" s="91" t="inlineStr">
        <is>
          <t>80-GTI</t>
        </is>
      </c>
      <c r="B783" s="10" t="inlineStr">
        <is>
          <t>APOYO</t>
        </is>
      </c>
      <c r="C783" s="10" t="inlineStr">
        <is>
          <t>Gestión de Tecnología de la Información</t>
        </is>
      </c>
      <c r="D783" s="10" t="inlineStr">
        <is>
          <t>GTI</t>
        </is>
      </c>
      <c r="E783" s="10" t="inlineStr">
        <is>
          <t>Gestión de Seguridad Informática</t>
        </is>
      </c>
      <c r="F783" s="10" t="inlineStr">
        <is>
          <t>-</t>
        </is>
      </c>
      <c r="G783" s="10" t="inlineStr">
        <is>
          <t>N/A</t>
        </is>
      </c>
      <c r="H783" s="17" t="inlineStr">
        <is>
          <t>Administrador de Seguridad Informática</t>
        </is>
      </c>
      <c r="I783" s="17" t="inlineStr">
        <is>
          <t>Funcionarios con el cargo de Administrador de Seguridad Informática</t>
        </is>
      </c>
      <c r="J783" s="10" t="inlineStr">
        <is>
          <t>N/A</t>
        </is>
      </c>
      <c r="K783" s="10" t="inlineStr">
        <is>
          <t>N/A</t>
        </is>
      </c>
      <c r="L783" s="10" t="inlineStr">
        <is>
          <t>N/A</t>
        </is>
      </c>
      <c r="M783" s="10" t="inlineStr">
        <is>
          <t>N/A</t>
        </is>
      </c>
      <c r="N783" s="10" t="inlineStr">
        <is>
          <t>APOYO</t>
        </is>
      </c>
      <c r="O783" s="10" t="inlineStr">
        <is>
          <t>RECURSO HUMANO</t>
        </is>
      </c>
      <c r="P783" s="10" t="inlineStr">
        <is>
          <t>USO INTERNO(2)</t>
        </is>
      </c>
      <c r="Q783" s="10" t="inlineStr">
        <is>
          <t>ALTA(3)</t>
        </is>
      </c>
      <c r="R783" s="10" t="inlineStr">
        <is>
          <t>ALTA(3)</t>
        </is>
      </c>
      <c r="S783" s="10">
        <f>+(IF(P783="PUBLICA(1)",1,IF(P783="USO INTERNO(2)",2,IF(P783="RESTRINGIDO(3)",3,3))))+(IF(Q783="BAJA(1)",1,IF(Q783="MEDIA(2)",2,IF(Q783="ALTA(3)",3,3))))+(IF(R783="BAJA(1)",1,IF(R783="MEDIA(2)",2,IF(R783="ALTA(3)",3,3))))</f>
        <v/>
      </c>
      <c r="T783" s="10">
        <f>+IF(S783&lt;6,"BAJA",IF(S783&lt;8,"MEDIA","ALTA"))</f>
        <v/>
      </c>
      <c r="U783" s="10" t="inlineStr">
        <is>
          <t>-</t>
        </is>
      </c>
      <c r="V783" s="24" t="inlineStr">
        <is>
          <t>N/A</t>
        </is>
      </c>
      <c r="W783" s="19" t="inlineStr">
        <is>
          <t>N/A</t>
        </is>
      </c>
      <c r="X783" s="10">
        <f>+IFERROR(IF(VLOOKUP(Tabla2[[#This Row],[ID]],'EVALUACION DE RIESGO'!A:A,1,FALSE)=Tabla2[[#This Row],[ID]],"SI","NO"),"NO")</f>
        <v/>
      </c>
    </row>
    <row r="784" ht="20.5" customHeight="1" s="98">
      <c r="A784" s="91" t="inlineStr">
        <is>
          <t>81-GTI</t>
        </is>
      </c>
      <c r="B784" s="10" t="inlineStr">
        <is>
          <t>APOYO</t>
        </is>
      </c>
      <c r="C784" s="10" t="inlineStr">
        <is>
          <t>Gestión de Tecnología de la Información</t>
        </is>
      </c>
      <c r="D784" s="10" t="inlineStr">
        <is>
          <t>GTI</t>
        </is>
      </c>
      <c r="E784" s="10" t="inlineStr">
        <is>
          <t>Gestión de Seguridad Informática</t>
        </is>
      </c>
      <c r="F784" s="10" t="inlineStr">
        <is>
          <t>-</t>
        </is>
      </c>
      <c r="G784" s="10" t="inlineStr">
        <is>
          <t>N/A</t>
        </is>
      </c>
      <c r="H784" s="17" t="inlineStr">
        <is>
          <t>Administrador de Base de Datos</t>
        </is>
      </c>
      <c r="I784" s="17" t="inlineStr">
        <is>
          <t>Funcionarios con el cargo de Administrador de Base de Datos</t>
        </is>
      </c>
      <c r="J784" s="10" t="inlineStr">
        <is>
          <t>N/A</t>
        </is>
      </c>
      <c r="K784" s="10" t="inlineStr">
        <is>
          <t>N/A</t>
        </is>
      </c>
      <c r="L784" s="10" t="inlineStr">
        <is>
          <t>N/A</t>
        </is>
      </c>
      <c r="M784" s="10" t="inlineStr">
        <is>
          <t>N/A</t>
        </is>
      </c>
      <c r="N784" s="10" t="inlineStr">
        <is>
          <t>APOYO</t>
        </is>
      </c>
      <c r="O784" s="10" t="inlineStr">
        <is>
          <t>RECURSO HUMANO</t>
        </is>
      </c>
      <c r="P784" s="10" t="inlineStr">
        <is>
          <t>USO INTERNO(2)</t>
        </is>
      </c>
      <c r="Q784" s="10" t="inlineStr">
        <is>
          <t>ALTA(3)</t>
        </is>
      </c>
      <c r="R784" s="10" t="inlineStr">
        <is>
          <t>ALTA(3)</t>
        </is>
      </c>
      <c r="S784" s="10">
        <f>+(IF(P784="PUBLICA(1)",1,IF(P784="USO INTERNO(2)",2,IF(P784="RESTRINGIDO(3)",3,3))))+(IF(Q784="BAJA(1)",1,IF(Q784="MEDIA(2)",2,IF(Q784="ALTA(3)",3,3))))+(IF(R784="BAJA(1)",1,IF(R784="MEDIA(2)",2,IF(R784="ALTA(3)",3,3))))</f>
        <v/>
      </c>
      <c r="T784" s="10">
        <f>+IF(S784&lt;6,"BAJA",IF(S784&lt;8,"MEDIA","ALTA"))</f>
        <v/>
      </c>
      <c r="U784" s="10" t="inlineStr">
        <is>
          <t>-</t>
        </is>
      </c>
      <c r="V784" s="24" t="n">
        <v>43815</v>
      </c>
      <c r="W784" s="19" t="inlineStr">
        <is>
          <t>N/A</t>
        </is>
      </c>
      <c r="X784" s="10">
        <f>+IFERROR(IF(VLOOKUP(Tabla2[[#This Row],[ID]],'EVALUACION DE RIESGO'!A:A,1,FALSE)=Tabla2[[#This Row],[ID]],"SI","NO"),"NO")</f>
        <v/>
      </c>
    </row>
    <row r="785">
      <c r="A785" s="91" t="inlineStr">
        <is>
          <t>82-GTI</t>
        </is>
      </c>
      <c r="B785" s="10" t="inlineStr">
        <is>
          <t>APOYO</t>
        </is>
      </c>
      <c r="C785" s="10" t="inlineStr">
        <is>
          <t>Gestión de Tecnología de la Información</t>
        </is>
      </c>
      <c r="D785" s="10" t="inlineStr">
        <is>
          <t>GTI</t>
        </is>
      </c>
      <c r="E785" s="10" t="inlineStr">
        <is>
          <t>Gestión de las Operaciones de TI</t>
        </is>
      </c>
      <c r="F785" s="10" t="inlineStr">
        <is>
          <t>-</t>
        </is>
      </c>
      <c r="G785" s="10" t="inlineStr">
        <is>
          <t>Administración de la Capacidad y Desempeño de la infraestructura de TI</t>
        </is>
      </c>
      <c r="H785" s="10" t="inlineStr">
        <is>
          <t xml:space="preserve">Pandora FMS </t>
        </is>
      </c>
      <c r="I785" s="10" t="inlineStr">
        <is>
          <t>Herramienta de monitoreo de los recursos tecnológicos instalado en el equipo 192.18.20.117 - Servidor PANDORA FMS Enterprise 7.0NG 760</t>
        </is>
      </c>
      <c r="J785" s="10" t="inlineStr">
        <is>
          <t>GERENTE DE TI</t>
        </is>
      </c>
      <c r="K785" s="10" t="inlineStr">
        <is>
          <t>ADMINISTRADOR DE COMUNICACIÓN E INFRESTRUCTURA</t>
        </is>
      </c>
      <c r="L785" s="10" t="inlineStr">
        <is>
          <t>UBICACIÓN FISICA-MATRIZ ATUNTAQUI</t>
        </is>
      </c>
      <c r="M785" s="10" t="inlineStr">
        <is>
          <t>DOCUMENTO DE ARCHIVO-FÍSICO</t>
        </is>
      </c>
      <c r="N785" s="10" t="inlineStr">
        <is>
          <t>APOYO</t>
        </is>
      </c>
      <c r="O785" s="10" t="inlineStr">
        <is>
          <t>SOFTWARE</t>
        </is>
      </c>
      <c r="P785" s="10" t="inlineStr">
        <is>
          <t>USO INTERNO(2)</t>
        </is>
      </c>
      <c r="Q785" s="10" t="inlineStr">
        <is>
          <t>BAJA(1)</t>
        </is>
      </c>
      <c r="R785" s="10" t="inlineStr">
        <is>
          <t>ALTA(3)</t>
        </is>
      </c>
      <c r="S785" s="10">
        <f>+(IF(P785="PUBLICA(1)",1,IF(P785="USO INTERNO(2)",2,IF(P785="RESTRINGIDO(3)",3,3))))+(IF(Q785="BAJA(1)",1,IF(Q785="MEDIA(2)",2,IF(Q785="ALTA(3)",3,3))))+(IF(R785="BAJA(1)",1,IF(R785="MEDIA(2)",2,IF(R785="ALTA(3)",3,3))))</f>
        <v/>
      </c>
      <c r="T785" s="10">
        <f>+IF(S785&lt;6,"BAJA",IF(S785&lt;8,"MEDIA","ALTA"))</f>
        <v/>
      </c>
      <c r="U785" s="10" t="inlineStr">
        <is>
          <t>-</t>
        </is>
      </c>
      <c r="V785" s="24" t="n">
        <v>43815</v>
      </c>
      <c r="W785" s="19" t="inlineStr">
        <is>
          <t>N/A</t>
        </is>
      </c>
      <c r="X785" s="10">
        <f>+IFERROR(IF(VLOOKUP(Tabla2[[#This Row],[ID]],'EVALUACION DE RIESGO'!A:A,1,FALSE)=Tabla2[[#This Row],[ID]],"SI","NO"),"NO")</f>
        <v/>
      </c>
    </row>
    <row r="786">
      <c r="A786" s="91" t="inlineStr">
        <is>
          <t>83-GTI</t>
        </is>
      </c>
      <c r="B786" s="10" t="inlineStr">
        <is>
          <t>APOYO</t>
        </is>
      </c>
      <c r="C786" s="10" t="inlineStr">
        <is>
          <t>Gestión de Tecnología de la Información</t>
        </is>
      </c>
      <c r="D786" s="10" t="inlineStr">
        <is>
          <t>GTI</t>
        </is>
      </c>
      <c r="E786" s="10" t="inlineStr">
        <is>
          <t>Gestión de las Operaciones de TI</t>
        </is>
      </c>
      <c r="F786" s="10" t="inlineStr">
        <is>
          <t>-</t>
        </is>
      </c>
      <c r="G786" s="10" t="inlineStr">
        <is>
          <t>Administración de servidores</t>
        </is>
      </c>
      <c r="H786" s="10" t="inlineStr">
        <is>
          <t>Isabel / pbx-atuntaqui</t>
        </is>
      </c>
      <c r="I786" s="10" t="inlineStr">
        <is>
          <t>Servidor de telefonía IP / 192.168.20.200</t>
        </is>
      </c>
      <c r="J786" s="10" t="inlineStr">
        <is>
          <t>GERENTE DE TI</t>
        </is>
      </c>
      <c r="K786" s="10" t="inlineStr">
        <is>
          <t>ADMINISTRADOR DE COMUNICACIÓN E INFRESTRUCTURA</t>
        </is>
      </c>
      <c r="L786" s="10" t="inlineStr">
        <is>
          <t>UBICACIÓN FISICA-MATRIZ ATUNTAQUI</t>
        </is>
      </c>
      <c r="M786" s="10" t="inlineStr">
        <is>
          <t>DISCOS DUROS, SERVIDORES, DISCOS O MEDIOS PORTÁTILES, CINTAS O MEDIOS DE VIDEO Y AUDIO, ETC.</t>
        </is>
      </c>
      <c r="N786" s="10" t="inlineStr">
        <is>
          <t>APOYO</t>
        </is>
      </c>
      <c r="O786" s="10" t="inlineStr">
        <is>
          <t>HARDWARE</t>
        </is>
      </c>
      <c r="P786" s="10" t="inlineStr">
        <is>
          <t>USO INTERNO(2)</t>
        </is>
      </c>
      <c r="Q786" s="10" t="inlineStr">
        <is>
          <t>BAJA(1)</t>
        </is>
      </c>
      <c r="R786" s="10" t="inlineStr">
        <is>
          <t>ALTA(3)</t>
        </is>
      </c>
      <c r="S786" s="10">
        <f>+(IF(P786="PUBLICA(1)",1,IF(P786="USO INTERNO(2)",2,IF(P786="RESTRINGIDO(3)",3,3))))+(IF(Q786="BAJA(1)",1,IF(Q786="MEDIA(2)",2,IF(Q786="ALTA(3)",3,3))))+(IF(R786="BAJA(1)",1,IF(R786="MEDIA(2)",2,IF(R786="ALTA(3)",3,3))))</f>
        <v/>
      </c>
      <c r="T786" s="10">
        <f>+IF(S786&lt;6,"BAJA",IF(S786&lt;8,"MEDIA","ALTA"))</f>
        <v/>
      </c>
      <c r="U786" s="10" t="inlineStr">
        <is>
          <t>-</t>
        </is>
      </c>
      <c r="V786" s="24" t="n">
        <v>43815</v>
      </c>
      <c r="W786" s="19" t="inlineStr">
        <is>
          <t>N/A</t>
        </is>
      </c>
      <c r="X786" s="10">
        <f>+IFERROR(IF(VLOOKUP(Tabla2[[#This Row],[ID]],'EVALUACION DE RIESGO'!A:A,1,FALSE)=Tabla2[[#This Row],[ID]],"SI","NO"),"NO")</f>
        <v/>
      </c>
    </row>
    <row r="787">
      <c r="A787" s="91" t="inlineStr">
        <is>
          <t>84-GTI</t>
        </is>
      </c>
      <c r="B787" s="10" t="inlineStr">
        <is>
          <t>APOYO</t>
        </is>
      </c>
      <c r="C787" s="10" t="inlineStr">
        <is>
          <t>Gestión de Tecnología de la Información</t>
        </is>
      </c>
      <c r="D787" s="10" t="inlineStr">
        <is>
          <t>GTI</t>
        </is>
      </c>
      <c r="E787" s="10" t="inlineStr">
        <is>
          <t>Gestión de las Operaciones de TI</t>
        </is>
      </c>
      <c r="F787" s="10" t="inlineStr">
        <is>
          <t>-</t>
        </is>
      </c>
      <c r="G787" s="10" t="inlineStr">
        <is>
          <t>Administración de servidores</t>
        </is>
      </c>
      <c r="H787" s="10" t="inlineStr">
        <is>
          <t>Isabel / pbx-ibarra</t>
        </is>
      </c>
      <c r="I787" s="10" t="inlineStr">
        <is>
          <t>Servidor de telefonía IP / 192.168.100.200</t>
        </is>
      </c>
      <c r="J787" s="10" t="inlineStr">
        <is>
          <t>GERENTE DE TI</t>
        </is>
      </c>
      <c r="K787" s="10" t="inlineStr">
        <is>
          <t>ADMINISTRADOR DE COMUNICACIÓN E INFRESTRUCTURA</t>
        </is>
      </c>
      <c r="L787" s="10" t="inlineStr">
        <is>
          <t>UBICACIÓN FISICA-MATRIZ ATUNTAQUI</t>
        </is>
      </c>
      <c r="M787" s="10" t="inlineStr">
        <is>
          <t>DISCOS DUROS, SERVIDORES, DISCOS O MEDIOS PORTÁTILES, CINTAS O MEDIOS DE VIDEO Y AUDIO, ETC.</t>
        </is>
      </c>
      <c r="N787" s="10" t="inlineStr">
        <is>
          <t>APOYO</t>
        </is>
      </c>
      <c r="O787" s="10" t="inlineStr">
        <is>
          <t>HARDWARE</t>
        </is>
      </c>
      <c r="P787" s="10" t="inlineStr">
        <is>
          <t>USO INTERNO(2)</t>
        </is>
      </c>
      <c r="Q787" s="10" t="inlineStr">
        <is>
          <t>BAJA(1)</t>
        </is>
      </c>
      <c r="R787" s="10" t="inlineStr">
        <is>
          <t>ALTA(3)</t>
        </is>
      </c>
      <c r="S787" s="10">
        <f>+(IF(P787="PUBLICA(1)",1,IF(P787="USO INTERNO(2)",2,IF(P787="RESTRINGIDO(3)",3,3))))+(IF(Q787="BAJA(1)",1,IF(Q787="MEDIA(2)",2,IF(Q787="ALTA(3)",3,3))))+(IF(R787="BAJA(1)",1,IF(R787="MEDIA(2)",2,IF(R787="ALTA(3)",3,3))))</f>
        <v/>
      </c>
      <c r="T787" s="10">
        <f>+IF(S787&lt;6,"BAJA",IF(S787&lt;8,"MEDIA","ALTA"))</f>
        <v/>
      </c>
      <c r="U787" s="10" t="inlineStr">
        <is>
          <t>-</t>
        </is>
      </c>
      <c r="V787" s="24" t="n">
        <v>43815</v>
      </c>
      <c r="W787" s="19" t="inlineStr">
        <is>
          <t>N/A</t>
        </is>
      </c>
      <c r="X787" s="10">
        <f>+IFERROR(IF(VLOOKUP(Tabla2[[#This Row],[ID]],'EVALUACION DE RIESGO'!A:A,1,FALSE)=Tabla2[[#This Row],[ID]],"SI","NO"),"NO")</f>
        <v/>
      </c>
    </row>
    <row r="788" ht="20.5" customHeight="1" s="98">
      <c r="A788" s="91" t="inlineStr">
        <is>
          <t>85-GTI</t>
        </is>
      </c>
      <c r="B788" s="10" t="inlineStr">
        <is>
          <t>APOYO</t>
        </is>
      </c>
      <c r="C788" s="10" t="inlineStr">
        <is>
          <t>Gestión de Tecnología de la Información</t>
        </is>
      </c>
      <c r="D788" s="10" t="inlineStr">
        <is>
          <t>GTI</t>
        </is>
      </c>
      <c r="E788" s="10" t="inlineStr">
        <is>
          <t>Gestión de las Operaciones de TI</t>
        </is>
      </c>
      <c r="F788" s="10" t="inlineStr">
        <is>
          <t>-</t>
        </is>
      </c>
      <c r="G788" s="10" t="inlineStr">
        <is>
          <t>Administración de la capacidad y desempeño de la infraestructura de TI</t>
        </is>
      </c>
      <c r="H788" s="17" t="inlineStr">
        <is>
          <t>Ruteador CISCO 1900 Series (02)</t>
        </is>
      </c>
      <c r="I788" s="17" t="inlineStr">
        <is>
          <t>Ruteador para enlaces de comunicación / 192.168.100.253</t>
        </is>
      </c>
      <c r="J788" s="10" t="inlineStr">
        <is>
          <t>GERENTE DE TI</t>
        </is>
      </c>
      <c r="K788" s="10" t="inlineStr">
        <is>
          <t>ADMINISTRADOR DE COMUNICACIÓN E INFRESTRUCTURA</t>
        </is>
      </c>
      <c r="L788" s="10" t="inlineStr">
        <is>
          <t>UBICACIÓN FISICA-SUCURSAL IBARRA</t>
        </is>
      </c>
      <c r="M788" s="10" t="inlineStr">
        <is>
          <t>DISCOS DUROS, SERVIDORES, DISCOS O MEDIOS PORTÁTILES, CINTAS O MEDIOS DE VIDEO Y AUDIO, ETC.</t>
        </is>
      </c>
      <c r="N788" s="10" t="inlineStr">
        <is>
          <t>APOYO</t>
        </is>
      </c>
      <c r="O788" s="10" t="inlineStr">
        <is>
          <t>REDES</t>
        </is>
      </c>
      <c r="P788" s="10" t="inlineStr">
        <is>
          <t>RESTRINGIDO(3)</t>
        </is>
      </c>
      <c r="Q788" s="10" t="inlineStr">
        <is>
          <t>ALTA(3)</t>
        </is>
      </c>
      <c r="R788" s="10" t="inlineStr">
        <is>
          <t>ALTA(3)</t>
        </is>
      </c>
      <c r="S788" s="10">
        <f>+(IF(P788="PUBLICA(1)",1,IF(P788="USO INTERNO(2)",2,IF(P788="RESTRINGIDO(3)",3,3))))+(IF(Q788="BAJA(1)",1,IF(Q788="MEDIA(2)",2,IF(Q788="ALTA(3)",3,3))))+(IF(R788="BAJA(1)",1,IF(R788="MEDIA(2)",2,IF(R788="ALTA(3)",3,3))))</f>
        <v/>
      </c>
      <c r="T788" s="10">
        <f>+IF(S788&lt;6,"BAJA",IF(S788&lt;8,"MEDIA","ALTA"))</f>
        <v/>
      </c>
      <c r="U788" s="10" t="inlineStr">
        <is>
          <t>-</t>
        </is>
      </c>
      <c r="V788" s="24" t="n">
        <v>43815</v>
      </c>
      <c r="W788" s="19" t="inlineStr">
        <is>
          <t>N/A</t>
        </is>
      </c>
      <c r="X788" s="10">
        <f>+IFERROR(IF(VLOOKUP(Tabla2[[#This Row],[ID]],'EVALUACION DE RIESGO'!A:A,1,FALSE)=Tabla2[[#This Row],[ID]],"SI","NO"),"NO")</f>
        <v/>
      </c>
    </row>
    <row r="789" ht="20.5" customHeight="1" s="98">
      <c r="A789" s="91" t="inlineStr">
        <is>
          <t>86-GTI</t>
        </is>
      </c>
      <c r="B789" s="10" t="inlineStr">
        <is>
          <t>APOYO</t>
        </is>
      </c>
      <c r="C789" s="10" t="inlineStr">
        <is>
          <t>Gestión de Tecnología de la Información</t>
        </is>
      </c>
      <c r="D789" s="10" t="inlineStr">
        <is>
          <t>GTI</t>
        </is>
      </c>
      <c r="E789" s="10" t="inlineStr">
        <is>
          <t>Gestión de las Operaciones de TI</t>
        </is>
      </c>
      <c r="F789" s="10" t="inlineStr">
        <is>
          <t>-</t>
        </is>
      </c>
      <c r="G789" s="10" t="inlineStr">
        <is>
          <t>Administración de la capacidad y desempeño de la infraestructura de TI</t>
        </is>
      </c>
      <c r="H789" s="17" t="inlineStr">
        <is>
          <t>Ruteador CISCO 1900 Series (03)</t>
        </is>
      </c>
      <c r="I789" s="17" t="inlineStr">
        <is>
          <t>Ruteador para enlaces de comunicación / 192.168.40.253</t>
        </is>
      </c>
      <c r="J789" s="10" t="inlineStr">
        <is>
          <t>GERENTE DE TI</t>
        </is>
      </c>
      <c r="K789" s="10" t="inlineStr">
        <is>
          <t>ADMINISTRADOR DE COMUNICACIÓN E INFRESTRUCTURA</t>
        </is>
      </c>
      <c r="L789" s="10" t="inlineStr">
        <is>
          <t>UBICACIÓN FISICA-SUCURSAL OTAVALO</t>
        </is>
      </c>
      <c r="M789" s="10" t="inlineStr">
        <is>
          <t>DISCOS DUROS, SERVIDORES, DISCOS O MEDIOS PORTÁTILES, CINTAS O MEDIOS DE VIDEO Y AUDIO, ETC.</t>
        </is>
      </c>
      <c r="N789" s="10" t="inlineStr">
        <is>
          <t>APOYO</t>
        </is>
      </c>
      <c r="O789" s="10" t="inlineStr">
        <is>
          <t>REDES</t>
        </is>
      </c>
      <c r="P789" s="10" t="inlineStr">
        <is>
          <t>RESTRINGIDO(3)</t>
        </is>
      </c>
      <c r="Q789" s="10" t="inlineStr">
        <is>
          <t>ALTA(3)</t>
        </is>
      </c>
      <c r="R789" s="10" t="inlineStr">
        <is>
          <t>ALTA(3)</t>
        </is>
      </c>
      <c r="S789" s="10">
        <f>+(IF(P789="PUBLICA(1)",1,IF(P789="USO INTERNO(2)",2,IF(P789="RESTRINGIDO(3)",3,3))))+(IF(Q789="BAJA(1)",1,IF(Q789="MEDIA(2)",2,IF(Q789="ALTA(3)",3,3))))+(IF(R789="BAJA(1)",1,IF(R789="MEDIA(2)",2,IF(R789="ALTA(3)",3,3))))</f>
        <v/>
      </c>
      <c r="T789" s="10">
        <f>+IF(S789&lt;6,"BAJA",IF(S789&lt;8,"MEDIA","ALTA"))</f>
        <v/>
      </c>
      <c r="U789" s="10" t="inlineStr">
        <is>
          <t>-</t>
        </is>
      </c>
      <c r="V789" s="24" t="n">
        <v>43815</v>
      </c>
      <c r="W789" s="19" t="inlineStr">
        <is>
          <t>N/A</t>
        </is>
      </c>
      <c r="X789" s="10">
        <f>+IFERROR(IF(VLOOKUP(Tabla2[[#This Row],[ID]],'EVALUACION DE RIESGO'!A:A,1,FALSE)=Tabla2[[#This Row],[ID]],"SI","NO"),"NO")</f>
        <v/>
      </c>
    </row>
    <row r="790" ht="20.5" customHeight="1" s="98">
      <c r="A790" s="91" t="inlineStr">
        <is>
          <t>87-GTI</t>
        </is>
      </c>
      <c r="B790" s="10" t="inlineStr">
        <is>
          <t>APOYO</t>
        </is>
      </c>
      <c r="C790" s="10" t="inlineStr">
        <is>
          <t>Gestión de Tecnología de la Información</t>
        </is>
      </c>
      <c r="D790" s="10" t="inlineStr">
        <is>
          <t>GTI</t>
        </is>
      </c>
      <c r="E790" s="10" t="inlineStr">
        <is>
          <t>Gestión de las Operaciones de TI</t>
        </is>
      </c>
      <c r="F790" s="10" t="inlineStr">
        <is>
          <t>-</t>
        </is>
      </c>
      <c r="G790" s="10" t="inlineStr">
        <is>
          <t>Administración de la capacidad y desempeño de la infraestructura de TI</t>
        </is>
      </c>
      <c r="H790" s="17" t="inlineStr">
        <is>
          <t>Ruteador CISCO 1900 Series (04)</t>
        </is>
      </c>
      <c r="I790" s="17" t="inlineStr">
        <is>
          <t>Ruteador para enlaces de comunicación / 192.168.50.253</t>
        </is>
      </c>
      <c r="J790" s="10" t="inlineStr">
        <is>
          <t>GERENTE DE TI</t>
        </is>
      </c>
      <c r="K790" s="10" t="inlineStr">
        <is>
          <t>ADMINISTRADOR DE COMUNICACIÓN E INFRESTRUCTURA</t>
        </is>
      </c>
      <c r="L790" s="10" t="inlineStr">
        <is>
          <t>UBICACIÓN FISICA-AGENCIA PIMAMPIRO</t>
        </is>
      </c>
      <c r="M790" s="10" t="inlineStr">
        <is>
          <t>DISCOS DUROS, SERVIDORES, DISCOS O MEDIOS PORTÁTILES, CINTAS O MEDIOS DE VIDEO Y AUDIO, ETC.</t>
        </is>
      </c>
      <c r="N790" s="10" t="inlineStr">
        <is>
          <t>APOYO</t>
        </is>
      </c>
      <c r="O790" s="10" t="inlineStr">
        <is>
          <t>REDES</t>
        </is>
      </c>
      <c r="P790" s="10" t="inlineStr">
        <is>
          <t>RESTRINGIDO(3)</t>
        </is>
      </c>
      <c r="Q790" s="10" t="inlineStr">
        <is>
          <t>ALTA(3)</t>
        </is>
      </c>
      <c r="R790" s="10" t="inlineStr">
        <is>
          <t>ALTA(3)</t>
        </is>
      </c>
      <c r="S790" s="10">
        <f>+(IF(P790="PUBLICA(1)",1,IF(P790="USO INTERNO(2)",2,IF(P790="RESTRINGIDO(3)",3,3))))+(IF(Q790="BAJA(1)",1,IF(Q790="MEDIA(2)",2,IF(Q790="ALTA(3)",3,3))))+(IF(R790="BAJA(1)",1,IF(R790="MEDIA(2)",2,IF(R790="ALTA(3)",3,3))))</f>
        <v/>
      </c>
      <c r="T790" s="10">
        <f>+IF(S790&lt;6,"BAJA",IF(S790&lt;8,"MEDIA","ALTA"))</f>
        <v/>
      </c>
      <c r="U790" s="10" t="inlineStr">
        <is>
          <t>-</t>
        </is>
      </c>
      <c r="V790" s="24" t="n">
        <v>43815</v>
      </c>
      <c r="W790" s="19" t="inlineStr">
        <is>
          <t>N/A</t>
        </is>
      </c>
      <c r="X790" s="10">
        <f>+IFERROR(IF(VLOOKUP(Tabla2[[#This Row],[ID]],'EVALUACION DE RIESGO'!A:A,1,FALSE)=Tabla2[[#This Row],[ID]],"SI","NO"),"NO")</f>
        <v/>
      </c>
    </row>
    <row r="791" ht="20.5" customHeight="1" s="98">
      <c r="A791" s="91" t="inlineStr">
        <is>
          <t>88-GTI</t>
        </is>
      </c>
      <c r="B791" s="10" t="inlineStr">
        <is>
          <t>APOYO</t>
        </is>
      </c>
      <c r="C791" s="10" t="inlineStr">
        <is>
          <t>Gestión de Tecnología de la Información</t>
        </is>
      </c>
      <c r="D791" s="10" t="inlineStr">
        <is>
          <t>GTI</t>
        </is>
      </c>
      <c r="E791" s="10" t="inlineStr">
        <is>
          <t>Gestión de las Operaciones de TI</t>
        </is>
      </c>
      <c r="F791" s="10" t="inlineStr">
        <is>
          <t>-</t>
        </is>
      </c>
      <c r="G791" s="10" t="inlineStr">
        <is>
          <t xml:space="preserve">Administración de seguridad en equipos y servidores de aplicación    </t>
        </is>
      </c>
      <c r="H791" s="17" t="inlineStr">
        <is>
          <t>ATUNPRODU</t>
        </is>
      </c>
      <c r="I791" s="17" t="inlineStr">
        <is>
          <t>Servidor que contiene el servidor BDD Oracle / SERVIDOR APARK 192.168.10.72</t>
        </is>
      </c>
      <c r="J791" s="10" t="inlineStr">
        <is>
          <t>GERENTE DE TI</t>
        </is>
      </c>
      <c r="K791" s="10" t="inlineStr">
        <is>
          <t>ADMINISTRADOR DE BASE DE DATOS</t>
        </is>
      </c>
      <c r="L791" s="10" t="inlineStr">
        <is>
          <t>UBICACIÓN FISICA-SUCURSAL IBARRA</t>
        </is>
      </c>
      <c r="M791" s="10" t="inlineStr">
        <is>
          <t>DISCOS DUROS, SERVIDORES, DISCOS O MEDIOS PORTÁTILES, CINTAS O MEDIOS DE VIDEO Y AUDIO, ETC.</t>
        </is>
      </c>
      <c r="N791" s="10" t="inlineStr">
        <is>
          <t>APOYO</t>
        </is>
      </c>
      <c r="O791" s="10" t="inlineStr">
        <is>
          <t>HARDWARE</t>
        </is>
      </c>
      <c r="P791" s="10" t="inlineStr">
        <is>
          <t>RESTRINGIDO(3)</t>
        </is>
      </c>
      <c r="Q791" s="10" t="inlineStr">
        <is>
          <t>ALTA(3)</t>
        </is>
      </c>
      <c r="R791" s="10" t="inlineStr">
        <is>
          <t>ALTA(3)</t>
        </is>
      </c>
      <c r="S791" s="10">
        <f>+(IF(P791="PUBLICA(1)",1,IF(P791="USO INTERNO(2)",2,IF(P791="RESTRINGIDO(3)",3,3))))+(IF(Q791="BAJA(1)",1,IF(Q791="MEDIA(2)",2,IF(Q791="ALTA(3)",3,3))))+(IF(R791="BAJA(1)",1,IF(R791="MEDIA(2)",2,IF(R791="ALTA(3)",3,3))))</f>
        <v/>
      </c>
      <c r="T791" s="10">
        <f>+IF(S791&lt;6,"BAJA",IF(S791&lt;8,"MEDIA","ALTA"))</f>
        <v/>
      </c>
      <c r="U791" s="10" t="inlineStr">
        <is>
          <t>-</t>
        </is>
      </c>
      <c r="V791" s="24" t="n">
        <v>43815</v>
      </c>
      <c r="W791" s="19" t="inlineStr">
        <is>
          <t>N/A</t>
        </is>
      </c>
      <c r="X791" s="10">
        <f>+IFERROR(IF(VLOOKUP(Tabla2[[#This Row],[ID]],'EVALUACION DE RIESGO'!A:A,1,FALSE)=Tabla2[[#This Row],[ID]],"SI","NO"),"NO")</f>
        <v/>
      </c>
    </row>
    <row r="792" ht="20.5" customHeight="1" s="98">
      <c r="A792" s="91" t="inlineStr">
        <is>
          <t>89-GTI</t>
        </is>
      </c>
      <c r="B792" s="10" t="inlineStr">
        <is>
          <t>APOYO</t>
        </is>
      </c>
      <c r="C792" s="10" t="inlineStr">
        <is>
          <t>Gestión de Tecnología de la Información</t>
        </is>
      </c>
      <c r="D792" s="10" t="inlineStr">
        <is>
          <t>GTI</t>
        </is>
      </c>
      <c r="E792" s="10" t="inlineStr">
        <is>
          <t>Gestión de las Operaciones de TI</t>
        </is>
      </c>
      <c r="F792" s="10" t="inlineStr">
        <is>
          <t>-</t>
        </is>
      </c>
      <c r="G792" s="10" t="inlineStr">
        <is>
          <t>Administración de la capacidad y desempeño de la infraestructura de TI</t>
        </is>
      </c>
      <c r="H792" s="17" t="inlineStr">
        <is>
          <t>Ruteador CISCO 880 Series (05)</t>
        </is>
      </c>
      <c r="I792" s="17" t="inlineStr">
        <is>
          <t>Ruteador para enlaces de comunicación / 192.168.60.253</t>
        </is>
      </c>
      <c r="J792" s="10" t="inlineStr">
        <is>
          <t>GERENTE DE TI</t>
        </is>
      </c>
      <c r="K792" s="10" t="inlineStr">
        <is>
          <t>ADMINISTRADOR DE COMUNICACIÓN E INFRESTRUCTURA</t>
        </is>
      </c>
      <c r="L792" s="10" t="inlineStr">
        <is>
          <t>UBICACIÓN FISICA-AGENCIA COTACACHI</t>
        </is>
      </c>
      <c r="M792" s="10" t="inlineStr">
        <is>
          <t>DISCOS DUROS, SERVIDORES, DISCOS O MEDIOS PORTÁTILES, CINTAS O MEDIOS DE VIDEO Y AUDIO, ETC.</t>
        </is>
      </c>
      <c r="N792" s="10" t="inlineStr">
        <is>
          <t>APOYO</t>
        </is>
      </c>
      <c r="O792" s="10" t="inlineStr">
        <is>
          <t>REDES</t>
        </is>
      </c>
      <c r="P792" s="10" t="inlineStr">
        <is>
          <t>RESTRINGIDO(3)</t>
        </is>
      </c>
      <c r="Q792" s="10" t="inlineStr">
        <is>
          <t>ALTA(3)</t>
        </is>
      </c>
      <c r="R792" s="10" t="inlineStr">
        <is>
          <t>ALTA(3)</t>
        </is>
      </c>
      <c r="S792" s="10">
        <f>+(IF(P792="PUBLICA(1)",1,IF(P792="USO INTERNO(2)",2,IF(P792="RESTRINGIDO(3)",3,3))))+(IF(Q792="BAJA(1)",1,IF(Q792="MEDIA(2)",2,IF(Q792="ALTA(3)",3,3))))+(IF(R792="BAJA(1)",1,IF(R792="MEDIA(2)",2,IF(R792="ALTA(3)",3,3))))</f>
        <v/>
      </c>
      <c r="T792" s="10">
        <f>+IF(S792&lt;6,"BAJA",IF(S792&lt;8,"MEDIA","ALTA"))</f>
        <v/>
      </c>
      <c r="U792" s="10" t="inlineStr">
        <is>
          <t>-</t>
        </is>
      </c>
      <c r="V792" s="24" t="n">
        <v>43815</v>
      </c>
      <c r="W792" s="19" t="inlineStr">
        <is>
          <t>N/A</t>
        </is>
      </c>
      <c r="X792" s="10">
        <f>+IFERROR(IF(VLOOKUP(Tabla2[[#This Row],[ID]],'EVALUACION DE RIESGO'!A:A,1,FALSE)=Tabla2[[#This Row],[ID]],"SI","NO"),"NO")</f>
        <v/>
      </c>
    </row>
    <row r="793" ht="20.5" customHeight="1" s="98">
      <c r="A793" s="91" t="inlineStr">
        <is>
          <t>90-GTI</t>
        </is>
      </c>
      <c r="B793" s="10" t="inlineStr">
        <is>
          <t>APOYO</t>
        </is>
      </c>
      <c r="C793" s="10" t="inlineStr">
        <is>
          <t>Gestión de Tecnología de la Información</t>
        </is>
      </c>
      <c r="D793" s="10" t="inlineStr">
        <is>
          <t>GTI</t>
        </is>
      </c>
      <c r="E793" s="10" t="inlineStr">
        <is>
          <t>Gestión de las Operaciones de TI</t>
        </is>
      </c>
      <c r="F793" s="10" t="inlineStr">
        <is>
          <t>-</t>
        </is>
      </c>
      <c r="G793" s="10" t="inlineStr">
        <is>
          <t>Administración de la capacidad y desempeño de la infraestructura de TI</t>
        </is>
      </c>
      <c r="H793" s="17" t="inlineStr">
        <is>
          <t>Ruteador CISCO 1800 Series (06)</t>
        </is>
      </c>
      <c r="I793" s="17" t="inlineStr">
        <is>
          <t>Ruteador para enlaces de comunicación / 192.168.31.253</t>
        </is>
      </c>
      <c r="J793" s="10" t="inlineStr">
        <is>
          <t>GERENTE DE TI</t>
        </is>
      </c>
      <c r="K793" s="10" t="inlineStr">
        <is>
          <t>ADMINISTRADOR DE COMUNICACIÓN E INFRESTRUCTURA</t>
        </is>
      </c>
      <c r="L793" s="10" t="inlineStr">
        <is>
          <t>UBICACIÓN FISICA-AGENCIA IBARRA</t>
        </is>
      </c>
      <c r="M793" s="10" t="inlineStr">
        <is>
          <t>DISCOS DUROS, SERVIDORES, DISCOS O MEDIOS PORTÁTILES, CINTAS O MEDIOS DE VIDEO Y AUDIO, ETC.</t>
        </is>
      </c>
      <c r="N793" s="10" t="inlineStr">
        <is>
          <t>APOYO</t>
        </is>
      </c>
      <c r="O793" s="10" t="inlineStr">
        <is>
          <t>REDES</t>
        </is>
      </c>
      <c r="P793" s="10" t="inlineStr">
        <is>
          <t>RESTRINGIDO(3)</t>
        </is>
      </c>
      <c r="Q793" s="10" t="inlineStr">
        <is>
          <t>ALTA(3)</t>
        </is>
      </c>
      <c r="R793" s="10" t="inlineStr">
        <is>
          <t>ALTA(3)</t>
        </is>
      </c>
      <c r="S793" s="10">
        <f>+(IF(P793="PUBLICA(1)",1,IF(P793="USO INTERNO(2)",2,IF(P793="RESTRINGIDO(3)",3,3))))+(IF(Q793="BAJA(1)",1,IF(Q793="MEDIA(2)",2,IF(Q793="ALTA(3)",3,3))))+(IF(R793="BAJA(1)",1,IF(R793="MEDIA(2)",2,IF(R793="ALTA(3)",3,3))))</f>
        <v/>
      </c>
      <c r="T793" s="10">
        <f>+IF(S793&lt;6,"BAJA",IF(S793&lt;8,"MEDIA","ALTA"))</f>
        <v/>
      </c>
      <c r="U793" s="10" t="inlineStr">
        <is>
          <t>-</t>
        </is>
      </c>
      <c r="V793" s="24" t="n">
        <v>43815</v>
      </c>
      <c r="W793" s="19" t="inlineStr">
        <is>
          <t>N/A</t>
        </is>
      </c>
      <c r="X793" s="10">
        <f>+IFERROR(IF(VLOOKUP(Tabla2[[#This Row],[ID]],'EVALUACION DE RIESGO'!A:A,1,FALSE)=Tabla2[[#This Row],[ID]],"SI","NO"),"NO")</f>
        <v/>
      </c>
    </row>
    <row r="794" ht="20.5" customHeight="1" s="98">
      <c r="A794" s="91" t="inlineStr">
        <is>
          <t>91-GTI</t>
        </is>
      </c>
      <c r="B794" s="10" t="inlineStr">
        <is>
          <t>APOYO</t>
        </is>
      </c>
      <c r="C794" s="10" t="inlineStr">
        <is>
          <t>Gestión de Tecnología de la Información</t>
        </is>
      </c>
      <c r="D794" s="10" t="inlineStr">
        <is>
          <t>GTI</t>
        </is>
      </c>
      <c r="E794" s="10" t="inlineStr">
        <is>
          <t>Gestión de las Operaciones de TI</t>
        </is>
      </c>
      <c r="F794" s="10" t="inlineStr">
        <is>
          <t>-</t>
        </is>
      </c>
      <c r="G794" s="10" t="inlineStr">
        <is>
          <t>Administración de la capacidad y desempeño de la infraestructura de TI</t>
        </is>
      </c>
      <c r="H794" s="17" t="inlineStr">
        <is>
          <t>Ruteador CISCO 1800 Series (07)</t>
        </is>
      </c>
      <c r="I794" s="17" t="inlineStr">
        <is>
          <t>Ruteador para enlaces de comunicación / 192.168.80.253</t>
        </is>
      </c>
      <c r="J794" s="10" t="inlineStr">
        <is>
          <t>GERENTE DE TI</t>
        </is>
      </c>
      <c r="K794" s="10" t="inlineStr">
        <is>
          <t>ADMINISTRADOR DE COMUNICACIÓN E INFRESTRUCTURA</t>
        </is>
      </c>
      <c r="L794" s="10" t="inlineStr">
        <is>
          <t>UBICACIÓN FISICA-AGENCIA EL EJIDO</t>
        </is>
      </c>
      <c r="M794" s="10" t="inlineStr">
        <is>
          <t>DISCOS DUROS, SERVIDORES, DISCOS O MEDIOS PORTÁTILES, CINTAS O MEDIOS DE VIDEO Y AUDIO, ETC.</t>
        </is>
      </c>
      <c r="N794" s="10" t="inlineStr">
        <is>
          <t>APOYO</t>
        </is>
      </c>
      <c r="O794" s="10" t="inlineStr">
        <is>
          <t>REDES</t>
        </is>
      </c>
      <c r="P794" s="10" t="inlineStr">
        <is>
          <t>RESTRINGIDO(3)</t>
        </is>
      </c>
      <c r="Q794" s="10" t="inlineStr">
        <is>
          <t>ALTA(3)</t>
        </is>
      </c>
      <c r="R794" s="10" t="inlineStr">
        <is>
          <t>ALTA(3)</t>
        </is>
      </c>
      <c r="S794" s="10">
        <f>+(IF(P794="PUBLICA(1)",1,IF(P794="USO INTERNO(2)",2,IF(P794="RESTRINGIDO(3)",3,3))))+(IF(Q794="BAJA(1)",1,IF(Q794="MEDIA(2)",2,IF(Q794="ALTA(3)",3,3))))+(IF(R794="BAJA(1)",1,IF(R794="MEDIA(2)",2,IF(R794="ALTA(3)",3,3))))</f>
        <v/>
      </c>
      <c r="T794" s="10">
        <f>+IF(S794&lt;6,"BAJA",IF(S794&lt;8,"MEDIA","ALTA"))</f>
        <v/>
      </c>
      <c r="U794" s="10" t="inlineStr">
        <is>
          <t>-</t>
        </is>
      </c>
      <c r="V794" s="24" t="n">
        <v>43815</v>
      </c>
      <c r="W794" s="19" t="inlineStr">
        <is>
          <t>N/A</t>
        </is>
      </c>
      <c r="X794" s="10">
        <f>+IFERROR(IF(VLOOKUP(Tabla2[[#This Row],[ID]],'EVALUACION DE RIESGO'!A:A,1,FALSE)=Tabla2[[#This Row],[ID]],"SI","NO"),"NO")</f>
        <v/>
      </c>
    </row>
    <row r="795" ht="20.5" customHeight="1" s="98">
      <c r="A795" s="91" t="inlineStr">
        <is>
          <t>92-GTI</t>
        </is>
      </c>
      <c r="B795" s="10" t="inlineStr">
        <is>
          <t>APOYO</t>
        </is>
      </c>
      <c r="C795" s="10" t="inlineStr">
        <is>
          <t>Gestión de Tecnología de la Información</t>
        </is>
      </c>
      <c r="D795" s="10" t="inlineStr">
        <is>
          <t>GTI</t>
        </is>
      </c>
      <c r="E795" s="10" t="inlineStr">
        <is>
          <t>Gestión de las Operaciones de TI</t>
        </is>
      </c>
      <c r="F795" s="10" t="inlineStr">
        <is>
          <t>-</t>
        </is>
      </c>
      <c r="G795" s="10" t="inlineStr">
        <is>
          <t>Administración de la capacidad y desempeño de la infraestructura de TI</t>
        </is>
      </c>
      <c r="H795" s="17" t="inlineStr">
        <is>
          <t>Ruteador CISCO 1800 Series (09)</t>
        </is>
      </c>
      <c r="I795" s="17" t="inlineStr">
        <is>
          <t>Ruteador para enlaces de comunicación / 192.168.82.253</t>
        </is>
      </c>
      <c r="J795" s="10" t="inlineStr">
        <is>
          <t>GERENTE DE TI</t>
        </is>
      </c>
      <c r="K795" s="10" t="inlineStr">
        <is>
          <t>ADMINISTRADOR DE COMUNICACIÓN E INFRESTRUCTURA</t>
        </is>
      </c>
      <c r="L795" s="10" t="inlineStr">
        <is>
          <t>UBICACIÓN FISICA-AGENCIA CARAPUNGO</t>
        </is>
      </c>
      <c r="M795" s="10" t="inlineStr">
        <is>
          <t>DISCOS DUROS, SERVIDORES, DISCOS O MEDIOS PORTÁTILES, CINTAS O MEDIOS DE VIDEO Y AUDIO, ETC.</t>
        </is>
      </c>
      <c r="N795" s="10" t="inlineStr">
        <is>
          <t>APOYO</t>
        </is>
      </c>
      <c r="O795" s="10" t="inlineStr">
        <is>
          <t>REDES</t>
        </is>
      </c>
      <c r="P795" s="10" t="inlineStr">
        <is>
          <t>RESTRINGIDO(3)</t>
        </is>
      </c>
      <c r="Q795" s="10" t="inlineStr">
        <is>
          <t>ALTA(3)</t>
        </is>
      </c>
      <c r="R795" s="10" t="inlineStr">
        <is>
          <t>ALTA(3)</t>
        </is>
      </c>
      <c r="S795" s="10">
        <f>+(IF(P795="PUBLICA(1)",1,IF(P795="USO INTERNO(2)",2,IF(P795="RESTRINGIDO(3)",3,3))))+(IF(Q795="BAJA(1)",1,IF(Q795="MEDIA(2)",2,IF(Q795="ALTA(3)",3,3))))+(IF(R795="BAJA(1)",1,IF(R795="MEDIA(2)",2,IF(R795="ALTA(3)",3,3))))</f>
        <v/>
      </c>
      <c r="T795" s="10">
        <f>+IF(S795&lt;6,"BAJA",IF(S795&lt;8,"MEDIA","ALTA"))</f>
        <v/>
      </c>
      <c r="U795" s="10" t="inlineStr">
        <is>
          <t>-</t>
        </is>
      </c>
      <c r="V795" s="24" t="n">
        <v>43815</v>
      </c>
      <c r="W795" s="19" t="inlineStr">
        <is>
          <t>N/A</t>
        </is>
      </c>
      <c r="X795" s="10">
        <f>+IFERROR(IF(VLOOKUP(Tabla2[[#This Row],[ID]],'EVALUACION DE RIESGO'!A:A,1,FALSE)=Tabla2[[#This Row],[ID]],"SI","NO"),"NO")</f>
        <v/>
      </c>
    </row>
    <row r="796" ht="20.5" customHeight="1" s="98">
      <c r="A796" s="91" t="inlineStr">
        <is>
          <t>93-GTI</t>
        </is>
      </c>
      <c r="B796" s="10" t="inlineStr">
        <is>
          <t>APOYO</t>
        </is>
      </c>
      <c r="C796" s="10" t="inlineStr">
        <is>
          <t>Gestión de Tecnología de la Información</t>
        </is>
      </c>
      <c r="D796" s="10" t="inlineStr">
        <is>
          <t>GTI</t>
        </is>
      </c>
      <c r="E796" s="10" t="inlineStr">
        <is>
          <t>Gestión de las Operaciones de TI</t>
        </is>
      </c>
      <c r="F796" s="10" t="inlineStr">
        <is>
          <t>-</t>
        </is>
      </c>
      <c r="G796" s="10" t="inlineStr">
        <is>
          <t>Administración de la capacidad y desempeño de la infraestructura de TI</t>
        </is>
      </c>
      <c r="H796" s="17" t="inlineStr">
        <is>
          <t>Ruteador CISCO 1800 Series (08)</t>
        </is>
      </c>
      <c r="I796" s="17" t="inlineStr">
        <is>
          <t>Ruteador para enlaces de comunicación / 192.168.81.253</t>
        </is>
      </c>
      <c r="J796" s="10" t="inlineStr">
        <is>
          <t>GERENTE DE TI</t>
        </is>
      </c>
      <c r="K796" s="10" t="inlineStr">
        <is>
          <t>ADMINISTRADOR DE COMUNICACIÓN E INFRESTRUCTURA</t>
        </is>
      </c>
      <c r="L796" s="10" t="inlineStr">
        <is>
          <t>UBICACIÓN FISICA-AGENCIA VILLAFLORA</t>
        </is>
      </c>
      <c r="M796" s="10" t="inlineStr">
        <is>
          <t>DISCOS DUROS, SERVIDORES, DISCOS O MEDIOS PORTÁTILES, CINTAS O MEDIOS DE VIDEO Y AUDIO, ETC.</t>
        </is>
      </c>
      <c r="N796" s="10" t="inlineStr">
        <is>
          <t>APOYO</t>
        </is>
      </c>
      <c r="O796" s="10" t="inlineStr">
        <is>
          <t>REDES</t>
        </is>
      </c>
      <c r="P796" s="10" t="inlineStr">
        <is>
          <t>RESTRINGIDO(3)</t>
        </is>
      </c>
      <c r="Q796" s="10" t="inlineStr">
        <is>
          <t>ALTA(3)</t>
        </is>
      </c>
      <c r="R796" s="10" t="inlineStr">
        <is>
          <t>ALTA(3)</t>
        </is>
      </c>
      <c r="S796" s="10">
        <f>+(IF(P796="PUBLICA(1)",1,IF(P796="USO INTERNO(2)",2,IF(P796="RESTRINGIDO(3)",3,3))))+(IF(Q796="BAJA(1)",1,IF(Q796="MEDIA(2)",2,IF(Q796="ALTA(3)",3,3))))+(IF(R796="BAJA(1)",1,IF(R796="MEDIA(2)",2,IF(R796="ALTA(3)",3,3))))</f>
        <v/>
      </c>
      <c r="T796" s="10">
        <f>+IF(S796&lt;6,"BAJA",IF(S796&lt;8,"MEDIA","ALTA"))</f>
        <v/>
      </c>
      <c r="U796" s="10" t="inlineStr">
        <is>
          <t>-</t>
        </is>
      </c>
      <c r="V796" s="24" t="n">
        <v>43815</v>
      </c>
      <c r="W796" s="19" t="inlineStr">
        <is>
          <t>N/A</t>
        </is>
      </c>
      <c r="X796" s="10">
        <f>+IFERROR(IF(VLOOKUP(Tabla2[[#This Row],[ID]],'EVALUACION DE RIESGO'!A:A,1,FALSE)=Tabla2[[#This Row],[ID]],"SI","NO"),"NO")</f>
        <v/>
      </c>
    </row>
    <row r="797" ht="24" customHeight="1" s="98">
      <c r="A797" s="91" t="inlineStr">
        <is>
          <t>94-GTI</t>
        </is>
      </c>
      <c r="B797" s="10" t="inlineStr">
        <is>
          <t>APOYO</t>
        </is>
      </c>
      <c r="C797" s="10" t="inlineStr">
        <is>
          <t>Gestión de Tecnología de la Información</t>
        </is>
      </c>
      <c r="D797" s="10" t="inlineStr">
        <is>
          <t>GTI</t>
        </is>
      </c>
      <c r="E797" s="10" t="inlineStr">
        <is>
          <t>Gestión de las Operaciones de TI</t>
        </is>
      </c>
      <c r="F797" s="10" t="inlineStr">
        <is>
          <t>-</t>
        </is>
      </c>
      <c r="G797" s="10" t="inlineStr">
        <is>
          <t>Administración de la capacidad y desempeño de la infraestructura de TI</t>
        </is>
      </c>
      <c r="H797" s="17" t="inlineStr">
        <is>
          <t>Ruteador CISCO 1800 Series (SERVIPAGOS)</t>
        </is>
      </c>
      <c r="I797" s="17" t="inlineStr">
        <is>
          <t>Ruteador para enlaces de comunicación</t>
        </is>
      </c>
      <c r="J797" s="10" t="inlineStr">
        <is>
          <t>GERENTE DE TI</t>
        </is>
      </c>
      <c r="K797" s="10" t="inlineStr">
        <is>
          <t>ADMINISTRADOR DE COMUNICACIÓN E INFRESTRUCTURA</t>
        </is>
      </c>
      <c r="L797" s="10" t="inlineStr">
        <is>
          <t>UBICACIÓN FISICA-SUCURSAL IBARRA</t>
        </is>
      </c>
      <c r="M797" s="10" t="inlineStr">
        <is>
          <t>DISCOS DUROS, SERVIDORES, DISCOS O MEDIOS PORTÁTILES, CINTAS O MEDIOS DE VIDEO Y AUDIO, ETC.</t>
        </is>
      </c>
      <c r="N797" s="10" t="inlineStr">
        <is>
          <t>APOYO</t>
        </is>
      </c>
      <c r="O797" s="10" t="inlineStr">
        <is>
          <t>REDES</t>
        </is>
      </c>
      <c r="P797" s="10" t="inlineStr">
        <is>
          <t>RESTRINGIDO(3)</t>
        </is>
      </c>
      <c r="Q797" s="10" t="inlineStr">
        <is>
          <t>ALTA(3)</t>
        </is>
      </c>
      <c r="R797" s="10" t="inlineStr">
        <is>
          <t>ALTA(3)</t>
        </is>
      </c>
      <c r="S797" s="10">
        <f>+(IF(P797="PUBLICA(1)",1,IF(P797="USO INTERNO(2)",2,IF(P797="RESTRINGIDO(3)",3,3))))+(IF(Q797="BAJA(1)",1,IF(Q797="MEDIA(2)",2,IF(Q797="ALTA(3)",3,3))))+(IF(R797="BAJA(1)",1,IF(R797="MEDIA(2)",2,IF(R797="ALTA(3)",3,3))))</f>
        <v/>
      </c>
      <c r="T797" s="10">
        <f>+IF(S797&lt;6,"BAJA",IF(S797&lt;8,"MEDIA","ALTA"))</f>
        <v/>
      </c>
      <c r="U797" s="10" t="inlineStr">
        <is>
          <t>-</t>
        </is>
      </c>
      <c r="V797" s="24" t="n">
        <v>43815</v>
      </c>
      <c r="W797" s="19" t="inlineStr">
        <is>
          <t>N/A</t>
        </is>
      </c>
      <c r="X797" s="10">
        <f>+IFERROR(IF(VLOOKUP(Tabla2[[#This Row],[ID]],'EVALUACION DE RIESGO'!A:A,1,FALSE)=Tabla2[[#This Row],[ID]],"SI","NO"),"NO")</f>
        <v/>
      </c>
    </row>
    <row r="798">
      <c r="A798" s="91" t="inlineStr">
        <is>
          <t>95-GTI</t>
        </is>
      </c>
      <c r="B798" s="10" t="inlineStr">
        <is>
          <t>APOYO</t>
        </is>
      </c>
      <c r="C798" s="10" t="inlineStr">
        <is>
          <t>Gestión de Tecnología de la Información</t>
        </is>
      </c>
      <c r="D798" s="10" t="inlineStr">
        <is>
          <t>GTI</t>
        </is>
      </c>
      <c r="E798" s="10" t="inlineStr">
        <is>
          <t>Gestión de las Operaciones de TI</t>
        </is>
      </c>
      <c r="F798" s="10" t="inlineStr">
        <is>
          <t>-</t>
        </is>
      </c>
      <c r="G798" s="10" t="inlineStr">
        <is>
          <t xml:space="preserve">Administración de seguridad en equipos y servidores de aplicación    </t>
        </is>
      </c>
      <c r="H798" s="10" t="inlineStr">
        <is>
          <t>Base de datos SYBASE</t>
        </is>
      </c>
      <c r="I798" s="10" t="inlineStr">
        <is>
          <t>Servicio de base de datos 192.168.10.1</t>
        </is>
      </c>
      <c r="J798" s="10" t="inlineStr">
        <is>
          <t>GERENTE DE TI</t>
        </is>
      </c>
      <c r="K798" s="10" t="inlineStr">
        <is>
          <t>ADMINISTRADOR DE BASE DE DATOS</t>
        </is>
      </c>
      <c r="L798" s="10" t="inlineStr">
        <is>
          <t>UBICACIÓN FISICA-SUCURSAL IBARRA</t>
        </is>
      </c>
      <c r="M798" s="10" t="inlineStr">
        <is>
          <t>DISCOS DUROS, SERVIDORES, DISCOS O MEDIOS PORTÁTILES, CINTAS O MEDIOS DE VIDEO Y AUDIO, ETC.</t>
        </is>
      </c>
      <c r="N798" s="10" t="inlineStr">
        <is>
          <t>APOYO</t>
        </is>
      </c>
      <c r="O798" s="10" t="inlineStr">
        <is>
          <t>SERVICIOS</t>
        </is>
      </c>
      <c r="P798" s="10" t="inlineStr">
        <is>
          <t>USO INTERNO(2)</t>
        </is>
      </c>
      <c r="Q798" s="10" t="inlineStr">
        <is>
          <t>BAJA(1)</t>
        </is>
      </c>
      <c r="R798" s="10" t="inlineStr">
        <is>
          <t>ALTA(3)</t>
        </is>
      </c>
      <c r="S798" s="10">
        <f>+(IF(P798="PUBLICA(1)",1,IF(P798="USO INTERNO(2)",2,IF(P798="RESTRINGIDO(3)",3,3))))+(IF(Q798="BAJA(1)",1,IF(Q798="MEDIA(2)",2,IF(Q798="ALTA(3)",3,3))))+(IF(R798="BAJA(1)",1,IF(R798="MEDIA(2)",2,IF(R798="ALTA(3)",3,3))))</f>
        <v/>
      </c>
      <c r="T798" s="10">
        <f>+IF(S798&lt;6,"BAJA",IF(S798&lt;8,"MEDIA","ALTA"))</f>
        <v/>
      </c>
      <c r="U798" s="10" t="inlineStr">
        <is>
          <t>-</t>
        </is>
      </c>
      <c r="V798" s="24" t="n">
        <v>43815</v>
      </c>
      <c r="W798" s="19" t="inlineStr">
        <is>
          <t>N/A</t>
        </is>
      </c>
      <c r="X798" s="10">
        <f>+IFERROR(IF(VLOOKUP(Tabla2[[#This Row],[ID]],'EVALUACION DE RIESGO'!A:A,1,FALSE)=Tabla2[[#This Row],[ID]],"SI","NO"),"NO")</f>
        <v/>
      </c>
    </row>
    <row r="799">
      <c r="A799" s="91" t="inlineStr">
        <is>
          <t>96-GTI</t>
        </is>
      </c>
      <c r="B799" s="10" t="inlineStr">
        <is>
          <t>APOYO</t>
        </is>
      </c>
      <c r="C799" s="10" t="inlineStr">
        <is>
          <t>Gestión de Tecnología de la Información</t>
        </is>
      </c>
      <c r="D799" s="10" t="inlineStr">
        <is>
          <t>GTI</t>
        </is>
      </c>
      <c r="E799" s="10" t="inlineStr">
        <is>
          <t>Gestión de las Operaciones de TI</t>
        </is>
      </c>
      <c r="F799" s="10" t="inlineStr">
        <is>
          <t>-</t>
        </is>
      </c>
      <c r="G799" s="10" t="inlineStr">
        <is>
          <t xml:space="preserve">Administración de seguridad en equipos y servidores de aplicación    </t>
        </is>
      </c>
      <c r="H799" s="10" t="inlineStr">
        <is>
          <t>STANDBY</t>
        </is>
      </c>
      <c r="I799" s="10" t="inlineStr">
        <is>
          <t>Servidor de marca SUN  con sistema operativo Solaris 11 para contingencia de base de datos de producción / 192.168.10.48</t>
        </is>
      </c>
      <c r="J799" s="10" t="inlineStr">
        <is>
          <t>GERENTE DE TI</t>
        </is>
      </c>
      <c r="K799" s="10" t="inlineStr">
        <is>
          <t>ADMINISTRADOR DE BASE DE DATOS</t>
        </is>
      </c>
      <c r="L799" s="10" t="inlineStr">
        <is>
          <t>UBICACIÓN FISICA-SUCURSAL IBARRA</t>
        </is>
      </c>
      <c r="M799" s="10" t="inlineStr">
        <is>
          <t>DISCOS DUROS, SERVIDORES, DISCOS O MEDIOS PORTÁTILES, CINTAS O MEDIOS DE VIDEO Y AUDIO, ETC.</t>
        </is>
      </c>
      <c r="N799" s="10" t="inlineStr">
        <is>
          <t>APOYO</t>
        </is>
      </c>
      <c r="O799" s="10" t="inlineStr">
        <is>
          <t>HARDWARE</t>
        </is>
      </c>
      <c r="P799" s="10" t="inlineStr">
        <is>
          <t>USO INTERNO(2)</t>
        </is>
      </c>
      <c r="Q799" s="10" t="inlineStr">
        <is>
          <t>BAJA(1)</t>
        </is>
      </c>
      <c r="R799" s="10" t="inlineStr">
        <is>
          <t>MEDIA(2)</t>
        </is>
      </c>
      <c r="S799" s="10">
        <f>+(IF(P799="PUBLICA(1)",1,IF(P799="USO INTERNO(2)",2,IF(P799="RESTRINGIDO(3)",3,3))))+(IF(Q799="BAJA(1)",1,IF(Q799="MEDIA(2)",2,IF(Q799="ALTA(3)",3,3))))+(IF(R799="BAJA(1)",1,IF(R799="MEDIA(2)",2,IF(R799="ALTA(3)",3,3))))</f>
        <v/>
      </c>
      <c r="T799" s="10">
        <f>+IF(S799&lt;6,"BAJA",IF(S799&lt;8,"MEDIA","ALTA"))</f>
        <v/>
      </c>
      <c r="U799" s="10" t="inlineStr">
        <is>
          <t>-</t>
        </is>
      </c>
      <c r="V799" s="24" t="n">
        <v>43815</v>
      </c>
      <c r="W799" s="19" t="inlineStr">
        <is>
          <t>N/A</t>
        </is>
      </c>
      <c r="X799" s="10">
        <f>+IFERROR(IF(VLOOKUP(Tabla2[[#This Row],[ID]],'EVALUACION DE RIESGO'!A:A,1,FALSE)=Tabla2[[#This Row],[ID]],"SI","NO"),"NO")</f>
        <v/>
      </c>
    </row>
    <row r="800">
      <c r="A800" s="91" t="inlineStr">
        <is>
          <t>97-GTI</t>
        </is>
      </c>
      <c r="B800" s="10" t="inlineStr">
        <is>
          <t>APOYO</t>
        </is>
      </c>
      <c r="C800" s="10" t="inlineStr">
        <is>
          <t>Gestión de Tecnología de la Información</t>
        </is>
      </c>
      <c r="D800" s="10" t="inlineStr">
        <is>
          <t>GTI</t>
        </is>
      </c>
      <c r="E800" s="10" t="inlineStr">
        <is>
          <t>Gestión de las Operaciones de TI</t>
        </is>
      </c>
      <c r="F800" s="10" t="inlineStr">
        <is>
          <t>-</t>
        </is>
      </c>
      <c r="G800" s="10" t="inlineStr">
        <is>
          <t xml:space="preserve">Administración de seguridad en equipos y servidores de aplicación    </t>
        </is>
      </c>
      <c r="H800" s="10" t="inlineStr">
        <is>
          <t>Sistema Financiero FIT</t>
        </is>
      </c>
      <c r="I800" s="10" t="inlineStr">
        <is>
          <t>Sistema Financiero FIT /192.168.10.41</t>
        </is>
      </c>
      <c r="J800" s="10" t="inlineStr">
        <is>
          <t>GERENTE DE TI</t>
        </is>
      </c>
      <c r="K800" s="10" t="inlineStr">
        <is>
          <t>ADMINISTRADOR DE BASE DE DATOS</t>
        </is>
      </c>
      <c r="L800" s="10" t="inlineStr">
        <is>
          <t>UBICACIÓN FISICA-SUCURSAL IBARRA</t>
        </is>
      </c>
      <c r="M800" s="10" t="inlineStr">
        <is>
          <t>DISCOS DUROS, SERVIDORES, DISCOS O MEDIOS PORTÁTILES, CINTAS O MEDIOS DE VIDEO Y AUDIO, ETC.</t>
        </is>
      </c>
      <c r="N800" s="10" t="inlineStr">
        <is>
          <t>APOYO</t>
        </is>
      </c>
      <c r="O800" s="10" t="inlineStr">
        <is>
          <t>SOFTWARE</t>
        </is>
      </c>
      <c r="P800" s="10" t="inlineStr">
        <is>
          <t>USO INTERNO(2)</t>
        </is>
      </c>
      <c r="Q800" s="10" t="inlineStr">
        <is>
          <t>BAJA(1)</t>
        </is>
      </c>
      <c r="R800" s="10" t="inlineStr">
        <is>
          <t>ALTA(3)</t>
        </is>
      </c>
      <c r="S800" s="10">
        <f>+(IF(P800="PUBLICA(1)",1,IF(P800="USO INTERNO(2)",2,IF(P800="RESTRINGIDO(3)",3,3))))+(IF(Q800="BAJA(1)",1,IF(Q800="MEDIA(2)",2,IF(Q800="ALTA(3)",3,3))))+(IF(R800="BAJA(1)",1,IF(R800="MEDIA(2)",2,IF(R800="ALTA(3)",3,3))))</f>
        <v/>
      </c>
      <c r="T800" s="10">
        <f>+IF(S800&lt;6,"BAJA",IF(S800&lt;8,"MEDIA","ALTA"))</f>
        <v/>
      </c>
      <c r="U800" s="10" t="inlineStr">
        <is>
          <t>-</t>
        </is>
      </c>
      <c r="V800" s="24" t="n">
        <v>43815</v>
      </c>
      <c r="W800" s="19" t="inlineStr">
        <is>
          <t>N/A</t>
        </is>
      </c>
      <c r="X800" s="10">
        <f>+IFERROR(IF(VLOOKUP(Tabla2[[#This Row],[ID]],'EVALUACION DE RIESGO'!A:A,1,FALSE)=Tabla2[[#This Row],[ID]],"SI","NO"),"NO")</f>
        <v/>
      </c>
    </row>
    <row r="801">
      <c r="A801" s="91" t="inlineStr">
        <is>
          <t>98-GTI</t>
        </is>
      </c>
      <c r="B801" s="10" t="inlineStr">
        <is>
          <t>APOYO</t>
        </is>
      </c>
      <c r="C801" s="10" t="inlineStr">
        <is>
          <t>Gestión de Tecnología de la Información</t>
        </is>
      </c>
      <c r="D801" s="10" t="inlineStr">
        <is>
          <t>GTI</t>
        </is>
      </c>
      <c r="E801" s="10" t="inlineStr">
        <is>
          <t>Gestión de las Operaciones de TI</t>
        </is>
      </c>
      <c r="F801" s="10" t="inlineStr">
        <is>
          <t>-</t>
        </is>
      </c>
      <c r="G801" s="10" t="inlineStr">
        <is>
          <t>Administración de la capacidad y desempeño de la infraestructura de TI</t>
        </is>
      </c>
      <c r="H801" s="10" t="inlineStr">
        <is>
          <t>Sistema de Alertas</t>
        </is>
      </c>
      <c r="I801" s="10" t="inlineStr">
        <is>
          <t>Sistema de Alertas PRTG / 192.168.100.1</t>
        </is>
      </c>
      <c r="J801" s="10" t="inlineStr">
        <is>
          <t>GERENTE DE TI</t>
        </is>
      </c>
      <c r="K801" s="10" t="inlineStr">
        <is>
          <t>ADMINISTRADOR DE COMUNICACIÓN E INFRESTRUCTURA</t>
        </is>
      </c>
      <c r="L801" s="10" t="inlineStr">
        <is>
          <t>UBICACIÓN FISICA-SUCURSAL IBARRA</t>
        </is>
      </c>
      <c r="M801" s="10" t="inlineStr">
        <is>
          <t>DISCOS DUROS, SERVIDORES, DISCOS O MEDIOS PORTÁTILES, CINTAS O MEDIOS DE VIDEO Y AUDIO, ETC.</t>
        </is>
      </c>
      <c r="N801" s="10" t="inlineStr">
        <is>
          <t>APOYO</t>
        </is>
      </c>
      <c r="O801" s="10" t="inlineStr">
        <is>
          <t>SERVICIOS</t>
        </is>
      </c>
      <c r="P801" s="10" t="inlineStr">
        <is>
          <t>USO INTERNO(2)</t>
        </is>
      </c>
      <c r="Q801" s="10" t="inlineStr">
        <is>
          <t>MEDIA(2)</t>
        </is>
      </c>
      <c r="R801" s="10" t="inlineStr">
        <is>
          <t>MEDIA(2)</t>
        </is>
      </c>
      <c r="S801" s="10">
        <f>+(IF(P801="PUBLICA(1)",1,IF(P801="USO INTERNO(2)",2,IF(P801="RESTRINGIDO(3)",3,3))))+(IF(Q801="BAJA(1)",1,IF(Q801="MEDIA(2)",2,IF(Q801="ALTA(3)",3,3))))+(IF(R801="BAJA(1)",1,IF(R801="MEDIA(2)",2,IF(R801="ALTA(3)",3,3))))</f>
        <v/>
      </c>
      <c r="T801" s="10">
        <f>+IF(S801&lt;6,"BAJA",IF(S801&lt;8,"MEDIA","ALTA"))</f>
        <v/>
      </c>
      <c r="U801" s="10" t="inlineStr">
        <is>
          <t>-</t>
        </is>
      </c>
      <c r="V801" s="24" t="n">
        <v>43815</v>
      </c>
      <c r="W801" s="19" t="inlineStr">
        <is>
          <t>N/A</t>
        </is>
      </c>
      <c r="X801" s="10">
        <f>+IFERROR(IF(VLOOKUP(Tabla2[[#This Row],[ID]],'EVALUACION DE RIESGO'!A:A,1,FALSE)=Tabla2[[#This Row],[ID]],"SI","NO"),"NO")</f>
        <v/>
      </c>
    </row>
    <row r="802">
      <c r="A802" s="91" t="inlineStr">
        <is>
          <t>99-GTI</t>
        </is>
      </c>
      <c r="B802" s="10" t="inlineStr">
        <is>
          <t>APOYO</t>
        </is>
      </c>
      <c r="C802" s="10" t="inlineStr">
        <is>
          <t>Gestión de Tecnología de la Información</t>
        </is>
      </c>
      <c r="D802" s="10" t="inlineStr">
        <is>
          <t>GTI</t>
        </is>
      </c>
      <c r="E802" s="10" t="inlineStr">
        <is>
          <t>Gestión de las Operaciones de TI</t>
        </is>
      </c>
      <c r="F802" s="10" t="inlineStr">
        <is>
          <t>-</t>
        </is>
      </c>
      <c r="G802" s="10" t="inlineStr">
        <is>
          <t>Administración de servidores</t>
        </is>
      </c>
      <c r="H802" s="10" t="inlineStr">
        <is>
          <t xml:space="preserve">SVR Dominio VMSRVHPRECEO
</t>
        </is>
      </c>
      <c r="I802" s="10" t="inlineStr">
        <is>
          <t>SVR 192.168.81.160 - Contiene virtualizado Servidor de Dominio (Active Directory) y DNS</t>
        </is>
      </c>
      <c r="J802" s="10" t="inlineStr">
        <is>
          <t>GERENTE DE TI</t>
        </is>
      </c>
      <c r="K802" s="10" t="inlineStr">
        <is>
          <t>ADMINISTRADOR DE COMUNICACIÓN E INFRESTRUCTURA</t>
        </is>
      </c>
      <c r="L802" s="10" t="inlineStr">
        <is>
          <t>UBICACIÓN FISICA-AGENCIA VILLAFLORA</t>
        </is>
      </c>
      <c r="M802" s="10" t="inlineStr">
        <is>
          <t>DISCOS DUROS, SERVIDORES, DISCOS O MEDIOS PORTÁTILES, CINTAS O MEDIOS DE VIDEO Y AUDIO, ETC.</t>
        </is>
      </c>
      <c r="N802" s="10" t="inlineStr">
        <is>
          <t>APOYO</t>
        </is>
      </c>
      <c r="O802" s="10" t="inlineStr">
        <is>
          <t>HARDWARE</t>
        </is>
      </c>
      <c r="P802" s="10" t="inlineStr">
        <is>
          <t>USO INTERNO(2)</t>
        </is>
      </c>
      <c r="Q802" s="10" t="inlineStr">
        <is>
          <t>BAJA(1)</t>
        </is>
      </c>
      <c r="R802" s="10" t="inlineStr">
        <is>
          <t>ALTA(3)</t>
        </is>
      </c>
      <c r="S802" s="10">
        <f>+(IF(P802="PUBLICA(1)",1,IF(P802="USO INTERNO(2)",2,IF(P802="RESTRINGIDO(3)",3,3))))+(IF(Q802="BAJA(1)",1,IF(Q802="MEDIA(2)",2,IF(Q802="ALTA(3)",3,3))))+(IF(R802="BAJA(1)",1,IF(R802="MEDIA(2)",2,IF(R802="ALTA(3)",3,3))))</f>
        <v/>
      </c>
      <c r="T802" s="10">
        <f>+IF(S802&lt;6,"BAJA",IF(S802&lt;8,"MEDIA","ALTA"))</f>
        <v/>
      </c>
      <c r="U802" s="10" t="inlineStr">
        <is>
          <t>-</t>
        </is>
      </c>
      <c r="V802" s="24" t="n">
        <v>43815</v>
      </c>
      <c r="W802" s="19" t="inlineStr">
        <is>
          <t>N/A</t>
        </is>
      </c>
      <c r="X802" s="10">
        <f>+IFERROR(IF(VLOOKUP(Tabla2[[#This Row],[ID]],'EVALUACION DE RIESGO'!A:A,1,FALSE)=Tabla2[[#This Row],[ID]],"SI","NO"),"NO")</f>
        <v/>
      </c>
    </row>
    <row r="803">
      <c r="A803" s="91" t="inlineStr">
        <is>
          <t>100-GTI</t>
        </is>
      </c>
      <c r="B803" s="10" t="inlineStr">
        <is>
          <t>APOYO</t>
        </is>
      </c>
      <c r="C803" s="10" t="inlineStr">
        <is>
          <t>Gestión de Tecnología de la Información</t>
        </is>
      </c>
      <c r="D803" s="10" t="inlineStr">
        <is>
          <t>GTI</t>
        </is>
      </c>
      <c r="E803" s="10" t="inlineStr">
        <is>
          <t>Gestión de las Operaciones de TI</t>
        </is>
      </c>
      <c r="F803" s="10" t="inlineStr">
        <is>
          <t>-</t>
        </is>
      </c>
      <c r="G803" s="10" t="inlineStr">
        <is>
          <t>Administración de servidores</t>
        </is>
      </c>
      <c r="H803" s="10" t="inlineStr">
        <is>
          <t xml:space="preserve">SVR Dominio VMHPCARAPUNGO
</t>
        </is>
      </c>
      <c r="I803" s="10" t="inlineStr">
        <is>
          <t>VMHPCARAPUNGO - Directorio Activo - Codigo de activo 003427</t>
        </is>
      </c>
      <c r="J803" s="10" t="inlineStr">
        <is>
          <t>GERENTE DE TI</t>
        </is>
      </c>
      <c r="K803" s="10" t="inlineStr">
        <is>
          <t>ADMINISTRADOR DE COMUNICACIÓN E INFRESTRUCTURA</t>
        </is>
      </c>
      <c r="L803" s="10" t="inlineStr">
        <is>
          <t>UBICACIÓN FISICA-AGENCIA CARAPUNGO</t>
        </is>
      </c>
      <c r="M803" s="10" t="inlineStr">
        <is>
          <t>DISCOS DUROS, SERVIDORES, DISCOS O MEDIOS PORTÁTILES, CINTAS O MEDIOS DE VIDEO Y AUDIO, ETC.</t>
        </is>
      </c>
      <c r="N803" s="10" t="inlineStr">
        <is>
          <t>APOYO</t>
        </is>
      </c>
      <c r="O803" s="10" t="inlineStr">
        <is>
          <t>HARDWARE</t>
        </is>
      </c>
      <c r="P803" s="10" t="inlineStr">
        <is>
          <t>USO INTERNO(2)</t>
        </is>
      </c>
      <c r="Q803" s="10" t="inlineStr">
        <is>
          <t>BAJA(1)</t>
        </is>
      </c>
      <c r="R803" s="10" t="inlineStr">
        <is>
          <t>ALTA(3)</t>
        </is>
      </c>
      <c r="S803" s="10">
        <f>+(IF(P803="PUBLICA(1)",1,IF(P803="USO INTERNO(2)",2,IF(P803="RESTRINGIDO(3)",3,3))))+(IF(Q803="BAJA(1)",1,IF(Q803="MEDIA(2)",2,IF(Q803="ALTA(3)",3,3))))+(IF(R803="BAJA(1)",1,IF(R803="MEDIA(2)",2,IF(R803="ALTA(3)",3,3))))</f>
        <v/>
      </c>
      <c r="T803" s="10">
        <f>+IF(S803&lt;6,"BAJA",IF(S803&lt;8,"MEDIA","ALTA"))</f>
        <v/>
      </c>
      <c r="U803" s="10" t="inlineStr">
        <is>
          <t>-</t>
        </is>
      </c>
      <c r="V803" s="24" t="n">
        <v>43815</v>
      </c>
      <c r="W803" s="19" t="inlineStr">
        <is>
          <t>N/A</t>
        </is>
      </c>
      <c r="X803" s="10">
        <f>+IFERROR(IF(VLOOKUP(Tabla2[[#This Row],[ID]],'EVALUACION DE RIESGO'!A:A,1,FALSE)=Tabla2[[#This Row],[ID]],"SI","NO"),"NO")</f>
        <v/>
      </c>
    </row>
    <row r="804">
      <c r="A804" s="91" t="inlineStr">
        <is>
          <t>101-GTI</t>
        </is>
      </c>
      <c r="B804" s="10" t="inlineStr">
        <is>
          <t>APOYO</t>
        </is>
      </c>
      <c r="C804" s="10" t="inlineStr">
        <is>
          <t>Gestión de Tecnología de la Información</t>
        </is>
      </c>
      <c r="D804" s="10" t="inlineStr">
        <is>
          <t>GTI</t>
        </is>
      </c>
      <c r="E804" s="10" t="inlineStr">
        <is>
          <t>Gestión de las Operaciones de TI</t>
        </is>
      </c>
      <c r="F804" s="10" t="inlineStr">
        <is>
          <t>-</t>
        </is>
      </c>
      <c r="G804" s="10" t="inlineStr">
        <is>
          <t>Ejecución de procesos Batch</t>
        </is>
      </c>
      <c r="H804" s="10" t="inlineStr">
        <is>
          <t>VB Manual de fin de día</t>
        </is>
      </c>
      <c r="I804" s="10" t="inlineStr">
        <is>
          <t>Conjunto de procesos por lotes que permiten consolidar y jornalizar la información generada diariamente por los distintos módulos de los sistemas de aplicación existentes</t>
        </is>
      </c>
      <c r="J804" s="10" t="inlineStr">
        <is>
          <t>GERENTE DE TI</t>
        </is>
      </c>
      <c r="K804" s="10" t="inlineStr">
        <is>
          <t>ADMINISTRADOR DE COMUNICACIÓN E INFRESTRUCTURA</t>
        </is>
      </c>
      <c r="L804" s="10" t="inlineStr">
        <is>
          <t>UBICACIÓN FISICA-SUCURSAL IBARRA</t>
        </is>
      </c>
      <c r="M804" s="10" t="inlineStr">
        <is>
          <t>DISCOS DUROS, SERVIDORES, DISCOS O MEDIOS PORTÁTILES, CINTAS O MEDIOS DE VIDEO Y AUDIO, ETC.</t>
        </is>
      </c>
      <c r="N804" s="10" t="inlineStr">
        <is>
          <t>APOYO</t>
        </is>
      </c>
      <c r="O804" s="10" t="inlineStr">
        <is>
          <t>OTROS</t>
        </is>
      </c>
      <c r="P804" s="10" t="inlineStr">
        <is>
          <t>RESTRINGIDO(3)</t>
        </is>
      </c>
      <c r="Q804" s="10" t="inlineStr">
        <is>
          <t>BAJA(1)</t>
        </is>
      </c>
      <c r="R804" s="10" t="inlineStr">
        <is>
          <t>ALTA(3)</t>
        </is>
      </c>
      <c r="S804" s="10">
        <f>+(IF(P804="PUBLICA(1)",1,IF(P804="USO INTERNO(2)",2,IF(P804="RESTRINGIDO(3)",3,3))))+(IF(Q804="BAJA(1)",1,IF(Q804="MEDIA(2)",2,IF(Q804="ALTA(3)",3,3))))+(IF(R804="BAJA(1)",1,IF(R804="MEDIA(2)",2,IF(R804="ALTA(3)",3,3))))</f>
        <v/>
      </c>
      <c r="T804" s="10">
        <f>+IF(S804&lt;6,"BAJA",IF(S804&lt;8,"MEDIA","ALTA"))</f>
        <v/>
      </c>
      <c r="U804" s="10" t="inlineStr">
        <is>
          <t>-</t>
        </is>
      </c>
      <c r="V804" s="24" t="n">
        <v>43815</v>
      </c>
      <c r="W804" s="19" t="inlineStr">
        <is>
          <t>N/A</t>
        </is>
      </c>
      <c r="X804" s="10">
        <f>+IFERROR(IF(VLOOKUP(Tabla2[[#This Row],[ID]],'EVALUACION DE RIESGO'!A:A,1,FALSE)=Tabla2[[#This Row],[ID]],"SI","NO"),"NO")</f>
        <v/>
      </c>
    </row>
    <row r="805">
      <c r="A805" s="91" t="inlineStr">
        <is>
          <t>102-GTI</t>
        </is>
      </c>
      <c r="B805" s="10" t="inlineStr">
        <is>
          <t>APOYO</t>
        </is>
      </c>
      <c r="C805" s="10" t="inlineStr">
        <is>
          <t>Gestión de Tecnología de la Información</t>
        </is>
      </c>
      <c r="D805" s="10" t="inlineStr">
        <is>
          <t>GTI</t>
        </is>
      </c>
      <c r="E805" s="10" t="inlineStr">
        <is>
          <t>Gestión de las Operaciones de TI</t>
        </is>
      </c>
      <c r="F805" s="10" t="inlineStr">
        <is>
          <t>-</t>
        </is>
      </c>
      <c r="G805" s="10" t="inlineStr">
        <is>
          <t>Ejecución de procesos Batch</t>
        </is>
      </c>
      <c r="H805" s="10" t="inlineStr">
        <is>
          <t>VB Manual de fin de mes</t>
        </is>
      </c>
      <c r="I805" s="10" t="inlineStr">
        <is>
          <t>Conjunto de procesos por lotes que permiten consolidar y jornalizar la información generada mensualmente por los distintos módulos de los sistemas de aplicación existentes</t>
        </is>
      </c>
      <c r="J805" s="10" t="inlineStr">
        <is>
          <t>GERENTE DE TI</t>
        </is>
      </c>
      <c r="K805" s="10" t="inlineStr">
        <is>
          <t>ADMINISTRADOR DE COMUNICACIÓN E INFRESTRUCTURA</t>
        </is>
      </c>
      <c r="L805" s="10" t="inlineStr">
        <is>
          <t>UBICACIÓN FISICA-SUCURSAL IBARRA</t>
        </is>
      </c>
      <c r="M805" s="10" t="inlineStr">
        <is>
          <t>DISCOS DUROS, SERVIDORES, DISCOS O MEDIOS PORTÁTILES, CINTAS O MEDIOS DE VIDEO Y AUDIO, ETC.</t>
        </is>
      </c>
      <c r="N805" s="10" t="inlineStr">
        <is>
          <t>APOYO</t>
        </is>
      </c>
      <c r="O805" s="10" t="inlineStr">
        <is>
          <t>OTROS</t>
        </is>
      </c>
      <c r="P805" s="10" t="inlineStr">
        <is>
          <t>RESTRINGIDO(3)</t>
        </is>
      </c>
      <c r="Q805" s="10" t="inlineStr">
        <is>
          <t>BAJA(1)</t>
        </is>
      </c>
      <c r="R805" s="10" t="inlineStr">
        <is>
          <t>ALTA(3)</t>
        </is>
      </c>
      <c r="S805" s="10">
        <f>+(IF(P805="PUBLICA(1)",1,IF(P805="USO INTERNO(2)",2,IF(P805="RESTRINGIDO(3)",3,3))))+(IF(Q805="BAJA(1)",1,IF(Q805="MEDIA(2)",2,IF(Q805="ALTA(3)",3,3))))+(IF(R805="BAJA(1)",1,IF(R805="MEDIA(2)",2,IF(R805="ALTA(3)",3,3))))</f>
        <v/>
      </c>
      <c r="T805" s="10">
        <f>+IF(S805&lt;6,"BAJA",IF(S805&lt;8,"MEDIA","ALTA"))</f>
        <v/>
      </c>
      <c r="U805" s="10" t="inlineStr">
        <is>
          <t>-</t>
        </is>
      </c>
      <c r="V805" s="24" t="n">
        <v>43815</v>
      </c>
      <c r="W805" s="19" t="inlineStr">
        <is>
          <t>N/A</t>
        </is>
      </c>
      <c r="X805" s="10">
        <f>+IFERROR(IF(VLOOKUP(Tabla2[[#This Row],[ID]],'EVALUACION DE RIESGO'!A:A,1,FALSE)=Tabla2[[#This Row],[ID]],"SI","NO"),"NO")</f>
        <v/>
      </c>
    </row>
    <row r="806">
      <c r="A806" s="91" t="inlineStr">
        <is>
          <t>103-GTI</t>
        </is>
      </c>
      <c r="B806" s="10" t="inlineStr">
        <is>
          <t>APOYO</t>
        </is>
      </c>
      <c r="C806" s="10" t="inlineStr">
        <is>
          <t>Gestión de Tecnología de la Información</t>
        </is>
      </c>
      <c r="D806" s="10" t="inlineStr">
        <is>
          <t>GTI</t>
        </is>
      </c>
      <c r="E806" s="10" t="inlineStr">
        <is>
          <t>Gestión de las Operaciones de TI</t>
        </is>
      </c>
      <c r="F806" s="10" t="inlineStr">
        <is>
          <t>-</t>
        </is>
      </c>
      <c r="G806" s="10" t="inlineStr">
        <is>
          <t>Administración de la capacidad y desempeño de la infraestructura de TI</t>
        </is>
      </c>
      <c r="H806" s="10" t="inlineStr">
        <is>
          <t>Enlaces de Comunicación</t>
        </is>
      </c>
      <c r="I806" s="10" t="inlineStr">
        <is>
          <t>Enlaces de comunicación en todas las oficinas de la cooperativa</t>
        </is>
      </c>
      <c r="J806" s="10" t="inlineStr">
        <is>
          <t>GERENTE DE TI</t>
        </is>
      </c>
      <c r="K806" s="10" t="inlineStr">
        <is>
          <t>ADMINISTRADOR DE COMUNICACIÓN E INFRESTRUCTURA</t>
        </is>
      </c>
      <c r="L806" s="10" t="inlineStr">
        <is>
          <t>UBICACIÓN FISICA-SUCURSAL IBARRA</t>
        </is>
      </c>
      <c r="M806" s="10" t="inlineStr">
        <is>
          <t>DISCOS DUROS, SERVIDORES, DISCOS O MEDIOS PORTÁTILES, CINTAS O MEDIOS DE VIDEO Y AUDIO, ETC.</t>
        </is>
      </c>
      <c r="N806" s="10" t="inlineStr">
        <is>
          <t>APOYO</t>
        </is>
      </c>
      <c r="O806" s="10" t="inlineStr">
        <is>
          <t>REDES</t>
        </is>
      </c>
      <c r="P806" s="10" t="inlineStr">
        <is>
          <t>USO INTERNO(2)</t>
        </is>
      </c>
      <c r="Q806" s="10" t="inlineStr">
        <is>
          <t>BAJA(1)</t>
        </is>
      </c>
      <c r="R806" s="10" t="inlineStr">
        <is>
          <t>ALTA(3)</t>
        </is>
      </c>
      <c r="S806" s="10">
        <f>+(IF(P806="PUBLICA(1)",1,IF(P806="USO INTERNO(2)",2,IF(P806="RESTRINGIDO(3)",3,3))))+(IF(Q806="BAJA(1)",1,IF(Q806="MEDIA(2)",2,IF(Q806="ALTA(3)",3,3))))+(IF(R806="BAJA(1)",1,IF(R806="MEDIA(2)",2,IF(R806="ALTA(3)",3,3))))</f>
        <v/>
      </c>
      <c r="T806" s="10">
        <f>+IF(S806&lt;6,"BAJA",IF(S806&lt;8,"MEDIA","ALTA"))</f>
        <v/>
      </c>
      <c r="U806" s="10" t="inlineStr">
        <is>
          <t>-</t>
        </is>
      </c>
      <c r="V806" s="24" t="n">
        <v>43815</v>
      </c>
      <c r="W806" s="19" t="inlineStr">
        <is>
          <t>N/A</t>
        </is>
      </c>
      <c r="X806" s="10">
        <f>+IFERROR(IF(VLOOKUP(Tabla2[[#This Row],[ID]],'EVALUACION DE RIESGO'!A:A,1,FALSE)=Tabla2[[#This Row],[ID]],"SI","NO"),"NO")</f>
        <v/>
      </c>
    </row>
    <row r="807">
      <c r="A807" s="91" t="inlineStr">
        <is>
          <t>104-GTI</t>
        </is>
      </c>
      <c r="B807" s="10" t="inlineStr">
        <is>
          <t>APOYO</t>
        </is>
      </c>
      <c r="C807" s="10" t="inlineStr">
        <is>
          <t>Gestión de Tecnología de la Información</t>
        </is>
      </c>
      <c r="D807" s="10" t="inlineStr">
        <is>
          <t>GTI</t>
        </is>
      </c>
      <c r="E807" s="10" t="inlineStr">
        <is>
          <t>Gestión de las Operaciones de TI</t>
        </is>
      </c>
      <c r="F807" s="10" t="inlineStr">
        <is>
          <t>-</t>
        </is>
      </c>
      <c r="G807" s="10" t="inlineStr">
        <is>
          <t>Administración de servidores</t>
        </is>
      </c>
      <c r="H807" s="10" t="inlineStr">
        <is>
          <t xml:space="preserve">SVR Dominio VMSRVATUNTAQUI
</t>
        </is>
      </c>
      <c r="I807" s="10" t="inlineStr">
        <is>
          <t xml:space="preserve">SVR 192.168.20.229 - Codigo de activo 004091 - contiene virtualizado: Servidor de Dominio (Active Directory) y DNS - Servidor de Desarrollo - Webcoop </t>
        </is>
      </c>
      <c r="J807" s="10" t="inlineStr">
        <is>
          <t>GERENTE DE TI</t>
        </is>
      </c>
      <c r="K807" s="10" t="inlineStr">
        <is>
          <t>ADMINISTRADOR DE COMUNICACIÓN E INFRESTRUCTURA</t>
        </is>
      </c>
      <c r="L807" s="10" t="inlineStr">
        <is>
          <t>UBICACIÓN FISICA-MATRIZ ATUNTAQUI</t>
        </is>
      </c>
      <c r="M807" s="10" t="inlineStr">
        <is>
          <t>DISCOS DUROS, SERVIDORES, DISCOS O MEDIOS PORTÁTILES, CINTAS O MEDIOS DE VIDEO Y AUDIO, ETC.</t>
        </is>
      </c>
      <c r="N807" s="10" t="inlineStr">
        <is>
          <t>APOYO</t>
        </is>
      </c>
      <c r="O807" s="10" t="inlineStr">
        <is>
          <t>HARDWARE</t>
        </is>
      </c>
      <c r="P807" s="10" t="inlineStr">
        <is>
          <t>USO INTERNO(2)</t>
        </is>
      </c>
      <c r="Q807" s="10" t="inlineStr">
        <is>
          <t>BAJA(1)</t>
        </is>
      </c>
      <c r="R807" s="10" t="inlineStr">
        <is>
          <t>ALTA(3)</t>
        </is>
      </c>
      <c r="S807" s="10">
        <f>+(IF(P807="PUBLICA(1)",1,IF(P807="USO INTERNO(2)",2,IF(P807="RESTRINGIDO(3)",3,3))))+(IF(Q807="BAJA(1)",1,IF(Q807="MEDIA(2)",2,IF(Q807="ALTA(3)",3,3))))+(IF(R807="BAJA(1)",1,IF(R807="MEDIA(2)",2,IF(R807="ALTA(3)",3,3))))</f>
        <v/>
      </c>
      <c r="T807" s="10">
        <f>+IF(S807&lt;6,"BAJA",IF(S807&lt;8,"MEDIA","ALTA"))</f>
        <v/>
      </c>
      <c r="U807" s="10" t="inlineStr">
        <is>
          <t>-</t>
        </is>
      </c>
      <c r="V807" s="24" t="n">
        <v>43815</v>
      </c>
      <c r="W807" s="19" t="inlineStr">
        <is>
          <t>N/A</t>
        </is>
      </c>
      <c r="X807" s="10">
        <f>+IFERROR(IF(VLOOKUP(Tabla2[[#This Row],[ID]],'EVALUACION DE RIESGO'!A:A,1,FALSE)=Tabla2[[#This Row],[ID]],"SI","NO"),"NO")</f>
        <v/>
      </c>
    </row>
    <row r="808">
      <c r="A808" s="91" t="inlineStr">
        <is>
          <t>105-GTI</t>
        </is>
      </c>
      <c r="B808" s="10" t="inlineStr">
        <is>
          <t>APOYO</t>
        </is>
      </c>
      <c r="C808" s="10" t="inlineStr">
        <is>
          <t>Gestión de Tecnología de la Información</t>
        </is>
      </c>
      <c r="D808" s="10" t="inlineStr">
        <is>
          <t>GTI</t>
        </is>
      </c>
      <c r="E808" s="10" t="inlineStr">
        <is>
          <t>Gestión de las Operaciones de TI</t>
        </is>
      </c>
      <c r="F808" s="10" t="inlineStr">
        <is>
          <t>-</t>
        </is>
      </c>
      <c r="G808" s="10" t="inlineStr">
        <is>
          <t>Administración de servidores</t>
        </is>
      </c>
      <c r="H808" s="10" t="inlineStr">
        <is>
          <t xml:space="preserve">SVR Dominio NAS-HPE
</t>
        </is>
      </c>
      <c r="I808" s="10" t="inlineStr">
        <is>
          <t>NAS-HPE - Directorio Activo - Codigo de activo 006090</t>
        </is>
      </c>
      <c r="J808" s="10" t="inlineStr">
        <is>
          <t>GERENTE DE TI</t>
        </is>
      </c>
      <c r="K808" s="10" t="inlineStr">
        <is>
          <t>ADMINISTRADOR DE COMUNICACIÓN E INFRESTRUCTURA</t>
        </is>
      </c>
      <c r="L808" s="10" t="inlineStr">
        <is>
          <t>UBICACIÓN FISICA-SUCURSAL IBARRA</t>
        </is>
      </c>
      <c r="M808" s="10" t="inlineStr">
        <is>
          <t>DISCOS DUROS, SERVIDORES, DISCOS O MEDIOS PORTÁTILES, CINTAS O MEDIOS DE VIDEO Y AUDIO, ETC.</t>
        </is>
      </c>
      <c r="N808" s="10" t="inlineStr">
        <is>
          <t>APOYO</t>
        </is>
      </c>
      <c r="O808" s="10" t="inlineStr">
        <is>
          <t>HARDWARE</t>
        </is>
      </c>
      <c r="P808" s="10" t="inlineStr">
        <is>
          <t>USO INTERNO(2)</t>
        </is>
      </c>
      <c r="Q808" s="10" t="inlineStr">
        <is>
          <t>BAJA(1)</t>
        </is>
      </c>
      <c r="R808" s="10" t="inlineStr">
        <is>
          <t>ALTA(3)</t>
        </is>
      </c>
      <c r="S808" s="10">
        <f>+(IF(P808="PUBLICA(1)",1,IF(P808="USO INTERNO(2)",2,IF(P808="RESTRINGIDO(3)",3,3))))+(IF(Q808="BAJA(1)",1,IF(Q808="MEDIA(2)",2,IF(Q808="ALTA(3)",3,3))))+(IF(R808="BAJA(1)",1,IF(R808="MEDIA(2)",2,IF(R808="ALTA(3)",3,3))))</f>
        <v/>
      </c>
      <c r="T808" s="10">
        <f>+IF(S808&lt;6,"BAJA",IF(S808&lt;8,"MEDIA","ALTA"))</f>
        <v/>
      </c>
      <c r="U808" s="10" t="inlineStr">
        <is>
          <t>-</t>
        </is>
      </c>
      <c r="V808" s="24" t="n">
        <v>43815</v>
      </c>
      <c r="W808" s="19" t="inlineStr">
        <is>
          <t>N/A</t>
        </is>
      </c>
      <c r="X808" s="10">
        <f>+IFERROR(IF(VLOOKUP(Tabla2[[#This Row],[ID]],'EVALUACION DE RIESGO'!A:A,1,FALSE)=Tabla2[[#This Row],[ID]],"SI","NO"),"NO")</f>
        <v/>
      </c>
    </row>
    <row r="809">
      <c r="A809" s="91" t="inlineStr">
        <is>
          <t>106-GTI</t>
        </is>
      </c>
      <c r="B809" s="10" t="inlineStr">
        <is>
          <t>APOYO</t>
        </is>
      </c>
      <c r="C809" s="10" t="inlineStr">
        <is>
          <t>Gestión de Tecnología de la Información</t>
        </is>
      </c>
      <c r="D809" s="10" t="inlineStr">
        <is>
          <t>GTI</t>
        </is>
      </c>
      <c r="E809" s="10" t="inlineStr">
        <is>
          <t>Gestión de las Operaciones de TI</t>
        </is>
      </c>
      <c r="F809" s="10" t="inlineStr">
        <is>
          <t>-</t>
        </is>
      </c>
      <c r="G809" s="10" t="inlineStr">
        <is>
          <t>Administración de servidores</t>
        </is>
      </c>
      <c r="H809" s="10" t="inlineStr">
        <is>
          <t xml:space="preserve">SVR Dominio VMSRVHPOTAVALO
</t>
        </is>
      </c>
      <c r="I809" s="10" t="inlineStr">
        <is>
          <t>Svr 192.168.40.165 - Contiene virtualizado Servidor de Dominio (Active Directory) y DNS</t>
        </is>
      </c>
      <c r="J809" s="10" t="inlineStr">
        <is>
          <t>GERENTE DE TI</t>
        </is>
      </c>
      <c r="K809" s="10" t="inlineStr">
        <is>
          <t>ADMINISTRADOR DE COMUNICACIÓN E INFRESTRUCTURA</t>
        </is>
      </c>
      <c r="L809" s="10" t="inlineStr">
        <is>
          <t>UBICACIÓN FISICA-SUCURSAL OTAVALO</t>
        </is>
      </c>
      <c r="M809" s="10" t="inlineStr">
        <is>
          <t>DISCOS DUROS, SERVIDORES, DISCOS O MEDIOS PORTÁTILES, CINTAS O MEDIOS DE VIDEO Y AUDIO, ETC.</t>
        </is>
      </c>
      <c r="N809" s="10" t="inlineStr">
        <is>
          <t>APOYO</t>
        </is>
      </c>
      <c r="O809" s="10" t="inlineStr">
        <is>
          <t>HARDWARE</t>
        </is>
      </c>
      <c r="P809" s="10" t="inlineStr">
        <is>
          <t>USO INTERNO(2)</t>
        </is>
      </c>
      <c r="Q809" s="10" t="inlineStr">
        <is>
          <t>BAJA(1)</t>
        </is>
      </c>
      <c r="R809" s="10" t="inlineStr">
        <is>
          <t>ALTA(3)</t>
        </is>
      </c>
      <c r="S809" s="10">
        <f>+(IF(P809="PUBLICA(1)",1,IF(P809="USO INTERNO(2)",2,IF(P809="RESTRINGIDO(3)",3,3))))+(IF(Q809="BAJA(1)",1,IF(Q809="MEDIA(2)",2,IF(Q809="ALTA(3)",3,3))))+(IF(R809="BAJA(1)",1,IF(R809="MEDIA(2)",2,IF(R809="ALTA(3)",3,3))))</f>
        <v/>
      </c>
      <c r="T809" s="10">
        <f>+IF(S809&lt;6,"BAJA",IF(S809&lt;8,"MEDIA","ALTA"))</f>
        <v/>
      </c>
      <c r="U809" s="10" t="inlineStr">
        <is>
          <t>-</t>
        </is>
      </c>
      <c r="V809" s="24" t="n">
        <v>43815</v>
      </c>
      <c r="W809" s="19" t="inlineStr">
        <is>
          <t>N/A</t>
        </is>
      </c>
      <c r="X809" s="10">
        <f>+IFERROR(IF(VLOOKUP(Tabla2[[#This Row],[ID]],'EVALUACION DE RIESGO'!A:A,1,FALSE)=Tabla2[[#This Row],[ID]],"SI","NO"),"NO")</f>
        <v/>
      </c>
    </row>
    <row r="810">
      <c r="A810" s="91" t="inlineStr">
        <is>
          <t>107-GTI</t>
        </is>
      </c>
      <c r="B810" s="10" t="inlineStr">
        <is>
          <t>APOYO</t>
        </is>
      </c>
      <c r="C810" s="10" t="inlineStr">
        <is>
          <t>Gestión de Tecnología de la Información</t>
        </is>
      </c>
      <c r="D810" s="10" t="inlineStr">
        <is>
          <t>GTI</t>
        </is>
      </c>
      <c r="E810" s="10" t="inlineStr">
        <is>
          <t>Gestión de las Operaciones de TI</t>
        </is>
      </c>
      <c r="F810" s="10" t="inlineStr">
        <is>
          <t>-</t>
        </is>
      </c>
      <c r="G810" s="10" t="inlineStr">
        <is>
          <t>Administración de servidores</t>
        </is>
      </c>
      <c r="H810" s="10" t="inlineStr">
        <is>
          <t xml:space="preserve">SVR Dominio HPPIMAMPIRO
</t>
        </is>
      </c>
      <c r="I810" s="10" t="inlineStr">
        <is>
          <t>HPPIMAMPIRO - Directorio Activo - Codigo de activo 001581</t>
        </is>
      </c>
      <c r="J810" s="10" t="inlineStr">
        <is>
          <t>GERENTE DE TI</t>
        </is>
      </c>
      <c r="K810" s="10" t="inlineStr">
        <is>
          <t>ADMINISTRADOR DE COMUNICACIÓN E INFRESTRUCTURA</t>
        </is>
      </c>
      <c r="L810" s="10" t="inlineStr">
        <is>
          <t>UBICACIÓN FISICA-AGENCIA PIMAMPIRO</t>
        </is>
      </c>
      <c r="M810" s="10" t="inlineStr">
        <is>
          <t>DISCOS DUROS, SERVIDORES, DISCOS O MEDIOS PORTÁTILES, CINTAS O MEDIOS DE VIDEO Y AUDIO, ETC.</t>
        </is>
      </c>
      <c r="N810" s="10" t="inlineStr">
        <is>
          <t>APOYO</t>
        </is>
      </c>
      <c r="O810" s="10" t="inlineStr">
        <is>
          <t>HARDWARE</t>
        </is>
      </c>
      <c r="P810" s="10" t="inlineStr">
        <is>
          <t>USO INTERNO(2)</t>
        </is>
      </c>
      <c r="Q810" s="10" t="inlineStr">
        <is>
          <t>BAJA(1)</t>
        </is>
      </c>
      <c r="R810" s="10" t="inlineStr">
        <is>
          <t>ALTA(3)</t>
        </is>
      </c>
      <c r="S810" s="10">
        <f>+(IF(P810="PUBLICA(1)",1,IF(P810="USO INTERNO(2)",2,IF(P810="RESTRINGIDO(3)",3,3))))+(IF(Q810="BAJA(1)",1,IF(Q810="MEDIA(2)",2,IF(Q810="ALTA(3)",3,3))))+(IF(R810="BAJA(1)",1,IF(R810="MEDIA(2)",2,IF(R810="ALTA(3)",3,3))))</f>
        <v/>
      </c>
      <c r="T810" s="10">
        <f>+IF(S810&lt;6,"BAJA",IF(S810&lt;8,"MEDIA","ALTA"))</f>
        <v/>
      </c>
      <c r="U810" s="10" t="inlineStr">
        <is>
          <t>-</t>
        </is>
      </c>
      <c r="V810" s="24" t="n">
        <v>43815</v>
      </c>
      <c r="W810" s="19" t="inlineStr">
        <is>
          <t>N/A</t>
        </is>
      </c>
      <c r="X810" s="10">
        <f>+IFERROR(IF(VLOOKUP(Tabla2[[#This Row],[ID]],'EVALUACION DE RIESGO'!A:A,1,FALSE)=Tabla2[[#This Row],[ID]],"SI","NO"),"NO")</f>
        <v/>
      </c>
    </row>
    <row r="811">
      <c r="A811" s="91" t="inlineStr">
        <is>
          <t>108-GTI</t>
        </is>
      </c>
      <c r="B811" s="10" t="inlineStr">
        <is>
          <t>APOYO</t>
        </is>
      </c>
      <c r="C811" s="10" t="inlineStr">
        <is>
          <t>Gestión de Tecnología de la Información</t>
        </is>
      </c>
      <c r="D811" s="10" t="inlineStr">
        <is>
          <t>GTI</t>
        </is>
      </c>
      <c r="E811" s="10" t="inlineStr">
        <is>
          <t>Gestión de las Operaciones de TI</t>
        </is>
      </c>
      <c r="F811" s="10" t="inlineStr">
        <is>
          <t>-</t>
        </is>
      </c>
      <c r="G811" s="10" t="inlineStr">
        <is>
          <t>Administración de servidores</t>
        </is>
      </c>
      <c r="H811" s="10" t="inlineStr">
        <is>
          <t xml:space="preserve">SVR Dominio VMHPCOTACA
</t>
        </is>
      </c>
      <c r="I811" s="10" t="inlineStr">
        <is>
          <t>VMHPCOTACA - Directorio Activo - Codigo de activo 001580</t>
        </is>
      </c>
      <c r="J811" s="10" t="inlineStr">
        <is>
          <t>GERENTE DE TI</t>
        </is>
      </c>
      <c r="K811" s="10" t="inlineStr">
        <is>
          <t>ADMINISTRADOR DE COMUNICACIÓN E INFRESTRUCTURA</t>
        </is>
      </c>
      <c r="L811" s="10" t="inlineStr">
        <is>
          <t>UBICACIÓN FISICA-AGENCIA COTACACHI</t>
        </is>
      </c>
      <c r="M811" s="10" t="inlineStr">
        <is>
          <t>DISCOS DUROS, SERVIDORES, DISCOS O MEDIOS PORTÁTILES, CINTAS O MEDIOS DE VIDEO Y AUDIO, ETC.</t>
        </is>
      </c>
      <c r="N811" s="10" t="inlineStr">
        <is>
          <t>APOYO</t>
        </is>
      </c>
      <c r="O811" s="10" t="inlineStr">
        <is>
          <t>HARDWARE</t>
        </is>
      </c>
      <c r="P811" s="10" t="inlineStr">
        <is>
          <t>USO INTERNO(2)</t>
        </is>
      </c>
      <c r="Q811" s="10" t="inlineStr">
        <is>
          <t>BAJA(1)</t>
        </is>
      </c>
      <c r="R811" s="10" t="inlineStr">
        <is>
          <t>ALTA(3)</t>
        </is>
      </c>
      <c r="S811" s="10">
        <f>+(IF(P811="PUBLICA(1)",1,IF(P811="USO INTERNO(2)",2,IF(P811="RESTRINGIDO(3)",3,3))))+(IF(Q811="BAJA(1)",1,IF(Q811="MEDIA(2)",2,IF(Q811="ALTA(3)",3,3))))+(IF(R811="BAJA(1)",1,IF(R811="MEDIA(2)",2,IF(R811="ALTA(3)",3,3))))</f>
        <v/>
      </c>
      <c r="T811" s="10">
        <f>+IF(S811&lt;6,"BAJA",IF(S811&lt;8,"MEDIA","ALTA"))</f>
        <v/>
      </c>
      <c r="U811" s="10" t="inlineStr">
        <is>
          <t>-</t>
        </is>
      </c>
      <c r="V811" s="24" t="n">
        <v>43815</v>
      </c>
      <c r="W811" s="19" t="inlineStr">
        <is>
          <t>N/A</t>
        </is>
      </c>
      <c r="X811" s="10">
        <f>+IFERROR(IF(VLOOKUP(Tabla2[[#This Row],[ID]],'EVALUACION DE RIESGO'!A:A,1,FALSE)=Tabla2[[#This Row],[ID]],"SI","NO"),"NO")</f>
        <v/>
      </c>
    </row>
    <row r="812">
      <c r="A812" s="91" t="inlineStr">
        <is>
          <t>109-GTI</t>
        </is>
      </c>
      <c r="B812" s="10" t="inlineStr">
        <is>
          <t>APOYO</t>
        </is>
      </c>
      <c r="C812" s="10" t="inlineStr">
        <is>
          <t>Gestión de Tecnología de la Información</t>
        </is>
      </c>
      <c r="D812" s="10" t="inlineStr">
        <is>
          <t>GTI</t>
        </is>
      </c>
      <c r="E812" s="10" t="inlineStr">
        <is>
          <t>Gestión de las Operaciones de TI</t>
        </is>
      </c>
      <c r="F812" s="10" t="inlineStr">
        <is>
          <t>-</t>
        </is>
      </c>
      <c r="G812" s="10" t="inlineStr">
        <is>
          <t>Administración de servidores</t>
        </is>
      </c>
      <c r="H812" s="10" t="inlineStr">
        <is>
          <t xml:space="preserve">SVR Dominio VMSRVHPAIBARRA
</t>
        </is>
      </c>
      <c r="I812" s="10" t="inlineStr">
        <is>
          <t>SVR 192.168.31.139 -  Codigo de activo 003152  - Contiene virtualizado Servidor de Dominio (Active Directory) y DNS</t>
        </is>
      </c>
      <c r="J812" s="10" t="inlineStr">
        <is>
          <t>GERENTE DE TI</t>
        </is>
      </c>
      <c r="K812" s="10" t="inlineStr">
        <is>
          <t>ADMINISTRADOR DE COMUNICACIÓN E INFRESTRUCTURA</t>
        </is>
      </c>
      <c r="L812" s="10" t="inlineStr">
        <is>
          <t>UBICACIÓN FISICA-AGENCIA IBARRA</t>
        </is>
      </c>
      <c r="M812" s="10" t="inlineStr">
        <is>
          <t>DISCOS DUROS, SERVIDORES, DISCOS O MEDIOS PORTÁTILES, CINTAS O MEDIOS DE VIDEO Y AUDIO, ETC.</t>
        </is>
      </c>
      <c r="N812" s="10" t="inlineStr">
        <is>
          <t>APOYO</t>
        </is>
      </c>
      <c r="O812" s="10" t="inlineStr">
        <is>
          <t>HARDWARE</t>
        </is>
      </c>
      <c r="P812" s="10" t="inlineStr">
        <is>
          <t>USO INTERNO(2)</t>
        </is>
      </c>
      <c r="Q812" s="10" t="inlineStr">
        <is>
          <t>BAJA(1)</t>
        </is>
      </c>
      <c r="R812" s="10" t="inlineStr">
        <is>
          <t>ALTA(3)</t>
        </is>
      </c>
      <c r="S812" s="10">
        <f>+(IF(P812="PUBLICA(1)",1,IF(P812="USO INTERNO(2)",2,IF(P812="RESTRINGIDO(3)",3,3))))+(IF(Q812="BAJA(1)",1,IF(Q812="MEDIA(2)",2,IF(Q812="ALTA(3)",3,3))))+(IF(R812="BAJA(1)",1,IF(R812="MEDIA(2)",2,IF(R812="ALTA(3)",3,3))))</f>
        <v/>
      </c>
      <c r="T812" s="10">
        <f>+IF(S812&lt;6,"BAJA",IF(S812&lt;8,"MEDIA","ALTA"))</f>
        <v/>
      </c>
      <c r="U812" s="10" t="inlineStr">
        <is>
          <t>-</t>
        </is>
      </c>
      <c r="V812" s="24" t="n">
        <v>43815</v>
      </c>
      <c r="W812" s="19" t="inlineStr">
        <is>
          <t>N/A</t>
        </is>
      </c>
      <c r="X812" s="10">
        <f>+IFERROR(IF(VLOOKUP(Tabla2[[#This Row],[ID]],'EVALUACION DE RIESGO'!A:A,1,FALSE)=Tabla2[[#This Row],[ID]],"SI","NO"),"NO")</f>
        <v/>
      </c>
    </row>
    <row r="813">
      <c r="A813" s="91" t="inlineStr">
        <is>
          <t>110-GTI</t>
        </is>
      </c>
      <c r="B813" s="10" t="inlineStr">
        <is>
          <t>APOYO</t>
        </is>
      </c>
      <c r="C813" s="10" t="inlineStr">
        <is>
          <t>Gestión de Tecnología de la Información</t>
        </is>
      </c>
      <c r="D813" s="10" t="inlineStr">
        <is>
          <t>GTI</t>
        </is>
      </c>
      <c r="E813" s="10" t="inlineStr">
        <is>
          <t>Gestión de las Operaciones de TI</t>
        </is>
      </c>
      <c r="F813" s="10" t="inlineStr">
        <is>
          <t>-</t>
        </is>
      </c>
      <c r="G813" s="10" t="inlineStr">
        <is>
          <t>Administración de servidores</t>
        </is>
      </c>
      <c r="H813" s="10" t="inlineStr">
        <is>
          <t xml:space="preserve">SVR Dominio VMSRVHPQUITO
</t>
        </is>
      </c>
      <c r="I813" s="10" t="inlineStr">
        <is>
          <t>SVR 192.168.80.160 - Codigo de activo 003994 - contiene virtualizado Servidor de Dominio (Active Directory) y DNS</t>
        </is>
      </c>
      <c r="J813" s="10" t="inlineStr">
        <is>
          <t>GERENTE DE TI</t>
        </is>
      </c>
      <c r="K813" s="10" t="inlineStr">
        <is>
          <t>ADMINISTRADOR DE COMUNICACIÓN E INFRESTRUCTURA</t>
        </is>
      </c>
      <c r="L813" s="10" t="inlineStr">
        <is>
          <t>UBICACIÓN FISICA-AGENCIA EL EJIDO</t>
        </is>
      </c>
      <c r="M813" s="10" t="inlineStr">
        <is>
          <t>DISCOS DUROS, SERVIDORES, DISCOS O MEDIOS PORTÁTILES, CINTAS O MEDIOS DE VIDEO Y AUDIO, ETC.</t>
        </is>
      </c>
      <c r="N813" s="10" t="inlineStr">
        <is>
          <t>APOYO</t>
        </is>
      </c>
      <c r="O813" s="10" t="inlineStr">
        <is>
          <t>HARDWARE</t>
        </is>
      </c>
      <c r="P813" s="10" t="inlineStr">
        <is>
          <t>USO INTERNO(2)</t>
        </is>
      </c>
      <c r="Q813" s="10" t="inlineStr">
        <is>
          <t>BAJA(1)</t>
        </is>
      </c>
      <c r="R813" s="10" t="inlineStr">
        <is>
          <t>ALTA(3)</t>
        </is>
      </c>
      <c r="S813" s="10">
        <f>+(IF(P813="PUBLICA(1)",1,IF(P813="USO INTERNO(2)",2,IF(P813="RESTRINGIDO(3)",3,3))))+(IF(Q813="BAJA(1)",1,IF(Q813="MEDIA(2)",2,IF(Q813="ALTA(3)",3,3))))+(IF(R813="BAJA(1)",1,IF(R813="MEDIA(2)",2,IF(R813="ALTA(3)",3,3))))</f>
        <v/>
      </c>
      <c r="T813" s="10">
        <f>+IF(S813&lt;6,"BAJA",IF(S813&lt;8,"MEDIA","ALTA"))</f>
        <v/>
      </c>
      <c r="U813" s="10" t="inlineStr">
        <is>
          <t>-</t>
        </is>
      </c>
      <c r="V813" s="24" t="n">
        <v>43815</v>
      </c>
      <c r="W813" s="19" t="inlineStr">
        <is>
          <t>N/A</t>
        </is>
      </c>
      <c r="X813" s="10">
        <f>+IFERROR(IF(VLOOKUP(Tabla2[[#This Row],[ID]],'EVALUACION DE RIESGO'!A:A,1,FALSE)=Tabla2[[#This Row],[ID]],"SI","NO"),"NO")</f>
        <v/>
      </c>
    </row>
    <row r="814">
      <c r="A814" s="91" t="inlineStr">
        <is>
          <t>111-GTI</t>
        </is>
      </c>
      <c r="B814" s="10" t="inlineStr">
        <is>
          <t>APOYO</t>
        </is>
      </c>
      <c r="C814" s="10" t="inlineStr">
        <is>
          <t>Gestión de Tecnología de la Información</t>
        </is>
      </c>
      <c r="D814" s="10" t="inlineStr">
        <is>
          <t>GTI</t>
        </is>
      </c>
      <c r="E814" s="10" t="inlineStr">
        <is>
          <t>Gestión de las Operaciones de TI</t>
        </is>
      </c>
      <c r="F814" s="10" t="inlineStr">
        <is>
          <t>-</t>
        </is>
      </c>
      <c r="G814" s="10" t="inlineStr">
        <is>
          <t>Administración de servidores</t>
        </is>
      </c>
      <c r="H814" s="10" t="inlineStr">
        <is>
          <t xml:space="preserve">SVR Dominio VMSRVHPAMBATO
</t>
        </is>
      </c>
      <c r="I814" s="10" t="inlineStr">
        <is>
          <t>SVR 192.168.70.160 - Contiene virtualizado Servidor de Dominio (Active Directory) y DNS</t>
        </is>
      </c>
      <c r="J814" s="10" t="inlineStr">
        <is>
          <t>GERENTE DE TI</t>
        </is>
      </c>
      <c r="K814" s="10" t="inlineStr">
        <is>
          <t>ADMINISTRADOR DE COMUNICACIÓN E INFRESTRUCTURA</t>
        </is>
      </c>
      <c r="L814" s="10" t="inlineStr">
        <is>
          <t>UBICACIÓN FISICA-AGENCIA AMBATO</t>
        </is>
      </c>
      <c r="M814" s="10" t="inlineStr">
        <is>
          <t>DISCOS DUROS, SERVIDORES, DISCOS O MEDIOS PORTÁTILES, CINTAS O MEDIOS DE VIDEO Y AUDIO, ETC.</t>
        </is>
      </c>
      <c r="N814" s="10" t="inlineStr">
        <is>
          <t>APOYO</t>
        </is>
      </c>
      <c r="O814" s="10" t="inlineStr">
        <is>
          <t>HARDWARE</t>
        </is>
      </c>
      <c r="P814" s="10" t="inlineStr">
        <is>
          <t>USO INTERNO(2)</t>
        </is>
      </c>
      <c r="Q814" s="10" t="inlineStr">
        <is>
          <t>BAJA(1)</t>
        </is>
      </c>
      <c r="R814" s="10" t="inlineStr">
        <is>
          <t>ALTA(3)</t>
        </is>
      </c>
      <c r="S814" s="10">
        <f>+(IF(P814="PUBLICA(1)",1,IF(P814="USO INTERNO(2)",2,IF(P814="RESTRINGIDO(3)",3,3))))+(IF(Q814="BAJA(1)",1,IF(Q814="MEDIA(2)",2,IF(Q814="ALTA(3)",3,3))))+(IF(R814="BAJA(1)",1,IF(R814="MEDIA(2)",2,IF(R814="ALTA(3)",3,3))))</f>
        <v/>
      </c>
      <c r="T814" s="10">
        <f>+IF(S814&lt;6,"BAJA",IF(S814&lt;8,"MEDIA","ALTA"))</f>
        <v/>
      </c>
      <c r="U814" s="10" t="inlineStr">
        <is>
          <t>-</t>
        </is>
      </c>
      <c r="V814" s="24" t="n">
        <v>43815</v>
      </c>
      <c r="W814" s="19" t="inlineStr">
        <is>
          <t>N/A</t>
        </is>
      </c>
      <c r="X814" s="10">
        <f>+IFERROR(IF(VLOOKUP(Tabla2[[#This Row],[ID]],'EVALUACION DE RIESGO'!A:A,1,FALSE)=Tabla2[[#This Row],[ID]],"SI","NO"),"NO")</f>
        <v/>
      </c>
    </row>
    <row r="815">
      <c r="A815" s="91" t="inlineStr">
        <is>
          <t>112-GTI</t>
        </is>
      </c>
      <c r="B815" s="10" t="inlineStr">
        <is>
          <t>APOYO</t>
        </is>
      </c>
      <c r="C815" s="10" t="inlineStr">
        <is>
          <t>Gestión de Tecnología de la Información</t>
        </is>
      </c>
      <c r="D815" s="10" t="inlineStr">
        <is>
          <t>GTI</t>
        </is>
      </c>
      <c r="E815" s="10" t="inlineStr">
        <is>
          <t>Gestión de las Operaciones de TI</t>
        </is>
      </c>
      <c r="F815" s="10" t="inlineStr">
        <is>
          <t>-</t>
        </is>
      </c>
      <c r="G815" s="10" t="inlineStr">
        <is>
          <t>Administración de servidores</t>
        </is>
      </c>
      <c r="H815" s="10" t="inlineStr">
        <is>
          <t xml:space="preserve">SVR Dominio VMSRVHPCAYAMBE
</t>
        </is>
      </c>
      <c r="I815" s="10" t="inlineStr">
        <is>
          <t>SVR 192.168.83.160 - Contiene virtualizado Servidor de Dominio (Active Directory) y DNS</t>
        </is>
      </c>
      <c r="J815" s="10" t="inlineStr">
        <is>
          <t>GERENTE DE TI</t>
        </is>
      </c>
      <c r="K815" s="10" t="inlineStr">
        <is>
          <t>ADMINISTRADOR DE COMUNICACIÓN E INFRESTRUCTURA</t>
        </is>
      </c>
      <c r="L815" s="10" t="inlineStr">
        <is>
          <t>UBICACIÓN FISICA-AGENCIA CAYAMBE</t>
        </is>
      </c>
      <c r="M815" s="10" t="inlineStr">
        <is>
          <t>DISCOS DUROS, SERVIDORES, DISCOS O MEDIOS PORTÁTILES, CINTAS O MEDIOS DE VIDEO Y AUDIO, ETC.</t>
        </is>
      </c>
      <c r="N815" s="10" t="inlineStr">
        <is>
          <t>APOYO</t>
        </is>
      </c>
      <c r="O815" s="10" t="inlineStr">
        <is>
          <t>HARDWARE</t>
        </is>
      </c>
      <c r="P815" s="10" t="inlineStr">
        <is>
          <t>USO INTERNO(2)</t>
        </is>
      </c>
      <c r="Q815" s="10" t="inlineStr">
        <is>
          <t>BAJA(1)</t>
        </is>
      </c>
      <c r="R815" s="10" t="inlineStr">
        <is>
          <t>ALTA(3)</t>
        </is>
      </c>
      <c r="S815" s="10">
        <f>+(IF(P815="PUBLICA(1)",1,IF(P815="USO INTERNO(2)",2,IF(P815="RESTRINGIDO(3)",3,3))))+(IF(Q815="BAJA(1)",1,IF(Q815="MEDIA(2)",2,IF(Q815="ALTA(3)",3,3))))+(IF(R815="BAJA(1)",1,IF(R815="MEDIA(2)",2,IF(R815="ALTA(3)",3,3))))</f>
        <v/>
      </c>
      <c r="T815" s="10">
        <f>+IF(S815&lt;6,"BAJA",IF(S815&lt;8,"MEDIA","ALTA"))</f>
        <v/>
      </c>
      <c r="U815" s="10" t="inlineStr">
        <is>
          <t>-</t>
        </is>
      </c>
      <c r="V815" s="24" t="n">
        <v>43815</v>
      </c>
      <c r="W815" s="19" t="inlineStr">
        <is>
          <t>N/A</t>
        </is>
      </c>
      <c r="X815" s="10">
        <f>+IFERROR(IF(VLOOKUP(Tabla2[[#This Row],[ID]],'EVALUACION DE RIESGO'!A:A,1,FALSE)=Tabla2[[#This Row],[ID]],"SI","NO"),"NO")</f>
        <v/>
      </c>
    </row>
    <row r="816">
      <c r="A816" s="91" t="inlineStr">
        <is>
          <t>113-GTI</t>
        </is>
      </c>
      <c r="B816" s="10" t="inlineStr">
        <is>
          <t>APOYO</t>
        </is>
      </c>
      <c r="C816" s="10" t="inlineStr">
        <is>
          <t>Gestión de Tecnología de la Información</t>
        </is>
      </c>
      <c r="D816" s="10" t="inlineStr">
        <is>
          <t>GTI</t>
        </is>
      </c>
      <c r="E816" s="10" t="inlineStr">
        <is>
          <t>Gestión de las Operaciones de TI</t>
        </is>
      </c>
      <c r="F816" s="10" t="inlineStr">
        <is>
          <t>-</t>
        </is>
      </c>
      <c r="G816" s="10" t="inlineStr">
        <is>
          <t>Administración de servidores</t>
        </is>
      </c>
      <c r="H816" s="10" t="inlineStr">
        <is>
          <t>SRVIVR</t>
        </is>
      </c>
      <c r="I816" s="10" t="inlineStr">
        <is>
          <t>Servidor  IVR y servipagos</t>
        </is>
      </c>
      <c r="J816" s="10" t="inlineStr">
        <is>
          <t>GERENTE DE TI</t>
        </is>
      </c>
      <c r="K816" s="10" t="inlineStr">
        <is>
          <t>ADMINISTRADOR DE COMUNICACIÓN E INFRESTRUCTURA</t>
        </is>
      </c>
      <c r="L816" s="10" t="inlineStr">
        <is>
          <t>UBICACIÓN FISICA-SUCURSAL IBARRA</t>
        </is>
      </c>
      <c r="M816" s="10" t="inlineStr">
        <is>
          <t>DISCOS DUROS, SERVIDORES, DISCOS O MEDIOS PORTÁTILES, CINTAS O MEDIOS DE VIDEO Y AUDIO, ETC.</t>
        </is>
      </c>
      <c r="N816" s="10" t="inlineStr">
        <is>
          <t>APOYO</t>
        </is>
      </c>
      <c r="O816" s="10" t="inlineStr">
        <is>
          <t>HARDWARE</t>
        </is>
      </c>
      <c r="P816" s="10" t="inlineStr">
        <is>
          <t>USO INTERNO(2)</t>
        </is>
      </c>
      <c r="Q816" s="10" t="inlineStr">
        <is>
          <t>BAJA(1)</t>
        </is>
      </c>
      <c r="R816" s="10" t="inlineStr">
        <is>
          <t>ALTA(3)</t>
        </is>
      </c>
      <c r="S816" s="10">
        <f>+(IF(P816="PUBLICA(1)",1,IF(P816="USO INTERNO(2)",2,IF(P816="RESTRINGIDO(3)",3,3))))+(IF(Q816="BAJA(1)",1,IF(Q816="MEDIA(2)",2,IF(Q816="ALTA(3)",3,3))))+(IF(R816="BAJA(1)",1,IF(R816="MEDIA(2)",2,IF(R816="ALTA(3)",3,3))))</f>
        <v/>
      </c>
      <c r="T816" s="10">
        <f>+IF(S816&lt;6,"BAJA",IF(S816&lt;8,"MEDIA","ALTA"))</f>
        <v/>
      </c>
      <c r="U816" s="10" t="inlineStr">
        <is>
          <t>-</t>
        </is>
      </c>
      <c r="V816" s="24" t="n">
        <v>43815</v>
      </c>
      <c r="W816" s="19" t="inlineStr">
        <is>
          <t>N/A</t>
        </is>
      </c>
      <c r="X816" s="10">
        <f>+IFERROR(IF(VLOOKUP(Tabla2[[#This Row],[ID]],'EVALUACION DE RIESGO'!A:A,1,FALSE)=Tabla2[[#This Row],[ID]],"SI","NO"),"NO")</f>
        <v/>
      </c>
    </row>
    <row r="817">
      <c r="A817" s="91" t="inlineStr">
        <is>
          <t>114-GTI</t>
        </is>
      </c>
      <c r="B817" s="10" t="inlineStr">
        <is>
          <t>APOYO</t>
        </is>
      </c>
      <c r="C817" s="10" t="inlineStr">
        <is>
          <t>Gestión de Tecnología de la Información</t>
        </is>
      </c>
      <c r="D817" s="10" t="inlineStr">
        <is>
          <t>GTI</t>
        </is>
      </c>
      <c r="E817" s="10" t="inlineStr">
        <is>
          <t>Gestión de las Operaciones de TI</t>
        </is>
      </c>
      <c r="F817" s="10" t="inlineStr">
        <is>
          <t>-</t>
        </is>
      </c>
      <c r="G817" s="10" t="inlineStr">
        <is>
          <t>Administración de servidores</t>
        </is>
      </c>
      <c r="H817" s="10" t="inlineStr">
        <is>
          <t>SWITCH CAJEROS</t>
        </is>
      </c>
      <c r="I817" s="10" t="inlineStr">
        <is>
          <t>Servidor para el manejo de los cajeros automáticos</t>
        </is>
      </c>
      <c r="J817" s="10" t="inlineStr">
        <is>
          <t>GERENTE DE TI</t>
        </is>
      </c>
      <c r="K817" s="10" t="inlineStr">
        <is>
          <t>ADMINISTRADOR DE COMUNICACIÓN E INFRESTRUCTURA</t>
        </is>
      </c>
      <c r="L817" s="10" t="inlineStr">
        <is>
          <t>UBICACIÓN FISICA-SUCURSAL IBARRA</t>
        </is>
      </c>
      <c r="M817" s="10" t="inlineStr">
        <is>
          <t>DISCOS DUROS, SERVIDORES, DISCOS O MEDIOS PORTÁTILES, CINTAS O MEDIOS DE VIDEO Y AUDIO, ETC.</t>
        </is>
      </c>
      <c r="N817" s="10" t="inlineStr">
        <is>
          <t>APOYO</t>
        </is>
      </c>
      <c r="O817" s="10" t="inlineStr">
        <is>
          <t>HARDWARE</t>
        </is>
      </c>
      <c r="P817" s="10" t="inlineStr">
        <is>
          <t>RESTRINGIDO(3)</t>
        </is>
      </c>
      <c r="Q817" s="10" t="inlineStr">
        <is>
          <t>BAJA(1)</t>
        </is>
      </c>
      <c r="R817" s="10" t="inlineStr">
        <is>
          <t>ALTA(3)</t>
        </is>
      </c>
      <c r="S817" s="10">
        <f>+(IF(P817="PUBLICA(1)",1,IF(P817="USO INTERNO(2)",2,IF(P817="RESTRINGIDO(3)",3,3))))+(IF(Q817="BAJA(1)",1,IF(Q817="MEDIA(2)",2,IF(Q817="ALTA(3)",3,3))))+(IF(R817="BAJA(1)",1,IF(R817="MEDIA(2)",2,IF(R817="ALTA(3)",3,3))))</f>
        <v/>
      </c>
      <c r="T817" s="10">
        <f>+IF(S817&lt;6,"BAJA",IF(S817&lt;8,"MEDIA","ALTA"))</f>
        <v/>
      </c>
      <c r="U817" s="10" t="inlineStr">
        <is>
          <t>-</t>
        </is>
      </c>
      <c r="V817" s="24" t="n">
        <v>43815</v>
      </c>
      <c r="W817" s="19" t="inlineStr">
        <is>
          <t>N/A</t>
        </is>
      </c>
      <c r="X817" s="10">
        <f>+IFERROR(IF(VLOOKUP(Tabla2[[#This Row],[ID]],'EVALUACION DE RIESGO'!A:A,1,FALSE)=Tabla2[[#This Row],[ID]],"SI","NO"),"NO")</f>
        <v/>
      </c>
    </row>
    <row r="818" ht="41" customHeight="1" s="98">
      <c r="A818" s="91" t="inlineStr">
        <is>
          <t>115-GTI</t>
        </is>
      </c>
      <c r="B818" s="10" t="inlineStr">
        <is>
          <t>APOYO</t>
        </is>
      </c>
      <c r="C818" s="10" t="inlineStr">
        <is>
          <t>Gestión de Tecnología de la Información</t>
        </is>
      </c>
      <c r="D818" s="10" t="inlineStr">
        <is>
          <t>GTI</t>
        </is>
      </c>
      <c r="E818" s="10" t="inlineStr">
        <is>
          <t>Gestión de las Operaciones de TI</t>
        </is>
      </c>
      <c r="F818" s="10" t="inlineStr">
        <is>
          <t>-</t>
        </is>
      </c>
      <c r="G818" s="10" t="inlineStr">
        <is>
          <t>Administración de servidores</t>
        </is>
      </c>
      <c r="H818" s="17" t="inlineStr">
        <is>
          <t>SERVIDOR VM ESXI (Sistemas Externos, WS/APP Públicos)</t>
        </is>
      </c>
      <c r="I818" s="17" t="inlineStr">
        <is>
          <t>SVR 192.168.100.145 que contiene Virtualizados: Servidor de Riesgos-Servidor PANDORA FMS Enterprise 7.0NG 760-Sistemas, WS Acceso Público</t>
        </is>
      </c>
      <c r="J818" s="10" t="inlineStr">
        <is>
          <t>GERENTE DE TI</t>
        </is>
      </c>
      <c r="K818" s="10" t="inlineStr">
        <is>
          <t>ADMINISTRADOR DE COMUNICACIÓN E INFRESTRUCTURA</t>
        </is>
      </c>
      <c r="L818" s="10" t="inlineStr">
        <is>
          <t>UBICACIÓN FISICA-SUCURSAL IBARRA</t>
        </is>
      </c>
      <c r="M818" s="10" t="inlineStr">
        <is>
          <t>DISCOS DUROS, SERVIDORES, DISCOS O MEDIOS PORTÁTILES, CINTAS O MEDIOS DE VIDEO Y AUDIO, ETC.</t>
        </is>
      </c>
      <c r="N818" s="10" t="inlineStr">
        <is>
          <t>APOYO</t>
        </is>
      </c>
      <c r="O818" s="10" t="inlineStr">
        <is>
          <t>HARDWARE</t>
        </is>
      </c>
      <c r="P818" s="10" t="inlineStr">
        <is>
          <t>RESTRINGIDO(3)</t>
        </is>
      </c>
      <c r="Q818" s="10" t="inlineStr">
        <is>
          <t>ALTA(3)</t>
        </is>
      </c>
      <c r="R818" s="10" t="inlineStr">
        <is>
          <t>ALTA(3)</t>
        </is>
      </c>
      <c r="S818" s="10">
        <f>+(IF(P818="PUBLICA(1)",1,IF(P818="USO INTERNO(2)",2,IF(P818="RESTRINGIDO(3)",3,3))))+(IF(Q818="BAJA(1)",1,IF(Q818="MEDIA(2)",2,IF(Q818="ALTA(3)",3,3))))+(IF(R818="BAJA(1)",1,IF(R818="MEDIA(2)",2,IF(R818="ALTA(3)",3,3))))</f>
        <v/>
      </c>
      <c r="T818" s="10">
        <f>+IF(S818&lt;6,"BAJA",IF(S818&lt;8,"MEDIA","ALTA"))</f>
        <v/>
      </c>
      <c r="U818" s="10" t="inlineStr">
        <is>
          <t>-</t>
        </is>
      </c>
      <c r="V818" s="24" t="n">
        <v>45708</v>
      </c>
      <c r="W818" s="19" t="inlineStr">
        <is>
          <t>N/A</t>
        </is>
      </c>
      <c r="X818" s="10">
        <f>+IFERROR(IF(VLOOKUP(Tabla2[[#This Row],[ID]],'EVALUACION DE RIESGO'!A:A,1,FALSE)=Tabla2[[#This Row],[ID]],"SI","NO"),"NO")</f>
        <v/>
      </c>
    </row>
    <row r="819" ht="51" customHeight="1" s="98">
      <c r="A819" s="91" t="inlineStr">
        <is>
          <t>116-GTI</t>
        </is>
      </c>
      <c r="B819" s="10" t="inlineStr">
        <is>
          <t>APOYO</t>
        </is>
      </c>
      <c r="C819" s="10" t="inlineStr">
        <is>
          <t>Gestión de Tecnología de la Información</t>
        </is>
      </c>
      <c r="D819" s="10" t="inlineStr">
        <is>
          <t>GTI</t>
        </is>
      </c>
      <c r="E819" s="10" t="inlineStr">
        <is>
          <t>Gestión de las Operaciones de TI</t>
        </is>
      </c>
      <c r="F819" s="10" t="inlineStr">
        <is>
          <t>-</t>
        </is>
      </c>
      <c r="G819" s="10" t="inlineStr">
        <is>
          <t>Administración de servidores</t>
        </is>
      </c>
      <c r="H819" s="17" t="inlineStr">
        <is>
          <t>SERVIDOR VM ESXI (SW Cajeros)(VMSRVINTERNOS2)</t>
        </is>
      </c>
      <c r="I819" s="17" t="inlineStr">
        <is>
          <t>SVR 192.168.100.149 que contiene Virtualizados: Switch Transaccional Cajeros Automaticos PROSUPLY - Consola para Administracion Remota de Cajeros Automaticos- Consola para Administracion Remota de Cajeros Automaticos</t>
        </is>
      </c>
      <c r="J819" s="10" t="inlineStr">
        <is>
          <t>GERENTE DE TI</t>
        </is>
      </c>
      <c r="K819" s="10" t="inlineStr">
        <is>
          <t>ADMINISTRADOR DE COMUNICACIÓN E INFRESTRUCTURA</t>
        </is>
      </c>
      <c r="L819" s="10" t="inlineStr">
        <is>
          <t>UBICACIÓN FISICA-SUCURSAL IBARRA</t>
        </is>
      </c>
      <c r="M819" s="10" t="inlineStr">
        <is>
          <t>DISCOS DUROS, SERVIDORES, DISCOS O MEDIOS PORTÁTILES, CINTAS O MEDIOS DE VIDEO Y AUDIO, ETC.</t>
        </is>
      </c>
      <c r="N819" s="10" t="inlineStr">
        <is>
          <t>APOYO</t>
        </is>
      </c>
      <c r="O819" s="10" t="inlineStr">
        <is>
          <t>HARDWARE</t>
        </is>
      </c>
      <c r="P819" s="10" t="inlineStr">
        <is>
          <t>RESTRINGIDO(3)</t>
        </is>
      </c>
      <c r="Q819" s="10" t="inlineStr">
        <is>
          <t>ALTA(3)</t>
        </is>
      </c>
      <c r="R819" s="10" t="inlineStr">
        <is>
          <t>ALTA(3)</t>
        </is>
      </c>
      <c r="S819" s="10">
        <f>+(IF(P819="PUBLICA(1)",1,IF(P819="USO INTERNO(2)",2,IF(P819="RESTRINGIDO(3)",3,3))))+(IF(Q819="BAJA(1)",1,IF(Q819="MEDIA(2)",2,IF(Q819="ALTA(3)",3,3))))+(IF(R819="BAJA(1)",1,IF(R819="MEDIA(2)",2,IF(R819="ALTA(3)",3,3))))</f>
        <v/>
      </c>
      <c r="T819" s="10">
        <f>+IF(S819&lt;6,"BAJA",IF(S819&lt;8,"MEDIA","ALTA"))</f>
        <v/>
      </c>
      <c r="U819" s="10" t="inlineStr">
        <is>
          <t>-</t>
        </is>
      </c>
      <c r="V819" s="24" t="n">
        <v>45708</v>
      </c>
      <c r="W819" s="19" t="inlineStr">
        <is>
          <t>N/A</t>
        </is>
      </c>
      <c r="X819" s="10">
        <f>+IFERROR(IF(VLOOKUP(Tabla2[[#This Row],[ID]],'EVALUACION DE RIESGO'!A:A,1,FALSE)=Tabla2[[#This Row],[ID]],"SI","NO"),"NO")</f>
        <v/>
      </c>
    </row>
    <row r="820" ht="61.25" customHeight="1" s="98">
      <c r="A820" s="91" t="inlineStr">
        <is>
          <t>117-GTI</t>
        </is>
      </c>
      <c r="B820" s="10" t="inlineStr">
        <is>
          <t>APOYO</t>
        </is>
      </c>
      <c r="C820" s="10" t="inlineStr">
        <is>
          <t>Gestión de Tecnología de la Información</t>
        </is>
      </c>
      <c r="D820" s="10" t="inlineStr">
        <is>
          <t>GTI</t>
        </is>
      </c>
      <c r="E820" s="10" t="inlineStr">
        <is>
          <t>Gestión de las Operaciones de TI</t>
        </is>
      </c>
      <c r="F820" s="10" t="inlineStr">
        <is>
          <t>-</t>
        </is>
      </c>
      <c r="G820" s="10" t="inlineStr">
        <is>
          <t>Administración de servidores</t>
        </is>
      </c>
      <c r="H820" s="17" t="inlineStr">
        <is>
          <t>SERVIDOR VM ESXI (Sistemas, WS Internos) (VMSRVINTERNOS)</t>
        </is>
      </c>
      <c r="I820" s="17" t="inlineStr">
        <is>
          <t>AVR 192.168.100.146 que contiene virtualizados :  Servidor de Dominio (Active Directory) y DNS - Servidor Webcoop/Dynacoop/ Alertas SMS OTP Correo - Web Service Equifax, Bdd Sybase Riesgos - Servidor de Veeam Backup/ Servidor Impresión RICOH</t>
        </is>
      </c>
      <c r="J820" s="10" t="inlineStr">
        <is>
          <t>GERENTE DE TI</t>
        </is>
      </c>
      <c r="K820" s="10" t="inlineStr">
        <is>
          <t>ADMINISTRADOR DE COMUNICACIÓN E INFRESTRUCTURA</t>
        </is>
      </c>
      <c r="L820" s="10" t="inlineStr">
        <is>
          <t>UBICACIÓN FISICA-SUCURSAL IBARRA</t>
        </is>
      </c>
      <c r="M820" s="10" t="inlineStr">
        <is>
          <t>DISCOS DUROS, SERVIDORES, DISCOS O MEDIOS PORTÁTILES, CINTAS O MEDIOS DE VIDEO Y AUDIO, ETC.</t>
        </is>
      </c>
      <c r="N820" s="10" t="inlineStr">
        <is>
          <t>APOYO</t>
        </is>
      </c>
      <c r="O820" s="10" t="inlineStr">
        <is>
          <t>HARDWARE</t>
        </is>
      </c>
      <c r="P820" s="10" t="inlineStr">
        <is>
          <t>RESTRINGIDO(3)</t>
        </is>
      </c>
      <c r="Q820" s="10" t="inlineStr">
        <is>
          <t>ALTA(3)</t>
        </is>
      </c>
      <c r="R820" s="10" t="inlineStr">
        <is>
          <t>ALTA(3)</t>
        </is>
      </c>
      <c r="S820" s="10">
        <f>+(IF(P820="PUBLICA(1)",1,IF(P820="USO INTERNO(2)",2,IF(P820="RESTRINGIDO(3)",3,3))))+(IF(Q820="BAJA(1)",1,IF(Q820="MEDIA(2)",2,IF(Q820="ALTA(3)",3,3))))+(IF(R820="BAJA(1)",1,IF(R820="MEDIA(2)",2,IF(R820="ALTA(3)",3,3))))</f>
        <v/>
      </c>
      <c r="T820" s="10">
        <f>+IF(S820&lt;6,"BAJA",IF(S820&lt;8,"MEDIA","ALTA"))</f>
        <v/>
      </c>
      <c r="U820" s="10" t="inlineStr">
        <is>
          <t>-</t>
        </is>
      </c>
      <c r="V820" s="24" t="n">
        <v>45708</v>
      </c>
      <c r="W820" s="19" t="inlineStr">
        <is>
          <t>N/A</t>
        </is>
      </c>
      <c r="X820" s="10">
        <f>+IFERROR(IF(VLOOKUP(Tabla2[[#This Row],[ID]],'EVALUACION DE RIESGO'!A:A,1,FALSE)=Tabla2[[#This Row],[ID]],"SI","NO"),"NO")</f>
        <v/>
      </c>
    </row>
    <row r="821" ht="20.5" customHeight="1" s="98">
      <c r="A821" s="91" t="inlineStr">
        <is>
          <t>118-GTI</t>
        </is>
      </c>
      <c r="B821" s="10" t="inlineStr">
        <is>
          <t>APOYO</t>
        </is>
      </c>
      <c r="C821" s="10" t="inlineStr">
        <is>
          <t>Gestión de Tecnología de la Información</t>
        </is>
      </c>
      <c r="D821" s="10" t="inlineStr">
        <is>
          <t>GTI</t>
        </is>
      </c>
      <c r="E821" s="10" t="inlineStr">
        <is>
          <t>Gestión de las Operaciones de TI</t>
        </is>
      </c>
      <c r="F821" s="10" t="inlineStr">
        <is>
          <t>-</t>
        </is>
      </c>
      <c r="G821" s="10" t="inlineStr">
        <is>
          <t>Administración de servidores</t>
        </is>
      </c>
      <c r="H821" s="17" t="inlineStr">
        <is>
          <t>SERVIDOR VM ESXI (Sistemas, WS Internos)(VMSREXTERNOS3)</t>
        </is>
      </c>
      <c r="I821" s="17" t="inlineStr">
        <is>
          <t>SVR 192.168.100.242 que contiene virtualizados : Oracle VM Manager</t>
        </is>
      </c>
      <c r="J821" s="10" t="inlineStr">
        <is>
          <t>GERENTE DE TI</t>
        </is>
      </c>
      <c r="K821" s="10" t="inlineStr">
        <is>
          <t>ADMINISTRADOR DE COMUNICACIÓN E INFRESTRUCTURA</t>
        </is>
      </c>
      <c r="L821" s="10" t="inlineStr">
        <is>
          <t>UBICACIÓN FISICA-SUCURSAL IBARRA</t>
        </is>
      </c>
      <c r="M821" s="10" t="inlineStr">
        <is>
          <t>DISCOS DUROS, SERVIDORES, DISCOS O MEDIOS PORTÁTILES, CINTAS O MEDIOS DE VIDEO Y AUDIO, ETC.</t>
        </is>
      </c>
      <c r="N821" s="10" t="inlineStr">
        <is>
          <t>APOYO</t>
        </is>
      </c>
      <c r="O821" s="10" t="inlineStr">
        <is>
          <t>HARDWARE</t>
        </is>
      </c>
      <c r="P821" s="10" t="inlineStr">
        <is>
          <t>RESTRINGIDO(3)</t>
        </is>
      </c>
      <c r="Q821" s="10" t="inlineStr">
        <is>
          <t>ALTA(3)</t>
        </is>
      </c>
      <c r="R821" s="10" t="inlineStr">
        <is>
          <t>ALTA(3)</t>
        </is>
      </c>
      <c r="S821" s="10">
        <f>+(IF(P821="PUBLICA(1)",1,IF(P821="USO INTERNO(2)",2,IF(P821="RESTRINGIDO(3)",3,3))))+(IF(Q821="BAJA(1)",1,IF(Q821="MEDIA(2)",2,IF(Q821="ALTA(3)",3,3))))+(IF(R821="BAJA(1)",1,IF(R821="MEDIA(2)",2,IF(R821="ALTA(3)",3,3))))</f>
        <v/>
      </c>
      <c r="T821" s="10">
        <f>+IF(S821&lt;6,"BAJA",IF(S821&lt;8,"MEDIA","ALTA"))</f>
        <v/>
      </c>
      <c r="U821" s="10" t="inlineStr">
        <is>
          <t>-</t>
        </is>
      </c>
      <c r="V821" s="24" t="n">
        <v>45708</v>
      </c>
      <c r="W821" s="19" t="inlineStr">
        <is>
          <t>N/A</t>
        </is>
      </c>
      <c r="X821" s="10">
        <f>+IFERROR(IF(VLOOKUP(Tabla2[[#This Row],[ID]],'EVALUACION DE RIESGO'!A:A,1,FALSE)=Tabla2[[#This Row],[ID]],"SI","NO"),"NO")</f>
        <v/>
      </c>
    </row>
    <row r="822" ht="30.5" customHeight="1" s="98">
      <c r="A822" s="91" t="inlineStr">
        <is>
          <t>119-GTI</t>
        </is>
      </c>
      <c r="B822" s="10" t="inlineStr">
        <is>
          <t>APOYO</t>
        </is>
      </c>
      <c r="C822" s="10" t="inlineStr">
        <is>
          <t>Gestión de Tecnología de la Información</t>
        </is>
      </c>
      <c r="D822" s="10" t="inlineStr">
        <is>
          <t>GTI</t>
        </is>
      </c>
      <c r="E822" s="10" t="inlineStr">
        <is>
          <t>Gestión de las Operaciones de TI</t>
        </is>
      </c>
      <c r="F822" s="10" t="inlineStr">
        <is>
          <t>-</t>
        </is>
      </c>
      <c r="G822" s="10" t="inlineStr">
        <is>
          <t>N/A</t>
        </is>
      </c>
      <c r="H822" s="17" t="inlineStr">
        <is>
          <t>Administrador de Comunicación e Infrestructura</t>
        </is>
      </c>
      <c r="I822" s="17" t="inlineStr">
        <is>
          <t>Funcionarios con el cargo de Administrador de Comunicación e Infraestructura - Consolas Operador Oracle VM - Web Service SERVIPAGOS</t>
        </is>
      </c>
      <c r="J822" s="10" t="inlineStr">
        <is>
          <t>N/A</t>
        </is>
      </c>
      <c r="K822" s="10" t="inlineStr">
        <is>
          <t>N/A</t>
        </is>
      </c>
      <c r="L822" s="10" t="inlineStr">
        <is>
          <t>N/A</t>
        </is>
      </c>
      <c r="M822" s="10" t="inlineStr">
        <is>
          <t>N/A</t>
        </is>
      </c>
      <c r="N822" s="10" t="inlineStr">
        <is>
          <t>APOYO</t>
        </is>
      </c>
      <c r="O822" s="10" t="inlineStr">
        <is>
          <t>RECURSO HUMANO</t>
        </is>
      </c>
      <c r="P822" s="10" t="inlineStr">
        <is>
          <t>USO INTERNO(2)</t>
        </is>
      </c>
      <c r="Q822" s="10" t="inlineStr">
        <is>
          <t>ALTA(3)</t>
        </is>
      </c>
      <c r="R822" s="10" t="inlineStr">
        <is>
          <t>ALTA(3)</t>
        </is>
      </c>
      <c r="S822" s="10">
        <f>+(IF(P822="PUBLICA(1)",1,IF(P822="USO INTERNO(2)",2,IF(P822="RESTRINGIDO(3)",3,3))))+(IF(Q822="BAJA(1)",1,IF(Q822="MEDIA(2)",2,IF(Q822="ALTA(3)",3,3))))+(IF(R822="BAJA(1)",1,IF(R822="MEDIA(2)",2,IF(R822="ALTA(3)",3,3))))</f>
        <v/>
      </c>
      <c r="T822" s="10">
        <f>+IF(S822&lt;6,"BAJA",IF(S822&lt;8,"MEDIA","ALTA"))</f>
        <v/>
      </c>
      <c r="U822" s="10" t="inlineStr">
        <is>
          <t>-</t>
        </is>
      </c>
      <c r="V822" s="24" t="n">
        <v>43815</v>
      </c>
      <c r="W822" s="19" t="inlineStr">
        <is>
          <t>N/A</t>
        </is>
      </c>
      <c r="X822" s="10">
        <f>+IFERROR(IF(VLOOKUP(Tabla2[[#This Row],[ID]],'EVALUACION DE RIESGO'!A:A,1,FALSE)=Tabla2[[#This Row],[ID]],"SI","NO"),"NO")</f>
        <v/>
      </c>
    </row>
    <row r="823" ht="20.5" customHeight="1" s="98">
      <c r="A823" s="91" t="inlineStr">
        <is>
          <t>120-GTI</t>
        </is>
      </c>
      <c r="B823" s="10" t="inlineStr">
        <is>
          <t>APOYO</t>
        </is>
      </c>
      <c r="C823" s="10" t="inlineStr">
        <is>
          <t>Gestión de Tecnología de la Información</t>
        </is>
      </c>
      <c r="D823" s="10" t="inlineStr">
        <is>
          <t>GTI</t>
        </is>
      </c>
      <c r="E823" s="10" t="inlineStr">
        <is>
          <t>Gestión de las Operaciones de TI</t>
        </is>
      </c>
      <c r="F823" s="10" t="inlineStr">
        <is>
          <t>-</t>
        </is>
      </c>
      <c r="G823" s="10" t="inlineStr">
        <is>
          <t>N/A</t>
        </is>
      </c>
      <c r="H823" s="17" t="inlineStr">
        <is>
          <t>Administrador de Base de Datos</t>
        </is>
      </c>
      <c r="I823" s="17" t="inlineStr">
        <is>
          <t>Funcionarios con el cargo de Administrador de Base de Datos</t>
        </is>
      </c>
      <c r="J823" s="10" t="inlineStr">
        <is>
          <t>N/A</t>
        </is>
      </c>
      <c r="K823" s="10" t="inlineStr">
        <is>
          <t>N/A</t>
        </is>
      </c>
      <c r="L823" s="10" t="inlineStr">
        <is>
          <t>N/A</t>
        </is>
      </c>
      <c r="M823" s="10" t="inlineStr">
        <is>
          <t>N/A</t>
        </is>
      </c>
      <c r="N823" s="10" t="inlineStr">
        <is>
          <t>APOYO</t>
        </is>
      </c>
      <c r="O823" s="10" t="inlineStr">
        <is>
          <t>RECURSO HUMANO</t>
        </is>
      </c>
      <c r="P823" s="10" t="inlineStr">
        <is>
          <t>USO INTERNO(2)</t>
        </is>
      </c>
      <c r="Q823" s="10" t="inlineStr">
        <is>
          <t>ALTA(3)</t>
        </is>
      </c>
      <c r="R823" s="10" t="inlineStr">
        <is>
          <t>ALTA(3)</t>
        </is>
      </c>
      <c r="S823" s="10">
        <f>+(IF(P823="PUBLICA(1)",1,IF(P823="USO INTERNO(2)",2,IF(P823="RESTRINGIDO(3)",3,3))))+(IF(Q823="BAJA(1)",1,IF(Q823="MEDIA(2)",2,IF(Q823="ALTA(3)",3,3))))+(IF(R823="BAJA(1)",1,IF(R823="MEDIA(2)",2,IF(R823="ALTA(3)",3,3))))</f>
        <v/>
      </c>
      <c r="T823" s="10">
        <f>+IF(S823&lt;6,"BAJA",IF(S823&lt;8,"MEDIA","ALTA"))</f>
        <v/>
      </c>
      <c r="U823" s="10" t="inlineStr">
        <is>
          <t>-</t>
        </is>
      </c>
      <c r="V823" s="24" t="inlineStr">
        <is>
          <t>N/A</t>
        </is>
      </c>
      <c r="W823" s="19" t="inlineStr">
        <is>
          <t>N/A</t>
        </is>
      </c>
      <c r="X823" s="10">
        <f>+IFERROR(IF(VLOOKUP(Tabla2[[#This Row],[ID]],'EVALUACION DE RIESGO'!A:A,1,FALSE)=Tabla2[[#This Row],[ID]],"SI","NO"),"NO")</f>
        <v/>
      </c>
    </row>
    <row r="824">
      <c r="A824" s="91" t="inlineStr">
        <is>
          <t>1-GES</t>
        </is>
      </c>
      <c r="B824" s="10" t="inlineStr">
        <is>
          <t>ESTRATÉGICO</t>
        </is>
      </c>
      <c r="C824" s="10" t="inlineStr">
        <is>
          <t xml:space="preserve">Gestión Estratégica </t>
        </is>
      </c>
      <c r="D824" s="10" t="inlineStr">
        <is>
          <t>GES</t>
        </is>
      </c>
      <c r="E824" s="10" t="inlineStr">
        <is>
          <t xml:space="preserve">Planificación Estratégica </t>
        </is>
      </c>
      <c r="F824" s="10" t="inlineStr">
        <is>
          <t>-</t>
        </is>
      </c>
      <c r="G824" s="10" t="inlineStr">
        <is>
          <t xml:space="preserve">Preparación para la construcción de la Planificación Estratégica </t>
        </is>
      </c>
      <c r="H824" s="10" t="inlineStr">
        <is>
          <t>Cronograma de trabajo</t>
        </is>
      </c>
      <c r="I824" s="10" t="inlineStr">
        <is>
          <t>Análisis de la situación actual</t>
        </is>
      </c>
      <c r="J824" s="10" t="inlineStr">
        <is>
          <t>JEFE DE PLANIFICACIÓN Y PROCESOS</t>
        </is>
      </c>
      <c r="K824" s="10" t="inlineStr">
        <is>
          <t>JEFE DE PLANIFICACIÓN Y PROCESOS</t>
        </is>
      </c>
      <c r="L824" s="10" t="inlineStr">
        <is>
          <t>UBICACIÓN DIGITAL-EQUIPO DEL CUSTODIO</t>
        </is>
      </c>
      <c r="M824" s="10" t="inlineStr">
        <is>
          <t>DOCUMENTO DE ARCHIVO-ELECTRÓNICO</t>
        </is>
      </c>
      <c r="N824" s="10" t="inlineStr">
        <is>
          <t>PRIMARIOS</t>
        </is>
      </c>
      <c r="O824" s="10" t="inlineStr">
        <is>
          <t>DOCUMENTOS TÉCNICOS</t>
        </is>
      </c>
      <c r="P824" s="10" t="inlineStr">
        <is>
          <t>PUBLICA(1)</t>
        </is>
      </c>
      <c r="Q824" s="10" t="inlineStr">
        <is>
          <t>BAJA(1)</t>
        </is>
      </c>
      <c r="R824" s="10" t="inlineStr">
        <is>
          <t>BAJA(1)</t>
        </is>
      </c>
      <c r="S824" s="10">
        <f>+(IF(P824="PUBLICA(1)",1,IF(P824="USO INTERNO(2)",2,IF(P824="RESTRINGIDO(3)",3,3))))+(IF(Q824="BAJA(1)",1,IF(Q824="MEDIA(2)",2,IF(Q824="ALTA(3)",3,3))))+(IF(R824="BAJA(1)",1,IF(R824="MEDIA(2)",2,IF(R824="ALTA(3)",3,3))))</f>
        <v/>
      </c>
      <c r="T824" s="10">
        <f>+IF(S824&lt;6,"BAJA",IF(S824&lt;8,"MEDIA","ALTA"))</f>
        <v/>
      </c>
      <c r="U824" s="10" t="inlineStr">
        <is>
          <t>-</t>
        </is>
      </c>
      <c r="V824" s="24" t="n">
        <v>45681</v>
      </c>
      <c r="W824" s="19" t="inlineStr">
        <is>
          <t>N/A</t>
        </is>
      </c>
      <c r="X824" s="10">
        <f>+IFERROR(IF(VLOOKUP(Tabla2[[#This Row],[ID]],'EVALUACION DE RIESGO'!A:A,1,FALSE)=Tabla2[[#This Row],[ID]],"SI","NO"),"NO")</f>
        <v/>
      </c>
    </row>
    <row r="825">
      <c r="A825" s="91" t="inlineStr">
        <is>
          <t>2-GES</t>
        </is>
      </c>
      <c r="B825" s="10" t="inlineStr">
        <is>
          <t>ESTRATÉGICO</t>
        </is>
      </c>
      <c r="C825" s="10" t="inlineStr">
        <is>
          <t xml:space="preserve">Gestión Estratégica </t>
        </is>
      </c>
      <c r="D825" s="10" t="inlineStr">
        <is>
          <t>GES</t>
        </is>
      </c>
      <c r="E825" s="10" t="inlineStr">
        <is>
          <t xml:space="preserve">Planificación Estratégica </t>
        </is>
      </c>
      <c r="F825" s="10" t="inlineStr">
        <is>
          <t>-</t>
        </is>
      </c>
      <c r="G825" s="10" t="inlineStr">
        <is>
          <t xml:space="preserve">Preparación para la construcción de la Planificación Estratégica </t>
        </is>
      </c>
      <c r="H825" s="10" t="inlineStr">
        <is>
          <t xml:space="preserve">Solicitud de contratación de asesor externo </t>
        </is>
      </c>
      <c r="I825" s="10" t="inlineStr">
        <is>
          <t>TDR para la contratación de bienes y servicios menores</t>
        </is>
      </c>
      <c r="J825" s="10" t="inlineStr">
        <is>
          <t>JEFE DE PLANIFICACIÓN Y PROCESOS</t>
        </is>
      </c>
      <c r="K825" s="10" t="inlineStr">
        <is>
          <t>JEFE DE PLANIFICACIÓN Y PROCESOS</t>
        </is>
      </c>
      <c r="L825" s="10" t="inlineStr">
        <is>
          <t>UBICACIÓN DIGITAL-EQUIPO DEL CUSTODIO</t>
        </is>
      </c>
      <c r="M825" s="10" t="inlineStr">
        <is>
          <t>DOCUMENTO DE ARCHIVO-ELECTRÓNICO</t>
        </is>
      </c>
      <c r="N825" s="10" t="inlineStr">
        <is>
          <t>PRIMARIOS</t>
        </is>
      </c>
      <c r="O825" s="10" t="inlineStr">
        <is>
          <t>DOCUMENTOS TÉCNICOS</t>
        </is>
      </c>
      <c r="P825" s="10" t="inlineStr">
        <is>
          <t>PUBLICA(1)</t>
        </is>
      </c>
      <c r="Q825" s="10" t="inlineStr">
        <is>
          <t>BAJA(1)</t>
        </is>
      </c>
      <c r="R825" s="10" t="inlineStr">
        <is>
          <t>BAJA(1)</t>
        </is>
      </c>
      <c r="S825" s="10">
        <f>+(IF(P825="PUBLICA(1)",1,IF(P825="USO INTERNO(2)",2,IF(P825="RESTRINGIDO(3)",3,3))))+(IF(Q825="BAJA(1)",1,IF(Q825="MEDIA(2)",2,IF(Q825="ALTA(3)",3,3))))+(IF(R825="BAJA(1)",1,IF(R825="MEDIA(2)",2,IF(R825="ALTA(3)",3,3))))</f>
        <v/>
      </c>
      <c r="T825" s="10">
        <f>+IF(S825&lt;6,"BAJA",IF(S825&lt;8,"MEDIA","ALTA"))</f>
        <v/>
      </c>
      <c r="U825" s="10" t="inlineStr">
        <is>
          <t>-</t>
        </is>
      </c>
      <c r="V825" s="24" t="n">
        <v>45681</v>
      </c>
      <c r="W825" s="19" t="inlineStr">
        <is>
          <t>N/A</t>
        </is>
      </c>
      <c r="X825" s="10">
        <f>+IFERROR(IF(VLOOKUP(Tabla2[[#This Row],[ID]],'EVALUACION DE RIESGO'!A:A,1,FALSE)=Tabla2[[#This Row],[ID]],"SI","NO"),"NO")</f>
        <v/>
      </c>
    </row>
    <row r="826">
      <c r="A826" s="91" t="inlineStr">
        <is>
          <t>3-GES</t>
        </is>
      </c>
      <c r="B826" s="10" t="inlineStr">
        <is>
          <t>ESTRATÉGICO</t>
        </is>
      </c>
      <c r="C826" s="10" t="inlineStr">
        <is>
          <t xml:space="preserve">Gestión Estratégica </t>
        </is>
      </c>
      <c r="D826" s="10" t="inlineStr">
        <is>
          <t>GES</t>
        </is>
      </c>
      <c r="E826" s="10" t="inlineStr">
        <is>
          <t xml:space="preserve">Planificación Estratégica </t>
        </is>
      </c>
      <c r="F826" s="10" t="inlineStr">
        <is>
          <t>-</t>
        </is>
      </c>
      <c r="G826" s="10" t="inlineStr">
        <is>
          <t xml:space="preserve">Preparación para la construcción de la Planificación Estratégica </t>
        </is>
      </c>
      <c r="H826" s="10" t="inlineStr">
        <is>
          <t>Email de solicitud de insumos</t>
        </is>
      </c>
      <c r="I826" s="10" t="inlineStr">
        <is>
          <t>Solicitud de requerimientos</t>
        </is>
      </c>
      <c r="J826" s="10" t="inlineStr">
        <is>
          <t>JEFE DE PLANIFICACIÓN Y PROCESOS</t>
        </is>
      </c>
      <c r="K826" s="10" t="inlineStr">
        <is>
          <t>JEFE DE PLANIFICACIÓN Y PROCESOS</t>
        </is>
      </c>
      <c r="L826" s="10" t="inlineStr">
        <is>
          <t>UBICACIÓN DIGITAL-EQUIPO DEL CUSTODIO</t>
        </is>
      </c>
      <c r="M826" s="10" t="inlineStr">
        <is>
          <t>SISTEMA DE MENSAJERÍA ELECTRÓNICA</t>
        </is>
      </c>
      <c r="N826" s="10" t="inlineStr">
        <is>
          <t>APOYO</t>
        </is>
      </c>
      <c r="O826" s="10" t="inlineStr">
        <is>
          <t>SERVICIOS</t>
        </is>
      </c>
      <c r="P826" s="10" t="inlineStr">
        <is>
          <t>PUBLICA(1)</t>
        </is>
      </c>
      <c r="Q826" s="10" t="inlineStr">
        <is>
          <t>BAJA(1)</t>
        </is>
      </c>
      <c r="R826" s="10" t="inlineStr">
        <is>
          <t>BAJA(1)</t>
        </is>
      </c>
      <c r="S826" s="10">
        <f>+(IF(P826="PUBLICA(1)",1,IF(P826="USO INTERNO(2)",2,IF(P826="RESTRINGIDO(3)",3,3))))+(IF(Q826="BAJA(1)",1,IF(Q826="MEDIA(2)",2,IF(Q826="ALTA(3)",3,3))))+(IF(R826="BAJA(1)",1,IF(R826="MEDIA(2)",2,IF(R826="ALTA(3)",3,3))))</f>
        <v/>
      </c>
      <c r="T826" s="10">
        <f>+IF(S826&lt;6,"BAJA",IF(S826&lt;8,"MEDIA","ALTA"))</f>
        <v/>
      </c>
      <c r="U826" s="10" t="inlineStr">
        <is>
          <t>-</t>
        </is>
      </c>
      <c r="V826" s="24" t="n">
        <v>45681</v>
      </c>
      <c r="W826" s="19" t="inlineStr">
        <is>
          <t>N/A</t>
        </is>
      </c>
      <c r="X826" s="10">
        <f>+IFERROR(IF(VLOOKUP(Tabla2[[#This Row],[ID]],'EVALUACION DE RIESGO'!A:A,1,FALSE)=Tabla2[[#This Row],[ID]],"SI","NO"),"NO")</f>
        <v/>
      </c>
    </row>
    <row r="827">
      <c r="A827" s="91" t="inlineStr">
        <is>
          <t>4-GES</t>
        </is>
      </c>
      <c r="B827" s="10" t="inlineStr">
        <is>
          <t>ESTRATÉGICO</t>
        </is>
      </c>
      <c r="C827" s="10" t="inlineStr">
        <is>
          <t xml:space="preserve">Gestión Estratégica </t>
        </is>
      </c>
      <c r="D827" s="10" t="inlineStr">
        <is>
          <t>GES</t>
        </is>
      </c>
      <c r="E827" s="10" t="inlineStr">
        <is>
          <t xml:space="preserve">Planificación Estratégica </t>
        </is>
      </c>
      <c r="F827" s="10" t="inlineStr">
        <is>
          <t>-</t>
        </is>
      </c>
      <c r="G827" s="10" t="inlineStr">
        <is>
          <t xml:space="preserve">Análisis de la situación actual </t>
        </is>
      </c>
      <c r="H827" s="10" t="inlineStr">
        <is>
          <t>Cronograma de trabajo</t>
        </is>
      </c>
      <c r="I827" s="10" t="inlineStr">
        <is>
          <t>Lista de actividades para la construción del plan</t>
        </is>
      </c>
      <c r="J827" s="10" t="inlineStr">
        <is>
          <t>JEFE DE PLANIFICACIÓN Y PROCESOS</t>
        </is>
      </c>
      <c r="K827" s="10" t="inlineStr">
        <is>
          <t>JEFE DE PLANIFICACIÓN Y PROCESOS</t>
        </is>
      </c>
      <c r="L827" s="10" t="inlineStr">
        <is>
          <t>UBICACIÓN DIGITAL-EQUIPO DEL CUSTODIO</t>
        </is>
      </c>
      <c r="M827" s="10" t="inlineStr">
        <is>
          <t>DOCUMENTO DE ARCHIVO-ELECTRÓNICO</t>
        </is>
      </c>
      <c r="N827" s="10" t="inlineStr">
        <is>
          <t>PRIMARIOS</t>
        </is>
      </c>
      <c r="O827" s="10" t="inlineStr">
        <is>
          <t>DOCUMENTOS TÉCNICOS</t>
        </is>
      </c>
      <c r="P827" s="10" t="inlineStr">
        <is>
          <t>PUBLICA(1)</t>
        </is>
      </c>
      <c r="Q827" s="10" t="inlineStr">
        <is>
          <t>BAJA(1)</t>
        </is>
      </c>
      <c r="R827" s="10" t="inlineStr">
        <is>
          <t>BAJA(1)</t>
        </is>
      </c>
      <c r="S827" s="10">
        <f>+(IF(P827="PUBLICA(1)",1,IF(P827="USO INTERNO(2)",2,IF(P827="RESTRINGIDO(3)",3,3))))+(IF(Q827="BAJA(1)",1,IF(Q827="MEDIA(2)",2,IF(Q827="ALTA(3)",3,3))))+(IF(R827="BAJA(1)",1,IF(R827="MEDIA(2)",2,IF(R827="ALTA(3)",3,3))))</f>
        <v/>
      </c>
      <c r="T827" s="10">
        <f>+IF(S827&lt;6,"BAJA",IF(S827&lt;8,"MEDIA","ALTA"))</f>
        <v/>
      </c>
      <c r="U827" s="10" t="inlineStr">
        <is>
          <t>-</t>
        </is>
      </c>
      <c r="V827" s="24" t="n">
        <v>45681</v>
      </c>
      <c r="W827" s="19" t="inlineStr">
        <is>
          <t>N/A</t>
        </is>
      </c>
      <c r="X827" s="10">
        <f>+IFERROR(IF(VLOOKUP(Tabla2[[#This Row],[ID]],'EVALUACION DE RIESGO'!A:A,1,FALSE)=Tabla2[[#This Row],[ID]],"SI","NO"),"NO")</f>
        <v/>
      </c>
    </row>
    <row r="828">
      <c r="A828" s="91" t="inlineStr">
        <is>
          <t>5-GES</t>
        </is>
      </c>
      <c r="B828" s="10" t="inlineStr">
        <is>
          <t>ESTRATÉGICO</t>
        </is>
      </c>
      <c r="C828" s="10" t="inlineStr">
        <is>
          <t xml:space="preserve">Gestión Estratégica </t>
        </is>
      </c>
      <c r="D828" s="10" t="inlineStr">
        <is>
          <t>GES</t>
        </is>
      </c>
      <c r="E828" s="10" t="inlineStr">
        <is>
          <t xml:space="preserve">Planificación Estratégica </t>
        </is>
      </c>
      <c r="F828" s="10" t="inlineStr">
        <is>
          <t>-</t>
        </is>
      </c>
      <c r="G828" s="10" t="inlineStr">
        <is>
          <t xml:space="preserve">Análisis de la situación actual </t>
        </is>
      </c>
      <c r="H828" s="10" t="inlineStr">
        <is>
          <t>Email de solicitud de insumos</t>
        </is>
      </c>
      <c r="I828" s="10" t="inlineStr">
        <is>
          <t>Solicitud de requerimientos</t>
        </is>
      </c>
      <c r="J828" s="10" t="inlineStr">
        <is>
          <t>JEFE DE PLANIFICACIÓN Y PROCESOS</t>
        </is>
      </c>
      <c r="K828" s="10" t="inlineStr">
        <is>
          <t>JEFE DE PLANIFICACIÓN Y PROCESOS</t>
        </is>
      </c>
      <c r="L828" s="10" t="inlineStr">
        <is>
          <t>UBICACIÓN DIGITAL-EQUIPO DEL CUSTODIO</t>
        </is>
      </c>
      <c r="M828" s="10" t="inlineStr">
        <is>
          <t>DOCUMENTO DE ARCHIVO-ELECTRÓNICO</t>
        </is>
      </c>
      <c r="N828" s="10" t="inlineStr">
        <is>
          <t>PRIMARIOS</t>
        </is>
      </c>
      <c r="O828" s="10" t="inlineStr">
        <is>
          <t>DOCUMENTOS TÉCNICOS</t>
        </is>
      </c>
      <c r="P828" s="10" t="inlineStr">
        <is>
          <t>PUBLICA(1)</t>
        </is>
      </c>
      <c r="Q828" s="10" t="inlineStr">
        <is>
          <t>BAJA(1)</t>
        </is>
      </c>
      <c r="R828" s="10" t="inlineStr">
        <is>
          <t>BAJA(1)</t>
        </is>
      </c>
      <c r="S828" s="10">
        <f>+(IF(P828="PUBLICA(1)",1,IF(P828="USO INTERNO(2)",2,IF(P828="RESTRINGIDO(3)",3,3))))+(IF(Q828="BAJA(1)",1,IF(Q828="MEDIA(2)",2,IF(Q828="ALTA(3)",3,3))))+(IF(R828="BAJA(1)",1,IF(R828="MEDIA(2)",2,IF(R828="ALTA(3)",3,3))))</f>
        <v/>
      </c>
      <c r="T828" s="10">
        <f>+IF(S828&lt;6,"BAJA",IF(S828&lt;8,"MEDIA","ALTA"))</f>
        <v/>
      </c>
      <c r="U828" s="10" t="inlineStr">
        <is>
          <t>-</t>
        </is>
      </c>
      <c r="V828" s="24" t="n">
        <v>45681</v>
      </c>
      <c r="W828" s="19" t="inlineStr">
        <is>
          <t>N/A</t>
        </is>
      </c>
      <c r="X828" s="10">
        <f>+IFERROR(IF(VLOOKUP(Tabla2[[#This Row],[ID]],'EVALUACION DE RIESGO'!A:A,1,FALSE)=Tabla2[[#This Row],[ID]],"SI","NO"),"NO")</f>
        <v/>
      </c>
    </row>
    <row r="829">
      <c r="A829" s="91" t="inlineStr">
        <is>
          <t>6-GES</t>
        </is>
      </c>
      <c r="B829" s="10" t="inlineStr">
        <is>
          <t>ESTRATÉGICO</t>
        </is>
      </c>
      <c r="C829" s="10" t="inlineStr">
        <is>
          <t xml:space="preserve">Gestión Estratégica </t>
        </is>
      </c>
      <c r="D829" s="10" t="inlineStr">
        <is>
          <t>GES</t>
        </is>
      </c>
      <c r="E829" s="10" t="inlineStr">
        <is>
          <t xml:space="preserve">Planificación Estratégica </t>
        </is>
      </c>
      <c r="F829" s="10" t="inlineStr">
        <is>
          <t>-</t>
        </is>
      </c>
      <c r="G829" s="10" t="inlineStr">
        <is>
          <t xml:space="preserve">Análisis de la situación actual </t>
        </is>
      </c>
      <c r="H829" s="10" t="inlineStr">
        <is>
          <t>Estudios de mercado y de competencia</t>
        </is>
      </c>
      <c r="I829" s="10" t="inlineStr">
        <is>
          <t>Estudio para analizar la factibilidad de aperturas de oficina o lanzamiento de servicios</t>
        </is>
      </c>
      <c r="J829" s="10" t="inlineStr">
        <is>
          <t>GERENTE DE NEGOCIOS</t>
        </is>
      </c>
      <c r="K829" s="10" t="inlineStr">
        <is>
          <t>JEFE DE PLANIFICACIÓN Y PROCESOS</t>
        </is>
      </c>
      <c r="L829" s="10" t="inlineStr">
        <is>
          <t>UBICACIÓN DIGITAL-EQUIPO DEL CUSTODIO</t>
        </is>
      </c>
      <c r="M829" s="10" t="inlineStr">
        <is>
          <t>DOCUMENTO DE ARCHIVO-ELECTRÓNICO</t>
        </is>
      </c>
      <c r="N829" s="10" t="inlineStr">
        <is>
          <t>PRIMARIOS</t>
        </is>
      </c>
      <c r="O829" s="10" t="inlineStr">
        <is>
          <t>DOCUMENTOS TÉCNICOS</t>
        </is>
      </c>
      <c r="P829" s="10" t="inlineStr">
        <is>
          <t>USO INTERNO(2)</t>
        </is>
      </c>
      <c r="Q829" s="10" t="inlineStr">
        <is>
          <t>MEDIA(2)</t>
        </is>
      </c>
      <c r="R829" s="10" t="inlineStr">
        <is>
          <t>MEDIA(2)</t>
        </is>
      </c>
      <c r="S829" s="10">
        <f>+(IF(P829="PUBLICA(1)",1,IF(P829="USO INTERNO(2)",2,IF(P829="RESTRINGIDO(3)",3,3))))+(IF(Q829="BAJA(1)",1,IF(Q829="MEDIA(2)",2,IF(Q829="ALTA(3)",3,3))))+(IF(R829="BAJA(1)",1,IF(R829="MEDIA(2)",2,IF(R829="ALTA(3)",3,3))))</f>
        <v/>
      </c>
      <c r="T829" s="10">
        <f>+IF(S829&lt;6,"BAJA",IF(S829&lt;8,"MEDIA","ALTA"))</f>
        <v/>
      </c>
      <c r="U829" s="10" t="inlineStr">
        <is>
          <t>-</t>
        </is>
      </c>
      <c r="V829" s="24" t="n">
        <v>45681</v>
      </c>
      <c r="W829" s="19" t="inlineStr">
        <is>
          <t>N/A</t>
        </is>
      </c>
      <c r="X829" s="10">
        <f>+IFERROR(IF(VLOOKUP(Tabla2[[#This Row],[ID]],'EVALUACION DE RIESGO'!A:A,1,FALSE)=Tabla2[[#This Row],[ID]],"SI","NO"),"NO")</f>
        <v/>
      </c>
    </row>
    <row r="830">
      <c r="A830" s="91" t="inlineStr">
        <is>
          <t>7-GES</t>
        </is>
      </c>
      <c r="B830" s="10" t="inlineStr">
        <is>
          <t>ESTRATÉGICO</t>
        </is>
      </c>
      <c r="C830" s="10" t="inlineStr">
        <is>
          <t xml:space="preserve">Gestión Estratégica </t>
        </is>
      </c>
      <c r="D830" s="10" t="inlineStr">
        <is>
          <t>GES</t>
        </is>
      </c>
      <c r="E830" s="10" t="inlineStr">
        <is>
          <t xml:space="preserve">Planificación Estratégica </t>
        </is>
      </c>
      <c r="F830" s="10" t="inlineStr">
        <is>
          <t>-</t>
        </is>
      </c>
      <c r="G830" s="10" t="inlineStr">
        <is>
          <t xml:space="preserve">Análisis de la situación actual </t>
        </is>
      </c>
      <c r="H830" s="10" t="inlineStr">
        <is>
          <t>Estudios de clima laboral</t>
        </is>
      </c>
      <c r="I830" s="10" t="inlineStr">
        <is>
          <t>Documento de satisfacción de los empleados en el lugar de trabajo</t>
        </is>
      </c>
      <c r="J830" s="10" t="inlineStr">
        <is>
          <t>GERENTE DE TALENTO HUMANO</t>
        </is>
      </c>
      <c r="K830" s="10" t="inlineStr">
        <is>
          <t>JEFE DE PLANIFICACIÓN Y PROCESOS</t>
        </is>
      </c>
      <c r="L830" s="10" t="inlineStr">
        <is>
          <t>UBICACIÓN DIGITAL-EQUIPO DEL CUSTODIO</t>
        </is>
      </c>
      <c r="M830" s="10" t="inlineStr">
        <is>
          <t>DOCUMENTO DE ARCHIVO-ELECTRÓNICO</t>
        </is>
      </c>
      <c r="N830" s="10" t="inlineStr">
        <is>
          <t>PRIMARIOS</t>
        </is>
      </c>
      <c r="O830" s="10" t="inlineStr">
        <is>
          <t>DOCUMENTOS TÉCNICOS</t>
        </is>
      </c>
      <c r="P830" s="10" t="inlineStr">
        <is>
          <t>PUBLICA(1)</t>
        </is>
      </c>
      <c r="Q830" s="10" t="inlineStr">
        <is>
          <t>BAJA(1)</t>
        </is>
      </c>
      <c r="R830" s="10" t="inlineStr">
        <is>
          <t>BAJA(1)</t>
        </is>
      </c>
      <c r="S830" s="10">
        <f>+(IF(P830="PUBLICA(1)",1,IF(P830="USO INTERNO(2)",2,IF(P830="RESTRINGIDO(3)",3,3))))+(IF(Q830="BAJA(1)",1,IF(Q830="MEDIA(2)",2,IF(Q830="ALTA(3)",3,3))))+(IF(R830="BAJA(1)",1,IF(R830="MEDIA(2)",2,IF(R830="ALTA(3)",3,3))))</f>
        <v/>
      </c>
      <c r="T830" s="10">
        <f>+IF(S830&lt;6,"BAJA",IF(S830&lt;8,"MEDIA","ALTA"))</f>
        <v/>
      </c>
      <c r="U830" s="10" t="inlineStr">
        <is>
          <t>-</t>
        </is>
      </c>
      <c r="V830" s="24" t="n">
        <v>45681</v>
      </c>
      <c r="W830" s="19" t="inlineStr">
        <is>
          <t>N/A</t>
        </is>
      </c>
      <c r="X830" s="10">
        <f>+IFERROR(IF(VLOOKUP(Tabla2[[#This Row],[ID]],'EVALUACION DE RIESGO'!A:A,1,FALSE)=Tabla2[[#This Row],[ID]],"SI","NO"),"NO")</f>
        <v/>
      </c>
    </row>
    <row r="831">
      <c r="A831" s="91" t="inlineStr">
        <is>
          <t>8-GES</t>
        </is>
      </c>
      <c r="B831" s="10" t="inlineStr">
        <is>
          <t>ESTRATÉGICO</t>
        </is>
      </c>
      <c r="C831" s="10" t="inlineStr">
        <is>
          <t xml:space="preserve">Gestión Estratégica </t>
        </is>
      </c>
      <c r="D831" s="10" t="inlineStr">
        <is>
          <t>GES</t>
        </is>
      </c>
      <c r="E831" s="10" t="inlineStr">
        <is>
          <t xml:space="preserve">Planificación Estratégica </t>
        </is>
      </c>
      <c r="F831" s="10" t="inlineStr">
        <is>
          <t>-</t>
        </is>
      </c>
      <c r="G831" s="10" t="inlineStr">
        <is>
          <t xml:space="preserve">Análisis de la situación actual </t>
        </is>
      </c>
      <c r="H831" s="10" t="inlineStr">
        <is>
          <t>Estudios de satisfacción al cliente</t>
        </is>
      </c>
      <c r="I831" s="10" t="inlineStr">
        <is>
          <t>Documento de satisfacción de los clientes</t>
        </is>
      </c>
      <c r="J831" s="10" t="inlineStr">
        <is>
          <t>JEFE DE ATENCIÓN AL CLIENTE</t>
        </is>
      </c>
      <c r="K831" s="10" t="inlineStr">
        <is>
          <t>JEFE DE PLANIFICACIÓN Y PROCESOS</t>
        </is>
      </c>
      <c r="L831" s="10" t="inlineStr">
        <is>
          <t>UBICACIÓN DIGITAL-EQUIPO DEL CUSTODIO</t>
        </is>
      </c>
      <c r="M831" s="10" t="inlineStr">
        <is>
          <t>DOCUMENTO DE ARCHIVO-ELECTRÓNICO</t>
        </is>
      </c>
      <c r="N831" s="10" t="inlineStr">
        <is>
          <t>PRIMARIOS</t>
        </is>
      </c>
      <c r="O831" s="10" t="inlineStr">
        <is>
          <t>DOCUMENTOS TÉCNICOS</t>
        </is>
      </c>
      <c r="P831" s="10" t="inlineStr">
        <is>
          <t>USO INTERNO(2)</t>
        </is>
      </c>
      <c r="Q831" s="10" t="inlineStr">
        <is>
          <t>BAJA(1)</t>
        </is>
      </c>
      <c r="R831" s="10" t="inlineStr">
        <is>
          <t>BAJA(1)</t>
        </is>
      </c>
      <c r="S831" s="10">
        <f>+(IF(P831="PUBLICA(1)",1,IF(P831="USO INTERNO(2)",2,IF(P831="RESTRINGIDO(3)",3,3))))+(IF(Q831="BAJA(1)",1,IF(Q831="MEDIA(2)",2,IF(Q831="ALTA(3)",3,3))))+(IF(R831="BAJA(1)",1,IF(R831="MEDIA(2)",2,IF(R831="ALTA(3)",3,3))))</f>
        <v/>
      </c>
      <c r="T831" s="10">
        <f>+IF(S831&lt;6,"BAJA",IF(S831&lt;8,"MEDIA","ALTA"))</f>
        <v/>
      </c>
      <c r="U831" s="10" t="inlineStr">
        <is>
          <t>-</t>
        </is>
      </c>
      <c r="V831" s="24" t="n">
        <v>45681</v>
      </c>
      <c r="W831" s="19" t="inlineStr">
        <is>
          <t>N/A</t>
        </is>
      </c>
      <c r="X831" s="10">
        <f>+IFERROR(IF(VLOOKUP(Tabla2[[#This Row],[ID]],'EVALUACION DE RIESGO'!A:A,1,FALSE)=Tabla2[[#This Row],[ID]],"SI","NO"),"NO")</f>
        <v/>
      </c>
    </row>
    <row r="832">
      <c r="A832" s="91" t="inlineStr">
        <is>
          <t>9-GES</t>
        </is>
      </c>
      <c r="B832" s="10" t="inlineStr">
        <is>
          <t>ESTRATÉGICO</t>
        </is>
      </c>
      <c r="C832" s="10" t="inlineStr">
        <is>
          <t xml:space="preserve">Gestión Estratégica </t>
        </is>
      </c>
      <c r="D832" s="10" t="inlineStr">
        <is>
          <t>GES</t>
        </is>
      </c>
      <c r="E832" s="10" t="inlineStr">
        <is>
          <t xml:space="preserve">Planificación Estratégica </t>
        </is>
      </c>
      <c r="F832" s="10" t="inlineStr">
        <is>
          <t>-</t>
        </is>
      </c>
      <c r="G832" s="10" t="inlineStr">
        <is>
          <t xml:space="preserve">Análisis de la situación actual </t>
        </is>
      </c>
      <c r="H832" s="10" t="inlineStr">
        <is>
          <t>Análisis de Macrotendencias</t>
        </is>
      </c>
      <c r="I832" s="10" t="inlineStr">
        <is>
          <t>Pautas para saber las tendencias mundiales, referente a la tecnologia que pueden impactar a la coac</t>
        </is>
      </c>
      <c r="J832" s="10" t="inlineStr">
        <is>
          <t>JEFE DE PLANIFICACIÓN Y PROCESOS</t>
        </is>
      </c>
      <c r="K832" s="10" t="inlineStr">
        <is>
          <t>JEFE DE PLANIFICACIÓN Y PROCESOS</t>
        </is>
      </c>
      <c r="L832" s="10" t="inlineStr">
        <is>
          <t>UBICACIÓN DIGITAL-EQUIPO DEL CUSTODIO</t>
        </is>
      </c>
      <c r="M832" s="10" t="inlineStr">
        <is>
          <t>DOCUMENTO DE ARCHIVO-ELECTRÓNICO</t>
        </is>
      </c>
      <c r="N832" s="10" t="inlineStr">
        <is>
          <t>PRIMARIOS</t>
        </is>
      </c>
      <c r="O832" s="10" t="inlineStr">
        <is>
          <t>DOCUMENTOS TÉCNICOS</t>
        </is>
      </c>
      <c r="P832" s="10" t="inlineStr">
        <is>
          <t>PUBLICA(1)</t>
        </is>
      </c>
      <c r="Q832" s="10" t="inlineStr">
        <is>
          <t>BAJA(1)</t>
        </is>
      </c>
      <c r="R832" s="10" t="inlineStr">
        <is>
          <t>BAJA(1)</t>
        </is>
      </c>
      <c r="S832" s="10">
        <f>+(IF(P832="PUBLICA(1)",1,IF(P832="USO INTERNO(2)",2,IF(P832="RESTRINGIDO(3)",3,3))))+(IF(Q832="BAJA(1)",1,IF(Q832="MEDIA(2)",2,IF(Q832="ALTA(3)",3,3))))+(IF(R832="BAJA(1)",1,IF(R832="MEDIA(2)",2,IF(R832="ALTA(3)",3,3))))</f>
        <v/>
      </c>
      <c r="T832" s="10">
        <f>+IF(S832&lt;6,"BAJA",IF(S832&lt;8,"MEDIA","ALTA"))</f>
        <v/>
      </c>
      <c r="U832" s="10" t="inlineStr">
        <is>
          <t>-</t>
        </is>
      </c>
      <c r="V832" s="24" t="n">
        <v>45681</v>
      </c>
      <c r="W832" s="19" t="inlineStr">
        <is>
          <t>N/A</t>
        </is>
      </c>
      <c r="X832" s="10">
        <f>+IFERROR(IF(VLOOKUP(Tabla2[[#This Row],[ID]],'EVALUACION DE RIESGO'!A:A,1,FALSE)=Tabla2[[#This Row],[ID]],"SI","NO"),"NO")</f>
        <v/>
      </c>
    </row>
    <row r="833">
      <c r="A833" s="91" t="inlineStr">
        <is>
          <t>10-GES</t>
        </is>
      </c>
      <c r="B833" s="10" t="inlineStr">
        <is>
          <t>ESTRATÉGICO</t>
        </is>
      </c>
      <c r="C833" s="10" t="inlineStr">
        <is>
          <t xml:space="preserve">Gestión Estratégica </t>
        </is>
      </c>
      <c r="D833" s="10" t="inlineStr">
        <is>
          <t>GES</t>
        </is>
      </c>
      <c r="E833" s="10" t="inlineStr">
        <is>
          <t xml:space="preserve">Planificación Estratégica </t>
        </is>
      </c>
      <c r="F833" s="10" t="inlineStr">
        <is>
          <t>-</t>
        </is>
      </c>
      <c r="G833" s="10" t="inlineStr">
        <is>
          <t xml:space="preserve">Análisis de la situación actual </t>
        </is>
      </c>
      <c r="H833" s="10" t="inlineStr">
        <is>
          <t>Análisis financiero nacional, del segmento y de la Cooperativa</t>
        </is>
      </c>
      <c r="I833" s="10" t="inlineStr">
        <is>
          <t>Documento interno con datos externos con indicadores de la competencia</t>
        </is>
      </c>
      <c r="J833" s="10" t="inlineStr">
        <is>
          <t>GERENTE FINANCIERO</t>
        </is>
      </c>
      <c r="K833" s="10" t="inlineStr">
        <is>
          <t>JEFE DE PLANIFICACIÓN Y PROCESOS</t>
        </is>
      </c>
      <c r="L833" s="10" t="inlineStr">
        <is>
          <t>UBICACIÓN DIGITAL-EQUIPO DEL CUSTODIO</t>
        </is>
      </c>
      <c r="M833" s="10" t="inlineStr">
        <is>
          <t>DOCUMENTO DE ARCHIVO-ELECTRÓNICO</t>
        </is>
      </c>
      <c r="N833" s="10" t="inlineStr">
        <is>
          <t>PRIMARIOS</t>
        </is>
      </c>
      <c r="O833" s="10" t="inlineStr">
        <is>
          <t>DOCUMENTOS TÉCNICOS</t>
        </is>
      </c>
      <c r="P833" s="10" t="inlineStr">
        <is>
          <t>PUBLICA(1)</t>
        </is>
      </c>
      <c r="Q833" s="10" t="inlineStr">
        <is>
          <t>BAJA(1)</t>
        </is>
      </c>
      <c r="R833" s="10" t="inlineStr">
        <is>
          <t>BAJA(1)</t>
        </is>
      </c>
      <c r="S833" s="10">
        <f>+(IF(P833="PUBLICA(1)",1,IF(P833="USO INTERNO(2)",2,IF(P833="RESTRINGIDO(3)",3,3))))+(IF(Q833="BAJA(1)",1,IF(Q833="MEDIA(2)",2,IF(Q833="ALTA(3)",3,3))))+(IF(R833="BAJA(1)",1,IF(R833="MEDIA(2)",2,IF(R833="ALTA(3)",3,3))))</f>
        <v/>
      </c>
      <c r="T833" s="10">
        <f>+IF(S833&lt;6,"BAJA",IF(S833&lt;8,"MEDIA","ALTA"))</f>
        <v/>
      </c>
      <c r="U833" s="10" t="inlineStr">
        <is>
          <t>-</t>
        </is>
      </c>
      <c r="V833" s="24" t="n">
        <v>45681</v>
      </c>
      <c r="W833" s="19" t="inlineStr">
        <is>
          <t>N/A</t>
        </is>
      </c>
      <c r="X833" s="10">
        <f>+IFERROR(IF(VLOOKUP(Tabla2[[#This Row],[ID]],'EVALUACION DE RIESGO'!A:A,1,FALSE)=Tabla2[[#This Row],[ID]],"SI","NO"),"NO")</f>
        <v/>
      </c>
    </row>
    <row r="834">
      <c r="A834" s="91" t="inlineStr">
        <is>
          <t>11-GES</t>
        </is>
      </c>
      <c r="B834" s="10" t="inlineStr">
        <is>
          <t>ESTRATÉGICO</t>
        </is>
      </c>
      <c r="C834" s="10" t="inlineStr">
        <is>
          <t xml:space="preserve">Gestión Estratégica </t>
        </is>
      </c>
      <c r="D834" s="10" t="inlineStr">
        <is>
          <t>GES</t>
        </is>
      </c>
      <c r="E834" s="10" t="inlineStr">
        <is>
          <t xml:space="preserve">Planificación Estratégica </t>
        </is>
      </c>
      <c r="F834" s="10" t="inlineStr">
        <is>
          <t>-</t>
        </is>
      </c>
      <c r="G834" s="10" t="inlineStr">
        <is>
          <t xml:space="preserve">Análisis de la situación actual </t>
        </is>
      </c>
      <c r="H834" s="10" t="inlineStr">
        <is>
          <t>Resultados alcanzados en el Plan Estratégico que fenece</t>
        </is>
      </c>
      <c r="I834" s="10" t="inlineStr">
        <is>
          <t>Evaluación del plan estratégico</t>
        </is>
      </c>
      <c r="J834" s="10" t="inlineStr">
        <is>
          <t>JEFE DE PLANIFICACIÓN Y PROCESOS</t>
        </is>
      </c>
      <c r="K834" s="10" t="inlineStr">
        <is>
          <t>JEFE DE PLANIFICACIÓN Y PROCESOS</t>
        </is>
      </c>
      <c r="L834" s="10" t="inlineStr">
        <is>
          <t>UBICACIÓN DIGITAL-EQUIPO DEL CUSTODIO</t>
        </is>
      </c>
      <c r="M834" s="10" t="inlineStr">
        <is>
          <t>DOCUMENTO DE ARCHIVO-ELECTRÓNICO</t>
        </is>
      </c>
      <c r="N834" s="10" t="inlineStr">
        <is>
          <t>PRIMARIOS</t>
        </is>
      </c>
      <c r="O834" s="10" t="inlineStr">
        <is>
          <t>DOCUMENTOS TÉCNICOS</t>
        </is>
      </c>
      <c r="P834" s="10" t="inlineStr">
        <is>
          <t>PUBLICA(1)</t>
        </is>
      </c>
      <c r="Q834" s="10" t="inlineStr">
        <is>
          <t>BAJA(1)</t>
        </is>
      </c>
      <c r="R834" s="10" t="inlineStr">
        <is>
          <t>BAJA(1)</t>
        </is>
      </c>
      <c r="S834" s="10">
        <f>+(IF(P834="PUBLICA(1)",1,IF(P834="USO INTERNO(2)",2,IF(P834="RESTRINGIDO(3)",3,3))))+(IF(Q834="BAJA(1)",1,IF(Q834="MEDIA(2)",2,IF(Q834="ALTA(3)",3,3))))+(IF(R834="BAJA(1)",1,IF(R834="MEDIA(2)",2,IF(R834="ALTA(3)",3,3))))</f>
        <v/>
      </c>
      <c r="T834" s="10">
        <f>+IF(S834&lt;6,"BAJA",IF(S834&lt;8,"MEDIA","ALTA"))</f>
        <v/>
      </c>
      <c r="U834" s="10" t="inlineStr">
        <is>
          <t>-</t>
        </is>
      </c>
      <c r="V834" s="24" t="n">
        <v>45681</v>
      </c>
      <c r="W834" s="19" t="inlineStr">
        <is>
          <t>N/A</t>
        </is>
      </c>
      <c r="X834" s="10">
        <f>+IFERROR(IF(VLOOKUP(Tabla2[[#This Row],[ID]],'EVALUACION DE RIESGO'!A:A,1,FALSE)=Tabla2[[#This Row],[ID]],"SI","NO"),"NO")</f>
        <v/>
      </c>
    </row>
    <row r="835">
      <c r="A835" s="91" t="inlineStr">
        <is>
          <t>12-GES</t>
        </is>
      </c>
      <c r="B835" s="10" t="inlineStr">
        <is>
          <t>ESTRATÉGICO</t>
        </is>
      </c>
      <c r="C835" s="10" t="inlineStr">
        <is>
          <t xml:space="preserve">Gestión Estratégica </t>
        </is>
      </c>
      <c r="D835" s="10" t="inlineStr">
        <is>
          <t>GES</t>
        </is>
      </c>
      <c r="E835" s="10" t="inlineStr">
        <is>
          <t xml:space="preserve">Planificación Estratégica </t>
        </is>
      </c>
      <c r="F835" s="10" t="inlineStr">
        <is>
          <t>-</t>
        </is>
      </c>
      <c r="G835" s="10" t="inlineStr">
        <is>
          <t xml:space="preserve">Análisis de la situación actual </t>
        </is>
      </c>
      <c r="H835" s="10" t="inlineStr">
        <is>
          <t>Necesidades de los Stakeholders</t>
        </is>
      </c>
      <c r="I835" s="10" t="inlineStr">
        <is>
          <t>Matriz de necesidades de los grupos de interes</t>
        </is>
      </c>
      <c r="J835" s="10" t="inlineStr">
        <is>
          <t>GERENTE DE TALENTO HUMANO</t>
        </is>
      </c>
      <c r="K835" s="10" t="inlineStr">
        <is>
          <t>JEFE DE PLANIFICACIÓN Y PROCESOS</t>
        </is>
      </c>
      <c r="L835" s="10" t="inlineStr">
        <is>
          <t>UBICACIÓN DIGITAL-EQUIPO DEL CUSTODIO</t>
        </is>
      </c>
      <c r="M835" s="10" t="inlineStr">
        <is>
          <t>DOCUMENTO DE ARCHIVO-ELECTRÓNICO</t>
        </is>
      </c>
      <c r="N835" s="10" t="inlineStr">
        <is>
          <t>PRIMARIOS</t>
        </is>
      </c>
      <c r="O835" s="10" t="inlineStr">
        <is>
          <t>DOCUMENTOS TÉCNICOS</t>
        </is>
      </c>
      <c r="P835" s="10" t="inlineStr">
        <is>
          <t>PUBLICA(1)</t>
        </is>
      </c>
      <c r="Q835" s="10" t="inlineStr">
        <is>
          <t>BAJA(1)</t>
        </is>
      </c>
      <c r="R835" s="10" t="inlineStr">
        <is>
          <t>BAJA(1)</t>
        </is>
      </c>
      <c r="S835" s="10">
        <f>+(IF(P835="PUBLICA(1)",1,IF(P835="USO INTERNO(2)",2,IF(P835="RESTRINGIDO(3)",3,3))))+(IF(Q835="BAJA(1)",1,IF(Q835="MEDIA(2)",2,IF(Q835="ALTA(3)",3,3))))+(IF(R835="BAJA(1)",1,IF(R835="MEDIA(2)",2,IF(R835="ALTA(3)",3,3))))</f>
        <v/>
      </c>
      <c r="T835" s="10">
        <f>+IF(S835&lt;6,"BAJA",IF(S835&lt;8,"MEDIA","ALTA"))</f>
        <v/>
      </c>
      <c r="U835" s="10" t="inlineStr">
        <is>
          <t>-</t>
        </is>
      </c>
      <c r="V835" s="24" t="n">
        <v>45681</v>
      </c>
      <c r="W835" s="19" t="inlineStr">
        <is>
          <t>N/A</t>
        </is>
      </c>
      <c r="X835" s="10">
        <f>+IFERROR(IF(VLOOKUP(Tabla2[[#This Row],[ID]],'EVALUACION DE RIESGO'!A:A,1,FALSE)=Tabla2[[#This Row],[ID]],"SI","NO"),"NO")</f>
        <v/>
      </c>
    </row>
    <row r="836">
      <c r="A836" s="91" t="inlineStr">
        <is>
          <t>13-GES</t>
        </is>
      </c>
      <c r="B836" s="10" t="inlineStr">
        <is>
          <t>ESTRATÉGICO</t>
        </is>
      </c>
      <c r="C836" s="10" t="inlineStr">
        <is>
          <t xml:space="preserve">Gestión Estratégica </t>
        </is>
      </c>
      <c r="D836" s="10" t="inlineStr">
        <is>
          <t>GES</t>
        </is>
      </c>
      <c r="E836" s="10" t="inlineStr">
        <is>
          <t xml:space="preserve">Planificación Estratégica </t>
        </is>
      </c>
      <c r="F836" s="10" t="inlineStr">
        <is>
          <t>-</t>
        </is>
      </c>
      <c r="G836" s="10" t="inlineStr">
        <is>
          <t xml:space="preserve">Análisis de la situación actual </t>
        </is>
      </c>
      <c r="H836" s="10" t="inlineStr">
        <is>
          <t xml:space="preserve">FODA por departamento </t>
        </is>
      </c>
      <c r="I836" s="10" t="inlineStr">
        <is>
          <t>Resultados de la aplicación de la metodologia</t>
        </is>
      </c>
      <c r="J836" s="10" t="inlineStr">
        <is>
          <t>JEFE DE PLANIFICACIÓN Y PROCESOS</t>
        </is>
      </c>
      <c r="K836" s="10" t="inlineStr">
        <is>
          <t>JEFE DE PLANIFICACIÓN Y PROCESOS</t>
        </is>
      </c>
      <c r="L836" s="10" t="inlineStr">
        <is>
          <t>UBICACIÓN DIGITAL-EQUIPO DEL CUSTODIO</t>
        </is>
      </c>
      <c r="M836" s="10" t="inlineStr">
        <is>
          <t>DOCUMENTO DE ARCHIVO-ELECTRÓNICO</t>
        </is>
      </c>
      <c r="N836" s="10" t="inlineStr">
        <is>
          <t>PRIMARIOS</t>
        </is>
      </c>
      <c r="O836" s="10" t="inlineStr">
        <is>
          <t>DOCUMENTOS TÉCNICOS</t>
        </is>
      </c>
      <c r="P836" s="10" t="inlineStr">
        <is>
          <t>PUBLICA(1)</t>
        </is>
      </c>
      <c r="Q836" s="10" t="inlineStr">
        <is>
          <t>BAJA(1)</t>
        </is>
      </c>
      <c r="R836" s="10" t="inlineStr">
        <is>
          <t>BAJA(1)</t>
        </is>
      </c>
      <c r="S836" s="10">
        <f>+(IF(P836="PUBLICA(1)",1,IF(P836="USO INTERNO(2)",2,IF(P836="RESTRINGIDO(3)",3,3))))+(IF(Q836="BAJA(1)",1,IF(Q836="MEDIA(2)",2,IF(Q836="ALTA(3)",3,3))))+(IF(R836="BAJA(1)",1,IF(R836="MEDIA(2)",2,IF(R836="ALTA(3)",3,3))))</f>
        <v/>
      </c>
      <c r="T836" s="10">
        <f>+IF(S836&lt;6,"BAJA",IF(S836&lt;8,"MEDIA","ALTA"))</f>
        <v/>
      </c>
      <c r="U836" s="10" t="inlineStr">
        <is>
          <t>-</t>
        </is>
      </c>
      <c r="V836" s="24" t="n">
        <v>45681</v>
      </c>
      <c r="W836" s="19" t="inlineStr">
        <is>
          <t>N/A</t>
        </is>
      </c>
      <c r="X836" s="10">
        <f>+IFERROR(IF(VLOOKUP(Tabla2[[#This Row],[ID]],'EVALUACION DE RIESGO'!A:A,1,FALSE)=Tabla2[[#This Row],[ID]],"SI","NO"),"NO")</f>
        <v/>
      </c>
    </row>
    <row r="837">
      <c r="A837" s="91" t="inlineStr">
        <is>
          <t>14-GES</t>
        </is>
      </c>
      <c r="B837" s="10" t="inlineStr">
        <is>
          <t>ESTRATÉGICO</t>
        </is>
      </c>
      <c r="C837" s="10" t="inlineStr">
        <is>
          <t xml:space="preserve">Gestión Estratégica </t>
        </is>
      </c>
      <c r="D837" s="10" t="inlineStr">
        <is>
          <t>GES</t>
        </is>
      </c>
      <c r="E837" s="10" t="inlineStr">
        <is>
          <t xml:space="preserve">Planificación Estratégica </t>
        </is>
      </c>
      <c r="F837" s="10" t="inlineStr">
        <is>
          <t>-</t>
        </is>
      </c>
      <c r="G837" s="10" t="inlineStr">
        <is>
          <t xml:space="preserve">Análisis de la situación actual </t>
        </is>
      </c>
      <c r="H837" s="10" t="inlineStr">
        <is>
          <t>Resultados de encuestas o entrevistas a los grupos de interés</t>
        </is>
      </c>
      <c r="I837" s="10" t="inlineStr">
        <is>
          <t>Estadisticas de las encuentas</t>
        </is>
      </c>
      <c r="J837" s="10" t="inlineStr">
        <is>
          <t>JEFE DE PLANIFICACIÓN Y PROCESOS</t>
        </is>
      </c>
      <c r="K837" s="10" t="inlineStr">
        <is>
          <t>JEFE DE PLANIFICACIÓN Y PROCESOS</t>
        </is>
      </c>
      <c r="L837" s="10" t="inlineStr">
        <is>
          <t>UBICACIÓN DIGITAL-EQUIPO DEL CUSTODIO</t>
        </is>
      </c>
      <c r="M837" s="10" t="inlineStr">
        <is>
          <t>DOCUMENTO DE ARCHIVO-ELECTRÓNICO</t>
        </is>
      </c>
      <c r="N837" s="10" t="inlineStr">
        <is>
          <t>PRIMARIOS</t>
        </is>
      </c>
      <c r="O837" s="10" t="inlineStr">
        <is>
          <t>DOCUMENTOS TÉCNICOS</t>
        </is>
      </c>
      <c r="P837" s="10" t="inlineStr">
        <is>
          <t>PUBLICA(1)</t>
        </is>
      </c>
      <c r="Q837" s="10" t="inlineStr">
        <is>
          <t>BAJA(1)</t>
        </is>
      </c>
      <c r="R837" s="10" t="inlineStr">
        <is>
          <t>BAJA(1)</t>
        </is>
      </c>
      <c r="S837" s="10">
        <f>+(IF(P837="PUBLICA(1)",1,IF(P837="USO INTERNO(2)",2,IF(P837="RESTRINGIDO(3)",3,3))))+(IF(Q837="BAJA(1)",1,IF(Q837="MEDIA(2)",2,IF(Q837="ALTA(3)",3,3))))+(IF(R837="BAJA(1)",1,IF(R837="MEDIA(2)",2,IF(R837="ALTA(3)",3,3))))</f>
        <v/>
      </c>
      <c r="T837" s="10">
        <f>+IF(S837&lt;6,"BAJA",IF(S837&lt;8,"MEDIA","ALTA"))</f>
        <v/>
      </c>
      <c r="U837" s="10" t="inlineStr">
        <is>
          <t>-</t>
        </is>
      </c>
      <c r="V837" s="24" t="n">
        <v>45681</v>
      </c>
      <c r="W837" s="19" t="inlineStr">
        <is>
          <t>N/A</t>
        </is>
      </c>
      <c r="X837" s="10">
        <f>+IFERROR(IF(VLOOKUP(Tabla2[[#This Row],[ID]],'EVALUACION DE RIESGO'!A:A,1,FALSE)=Tabla2[[#This Row],[ID]],"SI","NO"),"NO")</f>
        <v/>
      </c>
    </row>
    <row r="838">
      <c r="A838" s="91" t="inlineStr">
        <is>
          <t>15-GES</t>
        </is>
      </c>
      <c r="B838" s="10" t="inlineStr">
        <is>
          <t>ESTRATÉGICO</t>
        </is>
      </c>
      <c r="C838" s="10" t="inlineStr">
        <is>
          <t xml:space="preserve">Gestión Estratégica </t>
        </is>
      </c>
      <c r="D838" s="10" t="inlineStr">
        <is>
          <t>GES</t>
        </is>
      </c>
      <c r="E838" s="10" t="inlineStr">
        <is>
          <t xml:space="preserve">Planificación Estratégica </t>
        </is>
      </c>
      <c r="F838" s="10" t="inlineStr">
        <is>
          <t>-</t>
        </is>
      </c>
      <c r="G838" s="10" t="inlineStr">
        <is>
          <t>Formulación del Plan Estratégico</t>
        </is>
      </c>
      <c r="H838" s="10" t="inlineStr">
        <is>
          <t>Estudios de mercado y de competencia</t>
        </is>
      </c>
      <c r="I838" s="10" t="inlineStr">
        <is>
          <t>Estudio para analizar la factibilidad de aperturas de oficina o lanzamiento de servicios</t>
        </is>
      </c>
      <c r="J838" s="10" t="inlineStr">
        <is>
          <t>JEFE DE PLANIFICACIÓN Y PROCESOS</t>
        </is>
      </c>
      <c r="K838" s="10" t="inlineStr">
        <is>
          <t>JEFE DE PLANIFICACIÓN Y PROCESOS</t>
        </is>
      </c>
      <c r="L838" s="10" t="inlineStr">
        <is>
          <t>UBICACIÓN DIGITAL-EQUIPO DEL CUSTODIO</t>
        </is>
      </c>
      <c r="M838" s="10" t="inlineStr">
        <is>
          <t>DOCUMENTO DE ARCHIVO-ELECTRÓNICO</t>
        </is>
      </c>
      <c r="N838" s="10" t="inlineStr">
        <is>
          <t>PRIMARIOS</t>
        </is>
      </c>
      <c r="O838" s="10" t="inlineStr">
        <is>
          <t>DOCUMENTOS TÉCNICOS</t>
        </is>
      </c>
      <c r="P838" s="10" t="inlineStr">
        <is>
          <t>USO INTERNO(2)</t>
        </is>
      </c>
      <c r="Q838" s="10" t="inlineStr">
        <is>
          <t>MEDIA(2)</t>
        </is>
      </c>
      <c r="R838" s="10" t="inlineStr">
        <is>
          <t>MEDIA(2)</t>
        </is>
      </c>
      <c r="S838" s="10">
        <f>+(IF(P838="PUBLICA(1)",1,IF(P838="USO INTERNO(2)",2,IF(P838="RESTRINGIDO(3)",3,3))))+(IF(Q838="BAJA(1)",1,IF(Q838="MEDIA(2)",2,IF(Q838="ALTA(3)",3,3))))+(IF(R838="BAJA(1)",1,IF(R838="MEDIA(2)",2,IF(R838="ALTA(3)",3,3))))</f>
        <v/>
      </c>
      <c r="T838" s="10">
        <f>+IF(S838&lt;6,"BAJA",IF(S838&lt;8,"MEDIA","ALTA"))</f>
        <v/>
      </c>
      <c r="U838" s="10" t="inlineStr">
        <is>
          <t>-</t>
        </is>
      </c>
      <c r="V838" s="24" t="n">
        <v>45681</v>
      </c>
      <c r="W838" s="19" t="inlineStr">
        <is>
          <t>N/A</t>
        </is>
      </c>
      <c r="X838" s="10">
        <f>+IFERROR(IF(VLOOKUP(Tabla2[[#This Row],[ID]],'EVALUACION DE RIESGO'!A:A,1,FALSE)=Tabla2[[#This Row],[ID]],"SI","NO"),"NO")</f>
        <v/>
      </c>
    </row>
    <row r="839">
      <c r="A839" s="91" t="inlineStr">
        <is>
          <t>16-GES</t>
        </is>
      </c>
      <c r="B839" s="10" t="inlineStr">
        <is>
          <t>ESTRATÉGICO</t>
        </is>
      </c>
      <c r="C839" s="10" t="inlineStr">
        <is>
          <t xml:space="preserve">Gestión Estratégica </t>
        </is>
      </c>
      <c r="D839" s="10" t="inlineStr">
        <is>
          <t>GES</t>
        </is>
      </c>
      <c r="E839" s="10" t="inlineStr">
        <is>
          <t xml:space="preserve">Planificación Estratégica </t>
        </is>
      </c>
      <c r="F839" s="10" t="inlineStr">
        <is>
          <t>-</t>
        </is>
      </c>
      <c r="G839" s="10" t="inlineStr">
        <is>
          <t>Formulación del Plan Estratégico</t>
        </is>
      </c>
      <c r="H839" s="10" t="inlineStr">
        <is>
          <t>Estudios de clima laboral</t>
        </is>
      </c>
      <c r="I839" s="10" t="inlineStr">
        <is>
          <t>Documento de satisfacción de los empleados en el lugar de trabajo</t>
        </is>
      </c>
      <c r="J839" s="10" t="inlineStr">
        <is>
          <t>JEFE DE PLANIFICACIÓN Y PROCESOS</t>
        </is>
      </c>
      <c r="K839" s="10" t="inlineStr">
        <is>
          <t>JEFE DE PLANIFICACIÓN Y PROCESOS</t>
        </is>
      </c>
      <c r="L839" s="10" t="inlineStr">
        <is>
          <t>UBICACIÓN DIGITAL-EQUIPO DEL CUSTODIO</t>
        </is>
      </c>
      <c r="M839" s="10" t="inlineStr">
        <is>
          <t>DOCUMENTO DE ARCHIVO-ELECTRÓNICO</t>
        </is>
      </c>
      <c r="N839" s="10" t="inlineStr">
        <is>
          <t>PRIMARIOS</t>
        </is>
      </c>
      <c r="O839" s="10" t="inlineStr">
        <is>
          <t>DOCUMENTOS TÉCNICOS</t>
        </is>
      </c>
      <c r="P839" s="10" t="inlineStr">
        <is>
          <t>PUBLICA(1)</t>
        </is>
      </c>
      <c r="Q839" s="10" t="inlineStr">
        <is>
          <t>BAJA(1)</t>
        </is>
      </c>
      <c r="R839" s="10" t="inlineStr">
        <is>
          <t>BAJA(1)</t>
        </is>
      </c>
      <c r="S839" s="10">
        <f>+(IF(P839="PUBLICA(1)",1,IF(P839="USO INTERNO(2)",2,IF(P839="RESTRINGIDO(3)",3,3))))+(IF(Q839="BAJA(1)",1,IF(Q839="MEDIA(2)",2,IF(Q839="ALTA(3)",3,3))))+(IF(R839="BAJA(1)",1,IF(R839="MEDIA(2)",2,IF(R839="ALTA(3)",3,3))))</f>
        <v/>
      </c>
      <c r="T839" s="10">
        <f>+IF(S839&lt;6,"BAJA",IF(S839&lt;8,"MEDIA","ALTA"))</f>
        <v/>
      </c>
      <c r="U839" s="10" t="inlineStr">
        <is>
          <t>-</t>
        </is>
      </c>
      <c r="V839" s="24" t="n">
        <v>45681</v>
      </c>
      <c r="W839" s="19" t="inlineStr">
        <is>
          <t>N/A</t>
        </is>
      </c>
      <c r="X839" s="10">
        <f>+IFERROR(IF(VLOOKUP(Tabla2[[#This Row],[ID]],'EVALUACION DE RIESGO'!A:A,1,FALSE)=Tabla2[[#This Row],[ID]],"SI","NO"),"NO")</f>
        <v/>
      </c>
    </row>
    <row r="840">
      <c r="A840" s="91" t="inlineStr">
        <is>
          <t>17-GES</t>
        </is>
      </c>
      <c r="B840" s="10" t="inlineStr">
        <is>
          <t>ESTRATÉGICO</t>
        </is>
      </c>
      <c r="C840" s="10" t="inlineStr">
        <is>
          <t xml:space="preserve">Gestión Estratégica </t>
        </is>
      </c>
      <c r="D840" s="10" t="inlineStr">
        <is>
          <t>GES</t>
        </is>
      </c>
      <c r="E840" s="10" t="inlineStr">
        <is>
          <t xml:space="preserve">Planificación Estratégica </t>
        </is>
      </c>
      <c r="F840" s="10" t="inlineStr">
        <is>
          <t>-</t>
        </is>
      </c>
      <c r="G840" s="10" t="inlineStr">
        <is>
          <t>Formulación del Plan Estratégico</t>
        </is>
      </c>
      <c r="H840" s="10" t="inlineStr">
        <is>
          <t>Estudios de satisfacción al cliente</t>
        </is>
      </c>
      <c r="I840" s="10" t="inlineStr">
        <is>
          <t>Documento de satisfacción de los clientes</t>
        </is>
      </c>
      <c r="J840" s="10" t="inlineStr">
        <is>
          <t>JEFE DE PLANIFICACIÓN Y PROCESOS</t>
        </is>
      </c>
      <c r="K840" s="10" t="inlineStr">
        <is>
          <t>JEFE DE PLANIFICACIÓN Y PROCESOS</t>
        </is>
      </c>
      <c r="L840" s="10" t="inlineStr">
        <is>
          <t>UBICACIÓN DIGITAL-EQUIPO DEL CUSTODIO</t>
        </is>
      </c>
      <c r="M840" s="10" t="inlineStr">
        <is>
          <t>DOCUMENTO DE ARCHIVO-ELECTRÓNICO</t>
        </is>
      </c>
      <c r="N840" s="10" t="inlineStr">
        <is>
          <t>PRIMARIOS</t>
        </is>
      </c>
      <c r="O840" s="10" t="inlineStr">
        <is>
          <t>DOCUMENTOS TÉCNICOS</t>
        </is>
      </c>
      <c r="P840" s="10" t="inlineStr">
        <is>
          <t>USO INTERNO(2)</t>
        </is>
      </c>
      <c r="Q840" s="10" t="inlineStr">
        <is>
          <t>BAJA(1)</t>
        </is>
      </c>
      <c r="R840" s="10" t="inlineStr">
        <is>
          <t>BAJA(1)</t>
        </is>
      </c>
      <c r="S840" s="10">
        <f>+(IF(P840="PUBLICA(1)",1,IF(P840="USO INTERNO(2)",2,IF(P840="RESTRINGIDO(3)",3,3))))+(IF(Q840="BAJA(1)",1,IF(Q840="MEDIA(2)",2,IF(Q840="ALTA(3)",3,3))))+(IF(R840="BAJA(1)",1,IF(R840="MEDIA(2)",2,IF(R840="ALTA(3)",3,3))))</f>
        <v/>
      </c>
      <c r="T840" s="10">
        <f>+IF(S840&lt;6,"BAJA",IF(S840&lt;8,"MEDIA","ALTA"))</f>
        <v/>
      </c>
      <c r="U840" s="10" t="inlineStr">
        <is>
          <t>-</t>
        </is>
      </c>
      <c r="V840" s="24" t="n">
        <v>45681</v>
      </c>
      <c r="W840" s="19" t="inlineStr">
        <is>
          <t>N/A</t>
        </is>
      </c>
      <c r="X840" s="10">
        <f>+IFERROR(IF(VLOOKUP(Tabla2[[#This Row],[ID]],'EVALUACION DE RIESGO'!A:A,1,FALSE)=Tabla2[[#This Row],[ID]],"SI","NO"),"NO")</f>
        <v/>
      </c>
    </row>
    <row r="841">
      <c r="A841" s="91" t="inlineStr">
        <is>
          <t>18-GES</t>
        </is>
      </c>
      <c r="B841" s="10" t="inlineStr">
        <is>
          <t>ESTRATÉGICO</t>
        </is>
      </c>
      <c r="C841" s="10" t="inlineStr">
        <is>
          <t xml:space="preserve">Gestión Estratégica </t>
        </is>
      </c>
      <c r="D841" s="10" t="inlineStr">
        <is>
          <t>GES</t>
        </is>
      </c>
      <c r="E841" s="10" t="inlineStr">
        <is>
          <t xml:space="preserve">Planificación Estratégica </t>
        </is>
      </c>
      <c r="F841" s="10" t="inlineStr">
        <is>
          <t>-</t>
        </is>
      </c>
      <c r="G841" s="10" t="inlineStr">
        <is>
          <t>Formulación del Plan Estratégico</t>
        </is>
      </c>
      <c r="H841" s="10" t="inlineStr">
        <is>
          <t>Análisis de Macrotendencias</t>
        </is>
      </c>
      <c r="I841" s="10" t="inlineStr">
        <is>
          <t>Pautas para saber las tendencias mundiales, referente a la tecnologia que pueden impactar a la coac</t>
        </is>
      </c>
      <c r="J841" s="10" t="inlineStr">
        <is>
          <t>JEFE DE PLANIFICACIÓN Y PROCESOS</t>
        </is>
      </c>
      <c r="K841" s="10" t="inlineStr">
        <is>
          <t>JEFE DE PLANIFICACIÓN Y PROCESOS</t>
        </is>
      </c>
      <c r="L841" s="10" t="inlineStr">
        <is>
          <t>UBICACIÓN DIGITAL-EQUIPO DEL CUSTODIO</t>
        </is>
      </c>
      <c r="M841" s="10" t="inlineStr">
        <is>
          <t>DOCUMENTO DE ARCHIVO-ELECTRÓNICO</t>
        </is>
      </c>
      <c r="N841" s="10" t="inlineStr">
        <is>
          <t>PRIMARIOS</t>
        </is>
      </c>
      <c r="O841" s="10" t="inlineStr">
        <is>
          <t>DOCUMENTOS TÉCNICOS</t>
        </is>
      </c>
      <c r="P841" s="10" t="inlineStr">
        <is>
          <t>PUBLICA(1)</t>
        </is>
      </c>
      <c r="Q841" s="10" t="inlineStr">
        <is>
          <t>BAJA(1)</t>
        </is>
      </c>
      <c r="R841" s="10" t="inlineStr">
        <is>
          <t>BAJA(1)</t>
        </is>
      </c>
      <c r="S841" s="10">
        <f>+(IF(P841="PUBLICA(1)",1,IF(P841="USO INTERNO(2)",2,IF(P841="RESTRINGIDO(3)",3,3))))+(IF(Q841="BAJA(1)",1,IF(Q841="MEDIA(2)",2,IF(Q841="ALTA(3)",3,3))))+(IF(R841="BAJA(1)",1,IF(R841="MEDIA(2)",2,IF(R841="ALTA(3)",3,3))))</f>
        <v/>
      </c>
      <c r="T841" s="10">
        <f>+IF(S841&lt;6,"BAJA",IF(S841&lt;8,"MEDIA","ALTA"))</f>
        <v/>
      </c>
      <c r="U841" s="10" t="inlineStr">
        <is>
          <t>-</t>
        </is>
      </c>
      <c r="V841" s="24" t="n">
        <v>45681</v>
      </c>
      <c r="W841" s="19" t="inlineStr">
        <is>
          <t>N/A</t>
        </is>
      </c>
      <c r="X841" s="10">
        <f>+IFERROR(IF(VLOOKUP(Tabla2[[#This Row],[ID]],'EVALUACION DE RIESGO'!A:A,1,FALSE)=Tabla2[[#This Row],[ID]],"SI","NO"),"NO")</f>
        <v/>
      </c>
    </row>
    <row r="842">
      <c r="A842" s="91" t="inlineStr">
        <is>
          <t>19-GES</t>
        </is>
      </c>
      <c r="B842" s="10" t="inlineStr">
        <is>
          <t>ESTRATÉGICO</t>
        </is>
      </c>
      <c r="C842" s="10" t="inlineStr">
        <is>
          <t xml:space="preserve">Gestión Estratégica </t>
        </is>
      </c>
      <c r="D842" s="10" t="inlineStr">
        <is>
          <t>GES</t>
        </is>
      </c>
      <c r="E842" s="10" t="inlineStr">
        <is>
          <t xml:space="preserve">Planificación Estratégica </t>
        </is>
      </c>
      <c r="F842" s="10" t="inlineStr">
        <is>
          <t>-</t>
        </is>
      </c>
      <c r="G842" s="10" t="inlineStr">
        <is>
          <t>Formulación del Plan Estratégico</t>
        </is>
      </c>
      <c r="H842" s="10" t="inlineStr">
        <is>
          <t>Análisis financiero nacional, del segmento y de la Cooperativa</t>
        </is>
      </c>
      <c r="I842" s="10" t="inlineStr">
        <is>
          <t>Documento interno con datos externos con indicadores de la competencia</t>
        </is>
      </c>
      <c r="J842" s="10" t="inlineStr">
        <is>
          <t>JEFE DE PLANIFICACIÓN Y PROCESOS</t>
        </is>
      </c>
      <c r="K842" s="10" t="inlineStr">
        <is>
          <t>JEFE DE PLANIFICACIÓN Y PROCESOS</t>
        </is>
      </c>
      <c r="L842" s="10" t="inlineStr">
        <is>
          <t>UBICACIÓN DIGITAL-EQUIPO DEL CUSTODIO</t>
        </is>
      </c>
      <c r="M842" s="10" t="inlineStr">
        <is>
          <t>DOCUMENTO DE ARCHIVO-ELECTRÓNICO</t>
        </is>
      </c>
      <c r="N842" s="10" t="inlineStr">
        <is>
          <t>PRIMARIOS</t>
        </is>
      </c>
      <c r="O842" s="10" t="inlineStr">
        <is>
          <t>DOCUMENTOS TÉCNICOS</t>
        </is>
      </c>
      <c r="P842" s="10" t="inlineStr">
        <is>
          <t>PUBLICA(1)</t>
        </is>
      </c>
      <c r="Q842" s="10" t="inlineStr">
        <is>
          <t>BAJA(1)</t>
        </is>
      </c>
      <c r="R842" s="10" t="inlineStr">
        <is>
          <t>BAJA(1)</t>
        </is>
      </c>
      <c r="S842" s="10">
        <f>+(IF(P842="PUBLICA(1)",1,IF(P842="USO INTERNO(2)",2,IF(P842="RESTRINGIDO(3)",3,3))))+(IF(Q842="BAJA(1)",1,IF(Q842="MEDIA(2)",2,IF(Q842="ALTA(3)",3,3))))+(IF(R842="BAJA(1)",1,IF(R842="MEDIA(2)",2,IF(R842="ALTA(3)",3,3))))</f>
        <v/>
      </c>
      <c r="T842" s="10">
        <f>+IF(S842&lt;6,"BAJA",IF(S842&lt;8,"MEDIA","ALTA"))</f>
        <v/>
      </c>
      <c r="U842" s="10" t="inlineStr">
        <is>
          <t>-</t>
        </is>
      </c>
      <c r="V842" s="24" t="n">
        <v>45681</v>
      </c>
      <c r="W842" s="19" t="inlineStr">
        <is>
          <t>N/A</t>
        </is>
      </c>
      <c r="X842" s="10">
        <f>+IFERROR(IF(VLOOKUP(Tabla2[[#This Row],[ID]],'EVALUACION DE RIESGO'!A:A,1,FALSE)=Tabla2[[#This Row],[ID]],"SI","NO"),"NO")</f>
        <v/>
      </c>
    </row>
    <row r="843">
      <c r="A843" s="91" t="inlineStr">
        <is>
          <t>20-GES</t>
        </is>
      </c>
      <c r="B843" s="10" t="inlineStr">
        <is>
          <t>ESTRATÉGICO</t>
        </is>
      </c>
      <c r="C843" s="10" t="inlineStr">
        <is>
          <t xml:space="preserve">Gestión Estratégica </t>
        </is>
      </c>
      <c r="D843" s="10" t="inlineStr">
        <is>
          <t>GES</t>
        </is>
      </c>
      <c r="E843" s="10" t="inlineStr">
        <is>
          <t xml:space="preserve">Planificación Estratégica </t>
        </is>
      </c>
      <c r="F843" s="10" t="inlineStr">
        <is>
          <t>-</t>
        </is>
      </c>
      <c r="G843" s="10" t="inlineStr">
        <is>
          <t>Formulación del Plan Estratégico</t>
        </is>
      </c>
      <c r="H843" s="10" t="inlineStr">
        <is>
          <t>Resultados alcanzados en el Plan Estratégica que fenece</t>
        </is>
      </c>
      <c r="I843" s="10" t="inlineStr">
        <is>
          <t>Evaluación del plan estratégico</t>
        </is>
      </c>
      <c r="J843" s="10" t="inlineStr">
        <is>
          <t>JEFE DE PLANIFICACIÓN Y PROCESOS</t>
        </is>
      </c>
      <c r="K843" s="10" t="inlineStr">
        <is>
          <t>JEFE DE PLANIFICACIÓN Y PROCESOS</t>
        </is>
      </c>
      <c r="L843" s="10" t="inlineStr">
        <is>
          <t>UBICACIÓN DIGITAL-EQUIPO DEL CUSTODIO</t>
        </is>
      </c>
      <c r="M843" s="10" t="inlineStr">
        <is>
          <t>DOCUMENTO DE ARCHIVO-ELECTRÓNICO</t>
        </is>
      </c>
      <c r="N843" s="10" t="inlineStr">
        <is>
          <t>PRIMARIOS</t>
        </is>
      </c>
      <c r="O843" s="10" t="inlineStr">
        <is>
          <t>DOCUMENTOS TÉCNICOS</t>
        </is>
      </c>
      <c r="P843" s="10" t="inlineStr">
        <is>
          <t>PUBLICA(1)</t>
        </is>
      </c>
      <c r="Q843" s="10" t="inlineStr">
        <is>
          <t>BAJA(1)</t>
        </is>
      </c>
      <c r="R843" s="10" t="inlineStr">
        <is>
          <t>BAJA(1)</t>
        </is>
      </c>
      <c r="S843" s="10">
        <f>+(IF(P843="PUBLICA(1)",1,IF(P843="USO INTERNO(2)",2,IF(P843="RESTRINGIDO(3)",3,3))))+(IF(Q843="BAJA(1)",1,IF(Q843="MEDIA(2)",2,IF(Q843="ALTA(3)",3,3))))+(IF(R843="BAJA(1)",1,IF(R843="MEDIA(2)",2,IF(R843="ALTA(3)",3,3))))</f>
        <v/>
      </c>
      <c r="T843" s="10">
        <f>+IF(S843&lt;6,"BAJA",IF(S843&lt;8,"MEDIA","ALTA"))</f>
        <v/>
      </c>
      <c r="U843" s="10" t="inlineStr">
        <is>
          <t>-</t>
        </is>
      </c>
      <c r="V843" s="24" t="n">
        <v>45681</v>
      </c>
      <c r="W843" s="19" t="inlineStr">
        <is>
          <t>N/A</t>
        </is>
      </c>
      <c r="X843" s="10">
        <f>+IFERROR(IF(VLOOKUP(Tabla2[[#This Row],[ID]],'EVALUACION DE RIESGO'!A:A,1,FALSE)=Tabla2[[#This Row],[ID]],"SI","NO"),"NO")</f>
        <v/>
      </c>
    </row>
    <row r="844">
      <c r="A844" s="91" t="inlineStr">
        <is>
          <t>21-GES</t>
        </is>
      </c>
      <c r="B844" s="10" t="inlineStr">
        <is>
          <t>ESTRATÉGICO</t>
        </is>
      </c>
      <c r="C844" s="10" t="inlineStr">
        <is>
          <t xml:space="preserve">Gestión Estratégica </t>
        </is>
      </c>
      <c r="D844" s="10" t="inlineStr">
        <is>
          <t>GES</t>
        </is>
      </c>
      <c r="E844" s="10" t="inlineStr">
        <is>
          <t xml:space="preserve">Planificación Estratégica </t>
        </is>
      </c>
      <c r="F844" s="10" t="inlineStr">
        <is>
          <t>-</t>
        </is>
      </c>
      <c r="G844" s="10" t="inlineStr">
        <is>
          <t>Formulación del Plan Estratégico</t>
        </is>
      </c>
      <c r="H844" s="10" t="inlineStr">
        <is>
          <t>Necesidades de los Stakeholders</t>
        </is>
      </c>
      <c r="I844" s="10" t="inlineStr">
        <is>
          <t>Matriz de necesidades de los grupos de interes</t>
        </is>
      </c>
      <c r="J844" s="10" t="inlineStr">
        <is>
          <t>JEFE DE PLANIFICACIÓN Y PROCESOS</t>
        </is>
      </c>
      <c r="K844" s="10" t="inlineStr">
        <is>
          <t>JEFE DE PLANIFICACIÓN Y PROCESOS</t>
        </is>
      </c>
      <c r="L844" s="10" t="inlineStr">
        <is>
          <t>UBICACIÓN DIGITAL-EQUIPO DEL CUSTODIO</t>
        </is>
      </c>
      <c r="M844" s="10" t="inlineStr">
        <is>
          <t>DOCUMENTO DE ARCHIVO-ELECTRÓNICO</t>
        </is>
      </c>
      <c r="N844" s="10" t="inlineStr">
        <is>
          <t>PRIMARIOS</t>
        </is>
      </c>
      <c r="O844" s="10" t="inlineStr">
        <is>
          <t>DOCUMENTOS TÉCNICOS</t>
        </is>
      </c>
      <c r="P844" s="10" t="inlineStr">
        <is>
          <t>PUBLICA(1)</t>
        </is>
      </c>
      <c r="Q844" s="10" t="inlineStr">
        <is>
          <t>BAJA(1)</t>
        </is>
      </c>
      <c r="R844" s="10" t="inlineStr">
        <is>
          <t>BAJA(1)</t>
        </is>
      </c>
      <c r="S844" s="10">
        <f>+(IF(P844="PUBLICA(1)",1,IF(P844="USO INTERNO(2)",2,IF(P844="RESTRINGIDO(3)",3,3))))+(IF(Q844="BAJA(1)",1,IF(Q844="MEDIA(2)",2,IF(Q844="ALTA(3)",3,3))))+(IF(R844="BAJA(1)",1,IF(R844="MEDIA(2)",2,IF(R844="ALTA(3)",3,3))))</f>
        <v/>
      </c>
      <c r="T844" s="10">
        <f>+IF(S844&lt;6,"BAJA",IF(S844&lt;8,"MEDIA","ALTA"))</f>
        <v/>
      </c>
      <c r="U844" s="10" t="inlineStr">
        <is>
          <t>-</t>
        </is>
      </c>
      <c r="V844" s="24" t="n">
        <v>45681</v>
      </c>
      <c r="W844" s="19" t="inlineStr">
        <is>
          <t>N/A</t>
        </is>
      </c>
      <c r="X844" s="10">
        <f>+IFERROR(IF(VLOOKUP(Tabla2[[#This Row],[ID]],'EVALUACION DE RIESGO'!A:A,1,FALSE)=Tabla2[[#This Row],[ID]],"SI","NO"),"NO")</f>
        <v/>
      </c>
    </row>
    <row r="845">
      <c r="A845" s="91" t="inlineStr">
        <is>
          <t>22-GES</t>
        </is>
      </c>
      <c r="B845" s="10" t="inlineStr">
        <is>
          <t>ESTRATÉGICO</t>
        </is>
      </c>
      <c r="C845" s="10" t="inlineStr">
        <is>
          <t xml:space="preserve">Gestión Estratégica </t>
        </is>
      </c>
      <c r="D845" s="10" t="inlineStr">
        <is>
          <t>GES</t>
        </is>
      </c>
      <c r="E845" s="10" t="inlineStr">
        <is>
          <t xml:space="preserve">Planificación Estratégica </t>
        </is>
      </c>
      <c r="F845" s="10" t="inlineStr">
        <is>
          <t>-</t>
        </is>
      </c>
      <c r="G845" s="10" t="inlineStr">
        <is>
          <t>Formulación del Plan Estratégico</t>
        </is>
      </c>
      <c r="H845" s="10" t="inlineStr">
        <is>
          <t xml:space="preserve">FODA por departamento </t>
        </is>
      </c>
      <c r="I845" s="10" t="inlineStr">
        <is>
          <t>Resultados de la aplicación de la metodologia</t>
        </is>
      </c>
      <c r="J845" s="10" t="inlineStr">
        <is>
          <t>JEFE DE PLANIFICACIÓN Y PROCESOS</t>
        </is>
      </c>
      <c r="K845" s="10" t="inlineStr">
        <is>
          <t>JEFE DE PLANIFICACIÓN Y PROCESOS</t>
        </is>
      </c>
      <c r="L845" s="10" t="inlineStr">
        <is>
          <t>UBICACIÓN DIGITAL-EQUIPO DEL CUSTODIO</t>
        </is>
      </c>
      <c r="M845" s="10" t="inlineStr">
        <is>
          <t>DOCUMENTO DE ARCHIVO-ELECTRÓNICO</t>
        </is>
      </c>
      <c r="N845" s="10" t="inlineStr">
        <is>
          <t>PRIMARIOS</t>
        </is>
      </c>
      <c r="O845" s="10" t="inlineStr">
        <is>
          <t>DOCUMENTOS TÉCNICOS</t>
        </is>
      </c>
      <c r="P845" s="10" t="inlineStr">
        <is>
          <t>PUBLICA(1)</t>
        </is>
      </c>
      <c r="Q845" s="10" t="inlineStr">
        <is>
          <t>BAJA(1)</t>
        </is>
      </c>
      <c r="R845" s="10" t="inlineStr">
        <is>
          <t>BAJA(1)</t>
        </is>
      </c>
      <c r="S845" s="10">
        <f>+(IF(P845="PUBLICA(1)",1,IF(P845="USO INTERNO(2)",2,IF(P845="RESTRINGIDO(3)",3,3))))+(IF(Q845="BAJA(1)",1,IF(Q845="MEDIA(2)",2,IF(Q845="ALTA(3)",3,3))))+(IF(R845="BAJA(1)",1,IF(R845="MEDIA(2)",2,IF(R845="ALTA(3)",3,3))))</f>
        <v/>
      </c>
      <c r="T845" s="10">
        <f>+IF(S845&lt;6,"BAJA",IF(S845&lt;8,"MEDIA","ALTA"))</f>
        <v/>
      </c>
      <c r="U845" s="10" t="inlineStr">
        <is>
          <t>-</t>
        </is>
      </c>
      <c r="V845" s="24" t="n">
        <v>45681</v>
      </c>
      <c r="W845" s="19" t="inlineStr">
        <is>
          <t>N/A</t>
        </is>
      </c>
      <c r="X845" s="10">
        <f>+IFERROR(IF(VLOOKUP(Tabla2[[#This Row],[ID]],'EVALUACION DE RIESGO'!A:A,1,FALSE)=Tabla2[[#This Row],[ID]],"SI","NO"),"NO")</f>
        <v/>
      </c>
    </row>
    <row r="846">
      <c r="A846" s="91" t="inlineStr">
        <is>
          <t>23-GES</t>
        </is>
      </c>
      <c r="B846" s="10" t="inlineStr">
        <is>
          <t>ESTRATÉGICO</t>
        </is>
      </c>
      <c r="C846" s="10" t="inlineStr">
        <is>
          <t xml:space="preserve">Gestión Estratégica </t>
        </is>
      </c>
      <c r="D846" s="10" t="inlineStr">
        <is>
          <t>GES</t>
        </is>
      </c>
      <c r="E846" s="10" t="inlineStr">
        <is>
          <t xml:space="preserve">Planificación Estratégica </t>
        </is>
      </c>
      <c r="F846" s="10" t="inlineStr">
        <is>
          <t>-</t>
        </is>
      </c>
      <c r="G846" s="10" t="inlineStr">
        <is>
          <t>Formulación del Plan Estratégico</t>
        </is>
      </c>
      <c r="H846" s="10" t="inlineStr">
        <is>
          <t>Resultados de encuestas o entrevistas a los grupos de interés</t>
        </is>
      </c>
      <c r="I846" s="10" t="inlineStr">
        <is>
          <t>Estadisticas de las encuentas</t>
        </is>
      </c>
      <c r="J846" s="10" t="inlineStr">
        <is>
          <t>JEFE DE PLANIFICACIÓN Y PROCESOS</t>
        </is>
      </c>
      <c r="K846" s="10" t="inlineStr">
        <is>
          <t>JEFE DE PLANIFICACIÓN Y PROCESOS</t>
        </is>
      </c>
      <c r="L846" s="10" t="inlineStr">
        <is>
          <t>UBICACIÓN DIGITAL-EQUIPO DEL CUSTODIO</t>
        </is>
      </c>
      <c r="M846" s="10" t="inlineStr">
        <is>
          <t>DOCUMENTO DE ARCHIVO-ELECTRÓNICO</t>
        </is>
      </c>
      <c r="N846" s="10" t="inlineStr">
        <is>
          <t>PRIMARIOS</t>
        </is>
      </c>
      <c r="O846" s="10" t="inlineStr">
        <is>
          <t>DOCUMENTOS TÉCNICOS</t>
        </is>
      </c>
      <c r="P846" s="10" t="inlineStr">
        <is>
          <t>PUBLICA(1)</t>
        </is>
      </c>
      <c r="Q846" s="10" t="inlineStr">
        <is>
          <t>BAJA(1)</t>
        </is>
      </c>
      <c r="R846" s="10" t="inlineStr">
        <is>
          <t>BAJA(1)</t>
        </is>
      </c>
      <c r="S846" s="10">
        <f>+(IF(P846="PUBLICA(1)",1,IF(P846="USO INTERNO(2)",2,IF(P846="RESTRINGIDO(3)",3,3))))+(IF(Q846="BAJA(1)",1,IF(Q846="MEDIA(2)",2,IF(Q846="ALTA(3)",3,3))))+(IF(R846="BAJA(1)",1,IF(R846="MEDIA(2)",2,IF(R846="ALTA(3)",3,3))))</f>
        <v/>
      </c>
      <c r="T846" s="10">
        <f>+IF(S846&lt;6,"BAJA",IF(S846&lt;8,"MEDIA","ALTA"))</f>
        <v/>
      </c>
      <c r="U846" s="10" t="inlineStr">
        <is>
          <t>-</t>
        </is>
      </c>
      <c r="V846" s="24" t="n">
        <v>45681</v>
      </c>
      <c r="W846" s="19" t="inlineStr">
        <is>
          <t>N/A</t>
        </is>
      </c>
      <c r="X846" s="10">
        <f>+IFERROR(IF(VLOOKUP(Tabla2[[#This Row],[ID]],'EVALUACION DE RIESGO'!A:A,1,FALSE)=Tabla2[[#This Row],[ID]],"SI","NO"),"NO")</f>
        <v/>
      </c>
    </row>
    <row r="847">
      <c r="A847" s="91" t="inlineStr">
        <is>
          <t>24-GES</t>
        </is>
      </c>
      <c r="B847" s="10" t="inlineStr">
        <is>
          <t>ESTRATÉGICO</t>
        </is>
      </c>
      <c r="C847" s="10" t="inlineStr">
        <is>
          <t xml:space="preserve">Gestión Estratégica </t>
        </is>
      </c>
      <c r="D847" s="10" t="inlineStr">
        <is>
          <t>GES</t>
        </is>
      </c>
      <c r="E847" s="10" t="inlineStr">
        <is>
          <t xml:space="preserve">Planificación Estratégica </t>
        </is>
      </c>
      <c r="F847" s="10" t="inlineStr">
        <is>
          <t>-</t>
        </is>
      </c>
      <c r="G847" s="10" t="inlineStr">
        <is>
          <t>Formulación del Plan Estratégico</t>
        </is>
      </c>
      <c r="H847" s="10" t="inlineStr">
        <is>
          <t>Documento resultante de Plan Estratégico Institucional</t>
        </is>
      </c>
      <c r="I847" s="10" t="inlineStr">
        <is>
          <t>Evaluación del Plan Estratégico / Elaboración del Plan Operativo</t>
        </is>
      </c>
      <c r="J847" s="10" t="inlineStr">
        <is>
          <t>JEFE DE PLANIFICACIÓN Y PROCESOS</t>
        </is>
      </c>
      <c r="K847" s="10" t="inlineStr">
        <is>
          <t>JEFE DE PLANIFICACIÓN Y PROCESOS</t>
        </is>
      </c>
      <c r="L847" s="10" t="inlineStr">
        <is>
          <t>UBICACIÓN DIGITAL-EQUIPO DEL CUSTODIO</t>
        </is>
      </c>
      <c r="M847" s="10" t="inlineStr">
        <is>
          <t>DOCUMENTO DE ARCHIVO-ELECTRÓNICO</t>
        </is>
      </c>
      <c r="N847" s="10" t="inlineStr">
        <is>
          <t>PRIMARIOS</t>
        </is>
      </c>
      <c r="O847" s="10" t="inlineStr">
        <is>
          <t>DOCUMENTOS TÉCNICOS</t>
        </is>
      </c>
      <c r="P847" s="10" t="inlineStr">
        <is>
          <t>PUBLICA(1)</t>
        </is>
      </c>
      <c r="Q847" s="10" t="inlineStr">
        <is>
          <t>BAJA(1)</t>
        </is>
      </c>
      <c r="R847" s="10" t="inlineStr">
        <is>
          <t>ALTA(3)</t>
        </is>
      </c>
      <c r="S847" s="10">
        <f>+(IF(P847="PUBLICA(1)",1,IF(P847="USO INTERNO(2)",2,IF(P847="RESTRINGIDO(3)",3,3))))+(IF(Q847="BAJA(1)",1,IF(Q847="MEDIA(2)",2,IF(Q847="ALTA(3)",3,3))))+(IF(R847="BAJA(1)",1,IF(R847="MEDIA(2)",2,IF(R847="ALTA(3)",3,3))))</f>
        <v/>
      </c>
      <c r="T847" s="10">
        <f>+IF(S847&lt;6,"BAJA",IF(S847&lt;8,"MEDIA","ALTA"))</f>
        <v/>
      </c>
      <c r="U847" s="10" t="inlineStr">
        <is>
          <t>-</t>
        </is>
      </c>
      <c r="V847" s="24" t="n">
        <v>45681</v>
      </c>
      <c r="W847" s="19" t="inlineStr">
        <is>
          <t>N/A</t>
        </is>
      </c>
      <c r="X847" s="10">
        <f>+IFERROR(IF(VLOOKUP(Tabla2[[#This Row],[ID]],'EVALUACION DE RIESGO'!A:A,1,FALSE)=Tabla2[[#This Row],[ID]],"SI","NO"),"NO")</f>
        <v/>
      </c>
    </row>
    <row r="848">
      <c r="A848" s="91" t="inlineStr">
        <is>
          <t>25-GES</t>
        </is>
      </c>
      <c r="B848" s="10" t="inlineStr">
        <is>
          <t>ESTRATÉGICO</t>
        </is>
      </c>
      <c r="C848" s="10" t="inlineStr">
        <is>
          <t xml:space="preserve">Gestión Estratégica </t>
        </is>
      </c>
      <c r="D848" s="10" t="inlineStr">
        <is>
          <t>GES</t>
        </is>
      </c>
      <c r="E848" s="10" t="inlineStr">
        <is>
          <t xml:space="preserve">Planificación Estratégica </t>
        </is>
      </c>
      <c r="F848" s="10" t="inlineStr">
        <is>
          <t>-</t>
        </is>
      </c>
      <c r="G848" s="10" t="inlineStr">
        <is>
          <t>Formulación del Plan Estratégico</t>
        </is>
      </c>
      <c r="H848" s="10" t="inlineStr">
        <is>
          <t>Certificación de aprobación del Consejo de Administración</t>
        </is>
      </c>
      <c r="I848" s="10" t="inlineStr">
        <is>
          <t>Publicación y difusión de documentos / Archivo del departamento</t>
        </is>
      </c>
      <c r="J848" s="10" t="inlineStr">
        <is>
          <t>JEFE DE PLANIFICACIÓN Y PROCESOS</t>
        </is>
      </c>
      <c r="K848" s="10" t="inlineStr">
        <is>
          <t>JEFE DE PLANIFICACIÓN Y PROCESOS</t>
        </is>
      </c>
      <c r="L848" s="10" t="inlineStr">
        <is>
          <t>UBICACIÓN DIGITAL-EQUIPO DEL CUSTODIO</t>
        </is>
      </c>
      <c r="M848" s="10" t="inlineStr">
        <is>
          <t>DOCUMENTO DE ARCHIVO-ELECTRÓNICO</t>
        </is>
      </c>
      <c r="N848" s="10" t="inlineStr">
        <is>
          <t>PRIMARIOS</t>
        </is>
      </c>
      <c r="O848" s="10" t="inlineStr">
        <is>
          <t>DOCUMENTOS TÉCNICOS</t>
        </is>
      </c>
      <c r="P848" s="10" t="inlineStr">
        <is>
          <t>PUBLICA(1)</t>
        </is>
      </c>
      <c r="Q848" s="10" t="inlineStr">
        <is>
          <t>BAJA(1)</t>
        </is>
      </c>
      <c r="R848" s="10" t="inlineStr">
        <is>
          <t>BAJA(1)</t>
        </is>
      </c>
      <c r="S848" s="10">
        <f>+(IF(P848="PUBLICA(1)",1,IF(P848="USO INTERNO(2)",2,IF(P848="RESTRINGIDO(3)",3,3))))+(IF(Q848="BAJA(1)",1,IF(Q848="MEDIA(2)",2,IF(Q848="ALTA(3)",3,3))))+(IF(R848="BAJA(1)",1,IF(R848="MEDIA(2)",2,IF(R848="ALTA(3)",3,3))))</f>
        <v/>
      </c>
      <c r="T848" s="10">
        <f>+IF(S848&lt;6,"BAJA",IF(S848&lt;8,"MEDIA","ALTA"))</f>
        <v/>
      </c>
      <c r="U848" s="10" t="inlineStr">
        <is>
          <t>-</t>
        </is>
      </c>
      <c r="V848" s="24" t="n">
        <v>45681</v>
      </c>
      <c r="W848" s="19" t="inlineStr">
        <is>
          <t>N/A</t>
        </is>
      </c>
      <c r="X848" s="10">
        <f>+IFERROR(IF(VLOOKUP(Tabla2[[#This Row],[ID]],'EVALUACION DE RIESGO'!A:A,1,FALSE)=Tabla2[[#This Row],[ID]],"SI","NO"),"NO")</f>
        <v/>
      </c>
    </row>
    <row r="849">
      <c r="A849" s="91" t="inlineStr">
        <is>
          <t>26-GES</t>
        </is>
      </c>
      <c r="B849" s="10" t="inlineStr">
        <is>
          <t>ESTRATÉGICO</t>
        </is>
      </c>
      <c r="C849" s="10" t="inlineStr">
        <is>
          <t xml:space="preserve">Gestión Estratégica </t>
        </is>
      </c>
      <c r="D849" s="10" t="inlineStr">
        <is>
          <t>GES</t>
        </is>
      </c>
      <c r="E849" s="10" t="inlineStr">
        <is>
          <t xml:space="preserve">Planificación Estratégica </t>
        </is>
      </c>
      <c r="F849" s="10" t="inlineStr">
        <is>
          <t>-</t>
        </is>
      </c>
      <c r="G849" s="10" t="inlineStr">
        <is>
          <t>Formulación del Plan Estratégico</t>
        </is>
      </c>
      <c r="H849" s="10" t="inlineStr">
        <is>
          <t>Resolución de la Asamblea de Representantes</t>
        </is>
      </c>
      <c r="I849" s="10" t="inlineStr">
        <is>
          <t>Archivo de la Asamblea de Representantes</t>
        </is>
      </c>
      <c r="J849" s="10" t="inlineStr">
        <is>
          <t>JEFE DE PLANIFICACIÓN Y PROCESOS</t>
        </is>
      </c>
      <c r="K849" s="10" t="inlineStr">
        <is>
          <t>JEFE DE PLANIFICACIÓN Y PROCESOS</t>
        </is>
      </c>
      <c r="L849" s="10" t="inlineStr">
        <is>
          <t>UBICACIÓN DIGITAL-EQUIPO DEL CUSTODIO</t>
        </is>
      </c>
      <c r="M849" s="10" t="inlineStr">
        <is>
          <t>DOCUMENTO DE ARCHIVO-ELECTRÓNICO</t>
        </is>
      </c>
      <c r="N849" s="10" t="inlineStr">
        <is>
          <t>PRIMARIOS</t>
        </is>
      </c>
      <c r="O849" s="10" t="inlineStr">
        <is>
          <t>DOCUMENTOS TÉCNICOS</t>
        </is>
      </c>
      <c r="P849" s="10" t="inlineStr">
        <is>
          <t>PUBLICA(1)</t>
        </is>
      </c>
      <c r="Q849" s="10" t="inlineStr">
        <is>
          <t>BAJA(1)</t>
        </is>
      </c>
      <c r="R849" s="10" t="inlineStr">
        <is>
          <t>BAJA(1)</t>
        </is>
      </c>
      <c r="S849" s="10">
        <f>+(IF(P849="PUBLICA(1)",1,IF(P849="USO INTERNO(2)",2,IF(P849="RESTRINGIDO(3)",3,3))))+(IF(Q849="BAJA(1)",1,IF(Q849="MEDIA(2)",2,IF(Q849="ALTA(3)",3,3))))+(IF(R849="BAJA(1)",1,IF(R849="MEDIA(2)",2,IF(R849="ALTA(3)",3,3))))</f>
        <v/>
      </c>
      <c r="T849" s="10">
        <f>+IF(S849&lt;6,"BAJA",IF(S849&lt;8,"MEDIA","ALTA"))</f>
        <v/>
      </c>
      <c r="U849" s="10" t="inlineStr">
        <is>
          <t>-</t>
        </is>
      </c>
      <c r="V849" s="24" t="n">
        <v>45681</v>
      </c>
      <c r="W849" s="19" t="inlineStr">
        <is>
          <t>N/A</t>
        </is>
      </c>
      <c r="X849" s="10">
        <f>+IFERROR(IF(VLOOKUP(Tabla2[[#This Row],[ID]],'EVALUACION DE RIESGO'!A:A,1,FALSE)=Tabla2[[#This Row],[ID]],"SI","NO"),"NO")</f>
        <v/>
      </c>
    </row>
    <row r="850">
      <c r="A850" s="91" t="inlineStr">
        <is>
          <t>27-GES</t>
        </is>
      </c>
      <c r="B850" s="10" t="inlineStr">
        <is>
          <t>ESTRATÉGICO</t>
        </is>
      </c>
      <c r="C850" s="10" t="inlineStr">
        <is>
          <t xml:space="preserve">Gestión Estratégica </t>
        </is>
      </c>
      <c r="D850" s="10" t="inlineStr">
        <is>
          <t>GES</t>
        </is>
      </c>
      <c r="E850" s="10" t="inlineStr">
        <is>
          <t xml:space="preserve">Planificación Estratégica </t>
        </is>
      </c>
      <c r="F850" s="10" t="inlineStr">
        <is>
          <t>-</t>
        </is>
      </c>
      <c r="G850" s="10" t="inlineStr">
        <is>
          <t xml:space="preserve">Evaluación del Plan Estratégico </t>
        </is>
      </c>
      <c r="H850" s="10" t="inlineStr">
        <is>
          <t>Plan Estratégico Institucional</t>
        </is>
      </c>
      <c r="I850" s="10" t="inlineStr">
        <is>
          <t>Formulación del plan estratégico</t>
        </is>
      </c>
      <c r="J850" s="10" t="inlineStr">
        <is>
          <t>JEFE DE PLANIFICACIÓN Y PROCESOS</t>
        </is>
      </c>
      <c r="K850" s="10" t="inlineStr">
        <is>
          <t>JEFE DE PLANIFICACIÓN Y PROCESOS</t>
        </is>
      </c>
      <c r="L850" s="10" t="inlineStr">
        <is>
          <t>UBICACIÓN DIGITAL-EQUIPO DEL CUSTODIO</t>
        </is>
      </c>
      <c r="M850" s="10" t="inlineStr">
        <is>
          <t>DOCUMENTO DE ARCHIVO-ELECTRÓNICO</t>
        </is>
      </c>
      <c r="N850" s="10" t="inlineStr">
        <is>
          <t>PRIMARIOS</t>
        </is>
      </c>
      <c r="O850" s="10" t="inlineStr">
        <is>
          <t>DOCUMENTOS TÉCNICOS</t>
        </is>
      </c>
      <c r="P850" s="10" t="inlineStr">
        <is>
          <t>PUBLICA(1)</t>
        </is>
      </c>
      <c r="Q850" s="10" t="inlineStr">
        <is>
          <t>BAJA(1)</t>
        </is>
      </c>
      <c r="R850" s="10" t="inlineStr">
        <is>
          <t>ALTA(3)</t>
        </is>
      </c>
      <c r="S850" s="10">
        <f>+(IF(P850="PUBLICA(1)",1,IF(P850="USO INTERNO(2)",2,IF(P850="RESTRINGIDO(3)",3,3))))+(IF(Q850="BAJA(1)",1,IF(Q850="MEDIA(2)",2,IF(Q850="ALTA(3)",3,3))))+(IF(R850="BAJA(1)",1,IF(R850="MEDIA(2)",2,IF(R850="ALTA(3)",3,3))))</f>
        <v/>
      </c>
      <c r="T850" s="10">
        <f>+IF(S850&lt;6,"BAJA",IF(S850&lt;8,"MEDIA","ALTA"))</f>
        <v/>
      </c>
      <c r="U850" s="10" t="inlineStr">
        <is>
          <t>-</t>
        </is>
      </c>
      <c r="V850" s="24" t="n">
        <v>45681</v>
      </c>
      <c r="W850" s="19" t="inlineStr">
        <is>
          <t>N/A</t>
        </is>
      </c>
      <c r="X850" s="10">
        <f>+IFERROR(IF(VLOOKUP(Tabla2[[#This Row],[ID]],'EVALUACION DE RIESGO'!A:A,1,FALSE)=Tabla2[[#This Row],[ID]],"SI","NO"),"NO")</f>
        <v/>
      </c>
    </row>
    <row r="851">
      <c r="A851" s="91" t="inlineStr">
        <is>
          <t>28-GES</t>
        </is>
      </c>
      <c r="B851" s="10" t="inlineStr">
        <is>
          <t>ESTRATÉGICO</t>
        </is>
      </c>
      <c r="C851" s="10" t="inlineStr">
        <is>
          <t xml:space="preserve">Gestión Estratégica </t>
        </is>
      </c>
      <c r="D851" s="10" t="inlineStr">
        <is>
          <t>GES</t>
        </is>
      </c>
      <c r="E851" s="10" t="inlineStr">
        <is>
          <t xml:space="preserve">Planificación Estratégica </t>
        </is>
      </c>
      <c r="F851" s="10" t="inlineStr">
        <is>
          <t>-</t>
        </is>
      </c>
      <c r="G851" s="10" t="inlineStr">
        <is>
          <t xml:space="preserve">Evaluación del Plan Estratégico </t>
        </is>
      </c>
      <c r="H851" s="10" t="inlineStr">
        <is>
          <t>Matriz de valoración de indicadores estratégicos</t>
        </is>
      </c>
      <c r="I851" s="10" t="inlineStr">
        <is>
          <t xml:space="preserve">Archivo del departamento </t>
        </is>
      </c>
      <c r="J851" s="10" t="inlineStr">
        <is>
          <t>JEFE DE PLANIFICACIÓN Y PROCESOS</t>
        </is>
      </c>
      <c r="K851" s="10" t="inlineStr">
        <is>
          <t>JEFE DE PLANIFICACIÓN Y PROCESOS</t>
        </is>
      </c>
      <c r="L851" s="10" t="inlineStr">
        <is>
          <t>UBICACIÓN DIGITAL-EQUIPO DEL CUSTODIO</t>
        </is>
      </c>
      <c r="M851" s="10" t="inlineStr">
        <is>
          <t>DOCUMENTO DE ARCHIVO-ELECTRÓNICO</t>
        </is>
      </c>
      <c r="N851" s="10" t="inlineStr">
        <is>
          <t>PRIMARIOS</t>
        </is>
      </c>
      <c r="O851" s="10" t="inlineStr">
        <is>
          <t>DOCUMENTOS TÉCNICOS</t>
        </is>
      </c>
      <c r="P851" s="10" t="inlineStr">
        <is>
          <t>PUBLICA(1)</t>
        </is>
      </c>
      <c r="Q851" s="10" t="inlineStr">
        <is>
          <t>BAJA(1)</t>
        </is>
      </c>
      <c r="R851" s="10" t="inlineStr">
        <is>
          <t>ALTA(3)</t>
        </is>
      </c>
      <c r="S851" s="10">
        <f>+(IF(P851="PUBLICA(1)",1,IF(P851="USO INTERNO(2)",2,IF(P851="RESTRINGIDO(3)",3,3))))+(IF(Q851="BAJA(1)",1,IF(Q851="MEDIA(2)",2,IF(Q851="ALTA(3)",3,3))))+(IF(R851="BAJA(1)",1,IF(R851="MEDIA(2)",2,IF(R851="ALTA(3)",3,3))))</f>
        <v/>
      </c>
      <c r="T851" s="10">
        <f>+IF(S851&lt;6,"BAJA",IF(S851&lt;8,"MEDIA","ALTA"))</f>
        <v/>
      </c>
      <c r="U851" s="10" t="inlineStr">
        <is>
          <t>-</t>
        </is>
      </c>
      <c r="V851" s="24" t="n">
        <v>45681</v>
      </c>
      <c r="W851" s="19" t="inlineStr">
        <is>
          <t>N/A</t>
        </is>
      </c>
      <c r="X851" s="10">
        <f>+IFERROR(IF(VLOOKUP(Tabla2[[#This Row],[ID]],'EVALUACION DE RIESGO'!A:A,1,FALSE)=Tabla2[[#This Row],[ID]],"SI","NO"),"NO")</f>
        <v/>
      </c>
    </row>
    <row r="852">
      <c r="A852" s="91" t="inlineStr">
        <is>
          <t>29-GES</t>
        </is>
      </c>
      <c r="B852" s="10" t="inlineStr">
        <is>
          <t>ESTRATÉGICO</t>
        </is>
      </c>
      <c r="C852" s="10" t="inlineStr">
        <is>
          <t xml:space="preserve">Gestión Estratégica </t>
        </is>
      </c>
      <c r="D852" s="10" t="inlineStr">
        <is>
          <t>GES</t>
        </is>
      </c>
      <c r="E852" s="10" t="inlineStr">
        <is>
          <t xml:space="preserve">Planificación Estratégica </t>
        </is>
      </c>
      <c r="F852" s="10" t="inlineStr">
        <is>
          <t>-</t>
        </is>
      </c>
      <c r="G852" s="10" t="inlineStr">
        <is>
          <t xml:space="preserve">Evaluación del Plan Estratégico </t>
        </is>
      </c>
      <c r="H852" s="10" t="inlineStr">
        <is>
          <t>Informe de Evaluación del Plan Estratégico</t>
        </is>
      </c>
      <c r="I852" s="10" t="inlineStr">
        <is>
          <t>Restructuración del Plan Estratégico
Preparación del proceso de Planificación
Elaboración del Plan Operativo</t>
        </is>
      </c>
      <c r="J852" s="10" t="inlineStr">
        <is>
          <t>JEFE DE PLANIFICACIÓN Y PROCESOS</t>
        </is>
      </c>
      <c r="K852" s="10" t="inlineStr">
        <is>
          <t>JEFE DE PLANIFICACIÓN Y PROCESOS</t>
        </is>
      </c>
      <c r="L852" s="10" t="inlineStr">
        <is>
          <t>UBICACIÓN DIGITAL-EQUIPO DEL CUSTODIO</t>
        </is>
      </c>
      <c r="M852" s="10" t="inlineStr">
        <is>
          <t>DOCUMENTO DE ARCHIVO-ELECTRÓNICO</t>
        </is>
      </c>
      <c r="N852" s="10" t="inlineStr">
        <is>
          <t>PRIMARIOS</t>
        </is>
      </c>
      <c r="O852" s="10" t="inlineStr">
        <is>
          <t>DOCUMENTOS TÉCNICOS</t>
        </is>
      </c>
      <c r="P852" s="10" t="inlineStr">
        <is>
          <t>PUBLICA(1)</t>
        </is>
      </c>
      <c r="Q852" s="10" t="inlineStr">
        <is>
          <t>BAJA(1)</t>
        </is>
      </c>
      <c r="R852" s="10" t="inlineStr">
        <is>
          <t>ALTA(3)</t>
        </is>
      </c>
      <c r="S852" s="10">
        <f>+(IF(P852="PUBLICA(1)",1,IF(P852="USO INTERNO(2)",2,IF(P852="RESTRINGIDO(3)",3,3))))+(IF(Q852="BAJA(1)",1,IF(Q852="MEDIA(2)",2,IF(Q852="ALTA(3)",3,3))))+(IF(R852="BAJA(1)",1,IF(R852="MEDIA(2)",2,IF(R852="ALTA(3)",3,3))))</f>
        <v/>
      </c>
      <c r="T852" s="10">
        <f>+IF(S852&lt;6,"BAJA",IF(S852&lt;8,"MEDIA","ALTA"))</f>
        <v/>
      </c>
      <c r="U852" s="10" t="inlineStr">
        <is>
          <t>-</t>
        </is>
      </c>
      <c r="V852" s="24" t="n">
        <v>45681</v>
      </c>
      <c r="W852" s="19" t="inlineStr">
        <is>
          <t>N/A</t>
        </is>
      </c>
      <c r="X852" s="10">
        <f>+IFERROR(IF(VLOOKUP(Tabla2[[#This Row],[ID]],'EVALUACION DE RIESGO'!A:A,1,FALSE)=Tabla2[[#This Row],[ID]],"SI","NO"),"NO")</f>
        <v/>
      </c>
    </row>
    <row r="853">
      <c r="A853" s="91" t="inlineStr">
        <is>
          <t>30-GES</t>
        </is>
      </c>
      <c r="B853" s="10" t="inlineStr">
        <is>
          <t>ESTRATÉGICO</t>
        </is>
      </c>
      <c r="C853" s="10" t="inlineStr">
        <is>
          <t xml:space="preserve">Gestión Estratégica </t>
        </is>
      </c>
      <c r="D853" s="10" t="inlineStr">
        <is>
          <t>GES</t>
        </is>
      </c>
      <c r="E853" s="10" t="inlineStr">
        <is>
          <t xml:space="preserve">Planificación Estratégica </t>
        </is>
      </c>
      <c r="F853" s="10" t="inlineStr">
        <is>
          <t>-</t>
        </is>
      </c>
      <c r="G853" s="10" t="inlineStr">
        <is>
          <t>Restructuración del Plan Estratégico</t>
        </is>
      </c>
      <c r="H853" s="10" t="inlineStr">
        <is>
          <t>Informe de Evaluación del Plan Estratégico</t>
        </is>
      </c>
      <c r="I853" s="10" t="inlineStr">
        <is>
          <t>Evaluación del Plan Estratégico</t>
        </is>
      </c>
      <c r="J853" s="10" t="inlineStr">
        <is>
          <t>JEFE DE PLANIFICACIÓN Y PROCESOS</t>
        </is>
      </c>
      <c r="K853" s="10" t="inlineStr">
        <is>
          <t>JEFE DE PLANIFICACIÓN Y PROCESOS</t>
        </is>
      </c>
      <c r="L853" s="10" t="inlineStr">
        <is>
          <t>UBICACIÓN DIGITAL-EQUIPO DEL CUSTODIO</t>
        </is>
      </c>
      <c r="M853" s="10" t="inlineStr">
        <is>
          <t>DOCUMENTO DE ARCHIVO-ELECTRÓNICO</t>
        </is>
      </c>
      <c r="N853" s="10" t="inlineStr">
        <is>
          <t>PRIMARIOS</t>
        </is>
      </c>
      <c r="O853" s="10" t="inlineStr">
        <is>
          <t>DOCUMENTOS TÉCNICOS</t>
        </is>
      </c>
      <c r="P853" s="10" t="inlineStr">
        <is>
          <t>PUBLICA(1)</t>
        </is>
      </c>
      <c r="Q853" s="10" t="inlineStr">
        <is>
          <t>BAJA(1)</t>
        </is>
      </c>
      <c r="R853" s="10" t="inlineStr">
        <is>
          <t>ALTA(3)</t>
        </is>
      </c>
      <c r="S853" s="10">
        <f>+(IF(P853="PUBLICA(1)",1,IF(P853="USO INTERNO(2)",2,IF(P853="RESTRINGIDO(3)",3,3))))+(IF(Q853="BAJA(1)",1,IF(Q853="MEDIA(2)",2,IF(Q853="ALTA(3)",3,3))))+(IF(R853="BAJA(1)",1,IF(R853="MEDIA(2)",2,IF(R853="ALTA(3)",3,3))))</f>
        <v/>
      </c>
      <c r="T853" s="10">
        <f>+IF(S853&lt;6,"BAJA",IF(S853&lt;8,"MEDIA","ALTA"))</f>
        <v/>
      </c>
      <c r="U853" s="10" t="inlineStr">
        <is>
          <t>-</t>
        </is>
      </c>
      <c r="V853" s="24" t="n">
        <v>45681</v>
      </c>
      <c r="W853" s="19" t="inlineStr">
        <is>
          <t>N/A</t>
        </is>
      </c>
      <c r="X853" s="10">
        <f>+IFERROR(IF(VLOOKUP(Tabla2[[#This Row],[ID]],'EVALUACION DE RIESGO'!A:A,1,FALSE)=Tabla2[[#This Row],[ID]],"SI","NO"),"NO")</f>
        <v/>
      </c>
    </row>
    <row r="854">
      <c r="A854" s="91" t="inlineStr">
        <is>
          <t>31-GES</t>
        </is>
      </c>
      <c r="B854" s="10" t="inlineStr">
        <is>
          <t>ESTRATÉGICO</t>
        </is>
      </c>
      <c r="C854" s="10" t="inlineStr">
        <is>
          <t xml:space="preserve">Gestión Estratégica </t>
        </is>
      </c>
      <c r="D854" s="10" t="inlineStr">
        <is>
          <t>GES</t>
        </is>
      </c>
      <c r="E854" s="10" t="inlineStr">
        <is>
          <t xml:space="preserve">Planificación Estratégica </t>
        </is>
      </c>
      <c r="F854" s="10" t="inlineStr">
        <is>
          <t>-</t>
        </is>
      </c>
      <c r="G854" s="10" t="inlineStr">
        <is>
          <t>Restructuración del Plan Estratégico</t>
        </is>
      </c>
      <c r="H854" s="10" t="inlineStr">
        <is>
          <t>Plan Estratégico reformado</t>
        </is>
      </c>
      <c r="I854" s="10" t="inlineStr">
        <is>
          <t>Evaluación del Plan Estratégico</t>
        </is>
      </c>
      <c r="J854" s="10" t="inlineStr">
        <is>
          <t>JEFE DE PLANIFICACIÓN Y PROCESOS</t>
        </is>
      </c>
      <c r="K854" s="10" t="inlineStr">
        <is>
          <t>JEFE DE PLANIFICACIÓN Y PROCESOS</t>
        </is>
      </c>
      <c r="L854" s="10" t="inlineStr">
        <is>
          <t>UBICACIÓN DIGITAL-EQUIPO DEL CUSTODIO</t>
        </is>
      </c>
      <c r="M854" s="10" t="inlineStr">
        <is>
          <t>DOCUMENTO DE ARCHIVO-ELECTRÓNICO</t>
        </is>
      </c>
      <c r="N854" s="10" t="inlineStr">
        <is>
          <t>PRIMARIOS</t>
        </is>
      </c>
      <c r="O854" s="10" t="inlineStr">
        <is>
          <t>DOCUMENTOS TÉCNICOS</t>
        </is>
      </c>
      <c r="P854" s="10" t="inlineStr">
        <is>
          <t>PUBLICA(1)</t>
        </is>
      </c>
      <c r="Q854" s="10" t="inlineStr">
        <is>
          <t>BAJA(1)</t>
        </is>
      </c>
      <c r="R854" s="10" t="inlineStr">
        <is>
          <t>ALTA(3)</t>
        </is>
      </c>
      <c r="S854" s="10">
        <f>+(IF(P854="PUBLICA(1)",1,IF(P854="USO INTERNO(2)",2,IF(P854="RESTRINGIDO(3)",3,3))))+(IF(Q854="BAJA(1)",1,IF(Q854="MEDIA(2)",2,IF(Q854="ALTA(3)",3,3))))+(IF(R854="BAJA(1)",1,IF(R854="MEDIA(2)",2,IF(R854="ALTA(3)",3,3))))</f>
        <v/>
      </c>
      <c r="T854" s="10">
        <f>+IF(S854&lt;6,"BAJA",IF(S854&lt;8,"MEDIA","ALTA"))</f>
        <v/>
      </c>
      <c r="U854" s="10" t="inlineStr">
        <is>
          <t>-</t>
        </is>
      </c>
      <c r="V854" s="24" t="n">
        <v>45681</v>
      </c>
      <c r="W854" s="19" t="inlineStr">
        <is>
          <t>N/A</t>
        </is>
      </c>
      <c r="X854" s="10">
        <f>+IFERROR(IF(VLOOKUP(Tabla2[[#This Row],[ID]],'EVALUACION DE RIESGO'!A:A,1,FALSE)=Tabla2[[#This Row],[ID]],"SI","NO"),"NO")</f>
        <v/>
      </c>
    </row>
    <row r="855">
      <c r="A855" s="91" t="inlineStr">
        <is>
          <t>32-GES</t>
        </is>
      </c>
      <c r="B855" s="10" t="inlineStr">
        <is>
          <t>ESTRATÉGICO</t>
        </is>
      </c>
      <c r="C855" s="10" t="inlineStr">
        <is>
          <t xml:space="preserve">Gestión Estratégica </t>
        </is>
      </c>
      <c r="D855" s="10" t="inlineStr">
        <is>
          <t>GES</t>
        </is>
      </c>
      <c r="E855" s="10" t="inlineStr">
        <is>
          <t xml:space="preserve">Planificación Estratégica </t>
        </is>
      </c>
      <c r="F855" s="10" t="inlineStr">
        <is>
          <t>-</t>
        </is>
      </c>
      <c r="G855" s="10" t="inlineStr">
        <is>
          <t>Restructuración del Plan Estratégico</t>
        </is>
      </c>
      <c r="H855" s="10" t="inlineStr">
        <is>
          <t>Certificación de aprobación de Plan Estratégico reformado</t>
        </is>
      </c>
      <c r="I855" s="10" t="inlineStr">
        <is>
          <t>Publicación y difusión de documentos  / Archivo del departamento</t>
        </is>
      </c>
      <c r="J855" s="10" t="inlineStr">
        <is>
          <t>JEFE DE PLANIFICACIÓN Y PROCESOS</t>
        </is>
      </c>
      <c r="K855" s="10" t="inlineStr">
        <is>
          <t>JEFE DE PLANIFICACIÓN Y PROCESOS</t>
        </is>
      </c>
      <c r="L855" s="10" t="inlineStr">
        <is>
          <t>UBICACIÓN DIGITAL-EQUIPO DEL CUSTODIO</t>
        </is>
      </c>
      <c r="M855" s="10" t="inlineStr">
        <is>
          <t>DOCUMENTO DE ARCHIVO-ELECTRÓNICO</t>
        </is>
      </c>
      <c r="N855" s="10" t="inlineStr">
        <is>
          <t>PRIMARIOS</t>
        </is>
      </c>
      <c r="O855" s="10" t="inlineStr">
        <is>
          <t>DOCUMENTOS TÉCNICOS</t>
        </is>
      </c>
      <c r="P855" s="10" t="inlineStr">
        <is>
          <t>PUBLICA(1)</t>
        </is>
      </c>
      <c r="Q855" s="10" t="inlineStr">
        <is>
          <t>BAJA(1)</t>
        </is>
      </c>
      <c r="R855" s="10" t="inlineStr">
        <is>
          <t>BAJA(1)</t>
        </is>
      </c>
      <c r="S855" s="10">
        <f>+(IF(P855="PUBLICA(1)",1,IF(P855="USO INTERNO(2)",2,IF(P855="RESTRINGIDO(3)",3,3))))+(IF(Q855="BAJA(1)",1,IF(Q855="MEDIA(2)",2,IF(Q855="ALTA(3)",3,3))))+(IF(R855="BAJA(1)",1,IF(R855="MEDIA(2)",2,IF(R855="ALTA(3)",3,3))))</f>
        <v/>
      </c>
      <c r="T855" s="10">
        <f>+IF(S855&lt;6,"BAJA",IF(S855&lt;8,"MEDIA","ALTA"))</f>
        <v/>
      </c>
      <c r="U855" s="10" t="inlineStr">
        <is>
          <t>-</t>
        </is>
      </c>
      <c r="V855" s="24" t="n">
        <v>45681</v>
      </c>
      <c r="W855" s="19" t="inlineStr">
        <is>
          <t>N/A</t>
        </is>
      </c>
      <c r="X855" s="10">
        <f>+IFERROR(IF(VLOOKUP(Tabla2[[#This Row],[ID]],'EVALUACION DE RIESGO'!A:A,1,FALSE)=Tabla2[[#This Row],[ID]],"SI","NO"),"NO")</f>
        <v/>
      </c>
    </row>
    <row r="856">
      <c r="A856" s="91" t="inlineStr">
        <is>
          <t>33-GES</t>
        </is>
      </c>
      <c r="B856" s="10" t="inlineStr">
        <is>
          <t>ESTRATÉGICO</t>
        </is>
      </c>
      <c r="C856" s="10" t="inlineStr">
        <is>
          <t xml:space="preserve">Gestión Estratégica </t>
        </is>
      </c>
      <c r="D856" s="10" t="inlineStr">
        <is>
          <t>GES</t>
        </is>
      </c>
      <c r="E856" s="10" t="inlineStr">
        <is>
          <t xml:space="preserve">Planificación Operativa </t>
        </is>
      </c>
      <c r="F856" s="10" t="inlineStr">
        <is>
          <t>-</t>
        </is>
      </c>
      <c r="G856" s="10" t="inlineStr">
        <is>
          <t>Preparación para la construcción de la Planificación Operativa</t>
        </is>
      </c>
      <c r="H856" s="10" t="inlineStr">
        <is>
          <t>Solicitud de adquisiciones</t>
        </is>
      </c>
      <c r="I856" s="10" t="inlineStr">
        <is>
          <t xml:space="preserve">TDR Contratación de bienes y servicios menores. </t>
        </is>
      </c>
      <c r="J856" s="10" t="inlineStr">
        <is>
          <t>JEFE DE PLANIFICACIÓN Y PROCESOS</t>
        </is>
      </c>
      <c r="K856" s="10" t="inlineStr">
        <is>
          <t>JEFE DE PLANIFICACIÓN Y PROCESOS</t>
        </is>
      </c>
      <c r="L856" s="10" t="inlineStr">
        <is>
          <t>UBICACIÓN DIGITAL-EQUIPO DEL CUSTODIO</t>
        </is>
      </c>
      <c r="M856" s="10" t="inlineStr">
        <is>
          <t>DOCUMENTO DE ARCHIVO-ELECTRÓNICO</t>
        </is>
      </c>
      <c r="N856" s="10" t="inlineStr">
        <is>
          <t>PRIMARIOS</t>
        </is>
      </c>
      <c r="O856" s="10" t="inlineStr">
        <is>
          <t>DOCUMENTOS TÉCNICOS</t>
        </is>
      </c>
      <c r="P856" s="10" t="inlineStr">
        <is>
          <t>PUBLICA(1)</t>
        </is>
      </c>
      <c r="Q856" s="10" t="inlineStr">
        <is>
          <t>BAJA(1)</t>
        </is>
      </c>
      <c r="R856" s="10" t="inlineStr">
        <is>
          <t>BAJA(1)</t>
        </is>
      </c>
      <c r="S856" s="10">
        <f>+(IF(P856="PUBLICA(1)",1,IF(P856="USO INTERNO(2)",2,IF(P856="RESTRINGIDO(3)",3,3))))+(IF(Q856="BAJA(1)",1,IF(Q856="MEDIA(2)",2,IF(Q856="ALTA(3)",3,3))))+(IF(R856="BAJA(1)",1,IF(R856="MEDIA(2)",2,IF(R856="ALTA(3)",3,3))))</f>
        <v/>
      </c>
      <c r="T856" s="10">
        <f>+IF(S856&lt;6,"BAJA",IF(S856&lt;8,"MEDIA","ALTA"))</f>
        <v/>
      </c>
      <c r="U856" s="10" t="inlineStr">
        <is>
          <t>-</t>
        </is>
      </c>
      <c r="V856" s="24" t="n">
        <v>45681</v>
      </c>
      <c r="W856" s="19" t="inlineStr">
        <is>
          <t>N/A</t>
        </is>
      </c>
      <c r="X856" s="10">
        <f>+IFERROR(IF(VLOOKUP(Tabla2[[#This Row],[ID]],'EVALUACION DE RIESGO'!A:A,1,FALSE)=Tabla2[[#This Row],[ID]],"SI","NO"),"NO")</f>
        <v/>
      </c>
    </row>
    <row r="857">
      <c r="A857" s="91" t="inlineStr">
        <is>
          <t>34-GES</t>
        </is>
      </c>
      <c r="B857" s="10" t="inlineStr">
        <is>
          <t>ESTRATÉGICO</t>
        </is>
      </c>
      <c r="C857" s="10" t="inlineStr">
        <is>
          <t xml:space="preserve">Gestión Estratégica </t>
        </is>
      </c>
      <c r="D857" s="10" t="inlineStr">
        <is>
          <t>GES</t>
        </is>
      </c>
      <c r="E857" s="10" t="inlineStr">
        <is>
          <t xml:space="preserve">Planificación Operativa </t>
        </is>
      </c>
      <c r="F857" s="10" t="inlineStr">
        <is>
          <t>-</t>
        </is>
      </c>
      <c r="G857" s="10" t="inlineStr">
        <is>
          <t>Preparación para la construcción de la Planificación Operativa</t>
        </is>
      </c>
      <c r="H857" s="10" t="inlineStr">
        <is>
          <t>Cronograma de trabajo</t>
        </is>
      </c>
      <c r="I857" s="10" t="inlineStr">
        <is>
          <t xml:space="preserve">Análisis de la situación actual / Elaboración del Plan Operativo </t>
        </is>
      </c>
      <c r="J857" s="10" t="inlineStr">
        <is>
          <t>JEFE DE PLANIFICACIÓN Y PROCESOS</t>
        </is>
      </c>
      <c r="K857" s="10" t="inlineStr">
        <is>
          <t>JEFE DE PLANIFICACIÓN Y PROCESOS</t>
        </is>
      </c>
      <c r="L857" s="10" t="inlineStr">
        <is>
          <t>UBICACIÓN DIGITAL-EQUIPO DEL CUSTODIO</t>
        </is>
      </c>
      <c r="M857" s="10" t="inlineStr">
        <is>
          <t>DOCUMENTO DE ARCHIVO-ELECTRÓNICO</t>
        </is>
      </c>
      <c r="N857" s="10" t="inlineStr">
        <is>
          <t>PRIMARIOS</t>
        </is>
      </c>
      <c r="O857" s="10" t="inlineStr">
        <is>
          <t>DOCUMENTOS TÉCNICOS</t>
        </is>
      </c>
      <c r="P857" s="10" t="inlineStr">
        <is>
          <t>PUBLICA(1)</t>
        </is>
      </c>
      <c r="Q857" s="10" t="inlineStr">
        <is>
          <t>BAJA(1)</t>
        </is>
      </c>
      <c r="R857" s="10" t="inlineStr">
        <is>
          <t>BAJA(1)</t>
        </is>
      </c>
      <c r="S857" s="10">
        <f>+(IF(P857="PUBLICA(1)",1,IF(P857="USO INTERNO(2)",2,IF(P857="RESTRINGIDO(3)",3,3))))+(IF(Q857="BAJA(1)",1,IF(Q857="MEDIA(2)",2,IF(Q857="ALTA(3)",3,3))))+(IF(R857="BAJA(1)",1,IF(R857="MEDIA(2)",2,IF(R857="ALTA(3)",3,3))))</f>
        <v/>
      </c>
      <c r="T857" s="10">
        <f>+IF(S857&lt;6,"BAJA",IF(S857&lt;8,"MEDIA","ALTA"))</f>
        <v/>
      </c>
      <c r="U857" s="10" t="inlineStr">
        <is>
          <t>-</t>
        </is>
      </c>
      <c r="V857" s="24" t="n">
        <v>45681</v>
      </c>
      <c r="W857" s="19" t="inlineStr">
        <is>
          <t>N/A</t>
        </is>
      </c>
      <c r="X857" s="10">
        <f>+IFERROR(IF(VLOOKUP(Tabla2[[#This Row],[ID]],'EVALUACION DE RIESGO'!A:A,1,FALSE)=Tabla2[[#This Row],[ID]],"SI","NO"),"NO")</f>
        <v/>
      </c>
    </row>
    <row r="858">
      <c r="A858" s="91" t="inlineStr">
        <is>
          <t>35-GES</t>
        </is>
      </c>
      <c r="B858" s="10" t="inlineStr">
        <is>
          <t>ESTRATÉGICO</t>
        </is>
      </c>
      <c r="C858" s="10" t="inlineStr">
        <is>
          <t xml:space="preserve">Gestión Estratégica </t>
        </is>
      </c>
      <c r="D858" s="10" t="inlineStr">
        <is>
          <t>GES</t>
        </is>
      </c>
      <c r="E858" s="10" t="inlineStr">
        <is>
          <t xml:space="preserve">Planificación Operativa </t>
        </is>
      </c>
      <c r="F858" s="10" t="inlineStr">
        <is>
          <t>-</t>
        </is>
      </c>
      <c r="G858" s="10" t="inlineStr">
        <is>
          <t xml:space="preserve">Análisis de la situación actual </t>
        </is>
      </c>
      <c r="H858" s="10" t="inlineStr">
        <is>
          <t>Cronograma de trabajo</t>
        </is>
      </c>
      <c r="I858" s="10" t="inlineStr">
        <is>
          <t>Preparación para la construcción de la Planificación Operativa</t>
        </is>
      </c>
      <c r="J858" s="10" t="inlineStr">
        <is>
          <t>JEFE DE PLANIFICACIÓN Y PROCESOS</t>
        </is>
      </c>
      <c r="K858" s="10" t="inlineStr">
        <is>
          <t>JEFE DE PLANIFICACIÓN Y PROCESOS</t>
        </is>
      </c>
      <c r="L858" s="10" t="inlineStr">
        <is>
          <t>UBICACIÓN DIGITAL-EQUIPO DEL CUSTODIO</t>
        </is>
      </c>
      <c r="M858" s="10" t="inlineStr">
        <is>
          <t>DOCUMENTO DE ARCHIVO-ELECTRÓNICO</t>
        </is>
      </c>
      <c r="N858" s="10" t="inlineStr">
        <is>
          <t>PRIMARIOS</t>
        </is>
      </c>
      <c r="O858" s="10" t="inlineStr">
        <is>
          <t>DOCUMENTOS TÉCNICOS</t>
        </is>
      </c>
      <c r="P858" s="10" t="inlineStr">
        <is>
          <t>PUBLICA(1)</t>
        </is>
      </c>
      <c r="Q858" s="10" t="inlineStr">
        <is>
          <t>BAJA(1)</t>
        </is>
      </c>
      <c r="R858" s="10" t="inlineStr">
        <is>
          <t>BAJA(1)</t>
        </is>
      </c>
      <c r="S858" s="10">
        <f>+(IF(P858="PUBLICA(1)",1,IF(P858="USO INTERNO(2)",2,IF(P858="RESTRINGIDO(3)",3,3))))+(IF(Q858="BAJA(1)",1,IF(Q858="MEDIA(2)",2,IF(Q858="ALTA(3)",3,3))))+(IF(R858="BAJA(1)",1,IF(R858="MEDIA(2)",2,IF(R858="ALTA(3)",3,3))))</f>
        <v/>
      </c>
      <c r="T858" s="10">
        <f>+IF(S858&lt;6,"BAJA",IF(S858&lt;8,"MEDIA","ALTA"))</f>
        <v/>
      </c>
      <c r="U858" s="10" t="inlineStr">
        <is>
          <t>-</t>
        </is>
      </c>
      <c r="V858" s="24" t="n">
        <v>45681</v>
      </c>
      <c r="W858" s="19" t="inlineStr">
        <is>
          <t>N/A</t>
        </is>
      </c>
      <c r="X858" s="10">
        <f>+IFERROR(IF(VLOOKUP(Tabla2[[#This Row],[ID]],'EVALUACION DE RIESGO'!A:A,1,FALSE)=Tabla2[[#This Row],[ID]],"SI","NO"),"NO")</f>
        <v/>
      </c>
    </row>
    <row r="859">
      <c r="A859" s="91" t="inlineStr">
        <is>
          <t>36-GES</t>
        </is>
      </c>
      <c r="B859" s="10" t="inlineStr">
        <is>
          <t>ESTRATÉGICO</t>
        </is>
      </c>
      <c r="C859" s="10" t="inlineStr">
        <is>
          <t xml:space="preserve">Gestión Estratégica </t>
        </is>
      </c>
      <c r="D859" s="10" t="inlineStr">
        <is>
          <t>GES</t>
        </is>
      </c>
      <c r="E859" s="10" t="inlineStr">
        <is>
          <t xml:space="preserve">Planificación Operativa </t>
        </is>
      </c>
      <c r="F859" s="10" t="inlineStr">
        <is>
          <t>-</t>
        </is>
      </c>
      <c r="G859" s="10" t="inlineStr">
        <is>
          <t xml:space="preserve">Análisis de la situación actual </t>
        </is>
      </c>
      <c r="H859" s="10" t="inlineStr">
        <is>
          <t>Estudios de mercado y de competencia</t>
        </is>
      </c>
      <c r="I859" s="10" t="inlineStr">
        <is>
          <t>Estudio para analizar la factibilidad de aperturas de oficina o lanzamiento de servicios</t>
        </is>
      </c>
      <c r="J859" s="10" t="inlineStr">
        <is>
          <t>JEFE DE PLANIFICACIÓN Y PROCESOS</t>
        </is>
      </c>
      <c r="K859" s="10" t="inlineStr">
        <is>
          <t>JEFE DE PLANIFICACIÓN Y PROCESOS</t>
        </is>
      </c>
      <c r="L859" s="10" t="inlineStr">
        <is>
          <t>UBICACIÓN DIGITAL-EQUIPO DEL CUSTODIO</t>
        </is>
      </c>
      <c r="M859" s="10" t="inlineStr">
        <is>
          <t>DOCUMENTO DE ARCHIVO-ELECTRÓNICO</t>
        </is>
      </c>
      <c r="N859" s="10" t="inlineStr">
        <is>
          <t>PRIMARIOS</t>
        </is>
      </c>
      <c r="O859" s="10" t="inlineStr">
        <is>
          <t>DOCUMENTOS TÉCNICOS</t>
        </is>
      </c>
      <c r="P859" s="10" t="inlineStr">
        <is>
          <t>USO INTERNO(2)</t>
        </is>
      </c>
      <c r="Q859" s="10" t="inlineStr">
        <is>
          <t>MEDIA(2)</t>
        </is>
      </c>
      <c r="R859" s="10" t="inlineStr">
        <is>
          <t>MEDIA(2)</t>
        </is>
      </c>
      <c r="S859" s="10">
        <f>+(IF(P859="PUBLICA(1)",1,IF(P859="USO INTERNO(2)",2,IF(P859="RESTRINGIDO(3)",3,3))))+(IF(Q859="BAJA(1)",1,IF(Q859="MEDIA(2)",2,IF(Q859="ALTA(3)",3,3))))+(IF(R859="BAJA(1)",1,IF(R859="MEDIA(2)",2,IF(R859="ALTA(3)",3,3))))</f>
        <v/>
      </c>
      <c r="T859" s="10">
        <f>+IF(S859&lt;6,"BAJA",IF(S859&lt;8,"MEDIA","ALTA"))</f>
        <v/>
      </c>
      <c r="U859" s="10" t="inlineStr">
        <is>
          <t>-</t>
        </is>
      </c>
      <c r="V859" s="24" t="n">
        <v>45681</v>
      </c>
      <c r="W859" s="19" t="inlineStr">
        <is>
          <t>N/A</t>
        </is>
      </c>
      <c r="X859" s="10">
        <f>+IFERROR(IF(VLOOKUP(Tabla2[[#This Row],[ID]],'EVALUACION DE RIESGO'!A:A,1,FALSE)=Tabla2[[#This Row],[ID]],"SI","NO"),"NO")</f>
        <v/>
      </c>
    </row>
    <row r="860">
      <c r="A860" s="91" t="inlineStr">
        <is>
          <t>37-GES</t>
        </is>
      </c>
      <c r="B860" s="10" t="inlineStr">
        <is>
          <t>ESTRATÉGICO</t>
        </is>
      </c>
      <c r="C860" s="10" t="inlineStr">
        <is>
          <t xml:space="preserve">Gestión Estratégica </t>
        </is>
      </c>
      <c r="D860" s="10" t="inlineStr">
        <is>
          <t>GES</t>
        </is>
      </c>
      <c r="E860" s="10" t="inlineStr">
        <is>
          <t xml:space="preserve">Planificación Operativa </t>
        </is>
      </c>
      <c r="F860" s="10" t="inlineStr">
        <is>
          <t>-</t>
        </is>
      </c>
      <c r="G860" s="10" t="inlineStr">
        <is>
          <t xml:space="preserve">Análisis de la situación actual </t>
        </is>
      </c>
      <c r="H860" s="10" t="inlineStr">
        <is>
          <t>Estudios de clima laboral</t>
        </is>
      </c>
      <c r="I860" s="10" t="inlineStr">
        <is>
          <t>Documento de satisfacción de los empleados en el lugar de trabajo</t>
        </is>
      </c>
      <c r="J860" s="10" t="inlineStr">
        <is>
          <t>JEFE DE PLANIFICACIÓN Y PROCESOS</t>
        </is>
      </c>
      <c r="K860" s="10" t="inlineStr">
        <is>
          <t>JEFE DE PLANIFICACIÓN Y PROCESOS</t>
        </is>
      </c>
      <c r="L860" s="10" t="inlineStr">
        <is>
          <t>UBICACIÓN DIGITAL-EQUIPO DEL CUSTODIO</t>
        </is>
      </c>
      <c r="M860" s="10" t="inlineStr">
        <is>
          <t>DOCUMENTO DE ARCHIVO-ELECTRÓNICO</t>
        </is>
      </c>
      <c r="N860" s="10" t="inlineStr">
        <is>
          <t>PRIMARIOS</t>
        </is>
      </c>
      <c r="O860" s="10" t="inlineStr">
        <is>
          <t>DOCUMENTOS TÉCNICOS</t>
        </is>
      </c>
      <c r="P860" s="10" t="inlineStr">
        <is>
          <t>PUBLICA(1)</t>
        </is>
      </c>
      <c r="Q860" s="10" t="inlineStr">
        <is>
          <t>BAJA(1)</t>
        </is>
      </c>
      <c r="R860" s="10" t="inlineStr">
        <is>
          <t>BAJA(1)</t>
        </is>
      </c>
      <c r="S860" s="10">
        <f>+(IF(P860="PUBLICA(1)",1,IF(P860="USO INTERNO(2)",2,IF(P860="RESTRINGIDO(3)",3,3))))+(IF(Q860="BAJA(1)",1,IF(Q860="MEDIA(2)",2,IF(Q860="ALTA(3)",3,3))))+(IF(R860="BAJA(1)",1,IF(R860="MEDIA(2)",2,IF(R860="ALTA(3)",3,3))))</f>
        <v/>
      </c>
      <c r="T860" s="10">
        <f>+IF(S860&lt;6,"BAJA",IF(S860&lt;8,"MEDIA","ALTA"))</f>
        <v/>
      </c>
      <c r="U860" s="10" t="inlineStr">
        <is>
          <t>-</t>
        </is>
      </c>
      <c r="V860" s="24" t="n">
        <v>45681</v>
      </c>
      <c r="W860" s="19" t="inlineStr">
        <is>
          <t>N/A</t>
        </is>
      </c>
      <c r="X860" s="10">
        <f>+IFERROR(IF(VLOOKUP(Tabla2[[#This Row],[ID]],'EVALUACION DE RIESGO'!A:A,1,FALSE)=Tabla2[[#This Row],[ID]],"SI","NO"),"NO")</f>
        <v/>
      </c>
    </row>
    <row r="861">
      <c r="A861" s="91" t="inlineStr">
        <is>
          <t>38-GES</t>
        </is>
      </c>
      <c r="B861" s="10" t="inlineStr">
        <is>
          <t>ESTRATÉGICO</t>
        </is>
      </c>
      <c r="C861" s="10" t="inlineStr">
        <is>
          <t xml:space="preserve">Gestión Estratégica </t>
        </is>
      </c>
      <c r="D861" s="10" t="inlineStr">
        <is>
          <t>GES</t>
        </is>
      </c>
      <c r="E861" s="10" t="inlineStr">
        <is>
          <t xml:space="preserve">Planificación Operativa </t>
        </is>
      </c>
      <c r="F861" s="10" t="inlineStr">
        <is>
          <t>-</t>
        </is>
      </c>
      <c r="G861" s="10" t="inlineStr">
        <is>
          <t xml:space="preserve">Análisis de la situación actual </t>
        </is>
      </c>
      <c r="H861" s="10" t="inlineStr">
        <is>
          <t>Estudios de satisfacción al cliente</t>
        </is>
      </c>
      <c r="I861" s="10" t="inlineStr">
        <is>
          <t>Documento de satisfacción de los clientes</t>
        </is>
      </c>
      <c r="J861" s="10" t="inlineStr">
        <is>
          <t>JEFE DE PLANIFICACIÓN Y PROCESOS</t>
        </is>
      </c>
      <c r="K861" s="10" t="inlineStr">
        <is>
          <t>JEFE DE PLANIFICACIÓN Y PROCESOS</t>
        </is>
      </c>
      <c r="L861" s="10" t="inlineStr">
        <is>
          <t>UBICACIÓN DIGITAL-EQUIPO DEL CUSTODIO</t>
        </is>
      </c>
      <c r="M861" s="10" t="inlineStr">
        <is>
          <t>DOCUMENTO DE ARCHIVO-ELECTRÓNICO</t>
        </is>
      </c>
      <c r="N861" s="10" t="inlineStr">
        <is>
          <t>PRIMARIOS</t>
        </is>
      </c>
      <c r="O861" s="10" t="inlineStr">
        <is>
          <t>DOCUMENTOS TÉCNICOS</t>
        </is>
      </c>
      <c r="P861" s="10" t="inlineStr">
        <is>
          <t>USO INTERNO(2)</t>
        </is>
      </c>
      <c r="Q861" s="10" t="inlineStr">
        <is>
          <t>BAJA(1)</t>
        </is>
      </c>
      <c r="R861" s="10" t="inlineStr">
        <is>
          <t>BAJA(1)</t>
        </is>
      </c>
      <c r="S861" s="10">
        <f>+(IF(P861="PUBLICA(1)",1,IF(P861="USO INTERNO(2)",2,IF(P861="RESTRINGIDO(3)",3,3))))+(IF(Q861="BAJA(1)",1,IF(Q861="MEDIA(2)",2,IF(Q861="ALTA(3)",3,3))))+(IF(R861="BAJA(1)",1,IF(R861="MEDIA(2)",2,IF(R861="ALTA(3)",3,3))))</f>
        <v/>
      </c>
      <c r="T861" s="10">
        <f>+IF(S861&lt;6,"BAJA",IF(S861&lt;8,"MEDIA","ALTA"))</f>
        <v/>
      </c>
      <c r="U861" s="10" t="inlineStr">
        <is>
          <t>-</t>
        </is>
      </c>
      <c r="V861" s="24" t="n">
        <v>45681</v>
      </c>
      <c r="W861" s="19" t="inlineStr">
        <is>
          <t>N/A</t>
        </is>
      </c>
      <c r="X861" s="10">
        <f>+IFERROR(IF(VLOOKUP(Tabla2[[#This Row],[ID]],'EVALUACION DE RIESGO'!A:A,1,FALSE)=Tabla2[[#This Row],[ID]],"SI","NO"),"NO")</f>
        <v/>
      </c>
    </row>
    <row r="862">
      <c r="A862" s="91" t="inlineStr">
        <is>
          <t>39-GES</t>
        </is>
      </c>
      <c r="B862" s="10" t="inlineStr">
        <is>
          <t>ESTRATÉGICO</t>
        </is>
      </c>
      <c r="C862" s="10" t="inlineStr">
        <is>
          <t xml:space="preserve">Gestión Estratégica </t>
        </is>
      </c>
      <c r="D862" s="10" t="inlineStr">
        <is>
          <t>GES</t>
        </is>
      </c>
      <c r="E862" s="10" t="inlineStr">
        <is>
          <t xml:space="preserve">Planificación Operativa </t>
        </is>
      </c>
      <c r="F862" s="10" t="inlineStr">
        <is>
          <t>-</t>
        </is>
      </c>
      <c r="G862" s="10" t="inlineStr">
        <is>
          <t xml:space="preserve">Análisis de la situación actual </t>
        </is>
      </c>
      <c r="H862" s="10" t="inlineStr">
        <is>
          <t>Análisis de Macrotendencias</t>
        </is>
      </c>
      <c r="I862" s="10" t="inlineStr">
        <is>
          <t>Pautas para saber las tendencias mundiales, referente a la tecnologia que pueden impactar a la coac</t>
        </is>
      </c>
      <c r="J862" s="10" t="inlineStr">
        <is>
          <t>JEFE DE PLANIFICACIÓN Y PROCESOS</t>
        </is>
      </c>
      <c r="K862" s="10" t="inlineStr">
        <is>
          <t>JEFE DE PLANIFICACIÓN Y PROCESOS</t>
        </is>
      </c>
      <c r="L862" s="10" t="inlineStr">
        <is>
          <t>UBICACIÓN DIGITAL-EQUIPO DEL CUSTODIO</t>
        </is>
      </c>
      <c r="M862" s="10" t="inlineStr">
        <is>
          <t>DOCUMENTO DE ARCHIVO-ELECTRÓNICO</t>
        </is>
      </c>
      <c r="N862" s="10" t="inlineStr">
        <is>
          <t>PRIMARIOS</t>
        </is>
      </c>
      <c r="O862" s="10" t="inlineStr">
        <is>
          <t>DOCUMENTOS TÉCNICOS</t>
        </is>
      </c>
      <c r="P862" s="10" t="inlineStr">
        <is>
          <t>PUBLICA(1)</t>
        </is>
      </c>
      <c r="Q862" s="10" t="inlineStr">
        <is>
          <t>BAJA(1)</t>
        </is>
      </c>
      <c r="R862" s="10" t="inlineStr">
        <is>
          <t>BAJA(1)</t>
        </is>
      </c>
      <c r="S862" s="10">
        <f>+(IF(P862="PUBLICA(1)",1,IF(P862="USO INTERNO(2)",2,IF(P862="RESTRINGIDO(3)",3,3))))+(IF(Q862="BAJA(1)",1,IF(Q862="MEDIA(2)",2,IF(Q862="ALTA(3)",3,3))))+(IF(R862="BAJA(1)",1,IF(R862="MEDIA(2)",2,IF(R862="ALTA(3)",3,3))))</f>
        <v/>
      </c>
      <c r="T862" s="10">
        <f>+IF(S862&lt;6,"BAJA",IF(S862&lt;8,"MEDIA","ALTA"))</f>
        <v/>
      </c>
      <c r="U862" s="10" t="inlineStr">
        <is>
          <t>-</t>
        </is>
      </c>
      <c r="V862" s="24" t="n">
        <v>45681</v>
      </c>
      <c r="W862" s="19" t="inlineStr">
        <is>
          <t>N/A</t>
        </is>
      </c>
      <c r="X862" s="10">
        <f>+IFERROR(IF(VLOOKUP(Tabla2[[#This Row],[ID]],'EVALUACION DE RIESGO'!A:A,1,FALSE)=Tabla2[[#This Row],[ID]],"SI","NO"),"NO")</f>
        <v/>
      </c>
    </row>
    <row r="863">
      <c r="A863" s="91" t="inlineStr">
        <is>
          <t>40-GES</t>
        </is>
      </c>
      <c r="B863" s="10" t="inlineStr">
        <is>
          <t>ESTRATÉGICO</t>
        </is>
      </c>
      <c r="C863" s="10" t="inlineStr">
        <is>
          <t xml:space="preserve">Gestión Estratégica </t>
        </is>
      </c>
      <c r="D863" s="10" t="inlineStr">
        <is>
          <t>GES</t>
        </is>
      </c>
      <c r="E863" s="10" t="inlineStr">
        <is>
          <t xml:space="preserve">Planificación Operativa </t>
        </is>
      </c>
      <c r="F863" s="10" t="inlineStr">
        <is>
          <t>-</t>
        </is>
      </c>
      <c r="G863" s="10" t="inlineStr">
        <is>
          <t xml:space="preserve">Análisis de la situación actual </t>
        </is>
      </c>
      <c r="H863" s="10" t="inlineStr">
        <is>
          <t>Análisis financiero nacional, del segmento y de la Cooperativa</t>
        </is>
      </c>
      <c r="I863" s="10" t="inlineStr">
        <is>
          <t>Documento interno con datos externos con indicadores de la competencia</t>
        </is>
      </c>
      <c r="J863" s="10" t="inlineStr">
        <is>
          <t>JEFE DE PLANIFICACIÓN Y PROCESOS</t>
        </is>
      </c>
      <c r="K863" s="10" t="inlineStr">
        <is>
          <t>JEFE DE PLANIFICACIÓN Y PROCESOS</t>
        </is>
      </c>
      <c r="L863" s="10" t="inlineStr">
        <is>
          <t>UBICACIÓN DIGITAL-EQUIPO DEL CUSTODIO</t>
        </is>
      </c>
      <c r="M863" s="10" t="inlineStr">
        <is>
          <t>DOCUMENTO DE ARCHIVO-ELECTRÓNICO</t>
        </is>
      </c>
      <c r="N863" s="10" t="inlineStr">
        <is>
          <t>PRIMARIOS</t>
        </is>
      </c>
      <c r="O863" s="10" t="inlineStr">
        <is>
          <t>DOCUMENTOS TÉCNICOS</t>
        </is>
      </c>
      <c r="P863" s="10" t="inlineStr">
        <is>
          <t>PUBLICA(1)</t>
        </is>
      </c>
      <c r="Q863" s="10" t="inlineStr">
        <is>
          <t>BAJA(1)</t>
        </is>
      </c>
      <c r="R863" s="10" t="inlineStr">
        <is>
          <t>BAJA(1)</t>
        </is>
      </c>
      <c r="S863" s="10">
        <f>+(IF(P863="PUBLICA(1)",1,IF(P863="USO INTERNO(2)",2,IF(P863="RESTRINGIDO(3)",3,3))))+(IF(Q863="BAJA(1)",1,IF(Q863="MEDIA(2)",2,IF(Q863="ALTA(3)",3,3))))+(IF(R863="BAJA(1)",1,IF(R863="MEDIA(2)",2,IF(R863="ALTA(3)",3,3))))</f>
        <v/>
      </c>
      <c r="T863" s="10">
        <f>+IF(S863&lt;6,"BAJA",IF(S863&lt;8,"MEDIA","ALTA"))</f>
        <v/>
      </c>
      <c r="U863" s="10" t="inlineStr">
        <is>
          <t>-</t>
        </is>
      </c>
      <c r="V863" s="24" t="n">
        <v>45681</v>
      </c>
      <c r="W863" s="19" t="inlineStr">
        <is>
          <t>N/A</t>
        </is>
      </c>
      <c r="X863" s="10">
        <f>+IFERROR(IF(VLOOKUP(Tabla2[[#This Row],[ID]],'EVALUACION DE RIESGO'!A:A,1,FALSE)=Tabla2[[#This Row],[ID]],"SI","NO"),"NO")</f>
        <v/>
      </c>
    </row>
    <row r="864">
      <c r="A864" s="91" t="inlineStr">
        <is>
          <t>41-GES</t>
        </is>
      </c>
      <c r="B864" s="10" t="inlineStr">
        <is>
          <t>ESTRATÉGICO</t>
        </is>
      </c>
      <c r="C864" s="10" t="inlineStr">
        <is>
          <t xml:space="preserve">Gestión Estratégica </t>
        </is>
      </c>
      <c r="D864" s="10" t="inlineStr">
        <is>
          <t>GES</t>
        </is>
      </c>
      <c r="E864" s="10" t="inlineStr">
        <is>
          <t xml:space="preserve">Planificación Operativa </t>
        </is>
      </c>
      <c r="F864" s="10" t="inlineStr">
        <is>
          <t>-</t>
        </is>
      </c>
      <c r="G864" s="10" t="inlineStr">
        <is>
          <t xml:space="preserve">Análisis de la situación actual </t>
        </is>
      </c>
      <c r="H864" s="10" t="inlineStr">
        <is>
          <t>Resultados alcanzados en el Plan Estratégica que fenece</t>
        </is>
      </c>
      <c r="I864" s="10" t="inlineStr">
        <is>
          <t>Evaluación del plan estratégico</t>
        </is>
      </c>
      <c r="J864" s="10" t="inlineStr">
        <is>
          <t>JEFE DE PLANIFICACIÓN Y PROCESOS</t>
        </is>
      </c>
      <c r="K864" s="10" t="inlineStr">
        <is>
          <t>JEFE DE PLANIFICACIÓN Y PROCESOS</t>
        </is>
      </c>
      <c r="L864" s="10" t="inlineStr">
        <is>
          <t>UBICACIÓN DIGITAL-EQUIPO DEL CUSTODIO</t>
        </is>
      </c>
      <c r="M864" s="10" t="inlineStr">
        <is>
          <t>DOCUMENTO DE ARCHIVO-ELECTRÓNICO</t>
        </is>
      </c>
      <c r="N864" s="10" t="inlineStr">
        <is>
          <t>PRIMARIOS</t>
        </is>
      </c>
      <c r="O864" s="10" t="inlineStr">
        <is>
          <t>DOCUMENTOS TÉCNICOS</t>
        </is>
      </c>
      <c r="P864" s="10" t="inlineStr">
        <is>
          <t>PUBLICA(1)</t>
        </is>
      </c>
      <c r="Q864" s="10" t="inlineStr">
        <is>
          <t>BAJA(1)</t>
        </is>
      </c>
      <c r="R864" s="10" t="inlineStr">
        <is>
          <t>BAJA(1)</t>
        </is>
      </c>
      <c r="S864" s="10">
        <f>+(IF(P864="PUBLICA(1)",1,IF(P864="USO INTERNO(2)",2,IF(P864="RESTRINGIDO(3)",3,3))))+(IF(Q864="BAJA(1)",1,IF(Q864="MEDIA(2)",2,IF(Q864="ALTA(3)",3,3))))+(IF(R864="BAJA(1)",1,IF(R864="MEDIA(2)",2,IF(R864="ALTA(3)",3,3))))</f>
        <v/>
      </c>
      <c r="T864" s="10">
        <f>+IF(S864&lt;6,"BAJA",IF(S864&lt;8,"MEDIA","ALTA"))</f>
        <v/>
      </c>
      <c r="U864" s="10" t="inlineStr">
        <is>
          <t>-</t>
        </is>
      </c>
      <c r="V864" s="24" t="n">
        <v>45681</v>
      </c>
      <c r="W864" s="19" t="inlineStr">
        <is>
          <t>N/A</t>
        </is>
      </c>
      <c r="X864" s="10">
        <f>+IFERROR(IF(VLOOKUP(Tabla2[[#This Row],[ID]],'EVALUACION DE RIESGO'!A:A,1,FALSE)=Tabla2[[#This Row],[ID]],"SI","NO"),"NO")</f>
        <v/>
      </c>
    </row>
    <row r="865">
      <c r="A865" s="91" t="inlineStr">
        <is>
          <t>42-GES</t>
        </is>
      </c>
      <c r="B865" s="10" t="inlineStr">
        <is>
          <t>ESTRATÉGICO</t>
        </is>
      </c>
      <c r="C865" s="10" t="inlineStr">
        <is>
          <t xml:space="preserve">Gestión Estratégica </t>
        </is>
      </c>
      <c r="D865" s="10" t="inlineStr">
        <is>
          <t>GES</t>
        </is>
      </c>
      <c r="E865" s="10" t="inlineStr">
        <is>
          <t xml:space="preserve">Planificación Operativa </t>
        </is>
      </c>
      <c r="F865" s="10" t="inlineStr">
        <is>
          <t>-</t>
        </is>
      </c>
      <c r="G865" s="10" t="inlineStr">
        <is>
          <t xml:space="preserve">Análisis de la situación actual </t>
        </is>
      </c>
      <c r="H865" s="10" t="inlineStr">
        <is>
          <t>Necesidades de los Stakeholders</t>
        </is>
      </c>
      <c r="I865" s="10" t="inlineStr">
        <is>
          <t>Matriz de necesidades de los grupos de interes</t>
        </is>
      </c>
      <c r="J865" s="10" t="inlineStr">
        <is>
          <t>JEFE DE PLANIFICACIÓN Y PROCESOS</t>
        </is>
      </c>
      <c r="K865" s="10" t="inlineStr">
        <is>
          <t>JEFE DE PLANIFICACIÓN Y PROCESOS</t>
        </is>
      </c>
      <c r="L865" s="10" t="inlineStr">
        <is>
          <t>UBICACIÓN DIGITAL-EQUIPO DEL CUSTODIO</t>
        </is>
      </c>
      <c r="M865" s="10" t="inlineStr">
        <is>
          <t>DOCUMENTO DE ARCHIVO-ELECTRÓNICO</t>
        </is>
      </c>
      <c r="N865" s="10" t="inlineStr">
        <is>
          <t>PRIMARIOS</t>
        </is>
      </c>
      <c r="O865" s="10" t="inlineStr">
        <is>
          <t>DOCUMENTOS TÉCNICOS</t>
        </is>
      </c>
      <c r="P865" s="10" t="inlineStr">
        <is>
          <t>PUBLICA(1)</t>
        </is>
      </c>
      <c r="Q865" s="10" t="inlineStr">
        <is>
          <t>BAJA(1)</t>
        </is>
      </c>
      <c r="R865" s="10" t="inlineStr">
        <is>
          <t>BAJA(1)</t>
        </is>
      </c>
      <c r="S865" s="10">
        <f>+(IF(P865="PUBLICA(1)",1,IF(P865="USO INTERNO(2)",2,IF(P865="RESTRINGIDO(3)",3,3))))+(IF(Q865="BAJA(1)",1,IF(Q865="MEDIA(2)",2,IF(Q865="ALTA(3)",3,3))))+(IF(R865="BAJA(1)",1,IF(R865="MEDIA(2)",2,IF(R865="ALTA(3)",3,3))))</f>
        <v/>
      </c>
      <c r="T865" s="10">
        <f>+IF(S865&lt;6,"BAJA",IF(S865&lt;8,"MEDIA","ALTA"))</f>
        <v/>
      </c>
      <c r="U865" s="10" t="inlineStr">
        <is>
          <t>-</t>
        </is>
      </c>
      <c r="V865" s="24" t="n">
        <v>45681</v>
      </c>
      <c r="W865" s="19" t="inlineStr">
        <is>
          <t>N/A</t>
        </is>
      </c>
      <c r="X865" s="10">
        <f>+IFERROR(IF(VLOOKUP(Tabla2[[#This Row],[ID]],'EVALUACION DE RIESGO'!A:A,1,FALSE)=Tabla2[[#This Row],[ID]],"SI","NO"),"NO")</f>
        <v/>
      </c>
    </row>
    <row r="866">
      <c r="A866" s="91" t="inlineStr">
        <is>
          <t>43-GES</t>
        </is>
      </c>
      <c r="B866" s="10" t="inlineStr">
        <is>
          <t>ESTRATÉGICO</t>
        </is>
      </c>
      <c r="C866" s="10" t="inlineStr">
        <is>
          <t xml:space="preserve">Gestión Estratégica </t>
        </is>
      </c>
      <c r="D866" s="10" t="inlineStr">
        <is>
          <t>GES</t>
        </is>
      </c>
      <c r="E866" s="10" t="inlineStr">
        <is>
          <t xml:space="preserve">Planificación Operativa </t>
        </is>
      </c>
      <c r="F866" s="10" t="inlineStr">
        <is>
          <t>-</t>
        </is>
      </c>
      <c r="G866" s="10" t="inlineStr">
        <is>
          <t xml:space="preserve">Análisis de la situación actual </t>
        </is>
      </c>
      <c r="H866" s="10" t="inlineStr">
        <is>
          <t xml:space="preserve">FODA por departamento </t>
        </is>
      </c>
      <c r="I866" s="10" t="inlineStr">
        <is>
          <t>Resultados de la aplicación de la metodologia</t>
        </is>
      </c>
      <c r="J866" s="10" t="inlineStr">
        <is>
          <t>JEFE DE PLANIFICACIÓN Y PROCESOS</t>
        </is>
      </c>
      <c r="K866" s="10" t="inlineStr">
        <is>
          <t>JEFE DE PLANIFICACIÓN Y PROCESOS</t>
        </is>
      </c>
      <c r="L866" s="10" t="inlineStr">
        <is>
          <t>UBICACIÓN DIGITAL-EQUIPO DEL CUSTODIO</t>
        </is>
      </c>
      <c r="M866" s="10" t="inlineStr">
        <is>
          <t>DOCUMENTO DE ARCHIVO-ELECTRÓNICO</t>
        </is>
      </c>
      <c r="N866" s="10" t="inlineStr">
        <is>
          <t>PRIMARIOS</t>
        </is>
      </c>
      <c r="O866" s="10" t="inlineStr">
        <is>
          <t>DOCUMENTOS TÉCNICOS</t>
        </is>
      </c>
      <c r="P866" s="10" t="inlineStr">
        <is>
          <t>PUBLICA(1)</t>
        </is>
      </c>
      <c r="Q866" s="10" t="inlineStr">
        <is>
          <t>BAJA(1)</t>
        </is>
      </c>
      <c r="R866" s="10" t="inlineStr">
        <is>
          <t>BAJA(1)</t>
        </is>
      </c>
      <c r="S866" s="10">
        <f>+(IF(P866="PUBLICA(1)",1,IF(P866="USO INTERNO(2)",2,IF(P866="RESTRINGIDO(3)",3,3))))+(IF(Q866="BAJA(1)",1,IF(Q866="MEDIA(2)",2,IF(Q866="ALTA(3)",3,3))))+(IF(R866="BAJA(1)",1,IF(R866="MEDIA(2)",2,IF(R866="ALTA(3)",3,3))))</f>
        <v/>
      </c>
      <c r="T866" s="10">
        <f>+IF(S866&lt;6,"BAJA",IF(S866&lt;8,"MEDIA","ALTA"))</f>
        <v/>
      </c>
      <c r="U866" s="10" t="inlineStr">
        <is>
          <t>-</t>
        </is>
      </c>
      <c r="V866" s="24" t="n">
        <v>45681</v>
      </c>
      <c r="W866" s="19" t="inlineStr">
        <is>
          <t>N/A</t>
        </is>
      </c>
      <c r="X866" s="10">
        <f>+IFERROR(IF(VLOOKUP(Tabla2[[#This Row],[ID]],'EVALUACION DE RIESGO'!A:A,1,FALSE)=Tabla2[[#This Row],[ID]],"SI","NO"),"NO")</f>
        <v/>
      </c>
    </row>
    <row r="867">
      <c r="A867" s="91" t="inlineStr">
        <is>
          <t>44-GES</t>
        </is>
      </c>
      <c r="B867" s="10" t="inlineStr">
        <is>
          <t>ESTRATÉGICO</t>
        </is>
      </c>
      <c r="C867" s="10" t="inlineStr">
        <is>
          <t xml:space="preserve">Gestión Estratégica </t>
        </is>
      </c>
      <c r="D867" s="10" t="inlineStr">
        <is>
          <t>GES</t>
        </is>
      </c>
      <c r="E867" s="10" t="inlineStr">
        <is>
          <t xml:space="preserve">Planificación Operativa </t>
        </is>
      </c>
      <c r="F867" s="10" t="inlineStr">
        <is>
          <t>-</t>
        </is>
      </c>
      <c r="G867" s="10" t="inlineStr">
        <is>
          <t xml:space="preserve">Análisis de la situación actual </t>
        </is>
      </c>
      <c r="H867" s="10" t="inlineStr">
        <is>
          <t>Resultados de encuestas o entrevistas a los grupos de interés</t>
        </is>
      </c>
      <c r="I867" s="10" t="inlineStr">
        <is>
          <t>Estadisticas de las encuentas</t>
        </is>
      </c>
      <c r="J867" s="10" t="inlineStr">
        <is>
          <t>JEFE DE PLANIFICACIÓN Y PROCESOS</t>
        </is>
      </c>
      <c r="K867" s="10" t="inlineStr">
        <is>
          <t>JEFE DE PLANIFICACIÓN Y PROCESOS</t>
        </is>
      </c>
      <c r="L867" s="10" t="inlineStr">
        <is>
          <t>UBICACIÓN DIGITAL-EQUIPO DEL CUSTODIO</t>
        </is>
      </c>
      <c r="M867" s="10" t="inlineStr">
        <is>
          <t>DOCUMENTO DE ARCHIVO-ELECTRÓNICO</t>
        </is>
      </c>
      <c r="N867" s="10" t="inlineStr">
        <is>
          <t>PRIMARIOS</t>
        </is>
      </c>
      <c r="O867" s="10" t="inlineStr">
        <is>
          <t>DOCUMENTOS TÉCNICOS</t>
        </is>
      </c>
      <c r="P867" s="10" t="inlineStr">
        <is>
          <t>PUBLICA(1)</t>
        </is>
      </c>
      <c r="Q867" s="10" t="inlineStr">
        <is>
          <t>BAJA(1)</t>
        </is>
      </c>
      <c r="R867" s="10" t="inlineStr">
        <is>
          <t>BAJA(1)</t>
        </is>
      </c>
      <c r="S867" s="10">
        <f>+(IF(P867="PUBLICA(1)",1,IF(P867="USO INTERNO(2)",2,IF(P867="RESTRINGIDO(3)",3,3))))+(IF(Q867="BAJA(1)",1,IF(Q867="MEDIA(2)",2,IF(Q867="ALTA(3)",3,3))))+(IF(R867="BAJA(1)",1,IF(R867="MEDIA(2)",2,IF(R867="ALTA(3)",3,3))))</f>
        <v/>
      </c>
      <c r="T867" s="10">
        <f>+IF(S867&lt;6,"BAJA",IF(S867&lt;8,"MEDIA","ALTA"))</f>
        <v/>
      </c>
      <c r="U867" s="10" t="inlineStr">
        <is>
          <t>-</t>
        </is>
      </c>
      <c r="V867" s="24" t="n">
        <v>45681</v>
      </c>
      <c r="W867" s="19" t="inlineStr">
        <is>
          <t>N/A</t>
        </is>
      </c>
      <c r="X867" s="10">
        <f>+IFERROR(IF(VLOOKUP(Tabla2[[#This Row],[ID]],'EVALUACION DE RIESGO'!A:A,1,FALSE)=Tabla2[[#This Row],[ID]],"SI","NO"),"NO")</f>
        <v/>
      </c>
    </row>
    <row r="868">
      <c r="A868" s="91" t="inlineStr">
        <is>
          <t>45-GES</t>
        </is>
      </c>
      <c r="B868" s="10" t="inlineStr">
        <is>
          <t>ESTRATÉGICO</t>
        </is>
      </c>
      <c r="C868" s="10" t="inlineStr">
        <is>
          <t xml:space="preserve">Gestión Estratégica </t>
        </is>
      </c>
      <c r="D868" s="10" t="inlineStr">
        <is>
          <t>GES</t>
        </is>
      </c>
      <c r="E868" s="10" t="inlineStr">
        <is>
          <t xml:space="preserve">Planificación Operativa </t>
        </is>
      </c>
      <c r="F868" s="10" t="inlineStr">
        <is>
          <t>-</t>
        </is>
      </c>
      <c r="G868" s="10" t="inlineStr">
        <is>
          <t>Elaboración del Plan Operativo</t>
        </is>
      </c>
      <c r="H868" s="10" t="inlineStr">
        <is>
          <t>Plan Estratégico Institucional</t>
        </is>
      </c>
      <c r="I868" s="10" t="inlineStr">
        <is>
          <t>Documento de planificación estratégico</t>
        </is>
      </c>
      <c r="J868" s="10" t="inlineStr">
        <is>
          <t>JEFE DE PLANIFICACIÓN Y PROCESOS</t>
        </is>
      </c>
      <c r="K868" s="10" t="inlineStr">
        <is>
          <t>JEFE DE PLANIFICACIÓN Y PROCESOS</t>
        </is>
      </c>
      <c r="L868" s="10" t="inlineStr">
        <is>
          <t>UBICACIÓN DIGITAL-EQUIPO DEL CUSTODIO</t>
        </is>
      </c>
      <c r="M868" s="10" t="inlineStr">
        <is>
          <t>DOCUMENTO DE ARCHIVO-ELECTRÓNICO</t>
        </is>
      </c>
      <c r="N868" s="10" t="inlineStr">
        <is>
          <t>PRIMARIOS</t>
        </is>
      </c>
      <c r="O868" s="10" t="inlineStr">
        <is>
          <t>DOCUMENTOS TÉCNICOS</t>
        </is>
      </c>
      <c r="P868" s="10" t="inlineStr">
        <is>
          <t>USO INTERNO(2)</t>
        </is>
      </c>
      <c r="Q868" s="10" t="inlineStr">
        <is>
          <t>BAJA(1)</t>
        </is>
      </c>
      <c r="R868" s="10" t="inlineStr">
        <is>
          <t>ALTA(3)</t>
        </is>
      </c>
      <c r="S868" s="10">
        <f>+(IF(P868="PUBLICA(1)",1,IF(P868="USO INTERNO(2)",2,IF(P868="RESTRINGIDO(3)",3,3))))+(IF(Q868="BAJA(1)",1,IF(Q868="MEDIA(2)",2,IF(Q868="ALTA(3)",3,3))))+(IF(R868="BAJA(1)",1,IF(R868="MEDIA(2)",2,IF(R868="ALTA(3)",3,3))))</f>
        <v/>
      </c>
      <c r="T868" s="10">
        <f>+IF(S868&lt;6,"BAJA",IF(S868&lt;8,"MEDIA","ALTA"))</f>
        <v/>
      </c>
      <c r="U868" s="10" t="inlineStr">
        <is>
          <t>-</t>
        </is>
      </c>
      <c r="V868" s="24" t="n">
        <v>45681</v>
      </c>
      <c r="W868" s="19" t="inlineStr">
        <is>
          <t>N/A</t>
        </is>
      </c>
      <c r="X868" s="10">
        <f>+IFERROR(IF(VLOOKUP(Tabla2[[#This Row],[ID]],'EVALUACION DE RIESGO'!A:A,1,FALSE)=Tabla2[[#This Row],[ID]],"SI","NO"),"NO")</f>
        <v/>
      </c>
    </row>
    <row r="869">
      <c r="A869" s="91" t="inlineStr">
        <is>
          <t>46-GES</t>
        </is>
      </c>
      <c r="B869" s="10" t="inlineStr">
        <is>
          <t>ESTRATÉGICO</t>
        </is>
      </c>
      <c r="C869" s="10" t="inlineStr">
        <is>
          <t xml:space="preserve">Gestión Estratégica </t>
        </is>
      </c>
      <c r="D869" s="10" t="inlineStr">
        <is>
          <t>GES</t>
        </is>
      </c>
      <c r="E869" s="10" t="inlineStr">
        <is>
          <t xml:space="preserve">Planificación Operativa </t>
        </is>
      </c>
      <c r="F869" s="10" t="inlineStr">
        <is>
          <t>-</t>
        </is>
      </c>
      <c r="G869" s="10" t="inlineStr">
        <is>
          <t>Elaboración del Plan Operativo</t>
        </is>
      </c>
      <c r="H869" s="10" t="inlineStr">
        <is>
          <t>Estudios de mercado y de competencia</t>
        </is>
      </c>
      <c r="I869" s="10" t="inlineStr">
        <is>
          <t>Estudio para analizar la factibilidad de aperturas de oficina o lanzamiento de servicios</t>
        </is>
      </c>
      <c r="J869" s="10" t="inlineStr">
        <is>
          <t>JEFE DE PLANIFICACIÓN Y PROCESOS</t>
        </is>
      </c>
      <c r="K869" s="10" t="inlineStr">
        <is>
          <t>JEFE DE PLANIFICACIÓN Y PROCESOS</t>
        </is>
      </c>
      <c r="L869" s="10" t="inlineStr">
        <is>
          <t>UBICACIÓN DIGITAL-EQUIPO DEL CUSTODIO</t>
        </is>
      </c>
      <c r="M869" s="10" t="inlineStr">
        <is>
          <t>DOCUMENTO DE ARCHIVO-ELECTRÓNICO</t>
        </is>
      </c>
      <c r="N869" s="10" t="inlineStr">
        <is>
          <t>PRIMARIOS</t>
        </is>
      </c>
      <c r="O869" s="10" t="inlineStr">
        <is>
          <t>DOCUMENTOS TÉCNICOS</t>
        </is>
      </c>
      <c r="P869" s="10" t="inlineStr">
        <is>
          <t>USO INTERNO(2)</t>
        </is>
      </c>
      <c r="Q869" s="10" t="inlineStr">
        <is>
          <t>MEDIA(2)</t>
        </is>
      </c>
      <c r="R869" s="10" t="inlineStr">
        <is>
          <t>MEDIA(2)</t>
        </is>
      </c>
      <c r="S869" s="10">
        <f>+(IF(P869="PUBLICA(1)",1,IF(P869="USO INTERNO(2)",2,IF(P869="RESTRINGIDO(3)",3,3))))+(IF(Q869="BAJA(1)",1,IF(Q869="MEDIA(2)",2,IF(Q869="ALTA(3)",3,3))))+(IF(R869="BAJA(1)",1,IF(R869="MEDIA(2)",2,IF(R869="ALTA(3)",3,3))))</f>
        <v/>
      </c>
      <c r="T869" s="10">
        <f>+IF(S869&lt;6,"BAJA",IF(S869&lt;8,"MEDIA","ALTA"))</f>
        <v/>
      </c>
      <c r="U869" s="10" t="inlineStr">
        <is>
          <t>-</t>
        </is>
      </c>
      <c r="V869" s="24" t="n">
        <v>45681</v>
      </c>
      <c r="W869" s="19" t="inlineStr">
        <is>
          <t>N/A</t>
        </is>
      </c>
      <c r="X869" s="10">
        <f>+IFERROR(IF(VLOOKUP(Tabla2[[#This Row],[ID]],'EVALUACION DE RIESGO'!A:A,1,FALSE)=Tabla2[[#This Row],[ID]],"SI","NO"),"NO")</f>
        <v/>
      </c>
    </row>
    <row r="870">
      <c r="A870" s="91" t="inlineStr">
        <is>
          <t>47-GES</t>
        </is>
      </c>
      <c r="B870" s="10" t="inlineStr">
        <is>
          <t>ESTRATÉGICO</t>
        </is>
      </c>
      <c r="C870" s="10" t="inlineStr">
        <is>
          <t xml:space="preserve">Gestión Estratégica </t>
        </is>
      </c>
      <c r="D870" s="10" t="inlineStr">
        <is>
          <t>GES</t>
        </is>
      </c>
      <c r="E870" s="10" t="inlineStr">
        <is>
          <t xml:space="preserve">Planificación Operativa </t>
        </is>
      </c>
      <c r="F870" s="10" t="inlineStr">
        <is>
          <t>-</t>
        </is>
      </c>
      <c r="G870" s="10" t="inlineStr">
        <is>
          <t>Elaboración del Plan Operativo</t>
        </is>
      </c>
      <c r="H870" s="10" t="inlineStr">
        <is>
          <t>Estudios de clima laboral</t>
        </is>
      </c>
      <c r="I870" s="10" t="inlineStr">
        <is>
          <t>Documento de satisfacción de los empleados en el lugar de trabajo</t>
        </is>
      </c>
      <c r="J870" s="10" t="inlineStr">
        <is>
          <t>JEFE DE PLANIFICACIÓN Y PROCESOS</t>
        </is>
      </c>
      <c r="K870" s="10" t="inlineStr">
        <is>
          <t>JEFE DE PLANIFICACIÓN Y PROCESOS</t>
        </is>
      </c>
      <c r="L870" s="10" t="inlineStr">
        <is>
          <t>UBICACIÓN DIGITAL-EQUIPO DEL CUSTODIO</t>
        </is>
      </c>
      <c r="M870" s="10" t="inlineStr">
        <is>
          <t>DOCUMENTO DE ARCHIVO-ELECTRÓNICO</t>
        </is>
      </c>
      <c r="N870" s="10" t="inlineStr">
        <is>
          <t>PRIMARIOS</t>
        </is>
      </c>
      <c r="O870" s="10" t="inlineStr">
        <is>
          <t>DOCUMENTOS TÉCNICOS</t>
        </is>
      </c>
      <c r="P870" s="10" t="inlineStr">
        <is>
          <t>PUBLICA(1)</t>
        </is>
      </c>
      <c r="Q870" s="10" t="inlineStr">
        <is>
          <t>BAJA(1)</t>
        </is>
      </c>
      <c r="R870" s="10" t="inlineStr">
        <is>
          <t>BAJA(1)</t>
        </is>
      </c>
      <c r="S870" s="10">
        <f>+(IF(P870="PUBLICA(1)",1,IF(P870="USO INTERNO(2)",2,IF(P870="RESTRINGIDO(3)",3,3))))+(IF(Q870="BAJA(1)",1,IF(Q870="MEDIA(2)",2,IF(Q870="ALTA(3)",3,3))))+(IF(R870="BAJA(1)",1,IF(R870="MEDIA(2)",2,IF(R870="ALTA(3)",3,3))))</f>
        <v/>
      </c>
      <c r="T870" s="10">
        <f>+IF(S870&lt;6,"BAJA",IF(S870&lt;8,"MEDIA","ALTA"))</f>
        <v/>
      </c>
      <c r="U870" s="10" t="inlineStr">
        <is>
          <t>-</t>
        </is>
      </c>
      <c r="V870" s="24" t="n">
        <v>45681</v>
      </c>
      <c r="W870" s="19" t="inlineStr">
        <is>
          <t>N/A</t>
        </is>
      </c>
      <c r="X870" s="10">
        <f>+IFERROR(IF(VLOOKUP(Tabla2[[#This Row],[ID]],'EVALUACION DE RIESGO'!A:A,1,FALSE)=Tabla2[[#This Row],[ID]],"SI","NO"),"NO")</f>
        <v/>
      </c>
    </row>
    <row r="871">
      <c r="A871" s="91" t="inlineStr">
        <is>
          <t>48-GES</t>
        </is>
      </c>
      <c r="B871" s="10" t="inlineStr">
        <is>
          <t>ESTRATÉGICO</t>
        </is>
      </c>
      <c r="C871" s="10" t="inlineStr">
        <is>
          <t xml:space="preserve">Gestión Estratégica </t>
        </is>
      </c>
      <c r="D871" s="10" t="inlineStr">
        <is>
          <t>GES</t>
        </is>
      </c>
      <c r="E871" s="10" t="inlineStr">
        <is>
          <t xml:space="preserve">Planificación Operativa </t>
        </is>
      </c>
      <c r="F871" s="10" t="inlineStr">
        <is>
          <t>-</t>
        </is>
      </c>
      <c r="G871" s="10" t="inlineStr">
        <is>
          <t>Elaboración del Plan Operativo</t>
        </is>
      </c>
      <c r="H871" s="10" t="inlineStr">
        <is>
          <t>Estudios de satisfacción al cliente</t>
        </is>
      </c>
      <c r="I871" s="10" t="inlineStr">
        <is>
          <t>Documento de satisfacción de los clientes</t>
        </is>
      </c>
      <c r="J871" s="10" t="inlineStr">
        <is>
          <t>JEFE DE PLANIFICACIÓN Y PROCESOS</t>
        </is>
      </c>
      <c r="K871" s="10" t="inlineStr">
        <is>
          <t>JEFE DE PLANIFICACIÓN Y PROCESOS</t>
        </is>
      </c>
      <c r="L871" s="10" t="inlineStr">
        <is>
          <t>UBICACIÓN DIGITAL-EQUIPO DEL CUSTODIO</t>
        </is>
      </c>
      <c r="M871" s="10" t="inlineStr">
        <is>
          <t>DOCUMENTO DE ARCHIVO-ELECTRÓNICO</t>
        </is>
      </c>
      <c r="N871" s="10" t="inlineStr">
        <is>
          <t>PRIMARIOS</t>
        </is>
      </c>
      <c r="O871" s="10" t="inlineStr">
        <is>
          <t>DOCUMENTOS TÉCNICOS</t>
        </is>
      </c>
      <c r="P871" s="10" t="inlineStr">
        <is>
          <t>USO INTERNO(2)</t>
        </is>
      </c>
      <c r="Q871" s="10" t="inlineStr">
        <is>
          <t>BAJA(1)</t>
        </is>
      </c>
      <c r="R871" s="10" t="inlineStr">
        <is>
          <t>BAJA(1)</t>
        </is>
      </c>
      <c r="S871" s="10">
        <f>+(IF(P871="PUBLICA(1)",1,IF(P871="USO INTERNO(2)",2,IF(P871="RESTRINGIDO(3)",3,3))))+(IF(Q871="BAJA(1)",1,IF(Q871="MEDIA(2)",2,IF(Q871="ALTA(3)",3,3))))+(IF(R871="BAJA(1)",1,IF(R871="MEDIA(2)",2,IF(R871="ALTA(3)",3,3))))</f>
        <v/>
      </c>
      <c r="T871" s="10">
        <f>+IF(S871&lt;6,"BAJA",IF(S871&lt;8,"MEDIA","ALTA"))</f>
        <v/>
      </c>
      <c r="U871" s="10" t="inlineStr">
        <is>
          <t>-</t>
        </is>
      </c>
      <c r="V871" s="24" t="n">
        <v>45681</v>
      </c>
      <c r="W871" s="19" t="inlineStr">
        <is>
          <t>N/A</t>
        </is>
      </c>
      <c r="X871" s="10">
        <f>+IFERROR(IF(VLOOKUP(Tabla2[[#This Row],[ID]],'EVALUACION DE RIESGO'!A:A,1,FALSE)=Tabla2[[#This Row],[ID]],"SI","NO"),"NO")</f>
        <v/>
      </c>
    </row>
    <row r="872">
      <c r="A872" s="91" t="inlineStr">
        <is>
          <t>49-GES</t>
        </is>
      </c>
      <c r="B872" s="10" t="inlineStr">
        <is>
          <t>ESTRATÉGICO</t>
        </is>
      </c>
      <c r="C872" s="10" t="inlineStr">
        <is>
          <t xml:space="preserve">Gestión Estratégica </t>
        </is>
      </c>
      <c r="D872" s="10" t="inlineStr">
        <is>
          <t>GES</t>
        </is>
      </c>
      <c r="E872" s="10" t="inlineStr">
        <is>
          <t xml:space="preserve">Planificación Operativa </t>
        </is>
      </c>
      <c r="F872" s="10" t="inlineStr">
        <is>
          <t>-</t>
        </is>
      </c>
      <c r="G872" s="10" t="inlineStr">
        <is>
          <t>Elaboración del Plan Operativo</t>
        </is>
      </c>
      <c r="H872" s="10" t="inlineStr">
        <is>
          <t>Análisis de Macrotendencias</t>
        </is>
      </c>
      <c r="I872" s="10" t="inlineStr">
        <is>
          <t>Pautas para saber las tendencias mundiales, referente a la tecnologia que pueden impactar a la coac</t>
        </is>
      </c>
      <c r="J872" s="10" t="inlineStr">
        <is>
          <t>JEFE DE PLANIFICACIÓN Y PROCESOS</t>
        </is>
      </c>
      <c r="K872" s="10" t="inlineStr">
        <is>
          <t>JEFE DE PLANIFICACIÓN Y PROCESOS</t>
        </is>
      </c>
      <c r="L872" s="10" t="inlineStr">
        <is>
          <t>UBICACIÓN DIGITAL-EQUIPO DEL CUSTODIO</t>
        </is>
      </c>
      <c r="M872" s="10" t="inlineStr">
        <is>
          <t>DOCUMENTO DE ARCHIVO-ELECTRÓNICO</t>
        </is>
      </c>
      <c r="N872" s="10" t="inlineStr">
        <is>
          <t>PRIMARIOS</t>
        </is>
      </c>
      <c r="O872" s="10" t="inlineStr">
        <is>
          <t>DOCUMENTOS TÉCNICOS</t>
        </is>
      </c>
      <c r="P872" s="10" t="inlineStr">
        <is>
          <t>PUBLICA(1)</t>
        </is>
      </c>
      <c r="Q872" s="10" t="inlineStr">
        <is>
          <t>BAJA(1)</t>
        </is>
      </c>
      <c r="R872" s="10" t="inlineStr">
        <is>
          <t>BAJA(1)</t>
        </is>
      </c>
      <c r="S872" s="10">
        <f>+(IF(P872="PUBLICA(1)",1,IF(P872="USO INTERNO(2)",2,IF(P872="RESTRINGIDO(3)",3,3))))+(IF(Q872="BAJA(1)",1,IF(Q872="MEDIA(2)",2,IF(Q872="ALTA(3)",3,3))))+(IF(R872="BAJA(1)",1,IF(R872="MEDIA(2)",2,IF(R872="ALTA(3)",3,3))))</f>
        <v/>
      </c>
      <c r="T872" s="10">
        <f>+IF(S872&lt;6,"BAJA",IF(S872&lt;8,"MEDIA","ALTA"))</f>
        <v/>
      </c>
      <c r="U872" s="10" t="inlineStr">
        <is>
          <t>-</t>
        </is>
      </c>
      <c r="V872" s="24" t="n">
        <v>45681</v>
      </c>
      <c r="W872" s="19" t="inlineStr">
        <is>
          <t>N/A</t>
        </is>
      </c>
      <c r="X872" s="10">
        <f>+IFERROR(IF(VLOOKUP(Tabla2[[#This Row],[ID]],'EVALUACION DE RIESGO'!A:A,1,FALSE)=Tabla2[[#This Row],[ID]],"SI","NO"),"NO")</f>
        <v/>
      </c>
    </row>
    <row r="873">
      <c r="A873" s="91" t="inlineStr">
        <is>
          <t>50-GES</t>
        </is>
      </c>
      <c r="B873" s="10" t="inlineStr">
        <is>
          <t>ESTRATÉGICO</t>
        </is>
      </c>
      <c r="C873" s="10" t="inlineStr">
        <is>
          <t xml:space="preserve">Gestión Estratégica </t>
        </is>
      </c>
      <c r="D873" s="10" t="inlineStr">
        <is>
          <t>GES</t>
        </is>
      </c>
      <c r="E873" s="10" t="inlineStr">
        <is>
          <t xml:space="preserve">Planificación Operativa </t>
        </is>
      </c>
      <c r="F873" s="10" t="inlineStr">
        <is>
          <t>-</t>
        </is>
      </c>
      <c r="G873" s="10" t="inlineStr">
        <is>
          <t>Elaboración del Plan Operativo</t>
        </is>
      </c>
      <c r="H873" s="10" t="inlineStr">
        <is>
          <t>Análisis financiero nacional, del segmento y de la Cooperativa</t>
        </is>
      </c>
      <c r="I873" s="10" t="inlineStr">
        <is>
          <t>Documento interno con datos externos con indicadores de la competencia</t>
        </is>
      </c>
      <c r="J873" s="10" t="inlineStr">
        <is>
          <t>JEFE DE PLANIFICACIÓN Y PROCESOS</t>
        </is>
      </c>
      <c r="K873" s="10" t="inlineStr">
        <is>
          <t>JEFE DE PLANIFICACIÓN Y PROCESOS</t>
        </is>
      </c>
      <c r="L873" s="10" t="inlineStr">
        <is>
          <t>UBICACIÓN DIGITAL-EQUIPO DEL CUSTODIO</t>
        </is>
      </c>
      <c r="M873" s="10" t="inlineStr">
        <is>
          <t>DOCUMENTO DE ARCHIVO-ELECTRÓNICO</t>
        </is>
      </c>
      <c r="N873" s="10" t="inlineStr">
        <is>
          <t>PRIMARIOS</t>
        </is>
      </c>
      <c r="O873" s="10" t="inlineStr">
        <is>
          <t>DOCUMENTOS TÉCNICOS</t>
        </is>
      </c>
      <c r="P873" s="10" t="inlineStr">
        <is>
          <t>PUBLICA(1)</t>
        </is>
      </c>
      <c r="Q873" s="10" t="inlineStr">
        <is>
          <t>BAJA(1)</t>
        </is>
      </c>
      <c r="R873" s="10" t="inlineStr">
        <is>
          <t>BAJA(1)</t>
        </is>
      </c>
      <c r="S873" s="10">
        <f>+(IF(P873="PUBLICA(1)",1,IF(P873="USO INTERNO(2)",2,IF(P873="RESTRINGIDO(3)",3,3))))+(IF(Q873="BAJA(1)",1,IF(Q873="MEDIA(2)",2,IF(Q873="ALTA(3)",3,3))))+(IF(R873="BAJA(1)",1,IF(R873="MEDIA(2)",2,IF(R873="ALTA(3)",3,3))))</f>
        <v/>
      </c>
      <c r="T873" s="10">
        <f>+IF(S873&lt;6,"BAJA",IF(S873&lt;8,"MEDIA","ALTA"))</f>
        <v/>
      </c>
      <c r="U873" s="10" t="inlineStr">
        <is>
          <t>-</t>
        </is>
      </c>
      <c r="V873" s="24" t="n">
        <v>45681</v>
      </c>
      <c r="W873" s="19" t="inlineStr">
        <is>
          <t>N/A</t>
        </is>
      </c>
      <c r="X873" s="10">
        <f>+IFERROR(IF(VLOOKUP(Tabla2[[#This Row],[ID]],'EVALUACION DE RIESGO'!A:A,1,FALSE)=Tabla2[[#This Row],[ID]],"SI","NO"),"NO")</f>
        <v/>
      </c>
    </row>
    <row r="874">
      <c r="A874" s="91" t="inlineStr">
        <is>
          <t>51-GES</t>
        </is>
      </c>
      <c r="B874" s="10" t="inlineStr">
        <is>
          <t>ESTRATÉGICO</t>
        </is>
      </c>
      <c r="C874" s="10" t="inlineStr">
        <is>
          <t xml:space="preserve">Gestión Estratégica </t>
        </is>
      </c>
      <c r="D874" s="10" t="inlineStr">
        <is>
          <t>GES</t>
        </is>
      </c>
      <c r="E874" s="10" t="inlineStr">
        <is>
          <t xml:space="preserve">Planificación Operativa </t>
        </is>
      </c>
      <c r="F874" s="10" t="inlineStr">
        <is>
          <t>-</t>
        </is>
      </c>
      <c r="G874" s="10" t="inlineStr">
        <is>
          <t>Elaboración del Plan Operativo</t>
        </is>
      </c>
      <c r="H874" s="10" t="inlineStr">
        <is>
          <t>Resultados alcanzados en el Plan Estratégica que fenece</t>
        </is>
      </c>
      <c r="I874" s="10" t="inlineStr">
        <is>
          <t>Evaluación del plan estratégico</t>
        </is>
      </c>
      <c r="J874" s="10" t="inlineStr">
        <is>
          <t>JEFE DE PLANIFICACIÓN Y PROCESOS</t>
        </is>
      </c>
      <c r="K874" s="10" t="inlineStr">
        <is>
          <t>JEFE DE PLANIFICACIÓN Y PROCESOS</t>
        </is>
      </c>
      <c r="L874" s="10" t="inlineStr">
        <is>
          <t>UBICACIÓN DIGITAL-EQUIPO DEL CUSTODIO</t>
        </is>
      </c>
      <c r="M874" s="10" t="inlineStr">
        <is>
          <t>DOCUMENTO DE ARCHIVO-ELECTRÓNICO</t>
        </is>
      </c>
      <c r="N874" s="10" t="inlineStr">
        <is>
          <t>PRIMARIOS</t>
        </is>
      </c>
      <c r="O874" s="10" t="inlineStr">
        <is>
          <t>DOCUMENTOS TÉCNICOS</t>
        </is>
      </c>
      <c r="P874" s="10" t="inlineStr">
        <is>
          <t>PUBLICA(1)</t>
        </is>
      </c>
      <c r="Q874" s="10" t="inlineStr">
        <is>
          <t>BAJA(1)</t>
        </is>
      </c>
      <c r="R874" s="10" t="inlineStr">
        <is>
          <t>BAJA(1)</t>
        </is>
      </c>
      <c r="S874" s="10">
        <f>+(IF(P874="PUBLICA(1)",1,IF(P874="USO INTERNO(2)",2,IF(P874="RESTRINGIDO(3)",3,3))))+(IF(Q874="BAJA(1)",1,IF(Q874="MEDIA(2)",2,IF(Q874="ALTA(3)",3,3))))+(IF(R874="BAJA(1)",1,IF(R874="MEDIA(2)",2,IF(R874="ALTA(3)",3,3))))</f>
        <v/>
      </c>
      <c r="T874" s="10">
        <f>+IF(S874&lt;6,"BAJA",IF(S874&lt;8,"MEDIA","ALTA"))</f>
        <v/>
      </c>
      <c r="U874" s="10" t="inlineStr">
        <is>
          <t>-</t>
        </is>
      </c>
      <c r="V874" s="24" t="n">
        <v>45681</v>
      </c>
      <c r="W874" s="19" t="inlineStr">
        <is>
          <t>N/A</t>
        </is>
      </c>
      <c r="X874" s="10">
        <f>+IFERROR(IF(VLOOKUP(Tabla2[[#This Row],[ID]],'EVALUACION DE RIESGO'!A:A,1,FALSE)=Tabla2[[#This Row],[ID]],"SI","NO"),"NO")</f>
        <v/>
      </c>
    </row>
    <row r="875">
      <c r="A875" s="91" t="inlineStr">
        <is>
          <t>52-GES</t>
        </is>
      </c>
      <c r="B875" s="10" t="inlineStr">
        <is>
          <t>ESTRATÉGICO</t>
        </is>
      </c>
      <c r="C875" s="10" t="inlineStr">
        <is>
          <t xml:space="preserve">Gestión Estratégica </t>
        </is>
      </c>
      <c r="D875" s="10" t="inlineStr">
        <is>
          <t>GES</t>
        </is>
      </c>
      <c r="E875" s="10" t="inlineStr">
        <is>
          <t xml:space="preserve">Planificación Operativa </t>
        </is>
      </c>
      <c r="F875" s="10" t="inlineStr">
        <is>
          <t>-</t>
        </is>
      </c>
      <c r="G875" s="10" t="inlineStr">
        <is>
          <t>Elaboración del Plan Operativo</t>
        </is>
      </c>
      <c r="H875" s="10" t="inlineStr">
        <is>
          <t>Necesidades de los Stakeholders</t>
        </is>
      </c>
      <c r="I875" s="10" t="inlineStr">
        <is>
          <t>Matriz de necesidades de los grupos de interes</t>
        </is>
      </c>
      <c r="J875" s="10" t="inlineStr">
        <is>
          <t>JEFE DE PLANIFICACIÓN Y PROCESOS</t>
        </is>
      </c>
      <c r="K875" s="10" t="inlineStr">
        <is>
          <t>JEFE DE PLANIFICACIÓN Y PROCESOS</t>
        </is>
      </c>
      <c r="L875" s="10" t="inlineStr">
        <is>
          <t>UBICACIÓN DIGITAL-EQUIPO DEL CUSTODIO</t>
        </is>
      </c>
      <c r="M875" s="10" t="inlineStr">
        <is>
          <t>DOCUMENTO DE ARCHIVO-ELECTRÓNICO</t>
        </is>
      </c>
      <c r="N875" s="10" t="inlineStr">
        <is>
          <t>PRIMARIOS</t>
        </is>
      </c>
      <c r="O875" s="10" t="inlineStr">
        <is>
          <t>DOCUMENTOS TÉCNICOS</t>
        </is>
      </c>
      <c r="P875" s="10" t="inlineStr">
        <is>
          <t>PUBLICA(1)</t>
        </is>
      </c>
      <c r="Q875" s="10" t="inlineStr">
        <is>
          <t>BAJA(1)</t>
        </is>
      </c>
      <c r="R875" s="10" t="inlineStr">
        <is>
          <t>BAJA(1)</t>
        </is>
      </c>
      <c r="S875" s="10">
        <f>+(IF(P875="PUBLICA(1)",1,IF(P875="USO INTERNO(2)",2,IF(P875="RESTRINGIDO(3)",3,3))))+(IF(Q875="BAJA(1)",1,IF(Q875="MEDIA(2)",2,IF(Q875="ALTA(3)",3,3))))+(IF(R875="BAJA(1)",1,IF(R875="MEDIA(2)",2,IF(R875="ALTA(3)",3,3))))</f>
        <v/>
      </c>
      <c r="T875" s="10">
        <f>+IF(S875&lt;6,"BAJA",IF(S875&lt;8,"MEDIA","ALTA"))</f>
        <v/>
      </c>
      <c r="U875" s="10" t="inlineStr">
        <is>
          <t>-</t>
        </is>
      </c>
      <c r="V875" s="24" t="n">
        <v>45681</v>
      </c>
      <c r="W875" s="19" t="inlineStr">
        <is>
          <t>N/A</t>
        </is>
      </c>
      <c r="X875" s="10">
        <f>+IFERROR(IF(VLOOKUP(Tabla2[[#This Row],[ID]],'EVALUACION DE RIESGO'!A:A,1,FALSE)=Tabla2[[#This Row],[ID]],"SI","NO"),"NO")</f>
        <v/>
      </c>
    </row>
    <row r="876">
      <c r="A876" s="91" t="inlineStr">
        <is>
          <t>53-GES</t>
        </is>
      </c>
      <c r="B876" s="10" t="inlineStr">
        <is>
          <t>ESTRATÉGICO</t>
        </is>
      </c>
      <c r="C876" s="10" t="inlineStr">
        <is>
          <t xml:space="preserve">Gestión Estratégica </t>
        </is>
      </c>
      <c r="D876" s="10" t="inlineStr">
        <is>
          <t>GES</t>
        </is>
      </c>
      <c r="E876" s="10" t="inlineStr">
        <is>
          <t xml:space="preserve">Planificación Operativa </t>
        </is>
      </c>
      <c r="F876" s="10" t="inlineStr">
        <is>
          <t>-</t>
        </is>
      </c>
      <c r="G876" s="10" t="inlineStr">
        <is>
          <t>Elaboración del Plan Operativo</t>
        </is>
      </c>
      <c r="H876" s="10" t="inlineStr">
        <is>
          <t xml:space="preserve">FODA por departamento </t>
        </is>
      </c>
      <c r="I876" s="10" t="inlineStr">
        <is>
          <t>Resultados de la aplicación de la metodologia</t>
        </is>
      </c>
      <c r="J876" s="10" t="inlineStr">
        <is>
          <t>JEFE DE PLANIFICACIÓN Y PROCESOS</t>
        </is>
      </c>
      <c r="K876" s="10" t="inlineStr">
        <is>
          <t>JEFE DE PLANIFICACIÓN Y PROCESOS</t>
        </is>
      </c>
      <c r="L876" s="10" t="inlineStr">
        <is>
          <t>UBICACIÓN DIGITAL-EQUIPO DEL CUSTODIO</t>
        </is>
      </c>
      <c r="M876" s="10" t="inlineStr">
        <is>
          <t>DOCUMENTO DE ARCHIVO-ELECTRÓNICO</t>
        </is>
      </c>
      <c r="N876" s="10" t="inlineStr">
        <is>
          <t>PRIMARIOS</t>
        </is>
      </c>
      <c r="O876" s="10" t="inlineStr">
        <is>
          <t>DOCUMENTOS TÉCNICOS</t>
        </is>
      </c>
      <c r="P876" s="10" t="inlineStr">
        <is>
          <t>PUBLICA(1)</t>
        </is>
      </c>
      <c r="Q876" s="10" t="inlineStr">
        <is>
          <t>BAJA(1)</t>
        </is>
      </c>
      <c r="R876" s="10" t="inlineStr">
        <is>
          <t>BAJA(1)</t>
        </is>
      </c>
      <c r="S876" s="10">
        <f>+(IF(P876="PUBLICA(1)",1,IF(P876="USO INTERNO(2)",2,IF(P876="RESTRINGIDO(3)",3,3))))+(IF(Q876="BAJA(1)",1,IF(Q876="MEDIA(2)",2,IF(Q876="ALTA(3)",3,3))))+(IF(R876="BAJA(1)",1,IF(R876="MEDIA(2)",2,IF(R876="ALTA(3)",3,3))))</f>
        <v/>
      </c>
      <c r="T876" s="10">
        <f>+IF(S876&lt;6,"BAJA",IF(S876&lt;8,"MEDIA","ALTA"))</f>
        <v/>
      </c>
      <c r="U876" s="10" t="inlineStr">
        <is>
          <t>-</t>
        </is>
      </c>
      <c r="V876" s="24" t="n">
        <v>45681</v>
      </c>
      <c r="W876" s="19" t="inlineStr">
        <is>
          <t>N/A</t>
        </is>
      </c>
      <c r="X876" s="10">
        <f>+IFERROR(IF(VLOOKUP(Tabla2[[#This Row],[ID]],'EVALUACION DE RIESGO'!A:A,1,FALSE)=Tabla2[[#This Row],[ID]],"SI","NO"),"NO")</f>
        <v/>
      </c>
    </row>
    <row r="877">
      <c r="A877" s="91" t="inlineStr">
        <is>
          <t>54-GES</t>
        </is>
      </c>
      <c r="B877" s="10" t="inlineStr">
        <is>
          <t>ESTRATÉGICO</t>
        </is>
      </c>
      <c r="C877" s="10" t="inlineStr">
        <is>
          <t xml:space="preserve">Gestión Estratégica </t>
        </is>
      </c>
      <c r="D877" s="10" t="inlineStr">
        <is>
          <t>GES</t>
        </is>
      </c>
      <c r="E877" s="10" t="inlineStr">
        <is>
          <t xml:space="preserve">Planificación Operativa </t>
        </is>
      </c>
      <c r="F877" s="10" t="inlineStr">
        <is>
          <t>-</t>
        </is>
      </c>
      <c r="G877" s="10" t="inlineStr">
        <is>
          <t>Elaboración del Plan Operativo</t>
        </is>
      </c>
      <c r="H877" s="10" t="inlineStr">
        <is>
          <t>Resultados de encuestas o entrevistas a los grupos de interés</t>
        </is>
      </c>
      <c r="I877" s="10" t="inlineStr">
        <is>
          <t>Estadisticas de las encuentas</t>
        </is>
      </c>
      <c r="J877" s="10" t="inlineStr">
        <is>
          <t>JEFE DE PLANIFICACIÓN Y PROCESOS</t>
        </is>
      </c>
      <c r="K877" s="10" t="inlineStr">
        <is>
          <t>JEFE DE PLANIFICACIÓN Y PROCESOS</t>
        </is>
      </c>
      <c r="L877" s="10" t="inlineStr">
        <is>
          <t>UBICACIÓN DIGITAL-EQUIPO DEL CUSTODIO</t>
        </is>
      </c>
      <c r="M877" s="10" t="inlineStr">
        <is>
          <t>DOCUMENTO DE ARCHIVO-ELECTRÓNICO</t>
        </is>
      </c>
      <c r="N877" s="10" t="inlineStr">
        <is>
          <t>PRIMARIOS</t>
        </is>
      </c>
      <c r="O877" s="10" t="inlineStr">
        <is>
          <t>DOCUMENTOS TÉCNICOS</t>
        </is>
      </c>
      <c r="P877" s="10" t="inlineStr">
        <is>
          <t>PUBLICA(1)</t>
        </is>
      </c>
      <c r="Q877" s="10" t="inlineStr">
        <is>
          <t>BAJA(1)</t>
        </is>
      </c>
      <c r="R877" s="10" t="inlineStr">
        <is>
          <t>BAJA(1)</t>
        </is>
      </c>
      <c r="S877" s="10">
        <f>+(IF(P877="PUBLICA(1)",1,IF(P877="USO INTERNO(2)",2,IF(P877="RESTRINGIDO(3)",3,3))))+(IF(Q877="BAJA(1)",1,IF(Q877="MEDIA(2)",2,IF(Q877="ALTA(3)",3,3))))+(IF(R877="BAJA(1)",1,IF(R877="MEDIA(2)",2,IF(R877="ALTA(3)",3,3))))</f>
        <v/>
      </c>
      <c r="T877" s="10">
        <f>+IF(S877&lt;6,"BAJA",IF(S877&lt;8,"MEDIA","ALTA"))</f>
        <v/>
      </c>
      <c r="U877" s="10" t="inlineStr">
        <is>
          <t>-</t>
        </is>
      </c>
      <c r="V877" s="24" t="n">
        <v>45681</v>
      </c>
      <c r="W877" s="19" t="inlineStr">
        <is>
          <t>N/A</t>
        </is>
      </c>
      <c r="X877" s="10">
        <f>+IFERROR(IF(VLOOKUP(Tabla2[[#This Row],[ID]],'EVALUACION DE RIESGO'!A:A,1,FALSE)=Tabla2[[#This Row],[ID]],"SI","NO"),"NO")</f>
        <v/>
      </c>
    </row>
    <row r="878">
      <c r="A878" s="91" t="inlineStr">
        <is>
          <t>55-GES</t>
        </is>
      </c>
      <c r="B878" s="10" t="inlineStr">
        <is>
          <t>ESTRATÉGICO</t>
        </is>
      </c>
      <c r="C878" s="10" t="inlineStr">
        <is>
          <t xml:space="preserve">Gestión Estratégica </t>
        </is>
      </c>
      <c r="D878" s="10" t="inlineStr">
        <is>
          <t>GES</t>
        </is>
      </c>
      <c r="E878" s="10" t="inlineStr">
        <is>
          <t xml:space="preserve">Planificación Operativa </t>
        </is>
      </c>
      <c r="F878" s="10" t="inlineStr">
        <is>
          <t>-</t>
        </is>
      </c>
      <c r="G878" s="10" t="inlineStr">
        <is>
          <t>Elaboración del Plan Operativo</t>
        </is>
      </c>
      <c r="H878" s="10" t="inlineStr">
        <is>
          <t>Matriz POA por proyecto</t>
        </is>
      </c>
      <c r="I878" s="10" t="inlineStr">
        <is>
          <t xml:space="preserve">Formato para descripción de proyectos  </t>
        </is>
      </c>
      <c r="J878" s="10" t="inlineStr">
        <is>
          <t>JEFE DE PLANIFICACIÓN Y PROCESOS</t>
        </is>
      </c>
      <c r="K878" s="10" t="inlineStr">
        <is>
          <t>JEFE DE PLANIFICACIÓN Y PROCESOS</t>
        </is>
      </c>
      <c r="L878" s="10" t="inlineStr">
        <is>
          <t>UBICACIÓN DIGITAL-EQUIPO DEL CUSTODIO</t>
        </is>
      </c>
      <c r="M878" s="10" t="inlineStr">
        <is>
          <t>DOCUMENTO DE ARCHIVO-ELECTRÓNICO</t>
        </is>
      </c>
      <c r="N878" s="10" t="inlineStr">
        <is>
          <t>PRIMARIOS</t>
        </is>
      </c>
      <c r="O878" s="10" t="inlineStr">
        <is>
          <t>DOCUMENTOS TÉCNICOS</t>
        </is>
      </c>
      <c r="P878" s="10" t="inlineStr">
        <is>
          <t>PUBLICA(1)</t>
        </is>
      </c>
      <c r="Q878" s="10" t="inlineStr">
        <is>
          <t>BAJA(1)</t>
        </is>
      </c>
      <c r="R878" s="10" t="inlineStr">
        <is>
          <t>ALTA(3)</t>
        </is>
      </c>
      <c r="S878" s="10">
        <f>+(IF(P878="PUBLICA(1)",1,IF(P878="USO INTERNO(2)",2,IF(P878="RESTRINGIDO(3)",3,3))))+(IF(Q878="BAJA(1)",1,IF(Q878="MEDIA(2)",2,IF(Q878="ALTA(3)",3,3))))+(IF(R878="BAJA(1)",1,IF(R878="MEDIA(2)",2,IF(R878="ALTA(3)",3,3))))</f>
        <v/>
      </c>
      <c r="T878" s="10">
        <f>+IF(S878&lt;6,"BAJA",IF(S878&lt;8,"MEDIA","ALTA"))</f>
        <v/>
      </c>
      <c r="U878" s="10" t="inlineStr">
        <is>
          <t>-</t>
        </is>
      </c>
      <c r="V878" s="24" t="n">
        <v>45681</v>
      </c>
      <c r="W878" s="19" t="inlineStr">
        <is>
          <t>N/A</t>
        </is>
      </c>
      <c r="X878" s="10">
        <f>+IFERROR(IF(VLOOKUP(Tabla2[[#This Row],[ID]],'EVALUACION DE RIESGO'!A:A,1,FALSE)=Tabla2[[#This Row],[ID]],"SI","NO"),"NO")</f>
        <v/>
      </c>
    </row>
    <row r="879">
      <c r="A879" s="91" t="inlineStr">
        <is>
          <t>56-GES</t>
        </is>
      </c>
      <c r="B879" s="10" t="inlineStr">
        <is>
          <t>ESTRATÉGICO</t>
        </is>
      </c>
      <c r="C879" s="10" t="inlineStr">
        <is>
          <t xml:space="preserve">Gestión Estratégica </t>
        </is>
      </c>
      <c r="D879" s="10" t="inlineStr">
        <is>
          <t>GES</t>
        </is>
      </c>
      <c r="E879" s="10" t="inlineStr">
        <is>
          <t xml:space="preserve">Planificación Operativa </t>
        </is>
      </c>
      <c r="F879" s="10" t="inlineStr">
        <is>
          <t>-</t>
        </is>
      </c>
      <c r="G879" s="10" t="inlineStr">
        <is>
          <t>Elaboración del Plan Operativo</t>
        </is>
      </c>
      <c r="H879" s="10" t="inlineStr">
        <is>
          <t>Plan Operativo Anual</t>
        </is>
      </c>
      <c r="I879" s="10" t="inlineStr">
        <is>
          <t>Descripción del proyecto para el periodo estabecido</t>
        </is>
      </c>
      <c r="J879" s="10" t="inlineStr">
        <is>
          <t>JEFE DE PLANIFICACIÓN Y PROCESOS</t>
        </is>
      </c>
      <c r="K879" s="10" t="inlineStr">
        <is>
          <t>JEFE DE PLANIFICACIÓN Y PROCESOS</t>
        </is>
      </c>
      <c r="L879" s="10" t="inlineStr">
        <is>
          <t>UBICACIÓN DIGITAL-EQUIPO DEL CUSTODIO</t>
        </is>
      </c>
      <c r="M879" s="10" t="inlineStr">
        <is>
          <t>DOCUMENTO DE ARCHIVO-ELECTRÓNICO</t>
        </is>
      </c>
      <c r="N879" s="10" t="inlineStr">
        <is>
          <t>PRIMARIOS</t>
        </is>
      </c>
      <c r="O879" s="10" t="inlineStr">
        <is>
          <t>DOCUMENTOS TÉCNICOS</t>
        </is>
      </c>
      <c r="P879" s="10" t="inlineStr">
        <is>
          <t>PUBLICA(1)</t>
        </is>
      </c>
      <c r="Q879" s="10" t="inlineStr">
        <is>
          <t>BAJA(1)</t>
        </is>
      </c>
      <c r="R879" s="10" t="inlineStr">
        <is>
          <t>ALTA(3)</t>
        </is>
      </c>
      <c r="S879" s="10">
        <f>+(IF(P879="PUBLICA(1)",1,IF(P879="USO INTERNO(2)",2,IF(P879="RESTRINGIDO(3)",3,3))))+(IF(Q879="BAJA(1)",1,IF(Q879="MEDIA(2)",2,IF(Q879="ALTA(3)",3,3))))+(IF(R879="BAJA(1)",1,IF(R879="MEDIA(2)",2,IF(R879="ALTA(3)",3,3))))</f>
        <v/>
      </c>
      <c r="T879" s="10">
        <f>+IF(S879&lt;6,"BAJA",IF(S879&lt;8,"MEDIA","ALTA"))</f>
        <v/>
      </c>
      <c r="U879" s="10" t="inlineStr">
        <is>
          <t>-</t>
        </is>
      </c>
      <c r="V879" s="24" t="n">
        <v>45681</v>
      </c>
      <c r="W879" s="19" t="inlineStr">
        <is>
          <t>N/A</t>
        </is>
      </c>
      <c r="X879" s="10">
        <f>+IFERROR(IF(VLOOKUP(Tabla2[[#This Row],[ID]],'EVALUACION DE RIESGO'!A:A,1,FALSE)=Tabla2[[#This Row],[ID]],"SI","NO"),"NO")</f>
        <v/>
      </c>
    </row>
    <row r="880">
      <c r="A880" s="91" t="inlineStr">
        <is>
          <t>57-GES</t>
        </is>
      </c>
      <c r="B880" s="10" t="inlineStr">
        <is>
          <t>ESTRATÉGICO</t>
        </is>
      </c>
      <c r="C880" s="10" t="inlineStr">
        <is>
          <t xml:space="preserve">Gestión Estratégica </t>
        </is>
      </c>
      <c r="D880" s="10" t="inlineStr">
        <is>
          <t>GES</t>
        </is>
      </c>
      <c r="E880" s="10" t="inlineStr">
        <is>
          <t xml:space="preserve">Planificación Operativa </t>
        </is>
      </c>
      <c r="F880" s="10" t="inlineStr">
        <is>
          <t>-</t>
        </is>
      </c>
      <c r="G880" s="10" t="inlineStr">
        <is>
          <t>Elaboración del Plan Operativo</t>
        </is>
      </c>
      <c r="H880" s="10" t="inlineStr">
        <is>
          <t xml:space="preserve">Certificación de aprobación del POA anual </t>
        </is>
      </c>
      <c r="I880" s="10" t="inlineStr">
        <is>
          <t>Archivo Certificado</t>
        </is>
      </c>
      <c r="J880" s="10" t="inlineStr">
        <is>
          <t>JEFE DE PLANIFICACIÓN Y PROCESOS</t>
        </is>
      </c>
      <c r="K880" s="10" t="inlineStr">
        <is>
          <t>JEFE DE PLANIFICACIÓN Y PROCESOS</t>
        </is>
      </c>
      <c r="L880" s="10" t="inlineStr">
        <is>
          <t>UBICACIÓN DIGITAL-EQUIPO DEL CUSTODIO</t>
        </is>
      </c>
      <c r="M880" s="10" t="inlineStr">
        <is>
          <t>DOCUMENTO DE ARCHIVO-ELECTRÓNICO</t>
        </is>
      </c>
      <c r="N880" s="10" t="inlineStr">
        <is>
          <t>PRIMARIOS</t>
        </is>
      </c>
      <c r="O880" s="10" t="inlineStr">
        <is>
          <t>DOCUMENTOS TÉCNICOS</t>
        </is>
      </c>
      <c r="P880" s="10" t="inlineStr">
        <is>
          <t>PUBLICA(1)</t>
        </is>
      </c>
      <c r="Q880" s="10" t="inlineStr">
        <is>
          <t>BAJA(1)</t>
        </is>
      </c>
      <c r="R880" s="10" t="inlineStr">
        <is>
          <t>ALTA(3)</t>
        </is>
      </c>
      <c r="S880" s="10">
        <f>+(IF(P880="PUBLICA(1)",1,IF(P880="USO INTERNO(2)",2,IF(P880="RESTRINGIDO(3)",3,3))))+(IF(Q880="BAJA(1)",1,IF(Q880="MEDIA(2)",2,IF(Q880="ALTA(3)",3,3))))+(IF(R880="BAJA(1)",1,IF(R880="MEDIA(2)",2,IF(R880="ALTA(3)",3,3))))</f>
        <v/>
      </c>
      <c r="T880" s="10">
        <f>+IF(S880&lt;6,"BAJA",IF(S880&lt;8,"MEDIA","ALTA"))</f>
        <v/>
      </c>
      <c r="U880" s="10" t="inlineStr">
        <is>
          <t>-</t>
        </is>
      </c>
      <c r="V880" s="24" t="n">
        <v>45681</v>
      </c>
      <c r="W880" s="19" t="inlineStr">
        <is>
          <t>N/A</t>
        </is>
      </c>
      <c r="X880" s="10">
        <f>+IFERROR(IF(VLOOKUP(Tabla2[[#This Row],[ID]],'EVALUACION DE RIESGO'!A:A,1,FALSE)=Tabla2[[#This Row],[ID]],"SI","NO"),"NO")</f>
        <v/>
      </c>
    </row>
    <row r="881">
      <c r="A881" s="91" t="inlineStr">
        <is>
          <t>58-GES</t>
        </is>
      </c>
      <c r="B881" s="10" t="inlineStr">
        <is>
          <t>ESTRATÉGICO</t>
        </is>
      </c>
      <c r="C881" s="10" t="inlineStr">
        <is>
          <t xml:space="preserve">Gestión Estratégica </t>
        </is>
      </c>
      <c r="D881" s="10" t="inlineStr">
        <is>
          <t>GES</t>
        </is>
      </c>
      <c r="E881" s="10" t="inlineStr">
        <is>
          <t xml:space="preserve">Planificación Operativa </t>
        </is>
      </c>
      <c r="F881" s="10" t="inlineStr">
        <is>
          <t>-</t>
        </is>
      </c>
      <c r="G881" s="10" t="inlineStr">
        <is>
          <t>Elaboración del Plan Operativo</t>
        </is>
      </c>
      <c r="H881" s="10" t="inlineStr">
        <is>
          <t>Resolución de Asamblea de Representantes</t>
        </is>
      </c>
      <c r="I881" s="10" t="inlineStr">
        <is>
          <t>Resoluciones por la asamblea</t>
        </is>
      </c>
      <c r="J881" s="10" t="inlineStr">
        <is>
          <t>JEFE DE PLANIFICACIÓN Y PROCESOS</t>
        </is>
      </c>
      <c r="K881" s="10" t="inlineStr">
        <is>
          <t>JEFE DE PLANIFICACIÓN Y PROCESOS</t>
        </is>
      </c>
      <c r="L881" s="10" t="inlineStr">
        <is>
          <t>UBICACIÓN DIGITAL-EQUIPO DEL CUSTODIO</t>
        </is>
      </c>
      <c r="M881" s="10" t="inlineStr">
        <is>
          <t>DOCUMENTO DE ARCHIVO-ELECTRÓNICO</t>
        </is>
      </c>
      <c r="N881" s="10" t="inlineStr">
        <is>
          <t>PRIMARIOS</t>
        </is>
      </c>
      <c r="O881" s="10" t="inlineStr">
        <is>
          <t>DOCUMENTOS TÉCNICOS</t>
        </is>
      </c>
      <c r="P881" s="10" t="inlineStr">
        <is>
          <t>PUBLICA(1)</t>
        </is>
      </c>
      <c r="Q881" s="10" t="inlineStr">
        <is>
          <t>BAJA(1)</t>
        </is>
      </c>
      <c r="R881" s="10" t="inlineStr">
        <is>
          <t>ALTA(3)</t>
        </is>
      </c>
      <c r="S881" s="10">
        <f>+(IF(P881="PUBLICA(1)",1,IF(P881="USO INTERNO(2)",2,IF(P881="RESTRINGIDO(3)",3,3))))+(IF(Q881="BAJA(1)",1,IF(Q881="MEDIA(2)",2,IF(Q881="ALTA(3)",3,3))))+(IF(R881="BAJA(1)",1,IF(R881="MEDIA(2)",2,IF(R881="ALTA(3)",3,3))))</f>
        <v/>
      </c>
      <c r="T881" s="10">
        <f>+IF(S881&lt;6,"BAJA",IF(S881&lt;8,"MEDIA","ALTA"))</f>
        <v/>
      </c>
      <c r="U881" s="10" t="inlineStr">
        <is>
          <t>-</t>
        </is>
      </c>
      <c r="V881" s="24" t="n">
        <v>45681</v>
      </c>
      <c r="W881" s="19" t="inlineStr">
        <is>
          <t>N/A</t>
        </is>
      </c>
      <c r="X881" s="10">
        <f>+IFERROR(IF(VLOOKUP(Tabla2[[#This Row],[ID]],'EVALUACION DE RIESGO'!A:A,1,FALSE)=Tabla2[[#This Row],[ID]],"SI","NO"),"NO")</f>
        <v/>
      </c>
    </row>
    <row r="882">
      <c r="A882" s="91" t="inlineStr">
        <is>
          <t>59-GES</t>
        </is>
      </c>
      <c r="B882" s="10" t="inlineStr">
        <is>
          <t>ESTRATÉGICO</t>
        </is>
      </c>
      <c r="C882" s="10" t="inlineStr">
        <is>
          <t xml:space="preserve">Gestión Estratégica </t>
        </is>
      </c>
      <c r="D882" s="10" t="inlineStr">
        <is>
          <t>GES</t>
        </is>
      </c>
      <c r="E882" s="10" t="inlineStr">
        <is>
          <t xml:space="preserve">Planificación Operativa </t>
        </is>
      </c>
      <c r="F882" s="10" t="inlineStr">
        <is>
          <t>-</t>
        </is>
      </c>
      <c r="G882" s="10" t="inlineStr">
        <is>
          <t>Elaboración del Plan Operativo</t>
        </is>
      </c>
      <c r="H882" s="10" t="inlineStr">
        <is>
          <t>Matriz de evaluación del plan operativo anual</t>
        </is>
      </c>
      <c r="I882" s="10" t="inlineStr">
        <is>
          <t>Documento de evaluación</t>
        </is>
      </c>
      <c r="J882" s="10" t="inlineStr">
        <is>
          <t>JEFE DE PLANIFICACIÓN Y PROCESOS</t>
        </is>
      </c>
      <c r="K882" s="10" t="inlineStr">
        <is>
          <t>JEFE DE PLANIFICACIÓN Y PROCESOS</t>
        </is>
      </c>
      <c r="L882" s="10" t="inlineStr">
        <is>
          <t>UBICACIÓN DIGITAL-EQUIPO DEL CUSTODIO</t>
        </is>
      </c>
      <c r="M882" s="10" t="inlineStr">
        <is>
          <t>DOCUMENTO DE ARCHIVO-ELECTRÓNICO</t>
        </is>
      </c>
      <c r="N882" s="10" t="inlineStr">
        <is>
          <t>PRIMARIOS</t>
        </is>
      </c>
      <c r="O882" s="10" t="inlineStr">
        <is>
          <t>DOCUMENTOS TÉCNICOS</t>
        </is>
      </c>
      <c r="P882" s="10" t="inlineStr">
        <is>
          <t>PUBLICA(1)</t>
        </is>
      </c>
      <c r="Q882" s="10" t="inlineStr">
        <is>
          <t>BAJA(1)</t>
        </is>
      </c>
      <c r="R882" s="10" t="inlineStr">
        <is>
          <t>ALTA(3)</t>
        </is>
      </c>
      <c r="S882" s="10">
        <f>+(IF(P882="PUBLICA(1)",1,IF(P882="USO INTERNO(2)",2,IF(P882="RESTRINGIDO(3)",3,3))))+(IF(Q882="BAJA(1)",1,IF(Q882="MEDIA(2)",2,IF(Q882="ALTA(3)",3,3))))+(IF(R882="BAJA(1)",1,IF(R882="MEDIA(2)",2,IF(R882="ALTA(3)",3,3))))</f>
        <v/>
      </c>
      <c r="T882" s="10">
        <f>+IF(S882&lt;6,"BAJA",IF(S882&lt;8,"MEDIA","ALTA"))</f>
        <v/>
      </c>
      <c r="U882" s="10" t="inlineStr">
        <is>
          <t>-</t>
        </is>
      </c>
      <c r="V882" s="24" t="n">
        <v>45681</v>
      </c>
      <c r="W882" s="19" t="inlineStr">
        <is>
          <t>N/A</t>
        </is>
      </c>
      <c r="X882" s="10">
        <f>+IFERROR(IF(VLOOKUP(Tabla2[[#This Row],[ID]],'EVALUACION DE RIESGO'!A:A,1,FALSE)=Tabla2[[#This Row],[ID]],"SI","NO"),"NO")</f>
        <v/>
      </c>
    </row>
    <row r="883">
      <c r="A883" s="91" t="inlineStr">
        <is>
          <t>60-GES</t>
        </is>
      </c>
      <c r="B883" s="10" t="inlineStr">
        <is>
          <t>ESTRATÉGICO</t>
        </is>
      </c>
      <c r="C883" s="10" t="inlineStr">
        <is>
          <t xml:space="preserve">Gestión Estratégica </t>
        </is>
      </c>
      <c r="D883" s="10" t="inlineStr">
        <is>
          <t>GES</t>
        </is>
      </c>
      <c r="E883" s="10" t="inlineStr">
        <is>
          <t xml:space="preserve">Planificación Operativa </t>
        </is>
      </c>
      <c r="F883" s="10" t="inlineStr">
        <is>
          <t>-</t>
        </is>
      </c>
      <c r="G883" s="10" t="inlineStr">
        <is>
          <t>Seguimiento y evaluación del Plan Operativo</t>
        </is>
      </c>
      <c r="H883" s="10" t="inlineStr">
        <is>
          <t>Plan Operativo Anual</t>
        </is>
      </c>
      <c r="I883" s="10" t="inlineStr">
        <is>
          <t>Descripción del proyecto para el periodo estabecido</t>
        </is>
      </c>
      <c r="J883" s="10" t="inlineStr">
        <is>
          <t>JEFE DE PLANIFICACIÓN Y PROCESOS</t>
        </is>
      </c>
      <c r="K883" s="10" t="inlineStr">
        <is>
          <t>JEFE DE PLANIFICACIÓN Y PROCESOS</t>
        </is>
      </c>
      <c r="L883" s="10" t="inlineStr">
        <is>
          <t>UBICACIÓN DIGITAL-EQUIPO DEL CUSTODIO</t>
        </is>
      </c>
      <c r="M883" s="10" t="inlineStr">
        <is>
          <t>DOCUMENTO DE ARCHIVO-ELECTRÓNICO</t>
        </is>
      </c>
      <c r="N883" s="10" t="inlineStr">
        <is>
          <t>PRIMARIOS</t>
        </is>
      </c>
      <c r="O883" s="10" t="inlineStr">
        <is>
          <t>DOCUMENTOS TÉCNICOS</t>
        </is>
      </c>
      <c r="P883" s="10" t="inlineStr">
        <is>
          <t>PUBLICA(1)</t>
        </is>
      </c>
      <c r="Q883" s="10" t="inlineStr">
        <is>
          <t>BAJA(1)</t>
        </is>
      </c>
      <c r="R883" s="10" t="inlineStr">
        <is>
          <t>ALTA(3)</t>
        </is>
      </c>
      <c r="S883" s="10">
        <f>+(IF(P883="PUBLICA(1)",1,IF(P883="USO INTERNO(2)",2,IF(P883="RESTRINGIDO(3)",3,3))))+(IF(Q883="BAJA(1)",1,IF(Q883="MEDIA(2)",2,IF(Q883="ALTA(3)",3,3))))+(IF(R883="BAJA(1)",1,IF(R883="MEDIA(2)",2,IF(R883="ALTA(3)",3,3))))</f>
        <v/>
      </c>
      <c r="T883" s="10">
        <f>+IF(S883&lt;6,"BAJA",IF(S883&lt;8,"MEDIA","ALTA"))</f>
        <v/>
      </c>
      <c r="U883" s="10" t="inlineStr">
        <is>
          <t>-</t>
        </is>
      </c>
      <c r="V883" s="24" t="n">
        <v>45681</v>
      </c>
      <c r="W883" s="19" t="inlineStr">
        <is>
          <t>N/A</t>
        </is>
      </c>
      <c r="X883" s="10">
        <f>+IFERROR(IF(VLOOKUP(Tabla2[[#This Row],[ID]],'EVALUACION DE RIESGO'!A:A,1,FALSE)=Tabla2[[#This Row],[ID]],"SI","NO"),"NO")</f>
        <v/>
      </c>
    </row>
    <row r="884">
      <c r="A884" s="91" t="inlineStr">
        <is>
          <t>61-GES</t>
        </is>
      </c>
      <c r="B884" s="10" t="inlineStr">
        <is>
          <t>ESTRATÉGICO</t>
        </is>
      </c>
      <c r="C884" s="10" t="inlineStr">
        <is>
          <t xml:space="preserve">Gestión Estratégica </t>
        </is>
      </c>
      <c r="D884" s="10" t="inlineStr">
        <is>
          <t>GES</t>
        </is>
      </c>
      <c r="E884" s="10" t="inlineStr">
        <is>
          <t xml:space="preserve">Planificación Operativa </t>
        </is>
      </c>
      <c r="F884" s="10" t="inlineStr">
        <is>
          <t>-</t>
        </is>
      </c>
      <c r="G884" s="10" t="inlineStr">
        <is>
          <t>Seguimiento y evaluación del Plan Operativo</t>
        </is>
      </c>
      <c r="H884" s="10" t="inlineStr">
        <is>
          <t>Matriz de evaluación del Plan Operativo Anual</t>
        </is>
      </c>
      <c r="I884" s="10" t="inlineStr">
        <is>
          <t>Documento de evaluación</t>
        </is>
      </c>
      <c r="J884" s="10" t="inlineStr">
        <is>
          <t>JEFE DE PLANIFICACIÓN Y PROCESOS</t>
        </is>
      </c>
      <c r="K884" s="10" t="inlineStr">
        <is>
          <t>JEFE DE PLANIFICACIÓN Y PROCESOS</t>
        </is>
      </c>
      <c r="L884" s="10" t="inlineStr">
        <is>
          <t>UBICACIÓN DIGITAL-EQUIPO DEL CUSTODIO</t>
        </is>
      </c>
      <c r="M884" s="10" t="inlineStr">
        <is>
          <t>DOCUMENTO DE ARCHIVO-ELECTRÓNICO</t>
        </is>
      </c>
      <c r="N884" s="10" t="inlineStr">
        <is>
          <t>PRIMARIOS</t>
        </is>
      </c>
      <c r="O884" s="10" t="inlineStr">
        <is>
          <t>DOCUMENTOS TÉCNICOS</t>
        </is>
      </c>
      <c r="P884" s="10" t="inlineStr">
        <is>
          <t>PUBLICA(1)</t>
        </is>
      </c>
      <c r="Q884" s="10" t="inlineStr">
        <is>
          <t>BAJA(1)</t>
        </is>
      </c>
      <c r="R884" s="10" t="inlineStr">
        <is>
          <t>ALTA(3)</t>
        </is>
      </c>
      <c r="S884" s="10">
        <f>+(IF(P884="PUBLICA(1)",1,IF(P884="USO INTERNO(2)",2,IF(P884="RESTRINGIDO(3)",3,3))))+(IF(Q884="BAJA(1)",1,IF(Q884="MEDIA(2)",2,IF(Q884="ALTA(3)",3,3))))+(IF(R884="BAJA(1)",1,IF(R884="MEDIA(2)",2,IF(R884="ALTA(3)",3,3))))</f>
        <v/>
      </c>
      <c r="T884" s="10">
        <f>+IF(S884&lt;6,"BAJA",IF(S884&lt;8,"MEDIA","ALTA"))</f>
        <v/>
      </c>
      <c r="U884" s="10" t="inlineStr">
        <is>
          <t>-</t>
        </is>
      </c>
      <c r="V884" s="24" t="n">
        <v>45681</v>
      </c>
      <c r="W884" s="19" t="inlineStr">
        <is>
          <t>N/A</t>
        </is>
      </c>
      <c r="X884" s="10">
        <f>+IFERROR(IF(VLOOKUP(Tabla2[[#This Row],[ID]],'EVALUACION DE RIESGO'!A:A,1,FALSE)=Tabla2[[#This Row],[ID]],"SI","NO"),"NO")</f>
        <v/>
      </c>
    </row>
    <row r="885">
      <c r="A885" s="91" t="inlineStr">
        <is>
          <t>62-GES</t>
        </is>
      </c>
      <c r="B885" s="10" t="inlineStr">
        <is>
          <t>ESTRATÉGICO</t>
        </is>
      </c>
      <c r="C885" s="10" t="inlineStr">
        <is>
          <t xml:space="preserve">Gestión Estratégica </t>
        </is>
      </c>
      <c r="D885" s="10" t="inlineStr">
        <is>
          <t>GES</t>
        </is>
      </c>
      <c r="E885" s="10" t="inlineStr">
        <is>
          <t xml:space="preserve">Planificación Operativa </t>
        </is>
      </c>
      <c r="F885" s="10" t="inlineStr">
        <is>
          <t>-</t>
        </is>
      </c>
      <c r="G885" s="10" t="inlineStr">
        <is>
          <t>Seguimiento y evaluación del Plan Operativo</t>
        </is>
      </c>
      <c r="H885" s="10" t="inlineStr">
        <is>
          <t>Documentos de Sustento POA</t>
        </is>
      </c>
      <c r="I885" s="10" t="inlineStr">
        <is>
          <t>Informes de cumplimiento de actividades</t>
        </is>
      </c>
      <c r="J885" s="10" t="inlineStr">
        <is>
          <t>JEFE DE PLANIFICACIÓN Y PROCESOS</t>
        </is>
      </c>
      <c r="K885" s="10" t="inlineStr">
        <is>
          <t>JEFE DE PLANIFICACIÓN Y PROCESOS</t>
        </is>
      </c>
      <c r="L885" s="10" t="inlineStr">
        <is>
          <t>UBICACIÓN DIGITAL-EQUIPO DEL CUSTODIO</t>
        </is>
      </c>
      <c r="M885" s="10" t="inlineStr">
        <is>
          <t>DOCUMENTO DE ARCHIVO-ELECTRÓNICO</t>
        </is>
      </c>
      <c r="N885" s="10" t="inlineStr">
        <is>
          <t>PRIMARIOS</t>
        </is>
      </c>
      <c r="O885" s="10" t="inlineStr">
        <is>
          <t>DOCUMENTOS TÉCNICOS</t>
        </is>
      </c>
      <c r="P885" s="10" t="inlineStr">
        <is>
          <t>PUBLICA(1)</t>
        </is>
      </c>
      <c r="Q885" s="10" t="inlineStr">
        <is>
          <t>BAJA(1)</t>
        </is>
      </c>
      <c r="R885" s="10" t="inlineStr">
        <is>
          <t>BAJA(1)</t>
        </is>
      </c>
      <c r="S885" s="10">
        <f>+(IF(P885="PUBLICA(1)",1,IF(P885="USO INTERNO(2)",2,IF(P885="RESTRINGIDO(3)",3,3))))+(IF(Q885="BAJA(1)",1,IF(Q885="MEDIA(2)",2,IF(Q885="ALTA(3)",3,3))))+(IF(R885="BAJA(1)",1,IF(R885="MEDIA(2)",2,IF(R885="ALTA(3)",3,3))))</f>
        <v/>
      </c>
      <c r="T885" s="10">
        <f>+IF(S885&lt;6,"BAJA",IF(S885&lt;8,"MEDIA","ALTA"))</f>
        <v/>
      </c>
      <c r="U885" s="10" t="inlineStr">
        <is>
          <t>-</t>
        </is>
      </c>
      <c r="V885" s="24" t="n">
        <v>45681</v>
      </c>
      <c r="W885" s="19" t="inlineStr">
        <is>
          <t>N/A</t>
        </is>
      </c>
      <c r="X885" s="10">
        <f>+IFERROR(IF(VLOOKUP(Tabla2[[#This Row],[ID]],'EVALUACION DE RIESGO'!A:A,1,FALSE)=Tabla2[[#This Row],[ID]],"SI","NO"),"NO")</f>
        <v/>
      </c>
    </row>
    <row r="886">
      <c r="A886" s="91" t="inlineStr">
        <is>
          <t>63-GES</t>
        </is>
      </c>
      <c r="B886" s="10" t="inlineStr">
        <is>
          <t>ESTRATÉGICO</t>
        </is>
      </c>
      <c r="C886" s="10" t="inlineStr">
        <is>
          <t xml:space="preserve">Gestión Estratégica </t>
        </is>
      </c>
      <c r="D886" s="10" t="inlineStr">
        <is>
          <t>GES</t>
        </is>
      </c>
      <c r="E886" s="10" t="inlineStr">
        <is>
          <t xml:space="preserve">Planificación Operativa </t>
        </is>
      </c>
      <c r="F886" s="10" t="inlineStr">
        <is>
          <t>-</t>
        </is>
      </c>
      <c r="G886" s="10" t="inlineStr">
        <is>
          <t>Seguimiento y evaluación del Plan Operativo</t>
        </is>
      </c>
      <c r="H886" s="10" t="inlineStr">
        <is>
          <t>Matriz de evaluación del Plan Operativo Anual</t>
        </is>
      </c>
      <c r="I886" s="10" t="inlineStr">
        <is>
          <t>Matriz de evaluacion</t>
        </is>
      </c>
      <c r="J886" s="10" t="inlineStr">
        <is>
          <t>JEFE DE PLANIFICACIÓN Y PROCESOS</t>
        </is>
      </c>
      <c r="K886" s="10" t="inlineStr">
        <is>
          <t>JEFE DE PLANIFICACIÓN Y PROCESOS</t>
        </is>
      </c>
      <c r="L886" s="10" t="inlineStr">
        <is>
          <t>UBICACIÓN DIGITAL-EQUIPO DEL CUSTODIO</t>
        </is>
      </c>
      <c r="M886" s="10" t="inlineStr">
        <is>
          <t>DOCUMENTO DE ARCHIVO-ELECTRÓNICO</t>
        </is>
      </c>
      <c r="N886" s="10" t="inlineStr">
        <is>
          <t>PRIMARIOS</t>
        </is>
      </c>
      <c r="O886" s="10" t="inlineStr">
        <is>
          <t>DOCUMENTOS TÉCNICOS</t>
        </is>
      </c>
      <c r="P886" s="10" t="inlineStr">
        <is>
          <t>PUBLICA(1)</t>
        </is>
      </c>
      <c r="Q886" s="10" t="inlineStr">
        <is>
          <t>BAJA(1)</t>
        </is>
      </c>
      <c r="R886" s="10" t="inlineStr">
        <is>
          <t>ALTA(3)</t>
        </is>
      </c>
      <c r="S886" s="10">
        <f>+(IF(P886="PUBLICA(1)",1,IF(P886="USO INTERNO(2)",2,IF(P886="RESTRINGIDO(3)",3,3))))+(IF(Q886="BAJA(1)",1,IF(Q886="MEDIA(2)",2,IF(Q886="ALTA(3)",3,3))))+(IF(R886="BAJA(1)",1,IF(R886="MEDIA(2)",2,IF(R886="ALTA(3)",3,3))))</f>
        <v/>
      </c>
      <c r="T886" s="10">
        <f>+IF(S886&lt;6,"BAJA",IF(S886&lt;8,"MEDIA","ALTA"))</f>
        <v/>
      </c>
      <c r="U886" s="10" t="inlineStr">
        <is>
          <t>-</t>
        </is>
      </c>
      <c r="V886" s="24" t="n">
        <v>45681</v>
      </c>
      <c r="W886" s="19" t="inlineStr">
        <is>
          <t>N/A</t>
        </is>
      </c>
      <c r="X886" s="10">
        <f>+IFERROR(IF(VLOOKUP(Tabla2[[#This Row],[ID]],'EVALUACION DE RIESGO'!A:A,1,FALSE)=Tabla2[[#This Row],[ID]],"SI","NO"),"NO")</f>
        <v/>
      </c>
    </row>
    <row r="887">
      <c r="A887" s="91" t="inlineStr">
        <is>
          <t>64-GES</t>
        </is>
      </c>
      <c r="B887" s="10" t="inlineStr">
        <is>
          <t>ESTRATÉGICO</t>
        </is>
      </c>
      <c r="C887" s="10" t="inlineStr">
        <is>
          <t xml:space="preserve">Gestión Estratégica </t>
        </is>
      </c>
      <c r="D887" s="10" t="inlineStr">
        <is>
          <t>GES</t>
        </is>
      </c>
      <c r="E887" s="10" t="inlineStr">
        <is>
          <t xml:space="preserve">Planificación Operativa </t>
        </is>
      </c>
      <c r="F887" s="10" t="inlineStr">
        <is>
          <t>-</t>
        </is>
      </c>
      <c r="G887" s="10" t="inlineStr">
        <is>
          <t>Seguimiento y evaluación del Plan Operativo</t>
        </is>
      </c>
      <c r="H887" s="10" t="inlineStr">
        <is>
          <t xml:space="preserve">Informe de evaluación Plan Operativo </t>
        </is>
      </c>
      <c r="I887" s="10" t="inlineStr">
        <is>
          <t>Gobierno Corporativo / Archivo</t>
        </is>
      </c>
      <c r="J887" s="10" t="inlineStr">
        <is>
          <t>JEFE DE PLANIFICACIÓN Y PROCESOS</t>
        </is>
      </c>
      <c r="K887" s="10" t="inlineStr">
        <is>
          <t>JEFE DE PLANIFICACIÓN Y PROCESOS</t>
        </is>
      </c>
      <c r="L887" s="10" t="inlineStr">
        <is>
          <t>UBICACIÓN DIGITAL-EQUIPO DEL CUSTODIO</t>
        </is>
      </c>
      <c r="M887" s="10" t="inlineStr">
        <is>
          <t>DOCUMENTO DE ARCHIVO-ELECTRÓNICO</t>
        </is>
      </c>
      <c r="N887" s="10" t="inlineStr">
        <is>
          <t>PRIMARIOS</t>
        </is>
      </c>
      <c r="O887" s="10" t="inlineStr">
        <is>
          <t>DOCUMENTOS TÉCNICOS</t>
        </is>
      </c>
      <c r="P887" s="10" t="inlineStr">
        <is>
          <t>PUBLICA(1)</t>
        </is>
      </c>
      <c r="Q887" s="10" t="inlineStr">
        <is>
          <t>BAJA(1)</t>
        </is>
      </c>
      <c r="R887" s="10" t="inlineStr">
        <is>
          <t>ALTA(3)</t>
        </is>
      </c>
      <c r="S887" s="10">
        <f>+(IF(P887="PUBLICA(1)",1,IF(P887="USO INTERNO(2)",2,IF(P887="RESTRINGIDO(3)",3,3))))+(IF(Q887="BAJA(1)",1,IF(Q887="MEDIA(2)",2,IF(Q887="ALTA(3)",3,3))))+(IF(R887="BAJA(1)",1,IF(R887="MEDIA(2)",2,IF(R887="ALTA(3)",3,3))))</f>
        <v/>
      </c>
      <c r="T887" s="10">
        <f>+IF(S887&lt;6,"BAJA",IF(S887&lt;8,"MEDIA","ALTA"))</f>
        <v/>
      </c>
      <c r="U887" s="10" t="inlineStr">
        <is>
          <t>-</t>
        </is>
      </c>
      <c r="V887" s="24" t="n">
        <v>45681</v>
      </c>
      <c r="W887" s="19" t="inlineStr">
        <is>
          <t>N/A</t>
        </is>
      </c>
      <c r="X887" s="10">
        <f>+IFERROR(IF(VLOOKUP(Tabla2[[#This Row],[ID]],'EVALUACION DE RIESGO'!A:A,1,FALSE)=Tabla2[[#This Row],[ID]],"SI","NO"),"NO")</f>
        <v/>
      </c>
    </row>
    <row r="888">
      <c r="A888" s="91" t="inlineStr">
        <is>
          <t>65-GES</t>
        </is>
      </c>
      <c r="B888" s="10" t="inlineStr">
        <is>
          <t>ESTRATÉGICO</t>
        </is>
      </c>
      <c r="C888" s="10" t="inlineStr">
        <is>
          <t xml:space="preserve">Gestión Estratégica </t>
        </is>
      </c>
      <c r="D888" s="10" t="inlineStr">
        <is>
          <t>GES</t>
        </is>
      </c>
      <c r="E888" s="10" t="inlineStr">
        <is>
          <t xml:space="preserve">Planificación Operativa </t>
        </is>
      </c>
      <c r="F888" s="10" t="inlineStr">
        <is>
          <t>-</t>
        </is>
      </c>
      <c r="G888" s="10" t="inlineStr">
        <is>
          <t>Seguimiento y evaluación del Plan Operativo</t>
        </is>
      </c>
      <c r="H888" s="10" t="inlineStr">
        <is>
          <t xml:space="preserve">Evaluación del gasto en el Plan Operativo Anual </t>
        </is>
      </c>
      <c r="I888" s="10" t="inlineStr">
        <is>
          <t>Resumen de acuerdo al presupuesto</t>
        </is>
      </c>
      <c r="J888" s="10" t="inlineStr">
        <is>
          <t>JEFE DE PLANIFICACIÓN Y PROCESOS</t>
        </is>
      </c>
      <c r="K888" s="10" t="inlineStr">
        <is>
          <t>JEFE DE PLANIFICACIÓN Y PROCESOS</t>
        </is>
      </c>
      <c r="L888" s="10" t="inlineStr">
        <is>
          <t>UBICACIÓN DIGITAL-EQUIPO DEL CUSTODIO</t>
        </is>
      </c>
      <c r="M888" s="10" t="inlineStr">
        <is>
          <t>DOCUMENTO DE ARCHIVO-ELECTRÓNICO</t>
        </is>
      </c>
      <c r="N888" s="10" t="inlineStr">
        <is>
          <t>PRIMARIOS</t>
        </is>
      </c>
      <c r="O888" s="10" t="inlineStr">
        <is>
          <t>DOCUMENTOS TÉCNICOS</t>
        </is>
      </c>
      <c r="P888" s="10" t="inlineStr">
        <is>
          <t>USO INTERNO(2)</t>
        </is>
      </c>
      <c r="Q888" s="10" t="inlineStr">
        <is>
          <t>ALTA(3)</t>
        </is>
      </c>
      <c r="R888" s="10" t="inlineStr">
        <is>
          <t>MEDIA(2)</t>
        </is>
      </c>
      <c r="S888" s="10">
        <f>+(IF(P888="PUBLICA(1)",1,IF(P888="USO INTERNO(2)",2,IF(P888="RESTRINGIDO(3)",3,3))))+(IF(Q888="BAJA(1)",1,IF(Q888="MEDIA(2)",2,IF(Q888="ALTA(3)",3,3))))+(IF(R888="BAJA(1)",1,IF(R888="MEDIA(2)",2,IF(R888="ALTA(3)",3,3))))</f>
        <v/>
      </c>
      <c r="T888" s="10">
        <f>+IF(S888&lt;6,"BAJA",IF(S888&lt;8,"MEDIA","ALTA"))</f>
        <v/>
      </c>
      <c r="U888" s="10" t="inlineStr">
        <is>
          <t>-</t>
        </is>
      </c>
      <c r="V888" s="24" t="n">
        <v>45681</v>
      </c>
      <c r="W888" s="19" t="inlineStr">
        <is>
          <t>N/A</t>
        </is>
      </c>
      <c r="X888" s="10">
        <f>+IFERROR(IF(VLOOKUP(Tabla2[[#This Row],[ID]],'EVALUACION DE RIESGO'!A:A,1,FALSE)=Tabla2[[#This Row],[ID]],"SI","NO"),"NO")</f>
        <v/>
      </c>
    </row>
    <row r="889">
      <c r="A889" s="91" t="inlineStr">
        <is>
          <t>66-GES</t>
        </is>
      </c>
      <c r="B889" s="10" t="inlineStr">
        <is>
          <t>ESTRATÉGICO</t>
        </is>
      </c>
      <c r="C889" s="10" t="inlineStr">
        <is>
          <t xml:space="preserve">Gestión Estratégica </t>
        </is>
      </c>
      <c r="D889" s="10" t="inlineStr">
        <is>
          <t>GES</t>
        </is>
      </c>
      <c r="E889" s="10" t="inlineStr">
        <is>
          <t xml:space="preserve">Planificación Operativa </t>
        </is>
      </c>
      <c r="F889" s="10" t="inlineStr">
        <is>
          <t>-</t>
        </is>
      </c>
      <c r="G889" s="10" t="inlineStr">
        <is>
          <t>Seguimiento y evaluación del Plan Operativo</t>
        </is>
      </c>
      <c r="H889" s="10" t="inlineStr">
        <is>
          <t xml:space="preserve">Acta de evaluación del Plan Operativo Anual </t>
        </is>
      </c>
      <c r="I889" s="10" t="inlineStr">
        <is>
          <t>Resumen del cumplimiento de actividades</t>
        </is>
      </c>
      <c r="J889" s="10" t="inlineStr">
        <is>
          <t>JEFE DE PLANIFICACIÓN Y PROCESOS</t>
        </is>
      </c>
      <c r="K889" s="10" t="inlineStr">
        <is>
          <t>JEFE DE PLANIFICACIÓN Y PROCESOS</t>
        </is>
      </c>
      <c r="L889" s="10" t="inlineStr">
        <is>
          <t>UBICACIÓN DIGITAL-EQUIPO DEL CUSTODIO</t>
        </is>
      </c>
      <c r="M889" s="10" t="inlineStr">
        <is>
          <t>DOCUMENTO DE ARCHIVO-ELECTRÓNICO</t>
        </is>
      </c>
      <c r="N889" s="10" t="inlineStr">
        <is>
          <t>PRIMARIOS</t>
        </is>
      </c>
      <c r="O889" s="10" t="inlineStr">
        <is>
          <t>DOCUMENTOS TÉCNICOS</t>
        </is>
      </c>
      <c r="P889" s="10" t="inlineStr">
        <is>
          <t>PUBLICA(1)</t>
        </is>
      </c>
      <c r="Q889" s="10" t="inlineStr">
        <is>
          <t>BAJA(1)</t>
        </is>
      </c>
      <c r="R889" s="10" t="inlineStr">
        <is>
          <t>ALTA(3)</t>
        </is>
      </c>
      <c r="S889" s="10">
        <f>+(IF(P889="PUBLICA(1)",1,IF(P889="USO INTERNO(2)",2,IF(P889="RESTRINGIDO(3)",3,3))))+(IF(Q889="BAJA(1)",1,IF(Q889="MEDIA(2)",2,IF(Q889="ALTA(3)",3,3))))+(IF(R889="BAJA(1)",1,IF(R889="MEDIA(2)",2,IF(R889="ALTA(3)",3,3))))</f>
        <v/>
      </c>
      <c r="T889" s="10">
        <f>+IF(S889&lt;6,"BAJA",IF(S889&lt;8,"MEDIA","ALTA"))</f>
        <v/>
      </c>
      <c r="U889" s="10" t="inlineStr">
        <is>
          <t>-</t>
        </is>
      </c>
      <c r="V889" s="24" t="n">
        <v>45681</v>
      </c>
      <c r="W889" s="19" t="inlineStr">
        <is>
          <t>N/A</t>
        </is>
      </c>
      <c r="X889" s="10">
        <f>+IFERROR(IF(VLOOKUP(Tabla2[[#This Row],[ID]],'EVALUACION DE RIESGO'!A:A,1,FALSE)=Tabla2[[#This Row],[ID]],"SI","NO"),"NO")</f>
        <v/>
      </c>
    </row>
    <row r="890">
      <c r="A890" s="91" t="inlineStr">
        <is>
          <t>67-GES</t>
        </is>
      </c>
      <c r="B890" s="10" t="inlineStr">
        <is>
          <t>ESTRATÉGICO</t>
        </is>
      </c>
      <c r="C890" s="10" t="inlineStr">
        <is>
          <t xml:space="preserve">Gestión Estratégica </t>
        </is>
      </c>
      <c r="D890" s="10" t="inlineStr">
        <is>
          <t>GES</t>
        </is>
      </c>
      <c r="E890" s="10" t="inlineStr">
        <is>
          <t xml:space="preserve">Planificación Operativa </t>
        </is>
      </c>
      <c r="F890" s="10" t="inlineStr">
        <is>
          <t>-</t>
        </is>
      </c>
      <c r="G890" s="10" t="inlineStr">
        <is>
          <t>Seguimiento y evaluación del Plan Operativo</t>
        </is>
      </c>
      <c r="H890" s="10" t="inlineStr">
        <is>
          <t xml:space="preserve">Acta del Comité de Planificación, Procesos e Innovación </t>
        </is>
      </c>
      <c r="I890" s="10" t="inlineStr">
        <is>
          <t>Actas del comité</t>
        </is>
      </c>
      <c r="J890" s="10" t="inlineStr">
        <is>
          <t>JEFE DE PLANIFICACIÓN Y PROCESOS</t>
        </is>
      </c>
      <c r="K890" s="10" t="inlineStr">
        <is>
          <t>JEFE DE PLANIFICACIÓN Y PROCESOS</t>
        </is>
      </c>
      <c r="L890" s="10" t="inlineStr">
        <is>
          <t>UBICACIÓN DIGITAL-EQUIPO DEL CUSTODIO</t>
        </is>
      </c>
      <c r="M890" s="10" t="inlineStr">
        <is>
          <t>DOCUMENTO DE ARCHIVO-ELECTRÓNICO</t>
        </is>
      </c>
      <c r="N890" s="10" t="inlineStr">
        <is>
          <t>PRIMARIOS</t>
        </is>
      </c>
      <c r="O890" s="10" t="inlineStr">
        <is>
          <t>DOCUMENTOS TÉCNICOS</t>
        </is>
      </c>
      <c r="P890" s="10" t="inlineStr">
        <is>
          <t>PUBLICA(1)</t>
        </is>
      </c>
      <c r="Q890" s="10" t="inlineStr">
        <is>
          <t>BAJA(1)</t>
        </is>
      </c>
      <c r="R890" s="10" t="inlineStr">
        <is>
          <t>ALTA(3)</t>
        </is>
      </c>
      <c r="S890" s="10">
        <f>+(IF(P890="PUBLICA(1)",1,IF(P890="USO INTERNO(2)",2,IF(P890="RESTRINGIDO(3)",3,3))))+(IF(Q890="BAJA(1)",1,IF(Q890="MEDIA(2)",2,IF(Q890="ALTA(3)",3,3))))+(IF(R890="BAJA(1)",1,IF(R890="MEDIA(2)",2,IF(R890="ALTA(3)",3,3))))</f>
        <v/>
      </c>
      <c r="T890" s="10">
        <f>+IF(S890&lt;6,"BAJA",IF(S890&lt;8,"MEDIA","ALTA"))</f>
        <v/>
      </c>
      <c r="U890" s="10" t="inlineStr">
        <is>
          <t>-</t>
        </is>
      </c>
      <c r="V890" s="24" t="n">
        <v>45681</v>
      </c>
      <c r="W890" s="19" t="inlineStr">
        <is>
          <t>N/A</t>
        </is>
      </c>
      <c r="X890" s="10">
        <f>+IFERROR(IF(VLOOKUP(Tabla2[[#This Row],[ID]],'EVALUACION DE RIESGO'!A:A,1,FALSE)=Tabla2[[#This Row],[ID]],"SI","NO"),"NO")</f>
        <v/>
      </c>
    </row>
    <row r="891">
      <c r="A891" s="91" t="inlineStr">
        <is>
          <t>68-GES</t>
        </is>
      </c>
      <c r="B891" s="10" t="inlineStr">
        <is>
          <t>ESTRATÉGICO</t>
        </is>
      </c>
      <c r="C891" s="10" t="inlineStr">
        <is>
          <t xml:space="preserve">Gestión Estratégica </t>
        </is>
      </c>
      <c r="D891" s="10" t="inlineStr">
        <is>
          <t>GES</t>
        </is>
      </c>
      <c r="E891" s="10" t="inlineStr">
        <is>
          <t xml:space="preserve">Planificación Operativa </t>
        </is>
      </c>
      <c r="F891" s="10" t="inlineStr">
        <is>
          <t>-</t>
        </is>
      </c>
      <c r="G891" s="10" t="inlineStr">
        <is>
          <t>Modificación al Plan Operativo</t>
        </is>
      </c>
      <c r="H891" s="10" t="inlineStr">
        <is>
          <t>Informe trimestral de Evaluación del Plan Operativo</t>
        </is>
      </c>
      <c r="I891" s="10" t="inlineStr">
        <is>
          <t xml:space="preserve">Seguimiento y evaluación del Plan Operativo </t>
        </is>
      </c>
      <c r="J891" s="10" t="inlineStr">
        <is>
          <t>JEFE DE PLANIFICACIÓN Y PROCESOS</t>
        </is>
      </c>
      <c r="K891" s="10" t="inlineStr">
        <is>
          <t>JEFE DE PLANIFICACIÓN Y PROCESOS</t>
        </is>
      </c>
      <c r="L891" s="10" t="inlineStr">
        <is>
          <t>UBICACIÓN DIGITAL-EQUIPO DEL CUSTODIO</t>
        </is>
      </c>
      <c r="M891" s="10" t="inlineStr">
        <is>
          <t>DOCUMENTO DE ARCHIVO-ELECTRÓNICO</t>
        </is>
      </c>
      <c r="N891" s="10" t="inlineStr">
        <is>
          <t>PRIMARIOS</t>
        </is>
      </c>
      <c r="O891" s="10" t="inlineStr">
        <is>
          <t>DOCUMENTOS TÉCNICOS</t>
        </is>
      </c>
      <c r="P891" s="10" t="inlineStr">
        <is>
          <t>PUBLICA(1)</t>
        </is>
      </c>
      <c r="Q891" s="10" t="inlineStr">
        <is>
          <t>BAJA(1)</t>
        </is>
      </c>
      <c r="R891" s="10" t="inlineStr">
        <is>
          <t>ALTA(3)</t>
        </is>
      </c>
      <c r="S891" s="10">
        <f>+(IF(P891="PUBLICA(1)",1,IF(P891="USO INTERNO(2)",2,IF(P891="RESTRINGIDO(3)",3,3))))+(IF(Q891="BAJA(1)",1,IF(Q891="MEDIA(2)",2,IF(Q891="ALTA(3)",3,3))))+(IF(R891="BAJA(1)",1,IF(R891="MEDIA(2)",2,IF(R891="ALTA(3)",3,3))))</f>
        <v/>
      </c>
      <c r="T891" s="10">
        <f>+IF(S891&lt;6,"BAJA",IF(S891&lt;8,"MEDIA","ALTA"))</f>
        <v/>
      </c>
      <c r="U891" s="10" t="inlineStr">
        <is>
          <t>-</t>
        </is>
      </c>
      <c r="V891" s="24" t="n">
        <v>45681</v>
      </c>
      <c r="W891" s="19" t="inlineStr">
        <is>
          <t>N/A</t>
        </is>
      </c>
      <c r="X891" s="10">
        <f>+IFERROR(IF(VLOOKUP(Tabla2[[#This Row],[ID]],'EVALUACION DE RIESGO'!A:A,1,FALSE)=Tabla2[[#This Row],[ID]],"SI","NO"),"NO")</f>
        <v/>
      </c>
    </row>
    <row r="892">
      <c r="A892" s="91" t="inlineStr">
        <is>
          <t>69-GES</t>
        </is>
      </c>
      <c r="B892" s="10" t="inlineStr">
        <is>
          <t>ESTRATÉGICO</t>
        </is>
      </c>
      <c r="C892" s="10" t="inlineStr">
        <is>
          <t xml:space="preserve">Gestión Estratégica </t>
        </is>
      </c>
      <c r="D892" s="10" t="inlineStr">
        <is>
          <t>GES</t>
        </is>
      </c>
      <c r="E892" s="10" t="inlineStr">
        <is>
          <t xml:space="preserve">Planificación Operativa </t>
        </is>
      </c>
      <c r="F892" s="10" t="inlineStr">
        <is>
          <t>-</t>
        </is>
      </c>
      <c r="G892" s="10" t="inlineStr">
        <is>
          <t>Modificación al Plan Operativo</t>
        </is>
      </c>
      <c r="H892" s="10" t="inlineStr">
        <is>
          <t>Acta del Comité de Planificación, Procesos e Innovación</t>
        </is>
      </c>
      <c r="I892" s="10" t="inlineStr">
        <is>
          <t xml:space="preserve">Seguimiento y evaluación del Plan Operativo </t>
        </is>
      </c>
      <c r="J892" s="10" t="inlineStr">
        <is>
          <t>JEFE DE PLANIFICACIÓN Y PROCESOS</t>
        </is>
      </c>
      <c r="K892" s="10" t="inlineStr">
        <is>
          <t>JEFE DE PLANIFICACIÓN Y PROCESOS</t>
        </is>
      </c>
      <c r="L892" s="10" t="inlineStr">
        <is>
          <t>UBICACIÓN DIGITAL-EQUIPO DEL CUSTODIO</t>
        </is>
      </c>
      <c r="M892" s="10" t="inlineStr">
        <is>
          <t>DOCUMENTO DE ARCHIVO-ELECTRÓNICO</t>
        </is>
      </c>
      <c r="N892" s="10" t="inlineStr">
        <is>
          <t>PRIMARIOS</t>
        </is>
      </c>
      <c r="O892" s="10" t="inlineStr">
        <is>
          <t>DOCUMENTOS TÉCNICOS</t>
        </is>
      </c>
      <c r="P892" s="10" t="inlineStr">
        <is>
          <t>PUBLICA(1)</t>
        </is>
      </c>
      <c r="Q892" s="10" t="inlineStr">
        <is>
          <t>BAJA(1)</t>
        </is>
      </c>
      <c r="R892" s="10" t="inlineStr">
        <is>
          <t>ALTA(3)</t>
        </is>
      </c>
      <c r="S892" s="10">
        <f>+(IF(P892="PUBLICA(1)",1,IF(P892="USO INTERNO(2)",2,IF(P892="RESTRINGIDO(3)",3,3))))+(IF(Q892="BAJA(1)",1,IF(Q892="MEDIA(2)",2,IF(Q892="ALTA(3)",3,3))))+(IF(R892="BAJA(1)",1,IF(R892="MEDIA(2)",2,IF(R892="ALTA(3)",3,3))))</f>
        <v/>
      </c>
      <c r="T892" s="10">
        <f>+IF(S892&lt;6,"BAJA",IF(S892&lt;8,"MEDIA","ALTA"))</f>
        <v/>
      </c>
      <c r="U892" s="10" t="inlineStr">
        <is>
          <t>-</t>
        </is>
      </c>
      <c r="V892" s="24" t="n">
        <v>45681</v>
      </c>
      <c r="W892" s="19" t="inlineStr">
        <is>
          <t>N/A</t>
        </is>
      </c>
      <c r="X892" s="10">
        <f>+IFERROR(IF(VLOOKUP(Tabla2[[#This Row],[ID]],'EVALUACION DE RIESGO'!A:A,1,FALSE)=Tabla2[[#This Row],[ID]],"SI","NO"),"NO")</f>
        <v/>
      </c>
    </row>
    <row r="893">
      <c r="A893" s="91" t="inlineStr">
        <is>
          <t>70-GES</t>
        </is>
      </c>
      <c r="B893" s="10" t="inlineStr">
        <is>
          <t>ESTRATÉGICO</t>
        </is>
      </c>
      <c r="C893" s="10" t="inlineStr">
        <is>
          <t xml:space="preserve">Gestión Estratégica </t>
        </is>
      </c>
      <c r="D893" s="10" t="inlineStr">
        <is>
          <t>GES</t>
        </is>
      </c>
      <c r="E893" s="10" t="inlineStr">
        <is>
          <t xml:space="preserve">Planificación Operativa </t>
        </is>
      </c>
      <c r="F893" s="10" t="inlineStr">
        <is>
          <t>-</t>
        </is>
      </c>
      <c r="G893" s="10" t="inlineStr">
        <is>
          <t>Modificación al Plan Operativo</t>
        </is>
      </c>
      <c r="H893" s="10" t="inlineStr">
        <is>
          <t xml:space="preserve">Matriz POA por proyecto </t>
        </is>
      </c>
      <c r="I893" s="10" t="inlineStr">
        <is>
          <t xml:space="preserve">Elaboración del Plan Operativo </t>
        </is>
      </c>
      <c r="J893" s="10" t="inlineStr">
        <is>
          <t>JEFE DE PLANIFICACIÓN Y PROCESOS</t>
        </is>
      </c>
      <c r="K893" s="10" t="inlineStr">
        <is>
          <t>JEFE DE PLANIFICACIÓN Y PROCESOS</t>
        </is>
      </c>
      <c r="L893" s="10" t="inlineStr">
        <is>
          <t>UBICACIÓN DIGITAL-EQUIPO DEL CUSTODIO</t>
        </is>
      </c>
      <c r="M893" s="10" t="inlineStr">
        <is>
          <t>DOCUMENTO DE ARCHIVO-ELECTRÓNICO</t>
        </is>
      </c>
      <c r="N893" s="10" t="inlineStr">
        <is>
          <t>PRIMARIOS</t>
        </is>
      </c>
      <c r="O893" s="10" t="inlineStr">
        <is>
          <t>DOCUMENTOS TÉCNICOS</t>
        </is>
      </c>
      <c r="P893" s="10" t="inlineStr">
        <is>
          <t>PUBLICA(1)</t>
        </is>
      </c>
      <c r="Q893" s="10" t="inlineStr">
        <is>
          <t>BAJA(1)</t>
        </is>
      </c>
      <c r="R893" s="10" t="inlineStr">
        <is>
          <t>ALTA(3)</t>
        </is>
      </c>
      <c r="S893" s="10">
        <f>+(IF(P893="PUBLICA(1)",1,IF(P893="USO INTERNO(2)",2,IF(P893="RESTRINGIDO(3)",3,3))))+(IF(Q893="BAJA(1)",1,IF(Q893="MEDIA(2)",2,IF(Q893="ALTA(3)",3,3))))+(IF(R893="BAJA(1)",1,IF(R893="MEDIA(2)",2,IF(R893="ALTA(3)",3,3))))</f>
        <v/>
      </c>
      <c r="T893" s="10">
        <f>+IF(S893&lt;6,"BAJA",IF(S893&lt;8,"MEDIA","ALTA"))</f>
        <v/>
      </c>
      <c r="U893" s="10" t="inlineStr">
        <is>
          <t>-</t>
        </is>
      </c>
      <c r="V893" s="24" t="n">
        <v>45681</v>
      </c>
      <c r="W893" s="19" t="inlineStr">
        <is>
          <t>N/A</t>
        </is>
      </c>
      <c r="X893" s="10">
        <f>+IFERROR(IF(VLOOKUP(Tabla2[[#This Row],[ID]],'EVALUACION DE RIESGO'!A:A,1,FALSE)=Tabla2[[#This Row],[ID]],"SI","NO"),"NO")</f>
        <v/>
      </c>
    </row>
    <row r="894">
      <c r="A894" s="91" t="inlineStr">
        <is>
          <t>71-GES</t>
        </is>
      </c>
      <c r="B894" s="10" t="inlineStr">
        <is>
          <t>ESTRATÉGICO</t>
        </is>
      </c>
      <c r="C894" s="10" t="inlineStr">
        <is>
          <t xml:space="preserve">Gestión Estratégica </t>
        </is>
      </c>
      <c r="D894" s="10" t="inlineStr">
        <is>
          <t>GES</t>
        </is>
      </c>
      <c r="E894" s="10" t="inlineStr">
        <is>
          <t xml:space="preserve">Planificación Operativa </t>
        </is>
      </c>
      <c r="F894" s="10" t="inlineStr">
        <is>
          <t>-</t>
        </is>
      </c>
      <c r="G894" s="10" t="inlineStr">
        <is>
          <t>Modificación al Plan Operativo</t>
        </is>
      </c>
      <c r="H894" s="10" t="inlineStr">
        <is>
          <t>Oficio y sustentos de restructuración de proyectos POA</t>
        </is>
      </c>
      <c r="I894" s="10" t="inlineStr">
        <is>
          <t>Archivo del departamento</t>
        </is>
      </c>
      <c r="J894" s="10" t="inlineStr">
        <is>
          <t>JEFE DE PLANIFICACIÓN Y PROCESOS</t>
        </is>
      </c>
      <c r="K894" s="10" t="inlineStr">
        <is>
          <t>JEFE DE PLANIFICACIÓN Y PROCESOS</t>
        </is>
      </c>
      <c r="L894" s="10" t="inlineStr">
        <is>
          <t>UBICACIÓN DIGITAL-EQUIPO DEL CUSTODIO</t>
        </is>
      </c>
      <c r="M894" s="10" t="inlineStr">
        <is>
          <t>DOCUMENTO DE ARCHIVO-ELECTRÓNICO</t>
        </is>
      </c>
      <c r="N894" s="10" t="inlineStr">
        <is>
          <t>PRIMARIOS</t>
        </is>
      </c>
      <c r="O894" s="10" t="inlineStr">
        <is>
          <t>DOCUMENTOS TÉCNICOS</t>
        </is>
      </c>
      <c r="P894" s="10" t="inlineStr">
        <is>
          <t>PUBLICA(1)</t>
        </is>
      </c>
      <c r="Q894" s="10" t="inlineStr">
        <is>
          <t>BAJA(1)</t>
        </is>
      </c>
      <c r="R894" s="10" t="inlineStr">
        <is>
          <t>ALTA(3)</t>
        </is>
      </c>
      <c r="S894" s="10">
        <f>+(IF(P894="PUBLICA(1)",1,IF(P894="USO INTERNO(2)",2,IF(P894="RESTRINGIDO(3)",3,3))))+(IF(Q894="BAJA(1)",1,IF(Q894="MEDIA(2)",2,IF(Q894="ALTA(3)",3,3))))+(IF(R894="BAJA(1)",1,IF(R894="MEDIA(2)",2,IF(R894="ALTA(3)",3,3))))</f>
        <v/>
      </c>
      <c r="T894" s="10">
        <f>+IF(S894&lt;6,"BAJA",IF(S894&lt;8,"MEDIA","ALTA"))</f>
        <v/>
      </c>
      <c r="U894" s="10" t="inlineStr">
        <is>
          <t>-</t>
        </is>
      </c>
      <c r="V894" s="24" t="n">
        <v>45681</v>
      </c>
      <c r="W894" s="19" t="inlineStr">
        <is>
          <t>N/A</t>
        </is>
      </c>
      <c r="X894" s="10">
        <f>+IFERROR(IF(VLOOKUP(Tabla2[[#This Row],[ID]],'EVALUACION DE RIESGO'!A:A,1,FALSE)=Tabla2[[#This Row],[ID]],"SI","NO"),"NO")</f>
        <v/>
      </c>
    </row>
    <row r="895">
      <c r="A895" s="91" t="inlineStr">
        <is>
          <t>72-GES</t>
        </is>
      </c>
      <c r="B895" s="10" t="inlineStr">
        <is>
          <t>ESTRATÉGICO</t>
        </is>
      </c>
      <c r="C895" s="10" t="inlineStr">
        <is>
          <t xml:space="preserve">Gestión Estratégica </t>
        </is>
      </c>
      <c r="D895" s="10" t="inlineStr">
        <is>
          <t>GES</t>
        </is>
      </c>
      <c r="E895" s="10" t="inlineStr">
        <is>
          <t xml:space="preserve">Planificación Operativa </t>
        </is>
      </c>
      <c r="F895" s="10" t="inlineStr">
        <is>
          <t>-</t>
        </is>
      </c>
      <c r="G895" s="10" t="inlineStr">
        <is>
          <t>Modificación al Plan Operativo</t>
        </is>
      </c>
      <c r="H895" s="10" t="inlineStr">
        <is>
          <t xml:space="preserve">Matriz de evaluación del Plan Operativo actualizada  </t>
        </is>
      </c>
      <c r="I895" s="10" t="inlineStr">
        <is>
          <t xml:space="preserve">Seguimiento y Evaluación del Plan Operativo </t>
        </is>
      </c>
      <c r="J895" s="10" t="inlineStr">
        <is>
          <t>JEFE DE PLANIFICACIÓN Y PROCESOS</t>
        </is>
      </c>
      <c r="K895" s="10" t="inlineStr">
        <is>
          <t>JEFE DE PLANIFICACIÓN Y PROCESOS</t>
        </is>
      </c>
      <c r="L895" s="10" t="inlineStr">
        <is>
          <t>UBICACIÓN DIGITAL-EQUIPO DEL CUSTODIO</t>
        </is>
      </c>
      <c r="M895" s="10" t="inlineStr">
        <is>
          <t>DOCUMENTO DE ARCHIVO-ELECTRÓNICO</t>
        </is>
      </c>
      <c r="N895" s="10" t="inlineStr">
        <is>
          <t>PRIMARIOS</t>
        </is>
      </c>
      <c r="O895" s="10" t="inlineStr">
        <is>
          <t>DOCUMENTOS TÉCNICOS</t>
        </is>
      </c>
      <c r="P895" s="10" t="inlineStr">
        <is>
          <t>PUBLICA(1)</t>
        </is>
      </c>
      <c r="Q895" s="10" t="inlineStr">
        <is>
          <t>BAJA(1)</t>
        </is>
      </c>
      <c r="R895" s="10" t="inlineStr">
        <is>
          <t>ALTA(3)</t>
        </is>
      </c>
      <c r="S895" s="10">
        <f>+(IF(P895="PUBLICA(1)",1,IF(P895="USO INTERNO(2)",2,IF(P895="RESTRINGIDO(3)",3,3))))+(IF(Q895="BAJA(1)",1,IF(Q895="MEDIA(2)",2,IF(Q895="ALTA(3)",3,3))))+(IF(R895="BAJA(1)",1,IF(R895="MEDIA(2)",2,IF(R895="ALTA(3)",3,3))))</f>
        <v/>
      </c>
      <c r="T895" s="10">
        <f>+IF(S895&lt;6,"BAJA",IF(S895&lt;8,"MEDIA","ALTA"))</f>
        <v/>
      </c>
      <c r="U895" s="10" t="inlineStr">
        <is>
          <t>-</t>
        </is>
      </c>
      <c r="V895" s="24" t="n">
        <v>45681</v>
      </c>
      <c r="W895" s="19" t="inlineStr">
        <is>
          <t>N/A</t>
        </is>
      </c>
      <c r="X895" s="10">
        <f>+IFERROR(IF(VLOOKUP(Tabla2[[#This Row],[ID]],'EVALUACION DE RIESGO'!A:A,1,FALSE)=Tabla2[[#This Row],[ID]],"SI","NO"),"NO")</f>
        <v/>
      </c>
    </row>
    <row r="896">
      <c r="A896" s="91" t="inlineStr">
        <is>
          <t>73-GES</t>
        </is>
      </c>
      <c r="B896" s="10" t="inlineStr">
        <is>
          <t>ESTRATÉGICO</t>
        </is>
      </c>
      <c r="C896" s="10" t="inlineStr">
        <is>
          <t xml:space="preserve">Gestión Estratégica </t>
        </is>
      </c>
      <c r="D896" s="10" t="inlineStr">
        <is>
          <t>GES</t>
        </is>
      </c>
      <c r="E896" s="10" t="inlineStr">
        <is>
          <t xml:space="preserve">Gestión de Proyectos </t>
        </is>
      </c>
      <c r="F896" s="10" t="inlineStr">
        <is>
          <t>-</t>
        </is>
      </c>
      <c r="G896" s="10" t="inlineStr">
        <is>
          <t>Inicio del Proyecto</t>
        </is>
      </c>
      <c r="H896" s="10" t="inlineStr">
        <is>
          <t>Plan Operativo</t>
        </is>
      </c>
      <c r="I896" s="10" t="inlineStr">
        <is>
          <t>Elaboración del Plan Operativo</t>
        </is>
      </c>
      <c r="J896" s="10" t="inlineStr">
        <is>
          <t>JEFE DE PLANIFICACIÓN Y PROCESOS</t>
        </is>
      </c>
      <c r="K896" s="10" t="inlineStr">
        <is>
          <t>JEFE DE PLANIFICACIÓN Y PROCESOS</t>
        </is>
      </c>
      <c r="L896" s="10" t="inlineStr">
        <is>
          <t>UBICACIÓN DIGITAL-EQUIPO DEL CUSTODIO</t>
        </is>
      </c>
      <c r="M896" s="10" t="inlineStr">
        <is>
          <t>DOCUMENTO DE ARCHIVO-ELECTRÓNICO</t>
        </is>
      </c>
      <c r="N896" s="10" t="inlineStr">
        <is>
          <t>PRIMARIOS</t>
        </is>
      </c>
      <c r="O896" s="10" t="inlineStr">
        <is>
          <t>DOCUMENTOS TÉCNICOS</t>
        </is>
      </c>
      <c r="P896" s="10" t="inlineStr">
        <is>
          <t>PUBLICA(1)</t>
        </is>
      </c>
      <c r="Q896" s="10" t="inlineStr">
        <is>
          <t>BAJA(1)</t>
        </is>
      </c>
      <c r="R896" s="10" t="inlineStr">
        <is>
          <t>ALTA(3)</t>
        </is>
      </c>
      <c r="S896" s="10">
        <f>+(IF(P896="PUBLICA(1)",1,IF(P896="USO INTERNO(2)",2,IF(P896="RESTRINGIDO(3)",3,3))))+(IF(Q896="BAJA(1)",1,IF(Q896="MEDIA(2)",2,IF(Q896="ALTA(3)",3,3))))+(IF(R896="BAJA(1)",1,IF(R896="MEDIA(2)",2,IF(R896="ALTA(3)",3,3))))</f>
        <v/>
      </c>
      <c r="T896" s="10">
        <f>+IF(S896&lt;6,"BAJA",IF(S896&lt;8,"MEDIA","ALTA"))</f>
        <v/>
      </c>
      <c r="U896" s="10" t="inlineStr">
        <is>
          <t>-</t>
        </is>
      </c>
      <c r="V896" s="24" t="n">
        <v>45681</v>
      </c>
      <c r="W896" s="19" t="inlineStr">
        <is>
          <t>N/A</t>
        </is>
      </c>
      <c r="X896" s="10">
        <f>+IFERROR(IF(VLOOKUP(Tabla2[[#This Row],[ID]],'EVALUACION DE RIESGO'!A:A,1,FALSE)=Tabla2[[#This Row],[ID]],"SI","NO"),"NO")</f>
        <v/>
      </c>
    </row>
    <row r="897">
      <c r="A897" s="91" t="inlineStr">
        <is>
          <t>74-GES</t>
        </is>
      </c>
      <c r="B897" s="10" t="inlineStr">
        <is>
          <t>ESTRATÉGICO</t>
        </is>
      </c>
      <c r="C897" s="10" t="inlineStr">
        <is>
          <t xml:space="preserve">Gestión Estratégica </t>
        </is>
      </c>
      <c r="D897" s="10" t="inlineStr">
        <is>
          <t>GES</t>
        </is>
      </c>
      <c r="E897" s="10" t="inlineStr">
        <is>
          <t xml:space="preserve">Gestión de Proyectos </t>
        </is>
      </c>
      <c r="F897" s="10" t="inlineStr">
        <is>
          <t>-</t>
        </is>
      </c>
      <c r="G897" s="10" t="inlineStr">
        <is>
          <t>Inicio del Proyecto</t>
        </is>
      </c>
      <c r="H897" s="10" t="inlineStr">
        <is>
          <t>Plan de Negocios</t>
        </is>
      </c>
      <c r="I897" s="10" t="inlineStr">
        <is>
          <t>Elaboración del Plan Operativo</t>
        </is>
      </c>
      <c r="J897" s="10" t="inlineStr">
        <is>
          <t>GERENTE DE NEGOCIOS</t>
        </is>
      </c>
      <c r="K897" s="10" t="inlineStr">
        <is>
          <t>GERENTE DE NEGOCIOS</t>
        </is>
      </c>
      <c r="L897" s="10" t="inlineStr">
        <is>
          <t>UBICACIÓN DIGITAL-EQUIPO DEL CUSTODIO</t>
        </is>
      </c>
      <c r="M897" s="10" t="inlineStr">
        <is>
          <t>DOCUMENTO DE ARCHIVO-ELECTRÓNICO</t>
        </is>
      </c>
      <c r="N897" s="10" t="inlineStr">
        <is>
          <t>PRIMARIOS</t>
        </is>
      </c>
      <c r="O897" s="10" t="inlineStr">
        <is>
          <t>DOCUMENTOS TÉCNICOS</t>
        </is>
      </c>
      <c r="P897" s="10" t="inlineStr">
        <is>
          <t>PUBLICA(1)</t>
        </is>
      </c>
      <c r="Q897" s="10" t="inlineStr">
        <is>
          <t>BAJA(1)</t>
        </is>
      </c>
      <c r="R897" s="10" t="inlineStr">
        <is>
          <t>ALTA(3)</t>
        </is>
      </c>
      <c r="S897" s="10">
        <f>+(IF(P897="PUBLICA(1)",1,IF(P897="USO INTERNO(2)",2,IF(P897="RESTRINGIDO(3)",3,3))))+(IF(Q897="BAJA(1)",1,IF(Q897="MEDIA(2)",2,IF(Q897="ALTA(3)",3,3))))+(IF(R897="BAJA(1)",1,IF(R897="MEDIA(2)",2,IF(R897="ALTA(3)",3,3))))</f>
        <v/>
      </c>
      <c r="T897" s="10">
        <f>+IF(S897&lt;6,"BAJA",IF(S897&lt;8,"MEDIA","ALTA"))</f>
        <v/>
      </c>
      <c r="U897" s="10" t="inlineStr">
        <is>
          <t>-</t>
        </is>
      </c>
      <c r="V897" s="24" t="n">
        <v>45681</v>
      </c>
      <c r="W897" s="19" t="inlineStr">
        <is>
          <t>N/A</t>
        </is>
      </c>
      <c r="X897" s="10">
        <f>+IFERROR(IF(VLOOKUP(Tabla2[[#This Row],[ID]],'EVALUACION DE RIESGO'!A:A,1,FALSE)=Tabla2[[#This Row],[ID]],"SI","NO"),"NO")</f>
        <v/>
      </c>
    </row>
    <row r="898">
      <c r="A898" s="91" t="inlineStr">
        <is>
          <t>75-GES</t>
        </is>
      </c>
      <c r="B898" s="10" t="inlineStr">
        <is>
          <t>ESTRATÉGICO</t>
        </is>
      </c>
      <c r="C898" s="10" t="inlineStr">
        <is>
          <t xml:space="preserve">Gestión Estratégica </t>
        </is>
      </c>
      <c r="D898" s="10" t="inlineStr">
        <is>
          <t>GES</t>
        </is>
      </c>
      <c r="E898" s="10" t="inlineStr">
        <is>
          <t xml:space="preserve">Gestión de Proyectos </t>
        </is>
      </c>
      <c r="F898" s="10" t="inlineStr">
        <is>
          <t>-</t>
        </is>
      </c>
      <c r="G898" s="10" t="inlineStr">
        <is>
          <t>Inicio del Proyecto</t>
        </is>
      </c>
      <c r="H898" s="10" t="inlineStr">
        <is>
          <t>Plan de Infraestructura</t>
        </is>
      </c>
      <c r="I898" s="10" t="inlineStr">
        <is>
          <t>Planificación Operativa de TI</t>
        </is>
      </c>
      <c r="J898" s="10" t="inlineStr">
        <is>
          <t>GERENTE DE TI</t>
        </is>
      </c>
      <c r="K898" s="10" t="inlineStr">
        <is>
          <t>GERENTE DE TI</t>
        </is>
      </c>
      <c r="L898" s="10" t="inlineStr">
        <is>
          <t>UBICACIÓN DIGITAL-EQUIPO DEL CUSTODIO</t>
        </is>
      </c>
      <c r="M898" s="10" t="inlineStr">
        <is>
          <t>DOCUMENTO DE ARCHIVO-ELECTRÓNICO</t>
        </is>
      </c>
      <c r="N898" s="10" t="inlineStr">
        <is>
          <t>PRIMARIOS</t>
        </is>
      </c>
      <c r="O898" s="10" t="inlineStr">
        <is>
          <t>DOCUMENTOS TÉCNICOS</t>
        </is>
      </c>
      <c r="P898" s="10" t="inlineStr">
        <is>
          <t>PUBLICA(1)</t>
        </is>
      </c>
      <c r="Q898" s="10" t="inlineStr">
        <is>
          <t>BAJA(1)</t>
        </is>
      </c>
      <c r="R898" s="10" t="inlineStr">
        <is>
          <t>ALTA(3)</t>
        </is>
      </c>
      <c r="S898" s="10">
        <f>+(IF(P898="PUBLICA(1)",1,IF(P898="USO INTERNO(2)",2,IF(P898="RESTRINGIDO(3)",3,3))))+(IF(Q898="BAJA(1)",1,IF(Q898="MEDIA(2)",2,IF(Q898="ALTA(3)",3,3))))+(IF(R898="BAJA(1)",1,IF(R898="MEDIA(2)",2,IF(R898="ALTA(3)",3,3))))</f>
        <v/>
      </c>
      <c r="T898" s="10">
        <f>+IF(S898&lt;6,"BAJA",IF(S898&lt;8,"MEDIA","ALTA"))</f>
        <v/>
      </c>
      <c r="U898" s="10" t="inlineStr">
        <is>
          <t>-</t>
        </is>
      </c>
      <c r="V898" s="24" t="n">
        <v>45681</v>
      </c>
      <c r="W898" s="19" t="inlineStr">
        <is>
          <t>N/A</t>
        </is>
      </c>
      <c r="X898" s="10">
        <f>+IFERROR(IF(VLOOKUP(Tabla2[[#This Row],[ID]],'EVALUACION DE RIESGO'!A:A,1,FALSE)=Tabla2[[#This Row],[ID]],"SI","NO"),"NO")</f>
        <v/>
      </c>
    </row>
    <row r="899">
      <c r="A899" s="91" t="inlineStr">
        <is>
          <t>76-GES</t>
        </is>
      </c>
      <c r="B899" s="10" t="inlineStr">
        <is>
          <t>ESTRATÉGICO</t>
        </is>
      </c>
      <c r="C899" s="10" t="inlineStr">
        <is>
          <t xml:space="preserve">Gestión Estratégica </t>
        </is>
      </c>
      <c r="D899" s="10" t="inlineStr">
        <is>
          <t>GES</t>
        </is>
      </c>
      <c r="E899" s="10" t="inlineStr">
        <is>
          <t xml:space="preserve">Gestión de Proyectos </t>
        </is>
      </c>
      <c r="F899" s="10" t="inlineStr">
        <is>
          <t>-</t>
        </is>
      </c>
      <c r="G899" s="10" t="inlineStr">
        <is>
          <t>Inicio del Proyecto</t>
        </is>
      </c>
      <c r="H899" s="10" t="inlineStr">
        <is>
          <t>Estudio de mercado</t>
        </is>
      </c>
      <c r="I899" s="10" t="inlineStr">
        <is>
          <t>Estudio de mercado</t>
        </is>
      </c>
      <c r="J899" s="10" t="inlineStr">
        <is>
          <t>GERENTE DE NEGOCIOS</t>
        </is>
      </c>
      <c r="K899" s="10" t="inlineStr">
        <is>
          <t>GERENTE DE NEGOCIOS</t>
        </is>
      </c>
      <c r="L899" s="10" t="inlineStr">
        <is>
          <t>UBICACIÓN DIGITAL-EQUIPO DEL CUSTODIO</t>
        </is>
      </c>
      <c r="M899" s="10" t="inlineStr">
        <is>
          <t>DOCUMENTO DE ARCHIVO-ELECTRÓNICO</t>
        </is>
      </c>
      <c r="N899" s="10" t="inlineStr">
        <is>
          <t>PRIMARIOS</t>
        </is>
      </c>
      <c r="O899" s="10" t="inlineStr">
        <is>
          <t>DOCUMENTOS TÉCNICOS</t>
        </is>
      </c>
      <c r="P899" s="10" t="inlineStr">
        <is>
          <t>PUBLICA(1)</t>
        </is>
      </c>
      <c r="Q899" s="10" t="inlineStr">
        <is>
          <t>BAJA(1)</t>
        </is>
      </c>
      <c r="R899" s="10" t="inlineStr">
        <is>
          <t>MEDIA(2)</t>
        </is>
      </c>
      <c r="S899" s="10">
        <f>+(IF(P899="PUBLICA(1)",1,IF(P899="USO INTERNO(2)",2,IF(P899="RESTRINGIDO(3)",3,3))))+(IF(Q899="BAJA(1)",1,IF(Q899="MEDIA(2)",2,IF(Q899="ALTA(3)",3,3))))+(IF(R899="BAJA(1)",1,IF(R899="MEDIA(2)",2,IF(R899="ALTA(3)",3,3))))</f>
        <v/>
      </c>
      <c r="T899" s="10">
        <f>+IF(S899&lt;6,"BAJA",IF(S899&lt;8,"MEDIA","ALTA"))</f>
        <v/>
      </c>
      <c r="U899" s="10" t="inlineStr">
        <is>
          <t>-</t>
        </is>
      </c>
      <c r="V899" s="24" t="n">
        <v>45681</v>
      </c>
      <c r="W899" s="19" t="inlineStr">
        <is>
          <t>N/A</t>
        </is>
      </c>
      <c r="X899" s="10">
        <f>+IFERROR(IF(VLOOKUP(Tabla2[[#This Row],[ID]],'EVALUACION DE RIESGO'!A:A,1,FALSE)=Tabla2[[#This Row],[ID]],"SI","NO"),"NO")</f>
        <v/>
      </c>
    </row>
    <row r="900">
      <c r="A900" s="91" t="inlineStr">
        <is>
          <t>77-GES</t>
        </is>
      </c>
      <c r="B900" s="10" t="inlineStr">
        <is>
          <t>ESTRATÉGICO</t>
        </is>
      </c>
      <c r="C900" s="10" t="inlineStr">
        <is>
          <t xml:space="preserve">Gestión Estratégica </t>
        </is>
      </c>
      <c r="D900" s="10" t="inlineStr">
        <is>
          <t>GES</t>
        </is>
      </c>
      <c r="E900" s="10" t="inlineStr">
        <is>
          <t xml:space="preserve">Gestión de Proyectos </t>
        </is>
      </c>
      <c r="F900" s="10" t="inlineStr">
        <is>
          <t>-</t>
        </is>
      </c>
      <c r="G900" s="10" t="inlineStr">
        <is>
          <t>Inicio del Proyecto</t>
        </is>
      </c>
      <c r="H900" s="10" t="inlineStr">
        <is>
          <t>Acta de validación inicial del proyecto y conformación de equipo</t>
        </is>
      </c>
      <c r="I900" s="10" t="inlineStr">
        <is>
          <t>Planificación y Estimación del Proyecto</t>
        </is>
      </c>
      <c r="J900" s="10" t="inlineStr">
        <is>
          <t>GERENTE DE NEGOCIOS</t>
        </is>
      </c>
      <c r="K900" s="10" t="inlineStr">
        <is>
          <t>GERENTE DE NEGOCIOS</t>
        </is>
      </c>
      <c r="L900" s="10" t="inlineStr">
        <is>
          <t>UBICACIÓN DIGITAL-EQUIPO DEL CUSTODIO</t>
        </is>
      </c>
      <c r="M900" s="10" t="inlineStr">
        <is>
          <t>DOCUMENTO DE ARCHIVO-ELECTRÓNICO</t>
        </is>
      </c>
      <c r="N900" s="10" t="inlineStr">
        <is>
          <t>PRIMARIOS</t>
        </is>
      </c>
      <c r="O900" s="10" t="inlineStr">
        <is>
          <t>DOCUMENTOS TÉCNICOS</t>
        </is>
      </c>
      <c r="P900" s="10" t="inlineStr">
        <is>
          <t>PUBLICA(1)</t>
        </is>
      </c>
      <c r="Q900" s="10" t="inlineStr">
        <is>
          <t>MEDIA(2)</t>
        </is>
      </c>
      <c r="R900" s="10" t="inlineStr">
        <is>
          <t>BAJA(1)</t>
        </is>
      </c>
      <c r="S900" s="10">
        <f>+(IF(P900="PUBLICA(1)",1,IF(P900="USO INTERNO(2)",2,IF(P900="RESTRINGIDO(3)",3,3))))+(IF(Q900="BAJA(1)",1,IF(Q900="MEDIA(2)",2,IF(Q900="ALTA(3)",3,3))))+(IF(R900="BAJA(1)",1,IF(R900="MEDIA(2)",2,IF(R900="ALTA(3)",3,3))))</f>
        <v/>
      </c>
      <c r="T900" s="10">
        <f>+IF(S900&lt;6,"BAJA",IF(S900&lt;8,"MEDIA","ALTA"))</f>
        <v/>
      </c>
      <c r="U900" s="10" t="inlineStr">
        <is>
          <t>-</t>
        </is>
      </c>
      <c r="V900" s="24" t="n">
        <v>45681</v>
      </c>
      <c r="W900" s="19" t="inlineStr">
        <is>
          <t>N/A</t>
        </is>
      </c>
      <c r="X900" s="10">
        <f>+IFERROR(IF(VLOOKUP(Tabla2[[#This Row],[ID]],'EVALUACION DE RIESGO'!A:A,1,FALSE)=Tabla2[[#This Row],[ID]],"SI","NO"),"NO")</f>
        <v/>
      </c>
    </row>
    <row r="901">
      <c r="A901" s="91" t="inlineStr">
        <is>
          <t>78-GES</t>
        </is>
      </c>
      <c r="B901" s="10" t="inlineStr">
        <is>
          <t>ESTRATÉGICO</t>
        </is>
      </c>
      <c r="C901" s="10" t="inlineStr">
        <is>
          <t xml:space="preserve">Gestión Estratégica </t>
        </is>
      </c>
      <c r="D901" s="10" t="inlineStr">
        <is>
          <t>GES</t>
        </is>
      </c>
      <c r="E901" s="10" t="inlineStr">
        <is>
          <t xml:space="preserve">Gestión de Proyectos </t>
        </is>
      </c>
      <c r="F901" s="10" t="inlineStr">
        <is>
          <t>-</t>
        </is>
      </c>
      <c r="G901" s="10" t="inlineStr">
        <is>
          <t>Inicio del Proyecto</t>
        </is>
      </c>
      <c r="H901" s="10" t="inlineStr">
        <is>
          <t>Proyecto (Plantilla de Elaboración de Proyectos)</t>
        </is>
      </c>
      <c r="I901" s="10" t="inlineStr">
        <is>
          <t>Inicio y planificación del proyecto</t>
        </is>
      </c>
      <c r="J901" s="10" t="inlineStr">
        <is>
          <t>GERENTE DE NEGOCIOS</t>
        </is>
      </c>
      <c r="K901" s="10" t="inlineStr">
        <is>
          <t>GERENTE DE NEGOCIOS</t>
        </is>
      </c>
      <c r="L901" s="10" t="inlineStr">
        <is>
          <t>UBICACIÓN DIGITAL-EQUIPO DEL CUSTODIO</t>
        </is>
      </c>
      <c r="M901" s="10" t="inlineStr">
        <is>
          <t>DOCUMENTO DE ARCHIVO-ELECTRÓNICO</t>
        </is>
      </c>
      <c r="N901" s="10" t="inlineStr">
        <is>
          <t>PRIMARIOS</t>
        </is>
      </c>
      <c r="O901" s="10" t="inlineStr">
        <is>
          <t>DOCUMENTOS TÉCNICOS</t>
        </is>
      </c>
      <c r="P901" s="10" t="inlineStr">
        <is>
          <t>PUBLICA(1)</t>
        </is>
      </c>
      <c r="Q901" s="10" t="inlineStr">
        <is>
          <t>BAJA(1)</t>
        </is>
      </c>
      <c r="R901" s="10" t="inlineStr">
        <is>
          <t>BAJA(1)</t>
        </is>
      </c>
      <c r="S901" s="10">
        <f>+(IF(P901="PUBLICA(1)",1,IF(P901="USO INTERNO(2)",2,IF(P901="RESTRINGIDO(3)",3,3))))+(IF(Q901="BAJA(1)",1,IF(Q901="MEDIA(2)",2,IF(Q901="ALTA(3)",3,3))))+(IF(R901="BAJA(1)",1,IF(R901="MEDIA(2)",2,IF(R901="ALTA(3)",3,3))))</f>
        <v/>
      </c>
      <c r="T901" s="10">
        <f>+IF(S901&lt;6,"BAJA",IF(S901&lt;8,"MEDIA","ALTA"))</f>
        <v/>
      </c>
      <c r="U901" s="10" t="inlineStr">
        <is>
          <t>-</t>
        </is>
      </c>
      <c r="V901" s="24" t="n">
        <v>45681</v>
      </c>
      <c r="W901" s="19" t="inlineStr">
        <is>
          <t>N/A</t>
        </is>
      </c>
      <c r="X901" s="10">
        <f>+IFERROR(IF(VLOOKUP(Tabla2[[#This Row],[ID]],'EVALUACION DE RIESGO'!A:A,1,FALSE)=Tabla2[[#This Row],[ID]],"SI","NO"),"NO")</f>
        <v/>
      </c>
    </row>
    <row r="902">
      <c r="A902" s="91" t="inlineStr">
        <is>
          <t>79-GES</t>
        </is>
      </c>
      <c r="B902" s="10" t="inlineStr">
        <is>
          <t>ESTRATÉGICO</t>
        </is>
      </c>
      <c r="C902" s="10" t="inlineStr">
        <is>
          <t xml:space="preserve">Gestión Estratégica </t>
        </is>
      </c>
      <c r="D902" s="10" t="inlineStr">
        <is>
          <t>GES</t>
        </is>
      </c>
      <c r="E902" s="10" t="inlineStr">
        <is>
          <t xml:space="preserve">Gestión de Proyectos </t>
        </is>
      </c>
      <c r="F902" s="10" t="inlineStr">
        <is>
          <t>-</t>
        </is>
      </c>
      <c r="G902" s="10" t="inlineStr">
        <is>
          <t>Inicio del Proyecto</t>
        </is>
      </c>
      <c r="H902" s="10" t="inlineStr">
        <is>
          <t>Resolución de aprobación del proyecto</t>
        </is>
      </c>
      <c r="I902" s="10" t="inlineStr">
        <is>
          <t>Inicio y planificación del proyecto</t>
        </is>
      </c>
      <c r="J902" s="10" t="inlineStr">
        <is>
          <t>GERENTE DE NEGOCIOS</t>
        </is>
      </c>
      <c r="K902" s="10" t="inlineStr">
        <is>
          <t>GERENTE DE NEGOCIOS</t>
        </is>
      </c>
      <c r="L902" s="10" t="inlineStr">
        <is>
          <t>UBICACIÓN DIGITAL-EQUIPO DEL CUSTODIO</t>
        </is>
      </c>
      <c r="M902" s="10" t="inlineStr">
        <is>
          <t>DOCUMENTO DE ARCHIVO-ELECTRÓNICO</t>
        </is>
      </c>
      <c r="N902" s="10" t="inlineStr">
        <is>
          <t>PRIMARIOS</t>
        </is>
      </c>
      <c r="O902" s="10" t="inlineStr">
        <is>
          <t>DOCUMENTOS TÉCNICOS</t>
        </is>
      </c>
      <c r="P902" s="10" t="inlineStr">
        <is>
          <t>PUBLICA(1)</t>
        </is>
      </c>
      <c r="Q902" s="10" t="inlineStr">
        <is>
          <t>BAJA(1)</t>
        </is>
      </c>
      <c r="R902" s="10" t="inlineStr">
        <is>
          <t>BAJA(1)</t>
        </is>
      </c>
      <c r="S902" s="10">
        <f>+(IF(P902="PUBLICA(1)",1,IF(P902="USO INTERNO(2)",2,IF(P902="RESTRINGIDO(3)",3,3))))+(IF(Q902="BAJA(1)",1,IF(Q902="MEDIA(2)",2,IF(Q902="ALTA(3)",3,3))))+(IF(R902="BAJA(1)",1,IF(R902="MEDIA(2)",2,IF(R902="ALTA(3)",3,3))))</f>
        <v/>
      </c>
      <c r="T902" s="10">
        <f>+IF(S902&lt;6,"BAJA",IF(S902&lt;8,"MEDIA","ALTA"))</f>
        <v/>
      </c>
      <c r="U902" s="10" t="inlineStr">
        <is>
          <t>-</t>
        </is>
      </c>
      <c r="V902" s="24" t="n">
        <v>45681</v>
      </c>
      <c r="W902" s="19" t="inlineStr">
        <is>
          <t>N/A</t>
        </is>
      </c>
      <c r="X902" s="10">
        <f>+IFERROR(IF(VLOOKUP(Tabla2[[#This Row],[ID]],'EVALUACION DE RIESGO'!A:A,1,FALSE)=Tabla2[[#This Row],[ID]],"SI","NO"),"NO")</f>
        <v/>
      </c>
    </row>
    <row r="903">
      <c r="A903" s="91" t="inlineStr">
        <is>
          <t>80-GES</t>
        </is>
      </c>
      <c r="B903" s="10" t="inlineStr">
        <is>
          <t>ESTRATÉGICO</t>
        </is>
      </c>
      <c r="C903" s="10" t="inlineStr">
        <is>
          <t xml:space="preserve">Gestión Estratégica </t>
        </is>
      </c>
      <c r="D903" s="10" t="inlineStr">
        <is>
          <t>GES</t>
        </is>
      </c>
      <c r="E903" s="10" t="inlineStr">
        <is>
          <t xml:space="preserve">Gestión de Proyectos </t>
        </is>
      </c>
      <c r="F903" s="10" t="inlineStr">
        <is>
          <t>-</t>
        </is>
      </c>
      <c r="G903" s="10" t="inlineStr">
        <is>
          <t>Planificación y Estimación del Proyecto</t>
        </is>
      </c>
      <c r="H903" s="10" t="inlineStr">
        <is>
          <t>Proyecto</t>
        </is>
      </c>
      <c r="I903" s="10" t="inlineStr">
        <is>
          <t>Proyecto consolidado</t>
        </is>
      </c>
      <c r="J903" s="10" t="inlineStr">
        <is>
          <t>GERENTE DE NEGOCIOS</t>
        </is>
      </c>
      <c r="K903" s="10" t="inlineStr">
        <is>
          <t>GERENTE DE NEGOCIOS</t>
        </is>
      </c>
      <c r="L903" s="10" t="inlineStr">
        <is>
          <t>UBICACIÓN DIGITAL-EQUIPO DEL CUSTODIO</t>
        </is>
      </c>
      <c r="M903" s="10" t="inlineStr">
        <is>
          <t>DOCUMENTO DE ARCHIVO-ELECTRÓNICO</t>
        </is>
      </c>
      <c r="N903" s="10" t="inlineStr">
        <is>
          <t>PRIMARIOS</t>
        </is>
      </c>
      <c r="O903" s="10" t="inlineStr">
        <is>
          <t>DOCUMENTOS TÉCNICOS</t>
        </is>
      </c>
      <c r="P903" s="10" t="inlineStr">
        <is>
          <t>USO INTERNO(2)</t>
        </is>
      </c>
      <c r="Q903" s="10" t="inlineStr">
        <is>
          <t>MEDIA(2)</t>
        </is>
      </c>
      <c r="R903" s="10" t="inlineStr">
        <is>
          <t>ALTA(3)</t>
        </is>
      </c>
      <c r="S903" s="10">
        <f>+(IF(P903="PUBLICA(1)",1,IF(P903="USO INTERNO(2)",2,IF(P903="RESTRINGIDO(3)",3,3))))+(IF(Q903="BAJA(1)",1,IF(Q903="MEDIA(2)",2,IF(Q903="ALTA(3)",3,3))))+(IF(R903="BAJA(1)",1,IF(R903="MEDIA(2)",2,IF(R903="ALTA(3)",3,3))))</f>
        <v/>
      </c>
      <c r="T903" s="10">
        <f>+IF(S903&lt;6,"BAJA",IF(S903&lt;8,"MEDIA","ALTA"))</f>
        <v/>
      </c>
      <c r="U903" s="10" t="inlineStr">
        <is>
          <t>-</t>
        </is>
      </c>
      <c r="V903" s="24" t="n">
        <v>45681</v>
      </c>
      <c r="W903" s="19" t="inlineStr">
        <is>
          <t>N/A</t>
        </is>
      </c>
      <c r="X903" s="10">
        <f>+IFERROR(IF(VLOOKUP(Tabla2[[#This Row],[ID]],'EVALUACION DE RIESGO'!A:A,1,FALSE)=Tabla2[[#This Row],[ID]],"SI","NO"),"NO")</f>
        <v/>
      </c>
    </row>
    <row r="904">
      <c r="A904" s="91" t="inlineStr">
        <is>
          <t>81-GES</t>
        </is>
      </c>
      <c r="B904" s="10" t="inlineStr">
        <is>
          <t>ESTRATÉGICO</t>
        </is>
      </c>
      <c r="C904" s="10" t="inlineStr">
        <is>
          <t xml:space="preserve">Gestión Estratégica </t>
        </is>
      </c>
      <c r="D904" s="10" t="inlineStr">
        <is>
          <t>GES</t>
        </is>
      </c>
      <c r="E904" s="10" t="inlineStr">
        <is>
          <t xml:space="preserve">Gestión de Proyectos </t>
        </is>
      </c>
      <c r="F904" s="10" t="inlineStr">
        <is>
          <t>-</t>
        </is>
      </c>
      <c r="G904" s="10" t="inlineStr">
        <is>
          <t>Planificación y Estimación del Proyecto</t>
        </is>
      </c>
      <c r="H904" s="10" t="inlineStr">
        <is>
          <t>Certificación de aprobación</t>
        </is>
      </c>
      <c r="I904" s="10" t="inlineStr">
        <is>
          <t>La aprobación de nivel de autorización correspondiente</t>
        </is>
      </c>
      <c r="J904" s="10" t="inlineStr">
        <is>
          <t>JEFE DE PLANIFICACIÓN Y PROCESOS</t>
        </is>
      </c>
      <c r="K904" s="10" t="inlineStr">
        <is>
          <t>JEFE DE PLANIFICACIÓN Y PROCESOS</t>
        </is>
      </c>
      <c r="L904" s="10" t="inlineStr">
        <is>
          <t>UBICACIÓN DIGITAL-EQUIPO DEL CUSTODIO</t>
        </is>
      </c>
      <c r="M904" s="10" t="inlineStr">
        <is>
          <t>DOCUMENTO DE ARCHIVO-ELECTRÓNICO</t>
        </is>
      </c>
      <c r="N904" s="10" t="inlineStr">
        <is>
          <t>PRIMARIOS</t>
        </is>
      </c>
      <c r="O904" s="10" t="inlineStr">
        <is>
          <t>DOCUMENTOS TÉCNICOS</t>
        </is>
      </c>
      <c r="P904" s="10" t="inlineStr">
        <is>
          <t>PUBLICA(1)</t>
        </is>
      </c>
      <c r="Q904" s="10" t="inlineStr">
        <is>
          <t>BAJA(1)</t>
        </is>
      </c>
      <c r="R904" s="10" t="inlineStr">
        <is>
          <t>ALTA(3)</t>
        </is>
      </c>
      <c r="S904" s="10">
        <f>+(IF(P904="PUBLICA(1)",1,IF(P904="USO INTERNO(2)",2,IF(P904="RESTRINGIDO(3)",3,3))))+(IF(Q904="BAJA(1)",1,IF(Q904="MEDIA(2)",2,IF(Q904="ALTA(3)",3,3))))+(IF(R904="BAJA(1)",1,IF(R904="MEDIA(2)",2,IF(R904="ALTA(3)",3,3))))</f>
        <v/>
      </c>
      <c r="T904" s="10">
        <f>+IF(S904&lt;6,"BAJA",IF(S904&lt;8,"MEDIA","ALTA"))</f>
        <v/>
      </c>
      <c r="U904" s="10" t="inlineStr">
        <is>
          <t>-</t>
        </is>
      </c>
      <c r="V904" s="24" t="n">
        <v>45681</v>
      </c>
      <c r="W904" s="19" t="inlineStr">
        <is>
          <t>N/A</t>
        </is>
      </c>
      <c r="X904" s="10">
        <f>+IFERROR(IF(VLOOKUP(Tabla2[[#This Row],[ID]],'EVALUACION DE RIESGO'!A:A,1,FALSE)=Tabla2[[#This Row],[ID]],"SI","NO"),"NO")</f>
        <v/>
      </c>
    </row>
    <row r="905">
      <c r="A905" s="91" t="inlineStr">
        <is>
          <t>82-GES</t>
        </is>
      </c>
      <c r="B905" s="10" t="inlineStr">
        <is>
          <t>ESTRATÉGICO</t>
        </is>
      </c>
      <c r="C905" s="10" t="inlineStr">
        <is>
          <t xml:space="preserve">Gestión Estratégica </t>
        </is>
      </c>
      <c r="D905" s="10" t="inlineStr">
        <is>
          <t>GES</t>
        </is>
      </c>
      <c r="E905" s="10" t="inlineStr">
        <is>
          <t xml:space="preserve">Gestión de Proyectos </t>
        </is>
      </c>
      <c r="F905" s="10" t="inlineStr">
        <is>
          <t>-</t>
        </is>
      </c>
      <c r="G905" s="10" t="inlineStr">
        <is>
          <t>Planificación y Estimación del Proyecto</t>
        </is>
      </c>
      <c r="H905" s="10" t="inlineStr">
        <is>
          <t>Acta de validación inicial del proyecto y conformación de equipo</t>
        </is>
      </c>
      <c r="I905" s="10" t="inlineStr">
        <is>
          <t>Planificación y Estimación del Proyecto</t>
        </is>
      </c>
      <c r="J905" s="10" t="inlineStr">
        <is>
          <t>JEFE DE PLANIFICACIÓN Y PROCESOS</t>
        </is>
      </c>
      <c r="K905" s="10" t="inlineStr">
        <is>
          <t>JEFE DE PLANIFICACIÓN Y PROCESOS</t>
        </is>
      </c>
      <c r="L905" s="10" t="inlineStr">
        <is>
          <t>UBICACIÓN DIGITAL-EQUIPO DEL CUSTODIO</t>
        </is>
      </c>
      <c r="M905" s="10" t="inlineStr">
        <is>
          <t>DOCUMENTO DE ARCHIVO-ELECTRÓNICO</t>
        </is>
      </c>
      <c r="N905" s="10" t="inlineStr">
        <is>
          <t>PRIMARIOS</t>
        </is>
      </c>
      <c r="O905" s="10" t="inlineStr">
        <is>
          <t>DOCUMENTOS TÉCNICOS</t>
        </is>
      </c>
      <c r="P905" s="10" t="inlineStr">
        <is>
          <t>PUBLICA(1)</t>
        </is>
      </c>
      <c r="Q905" s="10" t="inlineStr">
        <is>
          <t>BAJA(1)</t>
        </is>
      </c>
      <c r="R905" s="10" t="inlineStr">
        <is>
          <t>BAJA(1)</t>
        </is>
      </c>
      <c r="S905" s="10">
        <f>+(IF(P905="PUBLICA(1)",1,IF(P905="USO INTERNO(2)",2,IF(P905="RESTRINGIDO(3)",3,3))))+(IF(Q905="BAJA(1)",1,IF(Q905="MEDIA(2)",2,IF(Q905="ALTA(3)",3,3))))+(IF(R905="BAJA(1)",1,IF(R905="MEDIA(2)",2,IF(R905="ALTA(3)",3,3))))</f>
        <v/>
      </c>
      <c r="T905" s="10">
        <f>+IF(S905&lt;6,"BAJA",IF(S905&lt;8,"MEDIA","ALTA"))</f>
        <v/>
      </c>
      <c r="U905" s="10" t="inlineStr">
        <is>
          <t>-</t>
        </is>
      </c>
      <c r="V905" s="24" t="n">
        <v>45681</v>
      </c>
      <c r="W905" s="19" t="inlineStr">
        <is>
          <t>N/A</t>
        </is>
      </c>
      <c r="X905" s="10">
        <f>+IFERROR(IF(VLOOKUP(Tabla2[[#This Row],[ID]],'EVALUACION DE RIESGO'!A:A,1,FALSE)=Tabla2[[#This Row],[ID]],"SI","NO"),"NO")</f>
        <v/>
      </c>
    </row>
    <row r="906">
      <c r="A906" s="91" t="inlineStr">
        <is>
          <t>83-GES</t>
        </is>
      </c>
      <c r="B906" s="10" t="inlineStr">
        <is>
          <t>ESTRATÉGICO</t>
        </is>
      </c>
      <c r="C906" s="10" t="inlineStr">
        <is>
          <t xml:space="preserve">Gestión Estratégica </t>
        </is>
      </c>
      <c r="D906" s="10" t="inlineStr">
        <is>
          <t>GES</t>
        </is>
      </c>
      <c r="E906" s="10" t="inlineStr">
        <is>
          <t xml:space="preserve">Gestión de Proyectos </t>
        </is>
      </c>
      <c r="F906" s="10" t="inlineStr">
        <is>
          <t>-</t>
        </is>
      </c>
      <c r="G906" s="10" t="inlineStr">
        <is>
          <t>Planificación y Estimación del Proyecto</t>
        </is>
      </c>
      <c r="H906" s="10" t="inlineStr">
        <is>
          <t>Matriz de historias de usuario</t>
        </is>
      </c>
      <c r="I906" s="10" t="inlineStr">
        <is>
          <t>Requerimientos de proyecto</t>
        </is>
      </c>
      <c r="J906" s="10" t="inlineStr">
        <is>
          <t>GERENTE DE NEGOCIOS</t>
        </is>
      </c>
      <c r="K906" s="10" t="inlineStr">
        <is>
          <t>GERENTE DE NEGOCIOS</t>
        </is>
      </c>
      <c r="L906" s="10" t="inlineStr">
        <is>
          <t>UBICACIÓN DIGITAL-EQUIPO DEL CUSTODIO</t>
        </is>
      </c>
      <c r="M906" s="10" t="inlineStr">
        <is>
          <t>DOCUMENTO DE ARCHIVO-ELECTRÓNICO</t>
        </is>
      </c>
      <c r="N906" s="10" t="inlineStr">
        <is>
          <t>PRIMARIOS</t>
        </is>
      </c>
      <c r="O906" s="10" t="inlineStr">
        <is>
          <t>DOCUMENTOS TÉCNICOS</t>
        </is>
      </c>
      <c r="P906" s="10" t="inlineStr">
        <is>
          <t>PUBLICA(1)</t>
        </is>
      </c>
      <c r="Q906" s="10" t="inlineStr">
        <is>
          <t>BAJA(1)</t>
        </is>
      </c>
      <c r="R906" s="10" t="inlineStr">
        <is>
          <t>BAJA(1)</t>
        </is>
      </c>
      <c r="S906" s="10">
        <f>+(IF(P906="PUBLICA(1)",1,IF(P906="USO INTERNO(2)",2,IF(P906="RESTRINGIDO(3)",3,3))))+(IF(Q906="BAJA(1)",1,IF(Q906="MEDIA(2)",2,IF(Q906="ALTA(3)",3,3))))+(IF(R906="BAJA(1)",1,IF(R906="MEDIA(2)",2,IF(R906="ALTA(3)",3,3))))</f>
        <v/>
      </c>
      <c r="T906" s="10">
        <f>+IF(S906&lt;6,"BAJA",IF(S906&lt;8,"MEDIA","ALTA"))</f>
        <v/>
      </c>
      <c r="U906" s="10" t="inlineStr">
        <is>
          <t>-</t>
        </is>
      </c>
      <c r="V906" s="24" t="n">
        <v>45681</v>
      </c>
      <c r="W906" s="19" t="inlineStr">
        <is>
          <t>N/A</t>
        </is>
      </c>
      <c r="X906" s="10">
        <f>+IFERROR(IF(VLOOKUP(Tabla2[[#This Row],[ID]],'EVALUACION DE RIESGO'!A:A,1,FALSE)=Tabla2[[#This Row],[ID]],"SI","NO"),"NO")</f>
        <v/>
      </c>
    </row>
    <row r="907">
      <c r="A907" s="91" t="inlineStr">
        <is>
          <t>84-GES</t>
        </is>
      </c>
      <c r="B907" s="10" t="inlineStr">
        <is>
          <t>ESTRATÉGICO</t>
        </is>
      </c>
      <c r="C907" s="10" t="inlineStr">
        <is>
          <t xml:space="preserve">Gestión Estratégica </t>
        </is>
      </c>
      <c r="D907" s="10" t="inlineStr">
        <is>
          <t>GES</t>
        </is>
      </c>
      <c r="E907" s="10" t="inlineStr">
        <is>
          <t xml:space="preserve">Gestión de Proyectos </t>
        </is>
      </c>
      <c r="F907" s="10" t="inlineStr">
        <is>
          <t>-</t>
        </is>
      </c>
      <c r="G907" s="10" t="inlineStr">
        <is>
          <t>Planificación y Estimación del Proyecto</t>
        </is>
      </c>
      <c r="H907" s="10" t="inlineStr">
        <is>
          <t>Matriz de planificación y seguimiento del Proyecto por sprints</t>
        </is>
      </c>
      <c r="I907" s="10" t="inlineStr">
        <is>
          <t>Cronograma</t>
        </is>
      </c>
      <c r="J907" s="10" t="inlineStr">
        <is>
          <t>GERENTE DE NEGOCIOS</t>
        </is>
      </c>
      <c r="K907" s="10" t="inlineStr">
        <is>
          <t>GERENTE DE NEGOCIOS</t>
        </is>
      </c>
      <c r="L907" s="10" t="inlineStr">
        <is>
          <t>UBICACIÓN DIGITAL-EQUIPO DEL CUSTODIO</t>
        </is>
      </c>
      <c r="M907" s="10" t="inlineStr">
        <is>
          <t>DOCUMENTO DE ARCHIVO-ELECTRÓNICO</t>
        </is>
      </c>
      <c r="N907" s="10" t="inlineStr">
        <is>
          <t>PRIMARIOS</t>
        </is>
      </c>
      <c r="O907" s="10" t="inlineStr">
        <is>
          <t>DOCUMENTOS TÉCNICOS</t>
        </is>
      </c>
      <c r="P907" s="10" t="inlineStr">
        <is>
          <t>PUBLICA(1)</t>
        </is>
      </c>
      <c r="Q907" s="10" t="inlineStr">
        <is>
          <t>BAJA(1)</t>
        </is>
      </c>
      <c r="R907" s="10" t="inlineStr">
        <is>
          <t>BAJA(1)</t>
        </is>
      </c>
      <c r="S907" s="10">
        <f>+(IF(P907="PUBLICA(1)",1,IF(P907="USO INTERNO(2)",2,IF(P907="RESTRINGIDO(3)",3,3))))+(IF(Q907="BAJA(1)",1,IF(Q907="MEDIA(2)",2,IF(Q907="ALTA(3)",3,3))))+(IF(R907="BAJA(1)",1,IF(R907="MEDIA(2)",2,IF(R907="ALTA(3)",3,3))))</f>
        <v/>
      </c>
      <c r="T907" s="10">
        <f>+IF(S907&lt;6,"BAJA",IF(S907&lt;8,"MEDIA","ALTA"))</f>
        <v/>
      </c>
      <c r="U907" s="10" t="inlineStr">
        <is>
          <t>-</t>
        </is>
      </c>
      <c r="V907" s="24" t="n">
        <v>45681</v>
      </c>
      <c r="W907" s="19" t="inlineStr">
        <is>
          <t>N/A</t>
        </is>
      </c>
      <c r="X907" s="10">
        <f>+IFERROR(IF(VLOOKUP(Tabla2[[#This Row],[ID]],'EVALUACION DE RIESGO'!A:A,1,FALSE)=Tabla2[[#This Row],[ID]],"SI","NO"),"NO")</f>
        <v/>
      </c>
    </row>
    <row r="908">
      <c r="A908" s="91" t="inlineStr">
        <is>
          <t>85-GES</t>
        </is>
      </c>
      <c r="B908" s="10" t="inlineStr">
        <is>
          <t>ESTRATÉGICO</t>
        </is>
      </c>
      <c r="C908" s="10" t="inlineStr">
        <is>
          <t xml:space="preserve">Gestión Estratégica </t>
        </is>
      </c>
      <c r="D908" s="10" t="inlineStr">
        <is>
          <t>GES</t>
        </is>
      </c>
      <c r="E908" s="10" t="inlineStr">
        <is>
          <t xml:space="preserve">Gestión de Proyectos </t>
        </is>
      </c>
      <c r="F908" s="10" t="inlineStr">
        <is>
          <t>-</t>
        </is>
      </c>
      <c r="G908" s="10" t="inlineStr">
        <is>
          <t xml:space="preserve">Ejecución del Proyecto  </t>
        </is>
      </c>
      <c r="H908" s="10" t="inlineStr">
        <is>
          <t>Plan de dirección del proyecto</t>
        </is>
      </c>
      <c r="I908" s="10" t="inlineStr">
        <is>
          <t>Inicio y planificación del proyecto</t>
        </is>
      </c>
      <c r="J908" s="10" t="inlineStr">
        <is>
          <t>GERENTE DE NEGOCIOS</t>
        </is>
      </c>
      <c r="K908" s="10" t="inlineStr">
        <is>
          <t>GERENTE DE NEGOCIOS</t>
        </is>
      </c>
      <c r="L908" s="10" t="inlineStr">
        <is>
          <t>UBICACIÓN DIGITAL-EQUIPO DEL CUSTODIO</t>
        </is>
      </c>
      <c r="M908" s="10" t="inlineStr">
        <is>
          <t>DOCUMENTO DE ARCHIVO-ELECTRÓNICO</t>
        </is>
      </c>
      <c r="N908" s="10" t="inlineStr">
        <is>
          <t>PRIMARIOS</t>
        </is>
      </c>
      <c r="O908" s="10" t="inlineStr">
        <is>
          <t>DOCUMENTOS TÉCNICOS</t>
        </is>
      </c>
      <c r="P908" s="10" t="inlineStr">
        <is>
          <t>PUBLICA(1)</t>
        </is>
      </c>
      <c r="Q908" s="10" t="inlineStr">
        <is>
          <t>BAJA(1)</t>
        </is>
      </c>
      <c r="R908" s="10" t="inlineStr">
        <is>
          <t>BAJA(1)</t>
        </is>
      </c>
      <c r="S908" s="10">
        <f>+(IF(P908="PUBLICA(1)",1,IF(P908="USO INTERNO(2)",2,IF(P908="RESTRINGIDO(3)",3,3))))+(IF(Q908="BAJA(1)",1,IF(Q908="MEDIA(2)",2,IF(Q908="ALTA(3)",3,3))))+(IF(R908="BAJA(1)",1,IF(R908="MEDIA(2)",2,IF(R908="ALTA(3)",3,3))))</f>
        <v/>
      </c>
      <c r="T908" s="10">
        <f>+IF(S908&lt;6,"BAJA",IF(S908&lt;8,"MEDIA","ALTA"))</f>
        <v/>
      </c>
      <c r="U908" s="10" t="inlineStr">
        <is>
          <t>-</t>
        </is>
      </c>
      <c r="V908" s="24" t="n">
        <v>45681</v>
      </c>
      <c r="W908" s="19" t="inlineStr">
        <is>
          <t>N/A</t>
        </is>
      </c>
      <c r="X908" s="10">
        <f>+IFERROR(IF(VLOOKUP(Tabla2[[#This Row],[ID]],'EVALUACION DE RIESGO'!A:A,1,FALSE)=Tabla2[[#This Row],[ID]],"SI","NO"),"NO")</f>
        <v/>
      </c>
    </row>
    <row r="909">
      <c r="A909" s="91" t="inlineStr">
        <is>
          <t>86-GES</t>
        </is>
      </c>
      <c r="B909" s="10" t="inlineStr">
        <is>
          <t>ESTRATÉGICO</t>
        </is>
      </c>
      <c r="C909" s="10" t="inlineStr">
        <is>
          <t xml:space="preserve">Gestión Estratégica </t>
        </is>
      </c>
      <c r="D909" s="10" t="inlineStr">
        <is>
          <t>GES</t>
        </is>
      </c>
      <c r="E909" s="10" t="inlineStr">
        <is>
          <t xml:space="preserve">Gestión de Proyectos </t>
        </is>
      </c>
      <c r="F909" s="10" t="inlineStr">
        <is>
          <t>-</t>
        </is>
      </c>
      <c r="G909" s="10" t="inlineStr">
        <is>
          <t xml:space="preserve">Ejecución del Proyecto  </t>
        </is>
      </c>
      <c r="H909" s="10" t="inlineStr">
        <is>
          <t>Matriz de historias de usuario</t>
        </is>
      </c>
      <c r="I909" s="10" t="inlineStr">
        <is>
          <t>Planificación y Estimación del Proyecto</t>
        </is>
      </c>
      <c r="J909" s="10" t="inlineStr">
        <is>
          <t>GERENTE DE NEGOCIOS</t>
        </is>
      </c>
      <c r="K909" s="10" t="inlineStr">
        <is>
          <t>GERENTE DE NEGOCIOS</t>
        </is>
      </c>
      <c r="L909" s="10" t="inlineStr">
        <is>
          <t>UBICACIÓN DIGITAL-EQUIPO DEL CUSTODIO</t>
        </is>
      </c>
      <c r="M909" s="10" t="inlineStr">
        <is>
          <t>DOCUMENTO DE ARCHIVO-ELECTRÓNICO</t>
        </is>
      </c>
      <c r="N909" s="10" t="inlineStr">
        <is>
          <t>PRIMARIOS</t>
        </is>
      </c>
      <c r="O909" s="10" t="inlineStr">
        <is>
          <t>DOCUMENTOS TÉCNICOS</t>
        </is>
      </c>
      <c r="P909" s="10" t="inlineStr">
        <is>
          <t>PUBLICA(1)</t>
        </is>
      </c>
      <c r="Q909" s="10" t="inlineStr">
        <is>
          <t>BAJA(1)</t>
        </is>
      </c>
      <c r="R909" s="10" t="inlineStr">
        <is>
          <t>BAJA(1)</t>
        </is>
      </c>
      <c r="S909" s="10">
        <f>+(IF(P909="PUBLICA(1)",1,IF(P909="USO INTERNO(2)",2,IF(P909="RESTRINGIDO(3)",3,3))))+(IF(Q909="BAJA(1)",1,IF(Q909="MEDIA(2)",2,IF(Q909="ALTA(3)",3,3))))+(IF(R909="BAJA(1)",1,IF(R909="MEDIA(2)",2,IF(R909="ALTA(3)",3,3))))</f>
        <v/>
      </c>
      <c r="T909" s="10">
        <f>+IF(S909&lt;6,"BAJA",IF(S909&lt;8,"MEDIA","ALTA"))</f>
        <v/>
      </c>
      <c r="U909" s="10" t="inlineStr">
        <is>
          <t>-</t>
        </is>
      </c>
      <c r="V909" s="24" t="n">
        <v>45681</v>
      </c>
      <c r="W909" s="19" t="inlineStr">
        <is>
          <t>N/A</t>
        </is>
      </c>
      <c r="X909" s="10">
        <f>+IFERROR(IF(VLOOKUP(Tabla2[[#This Row],[ID]],'EVALUACION DE RIESGO'!A:A,1,FALSE)=Tabla2[[#This Row],[ID]],"SI","NO"),"NO")</f>
        <v/>
      </c>
    </row>
    <row r="910">
      <c r="A910" s="91" t="inlineStr">
        <is>
          <t>87-GES</t>
        </is>
      </c>
      <c r="B910" s="10" t="inlineStr">
        <is>
          <t>ESTRATÉGICO</t>
        </is>
      </c>
      <c r="C910" s="10" t="inlineStr">
        <is>
          <t xml:space="preserve">Gestión Estratégica </t>
        </is>
      </c>
      <c r="D910" s="10" t="inlineStr">
        <is>
          <t>GES</t>
        </is>
      </c>
      <c r="E910" s="10" t="inlineStr">
        <is>
          <t xml:space="preserve">Gestión de Proyectos </t>
        </is>
      </c>
      <c r="F910" s="10" t="inlineStr">
        <is>
          <t>-</t>
        </is>
      </c>
      <c r="G910" s="10" t="inlineStr">
        <is>
          <t xml:space="preserve">Ejecución del Proyecto  </t>
        </is>
      </c>
      <c r="H910" s="10" t="inlineStr">
        <is>
          <t>Matriz de planificación y seguimiento del Proyecto por sprints</t>
        </is>
      </c>
      <c r="I910" s="10" t="inlineStr">
        <is>
          <t>Planificación y Estimación del Proyecto</t>
        </is>
      </c>
      <c r="J910" s="10" t="inlineStr">
        <is>
          <t>GERENTE DE NEGOCIOS</t>
        </is>
      </c>
      <c r="K910" s="10" t="inlineStr">
        <is>
          <t>GERENTE DE NEGOCIOS</t>
        </is>
      </c>
      <c r="L910" s="10" t="inlineStr">
        <is>
          <t>UBICACIÓN DIGITAL-EQUIPO DEL CUSTODIO</t>
        </is>
      </c>
      <c r="M910" s="10" t="inlineStr">
        <is>
          <t>DOCUMENTO DE ARCHIVO-ELECTRÓNICO</t>
        </is>
      </c>
      <c r="N910" s="10" t="inlineStr">
        <is>
          <t>PRIMARIOS</t>
        </is>
      </c>
      <c r="O910" s="10" t="inlineStr">
        <is>
          <t>DOCUMENTOS TÉCNICOS</t>
        </is>
      </c>
      <c r="P910" s="10" t="inlineStr">
        <is>
          <t>PUBLICA(1)</t>
        </is>
      </c>
      <c r="Q910" s="10" t="inlineStr">
        <is>
          <t>BAJA(1)</t>
        </is>
      </c>
      <c r="R910" s="10" t="inlineStr">
        <is>
          <t>ALTA(3)</t>
        </is>
      </c>
      <c r="S910" s="10">
        <f>+(IF(P910="PUBLICA(1)",1,IF(P910="USO INTERNO(2)",2,IF(P910="RESTRINGIDO(3)",3,3))))+(IF(Q910="BAJA(1)",1,IF(Q910="MEDIA(2)",2,IF(Q910="ALTA(3)",3,3))))+(IF(R910="BAJA(1)",1,IF(R910="MEDIA(2)",2,IF(R910="ALTA(3)",3,3))))</f>
        <v/>
      </c>
      <c r="T910" s="10">
        <f>+IF(S910&lt;6,"BAJA",IF(S910&lt;8,"MEDIA","ALTA"))</f>
        <v/>
      </c>
      <c r="U910" s="10" t="inlineStr">
        <is>
          <t>-</t>
        </is>
      </c>
      <c r="V910" s="24" t="n">
        <v>45681</v>
      </c>
      <c r="W910" s="19" t="inlineStr">
        <is>
          <t>N/A</t>
        </is>
      </c>
      <c r="X910" s="10">
        <f>+IFERROR(IF(VLOOKUP(Tabla2[[#This Row],[ID]],'EVALUACION DE RIESGO'!A:A,1,FALSE)=Tabla2[[#This Row],[ID]],"SI","NO"),"NO")</f>
        <v/>
      </c>
    </row>
    <row r="911">
      <c r="A911" s="91" t="inlineStr">
        <is>
          <t>88-GES</t>
        </is>
      </c>
      <c r="B911" s="10" t="inlineStr">
        <is>
          <t>ESTRATÉGICO</t>
        </is>
      </c>
      <c r="C911" s="10" t="inlineStr">
        <is>
          <t xml:space="preserve">Gestión Estratégica </t>
        </is>
      </c>
      <c r="D911" s="10" t="inlineStr">
        <is>
          <t>GES</t>
        </is>
      </c>
      <c r="E911" s="10" t="inlineStr">
        <is>
          <t xml:space="preserve">Gestión de Proyectos </t>
        </is>
      </c>
      <c r="F911" s="10" t="inlineStr">
        <is>
          <t>-</t>
        </is>
      </c>
      <c r="G911" s="10" t="inlineStr">
        <is>
          <t xml:space="preserve">Ejecución del Proyecto  </t>
        </is>
      </c>
      <c r="H911" s="10" t="inlineStr">
        <is>
          <t>Entregables o hitos del proyecto</t>
        </is>
      </c>
      <c r="I911" s="10" t="inlineStr">
        <is>
          <t>Entregable</t>
        </is>
      </c>
      <c r="J911" s="10" t="inlineStr">
        <is>
          <t>GERENTE DE NEGOCIOS</t>
        </is>
      </c>
      <c r="K911" s="10" t="inlineStr">
        <is>
          <t>GERENTE DE NEGOCIOS</t>
        </is>
      </c>
      <c r="L911" s="10" t="inlineStr">
        <is>
          <t>UBICACIÓN DIGITAL-EQUIPO DEL CUSTODIO</t>
        </is>
      </c>
      <c r="M911" s="10" t="inlineStr">
        <is>
          <t>DOCUMENTO DE ARCHIVO-ELECTRÓNICO</t>
        </is>
      </c>
      <c r="N911" s="10" t="inlineStr">
        <is>
          <t>PRIMARIOS</t>
        </is>
      </c>
      <c r="O911" s="10" t="inlineStr">
        <is>
          <t>DOCUMENTOS TÉCNICOS</t>
        </is>
      </c>
      <c r="P911" s="10" t="inlineStr">
        <is>
          <t>PUBLICA(1)</t>
        </is>
      </c>
      <c r="Q911" s="10" t="inlineStr">
        <is>
          <t>BAJA(1)</t>
        </is>
      </c>
      <c r="R911" s="10" t="inlineStr">
        <is>
          <t>BAJA(1)</t>
        </is>
      </c>
      <c r="S911" s="10">
        <f>+(IF(P911="PUBLICA(1)",1,IF(P911="USO INTERNO(2)",2,IF(P911="RESTRINGIDO(3)",3,3))))+(IF(Q911="BAJA(1)",1,IF(Q911="MEDIA(2)",2,IF(Q911="ALTA(3)",3,3))))+(IF(R911="BAJA(1)",1,IF(R911="MEDIA(2)",2,IF(R911="ALTA(3)",3,3))))</f>
        <v/>
      </c>
      <c r="T911" s="10">
        <f>+IF(S911&lt;6,"BAJA",IF(S911&lt;8,"MEDIA","ALTA"))</f>
        <v/>
      </c>
      <c r="U911" s="10" t="inlineStr">
        <is>
          <t>-</t>
        </is>
      </c>
      <c r="V911" s="24" t="n">
        <v>45681</v>
      </c>
      <c r="W911" s="19" t="inlineStr">
        <is>
          <t>N/A</t>
        </is>
      </c>
      <c r="X911" s="10">
        <f>+IFERROR(IF(VLOOKUP(Tabla2[[#This Row],[ID]],'EVALUACION DE RIESGO'!A:A,1,FALSE)=Tabla2[[#This Row],[ID]],"SI","NO"),"NO")</f>
        <v/>
      </c>
    </row>
    <row r="912">
      <c r="A912" s="91" t="inlineStr">
        <is>
          <t>89-GES</t>
        </is>
      </c>
      <c r="B912" s="10" t="inlineStr">
        <is>
          <t>ESTRATÉGICO</t>
        </is>
      </c>
      <c r="C912" s="10" t="inlineStr">
        <is>
          <t xml:space="preserve">Gestión Estratégica </t>
        </is>
      </c>
      <c r="D912" s="10" t="inlineStr">
        <is>
          <t>GES</t>
        </is>
      </c>
      <c r="E912" s="10" t="inlineStr">
        <is>
          <t xml:space="preserve">Gestión de Proyectos </t>
        </is>
      </c>
      <c r="F912" s="10" t="inlineStr">
        <is>
          <t>-</t>
        </is>
      </c>
      <c r="G912" s="10" t="inlineStr">
        <is>
          <t>Monitoreo y Control del Proyecto</t>
        </is>
      </c>
      <c r="H912" s="10" t="inlineStr">
        <is>
          <t xml:space="preserve">Entregables o hitos del proyecto </t>
        </is>
      </c>
      <c r="I912" s="10" t="inlineStr">
        <is>
          <t>Ejecución del Proyecto</t>
        </is>
      </c>
      <c r="J912" s="10" t="inlineStr">
        <is>
          <t>GERENTE DE NEGOCIOS</t>
        </is>
      </c>
      <c r="K912" s="10" t="inlineStr">
        <is>
          <t>GERENTE DE NEGOCIOS</t>
        </is>
      </c>
      <c r="L912" s="10" t="inlineStr">
        <is>
          <t>UBICACIÓN DIGITAL-EQUIPO DEL CUSTODIO</t>
        </is>
      </c>
      <c r="M912" s="10" t="inlineStr">
        <is>
          <t>DOCUMENTO DE ARCHIVO-ELECTRÓNICO</t>
        </is>
      </c>
      <c r="N912" s="10" t="inlineStr">
        <is>
          <t>PRIMARIOS</t>
        </is>
      </c>
      <c r="O912" s="10" t="inlineStr">
        <is>
          <t>DOCUMENTOS TÉCNICOS</t>
        </is>
      </c>
      <c r="P912" s="10" t="inlineStr">
        <is>
          <t>PUBLICA(1)</t>
        </is>
      </c>
      <c r="Q912" s="10" t="inlineStr">
        <is>
          <t>BAJA(1)</t>
        </is>
      </c>
      <c r="R912" s="10" t="inlineStr">
        <is>
          <t>MEDIA(2)</t>
        </is>
      </c>
      <c r="S912" s="10">
        <f>+(IF(P912="PUBLICA(1)",1,IF(P912="USO INTERNO(2)",2,IF(P912="RESTRINGIDO(3)",3,3))))+(IF(Q912="BAJA(1)",1,IF(Q912="MEDIA(2)",2,IF(Q912="ALTA(3)",3,3))))+(IF(R912="BAJA(1)",1,IF(R912="MEDIA(2)",2,IF(R912="ALTA(3)",3,3))))</f>
        <v/>
      </c>
      <c r="T912" s="10">
        <f>+IF(S912&lt;6,"BAJA",IF(S912&lt;8,"MEDIA","ALTA"))</f>
        <v/>
      </c>
      <c r="U912" s="10" t="inlineStr">
        <is>
          <t>-</t>
        </is>
      </c>
      <c r="V912" s="24" t="n">
        <v>45681</v>
      </c>
      <c r="W912" s="19" t="inlineStr">
        <is>
          <t>N/A</t>
        </is>
      </c>
      <c r="X912" s="10">
        <f>+IFERROR(IF(VLOOKUP(Tabla2[[#This Row],[ID]],'EVALUACION DE RIESGO'!A:A,1,FALSE)=Tabla2[[#This Row],[ID]],"SI","NO"),"NO")</f>
        <v/>
      </c>
    </row>
    <row r="913">
      <c r="A913" s="91" t="inlineStr">
        <is>
          <t>90-GES</t>
        </is>
      </c>
      <c r="B913" s="10" t="inlineStr">
        <is>
          <t>ESTRATÉGICO</t>
        </is>
      </c>
      <c r="C913" s="10" t="inlineStr">
        <is>
          <t xml:space="preserve">Gestión Estratégica </t>
        </is>
      </c>
      <c r="D913" s="10" t="inlineStr">
        <is>
          <t>GES</t>
        </is>
      </c>
      <c r="E913" s="10" t="inlineStr">
        <is>
          <t xml:space="preserve">Gestión de Proyectos </t>
        </is>
      </c>
      <c r="F913" s="10" t="inlineStr">
        <is>
          <t>-</t>
        </is>
      </c>
      <c r="G913" s="10" t="inlineStr">
        <is>
          <t>Monitoreo y Control del Proyecto</t>
        </is>
      </c>
      <c r="H913" s="10" t="inlineStr">
        <is>
          <t>Matriz de historias de usuario</t>
        </is>
      </c>
      <c r="I913" s="10" t="inlineStr">
        <is>
          <t>Planificación y Estimación del Proyecto</t>
        </is>
      </c>
      <c r="J913" s="10" t="inlineStr">
        <is>
          <t>GERENTE DE NEGOCIOS</t>
        </is>
      </c>
      <c r="K913" s="10" t="inlineStr">
        <is>
          <t>GERENTE DE NEGOCIOS</t>
        </is>
      </c>
      <c r="L913" s="10" t="inlineStr">
        <is>
          <t>UBICACIÓN DIGITAL-EQUIPO DEL CUSTODIO</t>
        </is>
      </c>
      <c r="M913" s="10" t="inlineStr">
        <is>
          <t>DOCUMENTO DE ARCHIVO-ELECTRÓNICO</t>
        </is>
      </c>
      <c r="N913" s="10" t="inlineStr">
        <is>
          <t>PRIMARIOS</t>
        </is>
      </c>
      <c r="O913" s="10" t="inlineStr">
        <is>
          <t>DOCUMENTOS TÉCNICOS</t>
        </is>
      </c>
      <c r="P913" s="10" t="inlineStr">
        <is>
          <t>PUBLICA(1)</t>
        </is>
      </c>
      <c r="Q913" s="10" t="inlineStr">
        <is>
          <t>BAJA(1)</t>
        </is>
      </c>
      <c r="R913" s="10" t="inlineStr">
        <is>
          <t>BAJA(1)</t>
        </is>
      </c>
      <c r="S913" s="10">
        <f>+(IF(P913="PUBLICA(1)",1,IF(P913="USO INTERNO(2)",2,IF(P913="RESTRINGIDO(3)",3,3))))+(IF(Q913="BAJA(1)",1,IF(Q913="MEDIA(2)",2,IF(Q913="ALTA(3)",3,3))))+(IF(R913="BAJA(1)",1,IF(R913="MEDIA(2)",2,IF(R913="ALTA(3)",3,3))))</f>
        <v/>
      </c>
      <c r="T913" s="10">
        <f>+IF(S913&lt;6,"BAJA",IF(S913&lt;8,"MEDIA","ALTA"))</f>
        <v/>
      </c>
      <c r="U913" s="10" t="inlineStr">
        <is>
          <t>-</t>
        </is>
      </c>
      <c r="V913" s="24" t="n">
        <v>45681</v>
      </c>
      <c r="W913" s="19" t="inlineStr">
        <is>
          <t>N/A</t>
        </is>
      </c>
      <c r="X913" s="10">
        <f>+IFERROR(IF(VLOOKUP(Tabla2[[#This Row],[ID]],'EVALUACION DE RIESGO'!A:A,1,FALSE)=Tabla2[[#This Row],[ID]],"SI","NO"),"NO")</f>
        <v/>
      </c>
    </row>
    <row r="914">
      <c r="A914" s="91" t="inlineStr">
        <is>
          <t>91-GES</t>
        </is>
      </c>
      <c r="B914" s="10" t="inlineStr">
        <is>
          <t>ESTRATÉGICO</t>
        </is>
      </c>
      <c r="C914" s="10" t="inlineStr">
        <is>
          <t xml:space="preserve">Gestión Estratégica </t>
        </is>
      </c>
      <c r="D914" s="10" t="inlineStr">
        <is>
          <t>GES</t>
        </is>
      </c>
      <c r="E914" s="10" t="inlineStr">
        <is>
          <t xml:space="preserve">Gestión de Proyectos </t>
        </is>
      </c>
      <c r="F914" s="10" t="inlineStr">
        <is>
          <t>-</t>
        </is>
      </c>
      <c r="G914" s="10" t="inlineStr">
        <is>
          <t>Monitoreo y Control del Proyecto</t>
        </is>
      </c>
      <c r="H914" s="10" t="inlineStr">
        <is>
          <t>Matriz de planificación y seguimiento del Proyecto por sprints</t>
        </is>
      </c>
      <c r="I914" s="10" t="inlineStr">
        <is>
          <t>Planificación y Estimación del Proyecto</t>
        </is>
      </c>
      <c r="J914" s="10" t="inlineStr">
        <is>
          <t>GERENTE DE NEGOCIOS</t>
        </is>
      </c>
      <c r="K914" s="10" t="inlineStr">
        <is>
          <t>GERENTE DE NEGOCIOS</t>
        </is>
      </c>
      <c r="L914" s="10" t="inlineStr">
        <is>
          <t>UBICACIÓN DIGITAL-EQUIPO DEL CUSTODIO</t>
        </is>
      </c>
      <c r="M914" s="10" t="inlineStr">
        <is>
          <t>DOCUMENTO DE ARCHIVO-ELECTRÓNICO</t>
        </is>
      </c>
      <c r="N914" s="10" t="inlineStr">
        <is>
          <t>PRIMARIOS</t>
        </is>
      </c>
      <c r="O914" s="10" t="inlineStr">
        <is>
          <t>DOCUMENTOS TÉCNICOS</t>
        </is>
      </c>
      <c r="P914" s="10" t="inlineStr">
        <is>
          <t>PUBLICA(1)</t>
        </is>
      </c>
      <c r="Q914" s="10" t="inlineStr">
        <is>
          <t>BAJA(1)</t>
        </is>
      </c>
      <c r="R914" s="10" t="inlineStr">
        <is>
          <t>BAJA(1)</t>
        </is>
      </c>
      <c r="S914" s="10">
        <f>+(IF(P914="PUBLICA(1)",1,IF(P914="USO INTERNO(2)",2,IF(P914="RESTRINGIDO(3)",3,3))))+(IF(Q914="BAJA(1)",1,IF(Q914="MEDIA(2)",2,IF(Q914="ALTA(3)",3,3))))+(IF(R914="BAJA(1)",1,IF(R914="MEDIA(2)",2,IF(R914="ALTA(3)",3,3))))</f>
        <v/>
      </c>
      <c r="T914" s="10">
        <f>+IF(S914&lt;6,"BAJA",IF(S914&lt;8,"MEDIA","ALTA"))</f>
        <v/>
      </c>
      <c r="U914" s="10" t="inlineStr">
        <is>
          <t>-</t>
        </is>
      </c>
      <c r="V914" s="24" t="n">
        <v>45681</v>
      </c>
      <c r="W914" s="19" t="inlineStr">
        <is>
          <t>N/A</t>
        </is>
      </c>
      <c r="X914" s="10">
        <f>+IFERROR(IF(VLOOKUP(Tabla2[[#This Row],[ID]],'EVALUACION DE RIESGO'!A:A,1,FALSE)=Tabla2[[#This Row],[ID]],"SI","NO"),"NO")</f>
        <v/>
      </c>
    </row>
    <row r="915">
      <c r="A915" s="91" t="inlineStr">
        <is>
          <t>92-GES</t>
        </is>
      </c>
      <c r="B915" s="10" t="inlineStr">
        <is>
          <t>ESTRATÉGICO</t>
        </is>
      </c>
      <c r="C915" s="10" t="inlineStr">
        <is>
          <t xml:space="preserve">Gestión Estratégica </t>
        </is>
      </c>
      <c r="D915" s="10" t="inlineStr">
        <is>
          <t>GES</t>
        </is>
      </c>
      <c r="E915" s="10" t="inlineStr">
        <is>
          <t xml:space="preserve">Gestión de Proyectos </t>
        </is>
      </c>
      <c r="F915" s="10" t="inlineStr">
        <is>
          <t>-</t>
        </is>
      </c>
      <c r="G915" s="10" t="inlineStr">
        <is>
          <t>Monitoreo y Control del Proyecto</t>
        </is>
      </c>
      <c r="H915" s="10" t="inlineStr">
        <is>
          <t>Informe de evaluación</t>
        </is>
      </c>
      <c r="I915" s="10" t="inlineStr">
        <is>
          <t>Cierre del proyecto</t>
        </is>
      </c>
      <c r="J915" s="10" t="inlineStr">
        <is>
          <t>GERENTE DE NEGOCIOS</t>
        </is>
      </c>
      <c r="K915" s="10" t="inlineStr">
        <is>
          <t>GERENTE DE NEGOCIOS</t>
        </is>
      </c>
      <c r="L915" s="10" t="inlineStr">
        <is>
          <t>UBICACIÓN DIGITAL-EQUIPO DEL CUSTODIO</t>
        </is>
      </c>
      <c r="M915" s="10" t="inlineStr">
        <is>
          <t>DOCUMENTO DE ARCHIVO-ELECTRÓNICO</t>
        </is>
      </c>
      <c r="N915" s="10" t="inlineStr">
        <is>
          <t>PRIMARIOS</t>
        </is>
      </c>
      <c r="O915" s="10" t="inlineStr">
        <is>
          <t>DOCUMENTOS TÉCNICOS</t>
        </is>
      </c>
      <c r="P915" s="10" t="inlineStr">
        <is>
          <t>PUBLICA(1)</t>
        </is>
      </c>
      <c r="Q915" s="10" t="inlineStr">
        <is>
          <t>BAJA(1)</t>
        </is>
      </c>
      <c r="R915" s="10" t="inlineStr">
        <is>
          <t>ALTA(3)</t>
        </is>
      </c>
      <c r="S915" s="10">
        <f>+(IF(P915="PUBLICA(1)",1,IF(P915="USO INTERNO(2)",2,IF(P915="RESTRINGIDO(3)",3,3))))+(IF(Q915="BAJA(1)",1,IF(Q915="MEDIA(2)",2,IF(Q915="ALTA(3)",3,3))))+(IF(R915="BAJA(1)",1,IF(R915="MEDIA(2)",2,IF(R915="ALTA(3)",3,3))))</f>
        <v/>
      </c>
      <c r="T915" s="10">
        <f>+IF(S915&lt;6,"BAJA",IF(S915&lt;8,"MEDIA","ALTA"))</f>
        <v/>
      </c>
      <c r="U915" s="10" t="inlineStr">
        <is>
          <t>-</t>
        </is>
      </c>
      <c r="V915" s="24" t="n">
        <v>45681</v>
      </c>
      <c r="W915" s="19" t="inlineStr">
        <is>
          <t>N/A</t>
        </is>
      </c>
      <c r="X915" s="10">
        <f>+IFERROR(IF(VLOOKUP(Tabla2[[#This Row],[ID]],'EVALUACION DE RIESGO'!A:A,1,FALSE)=Tabla2[[#This Row],[ID]],"SI","NO"),"NO")</f>
        <v/>
      </c>
    </row>
    <row r="916">
      <c r="A916" s="91" t="inlineStr">
        <is>
          <t>93-GES</t>
        </is>
      </c>
      <c r="B916" s="10" t="inlineStr">
        <is>
          <t>ESTRATÉGICO</t>
        </is>
      </c>
      <c r="C916" s="10" t="inlineStr">
        <is>
          <t xml:space="preserve">Gestión Estratégica </t>
        </is>
      </c>
      <c r="D916" s="10" t="inlineStr">
        <is>
          <t>GES</t>
        </is>
      </c>
      <c r="E916" s="10" t="inlineStr">
        <is>
          <t xml:space="preserve">Gestión de Proyectos </t>
        </is>
      </c>
      <c r="F916" s="10" t="inlineStr">
        <is>
          <t>-</t>
        </is>
      </c>
      <c r="G916" s="10" t="inlineStr">
        <is>
          <t>Lanzamiento del Proyecto</t>
        </is>
      </c>
      <c r="H916" s="10" t="inlineStr">
        <is>
          <t>Plan de dirección del proyecto</t>
        </is>
      </c>
      <c r="I916" s="10" t="inlineStr">
        <is>
          <t>Inicio y planificación del proyecto</t>
        </is>
      </c>
      <c r="J916" s="10" t="inlineStr">
        <is>
          <t>GERENTE DE NEGOCIOS</t>
        </is>
      </c>
      <c r="K916" s="10" t="inlineStr">
        <is>
          <t>JEFE DE PLANIFICACIÓN Y PROCESOS</t>
        </is>
      </c>
      <c r="L916" s="10" t="inlineStr">
        <is>
          <t>UBICACIÓN DIGITAL-EQUIPO DEL CUSTODIO</t>
        </is>
      </c>
      <c r="M916" s="10" t="inlineStr">
        <is>
          <t>DOCUMENTO DE ARCHIVO-ELECTRÓNICO</t>
        </is>
      </c>
      <c r="N916" s="10" t="inlineStr">
        <is>
          <t>PRIMARIOS</t>
        </is>
      </c>
      <c r="O916" s="10" t="inlineStr">
        <is>
          <t>DOCUMENTOS TÉCNICOS</t>
        </is>
      </c>
      <c r="P916" s="10" t="inlineStr">
        <is>
          <t>PUBLICA(1)</t>
        </is>
      </c>
      <c r="Q916" s="10" t="inlineStr">
        <is>
          <t>BAJA(1)</t>
        </is>
      </c>
      <c r="R916" s="10" t="inlineStr">
        <is>
          <t>MEDIA(2)</t>
        </is>
      </c>
      <c r="S916" s="10">
        <f>+(IF(P916="PUBLICA(1)",1,IF(P916="USO INTERNO(2)",2,IF(P916="RESTRINGIDO(3)",3,3))))+(IF(Q916="BAJA(1)",1,IF(Q916="MEDIA(2)",2,IF(Q916="ALTA(3)",3,3))))+(IF(R916="BAJA(1)",1,IF(R916="MEDIA(2)",2,IF(R916="ALTA(3)",3,3))))</f>
        <v/>
      </c>
      <c r="T916" s="10">
        <f>+IF(S916&lt;6,"BAJA",IF(S916&lt;8,"MEDIA","ALTA"))</f>
        <v/>
      </c>
      <c r="U916" s="10" t="inlineStr">
        <is>
          <t>-</t>
        </is>
      </c>
      <c r="V916" s="24" t="n">
        <v>45681</v>
      </c>
      <c r="W916" s="19" t="inlineStr">
        <is>
          <t>N/A</t>
        </is>
      </c>
      <c r="X916" s="10">
        <f>+IFERROR(IF(VLOOKUP(Tabla2[[#This Row],[ID]],'EVALUACION DE RIESGO'!A:A,1,FALSE)=Tabla2[[#This Row],[ID]],"SI","NO"),"NO")</f>
        <v/>
      </c>
    </row>
    <row r="917">
      <c r="A917" s="91" t="inlineStr">
        <is>
          <t>94-GES</t>
        </is>
      </c>
      <c r="B917" s="10" t="inlineStr">
        <is>
          <t>ESTRATÉGICO</t>
        </is>
      </c>
      <c r="C917" s="10" t="inlineStr">
        <is>
          <t xml:space="preserve">Gestión Estratégica </t>
        </is>
      </c>
      <c r="D917" s="10" t="inlineStr">
        <is>
          <t>GES</t>
        </is>
      </c>
      <c r="E917" s="10" t="inlineStr">
        <is>
          <t xml:space="preserve">Gestión de Proyectos </t>
        </is>
      </c>
      <c r="F917" s="10" t="inlineStr">
        <is>
          <t>-</t>
        </is>
      </c>
      <c r="G917" s="10" t="inlineStr">
        <is>
          <t>Lanzamiento del Proyecto</t>
        </is>
      </c>
      <c r="H917" s="10" t="inlineStr">
        <is>
          <t xml:space="preserve">Matriz de seguimiento al cumplimiento de proyectos </t>
        </is>
      </c>
      <c r="I917" s="10" t="inlineStr">
        <is>
          <t>Archivo</t>
        </is>
      </c>
      <c r="J917" s="10" t="inlineStr">
        <is>
          <t>GERENTE DE NEGOCIOS</t>
        </is>
      </c>
      <c r="K917" s="10" t="inlineStr">
        <is>
          <t>JEFE DE PLANIFICACIÓN Y PROCESOS</t>
        </is>
      </c>
      <c r="L917" s="10" t="inlineStr">
        <is>
          <t>UBICACIÓN DIGITAL-EQUIPO DEL CUSTODIO</t>
        </is>
      </c>
      <c r="M917" s="10" t="inlineStr">
        <is>
          <t>DOCUMENTO DE ARCHIVO-ELECTRÓNICO</t>
        </is>
      </c>
      <c r="N917" s="10" t="inlineStr">
        <is>
          <t>PRIMARIOS</t>
        </is>
      </c>
      <c r="O917" s="10" t="inlineStr">
        <is>
          <t>DOCUMENTOS TÉCNICOS</t>
        </is>
      </c>
      <c r="P917" s="10" t="inlineStr">
        <is>
          <t>PUBLICA(1)</t>
        </is>
      </c>
      <c r="Q917" s="10" t="inlineStr">
        <is>
          <t>BAJA(1)</t>
        </is>
      </c>
      <c r="R917" s="10" t="inlineStr">
        <is>
          <t>ALTA(3)</t>
        </is>
      </c>
      <c r="S917" s="10">
        <f>+(IF(P917="PUBLICA(1)",1,IF(P917="USO INTERNO(2)",2,IF(P917="RESTRINGIDO(3)",3,3))))+(IF(Q917="BAJA(1)",1,IF(Q917="MEDIA(2)",2,IF(Q917="ALTA(3)",3,3))))+(IF(R917="BAJA(1)",1,IF(R917="MEDIA(2)",2,IF(R917="ALTA(3)",3,3))))</f>
        <v/>
      </c>
      <c r="T917" s="10">
        <f>+IF(S917&lt;6,"BAJA",IF(S917&lt;8,"MEDIA","ALTA"))</f>
        <v/>
      </c>
      <c r="U917" s="10" t="inlineStr">
        <is>
          <t>-</t>
        </is>
      </c>
      <c r="V917" s="24" t="n">
        <v>45681</v>
      </c>
      <c r="W917" s="19" t="inlineStr">
        <is>
          <t>N/A</t>
        </is>
      </c>
      <c r="X917" s="10">
        <f>+IFERROR(IF(VLOOKUP(Tabla2[[#This Row],[ID]],'EVALUACION DE RIESGO'!A:A,1,FALSE)=Tabla2[[#This Row],[ID]],"SI","NO"),"NO")</f>
        <v/>
      </c>
    </row>
    <row r="918">
      <c r="A918" s="91" t="inlineStr">
        <is>
          <t>95-GES</t>
        </is>
      </c>
      <c r="B918" s="10" t="inlineStr">
        <is>
          <t>ESTRATÉGICO</t>
        </is>
      </c>
      <c r="C918" s="10" t="inlineStr">
        <is>
          <t xml:space="preserve">Gestión Estratégica </t>
        </is>
      </c>
      <c r="D918" s="10" t="inlineStr">
        <is>
          <t>GES</t>
        </is>
      </c>
      <c r="E918" s="10" t="inlineStr">
        <is>
          <t xml:space="preserve">Gestión de Proyectos </t>
        </is>
      </c>
      <c r="F918" s="10" t="inlineStr">
        <is>
          <t>-</t>
        </is>
      </c>
      <c r="G918" s="10" t="inlineStr">
        <is>
          <t>Lanzamiento del Proyecto</t>
        </is>
      </c>
      <c r="H918" s="10" t="inlineStr">
        <is>
          <t>Informe de Gestión Mensual para Gerencia</t>
        </is>
      </c>
      <c r="I918" s="10" t="inlineStr">
        <is>
          <t>Archivo</t>
        </is>
      </c>
      <c r="J918" s="10" t="inlineStr">
        <is>
          <t>GERENTE DE NEGOCIOS</t>
        </is>
      </c>
      <c r="K918" s="10" t="inlineStr">
        <is>
          <t>JEFE DE PLANIFICACIÓN Y PROCESOS</t>
        </is>
      </c>
      <c r="L918" s="10" t="inlineStr">
        <is>
          <t>UBICACIÓN DIGITAL-EQUIPO DEL CUSTODIO</t>
        </is>
      </c>
      <c r="M918" s="10" t="inlineStr">
        <is>
          <t>DOCUMENTO DE ARCHIVO-ELECTRÓNICO</t>
        </is>
      </c>
      <c r="N918" s="10" t="inlineStr">
        <is>
          <t>PRIMARIOS</t>
        </is>
      </c>
      <c r="O918" s="10" t="inlineStr">
        <is>
          <t>DOCUMENTOS TÉCNICOS</t>
        </is>
      </c>
      <c r="P918" s="10" t="inlineStr">
        <is>
          <t>PUBLICA(1)</t>
        </is>
      </c>
      <c r="Q918" s="10" t="inlineStr">
        <is>
          <t>BAJA(1)</t>
        </is>
      </c>
      <c r="R918" s="10" t="inlineStr">
        <is>
          <t>ALTA(3)</t>
        </is>
      </c>
      <c r="S918" s="10">
        <f>+(IF(P918="PUBLICA(1)",1,IF(P918="USO INTERNO(2)",2,IF(P918="RESTRINGIDO(3)",3,3))))+(IF(Q918="BAJA(1)",1,IF(Q918="MEDIA(2)",2,IF(Q918="ALTA(3)",3,3))))+(IF(R918="BAJA(1)",1,IF(R918="MEDIA(2)",2,IF(R918="ALTA(3)",3,3))))</f>
        <v/>
      </c>
      <c r="T918" s="10">
        <f>+IF(S918&lt;6,"BAJA",IF(S918&lt;8,"MEDIA","ALTA"))</f>
        <v/>
      </c>
      <c r="U918" s="10" t="inlineStr">
        <is>
          <t>-</t>
        </is>
      </c>
      <c r="V918" s="24" t="n">
        <v>45681</v>
      </c>
      <c r="W918" s="19" t="inlineStr">
        <is>
          <t>N/A</t>
        </is>
      </c>
      <c r="X918" s="10">
        <f>+IFERROR(IF(VLOOKUP(Tabla2[[#This Row],[ID]],'EVALUACION DE RIESGO'!A:A,1,FALSE)=Tabla2[[#This Row],[ID]],"SI","NO"),"NO")</f>
        <v/>
      </c>
    </row>
    <row r="919">
      <c r="A919" s="91" t="inlineStr">
        <is>
          <t>96-GES</t>
        </is>
      </c>
      <c r="B919" s="10" t="inlineStr">
        <is>
          <t>ESTRATÉGICO</t>
        </is>
      </c>
      <c r="C919" s="10" t="inlineStr">
        <is>
          <t xml:space="preserve">Gestión Estratégica </t>
        </is>
      </c>
      <c r="D919" s="10" t="inlineStr">
        <is>
          <t>GES</t>
        </is>
      </c>
      <c r="E919" s="10" t="inlineStr">
        <is>
          <t xml:space="preserve">Gestión de Proyectos </t>
        </is>
      </c>
      <c r="F919" s="10" t="inlineStr">
        <is>
          <t>-</t>
        </is>
      </c>
      <c r="G919" s="10" t="inlineStr">
        <is>
          <t>Otros Activos</t>
        </is>
      </c>
      <c r="H919" s="10" t="inlineStr">
        <is>
          <t>Resolución No. SB-2018-771</t>
        </is>
      </c>
      <c r="I919" s="10" t="inlineStr">
        <is>
          <t>Sección V.- Administración de Proyectos, Artículo 13</t>
        </is>
      </c>
      <c r="J919" s="10" t="inlineStr">
        <is>
          <t>JEFE DE PLANIFICACIÓN Y PROCESOS</t>
        </is>
      </c>
      <c r="K919" s="10" t="inlineStr">
        <is>
          <t>JEFE DE PLANIFICACIÓN Y PROCESOS</t>
        </is>
      </c>
      <c r="L919" s="10" t="inlineStr">
        <is>
          <t>UBICACIÓN DIGITAL-EQUIPO DEL CUSTODIO</t>
        </is>
      </c>
      <c r="M919" s="10" t="inlineStr">
        <is>
          <t>DOCUMENTO DE ARCHIVO-ELECTRÓNICO</t>
        </is>
      </c>
      <c r="N919" s="10" t="inlineStr">
        <is>
          <t>PRIMARIOS</t>
        </is>
      </c>
      <c r="O919" s="10" t="inlineStr">
        <is>
          <t>DOCUMENTOS TÉCNICOS</t>
        </is>
      </c>
      <c r="P919" s="10" t="inlineStr">
        <is>
          <t>PUBLICA(1)</t>
        </is>
      </c>
      <c r="Q919" s="10" t="inlineStr">
        <is>
          <t>BAJA(1)</t>
        </is>
      </c>
      <c r="R919" s="10" t="inlineStr">
        <is>
          <t>ALTA(3)</t>
        </is>
      </c>
      <c r="S919" s="10">
        <f>+(IF(P919="PUBLICA(1)",1,IF(P919="USO INTERNO(2)",2,IF(P919="RESTRINGIDO(3)",3,3))))+(IF(Q919="BAJA(1)",1,IF(Q919="MEDIA(2)",2,IF(Q919="ALTA(3)",3,3))))+(IF(R919="BAJA(1)",1,IF(R919="MEDIA(2)",2,IF(R919="ALTA(3)",3,3))))</f>
        <v/>
      </c>
      <c r="T919" s="10">
        <f>+IF(S919&lt;6,"BAJA",IF(S919&lt;8,"MEDIA","ALTA"))</f>
        <v/>
      </c>
      <c r="U919" s="10" t="inlineStr">
        <is>
          <t>-</t>
        </is>
      </c>
      <c r="V919" s="24" t="n">
        <v>45681</v>
      </c>
      <c r="W919" s="19" t="inlineStr">
        <is>
          <t>N/A</t>
        </is>
      </c>
      <c r="X919" s="10">
        <f>+IFERROR(IF(VLOOKUP(Tabla2[[#This Row],[ID]],'EVALUACION DE RIESGO'!A:A,1,FALSE)=Tabla2[[#This Row],[ID]],"SI","NO"),"NO")</f>
        <v/>
      </c>
    </row>
    <row r="920">
      <c r="A920" s="91" t="inlineStr">
        <is>
          <t>97-GES</t>
        </is>
      </c>
      <c r="B920" s="10" t="inlineStr">
        <is>
          <t>ESTRATÉGICO</t>
        </is>
      </c>
      <c r="C920" s="10" t="inlineStr">
        <is>
          <t xml:space="preserve">Gestión Estratégica </t>
        </is>
      </c>
      <c r="D920" s="10" t="inlineStr">
        <is>
          <t>GES</t>
        </is>
      </c>
      <c r="E920" s="10" t="inlineStr">
        <is>
          <t xml:space="preserve">Gestión de Proyectos </t>
        </is>
      </c>
      <c r="F920" s="10" t="inlineStr">
        <is>
          <t>-</t>
        </is>
      </c>
      <c r="G920" s="10" t="inlineStr">
        <is>
          <t>Otros Activos</t>
        </is>
      </c>
      <c r="H920" s="10" t="inlineStr">
        <is>
          <t>Metodología PMBOK</t>
        </is>
      </c>
      <c r="I920" s="10" t="inlineStr">
        <is>
          <t>Todo el documento</t>
        </is>
      </c>
      <c r="J920" s="10" t="inlineStr">
        <is>
          <t>JEFE DE PLANIFICACIÓN Y PROCESOS</t>
        </is>
      </c>
      <c r="K920" s="10" t="inlineStr">
        <is>
          <t>JEFE DE PLANIFICACIÓN Y PROCESOS</t>
        </is>
      </c>
      <c r="L920" s="10" t="inlineStr">
        <is>
          <t>UBICACIÓN DIGITAL-EQUIPO DEL CUSTODIO</t>
        </is>
      </c>
      <c r="M920" s="10" t="inlineStr">
        <is>
          <t>DOCUMENTO DE ARCHIVO-ELECTRÓNICO</t>
        </is>
      </c>
      <c r="N920" s="10" t="inlineStr">
        <is>
          <t>PRIMARIOS</t>
        </is>
      </c>
      <c r="O920" s="10" t="inlineStr">
        <is>
          <t>DOCUMENTOS TÉCNICOS</t>
        </is>
      </c>
      <c r="P920" s="10" t="inlineStr">
        <is>
          <t>PUBLICA(1)</t>
        </is>
      </c>
      <c r="Q920" s="10" t="inlineStr">
        <is>
          <t>BAJA(1)</t>
        </is>
      </c>
      <c r="R920" s="10" t="inlineStr">
        <is>
          <t>BAJA(1)</t>
        </is>
      </c>
      <c r="S920" s="10">
        <f>+(IF(P920="PUBLICA(1)",1,IF(P920="USO INTERNO(2)",2,IF(P920="RESTRINGIDO(3)",3,3))))+(IF(Q920="BAJA(1)",1,IF(Q920="MEDIA(2)",2,IF(Q920="ALTA(3)",3,3))))+(IF(R920="BAJA(1)",1,IF(R920="MEDIA(2)",2,IF(R920="ALTA(3)",3,3))))</f>
        <v/>
      </c>
      <c r="T920" s="10">
        <f>+IF(S920&lt;6,"BAJA",IF(S920&lt;8,"MEDIA","ALTA"))</f>
        <v/>
      </c>
      <c r="U920" s="10" t="inlineStr">
        <is>
          <t>-</t>
        </is>
      </c>
      <c r="V920" s="24" t="n">
        <v>45681</v>
      </c>
      <c r="W920" s="19" t="inlineStr">
        <is>
          <t>N/A</t>
        </is>
      </c>
      <c r="X920" s="10">
        <f>+IFERROR(IF(VLOOKUP(Tabla2[[#This Row],[ID]],'EVALUACION DE RIESGO'!A:A,1,FALSE)=Tabla2[[#This Row],[ID]],"SI","NO"),"NO")</f>
        <v/>
      </c>
    </row>
    <row r="921">
      <c r="A921" s="91" t="inlineStr">
        <is>
          <t>98-GES</t>
        </is>
      </c>
      <c r="B921" s="10" t="inlineStr">
        <is>
          <t>ESTRATÉGICO</t>
        </is>
      </c>
      <c r="C921" s="10" t="inlineStr">
        <is>
          <t xml:space="preserve">Gestión Estratégica </t>
        </is>
      </c>
      <c r="D921" s="10" t="inlineStr">
        <is>
          <t>GES</t>
        </is>
      </c>
      <c r="E921" s="10" t="inlineStr">
        <is>
          <t xml:space="preserve">Gestión de Proyectos </t>
        </is>
      </c>
      <c r="F921" s="10" t="inlineStr">
        <is>
          <t>-</t>
        </is>
      </c>
      <c r="G921" s="10" t="inlineStr">
        <is>
          <t>Otros Activos</t>
        </is>
      </c>
      <c r="H921" s="10" t="inlineStr">
        <is>
          <t>SCRUM study SBOK Guide 4th edition Spanish</t>
        </is>
      </c>
      <c r="I921" s="10" t="inlineStr">
        <is>
          <t>Todo el documento</t>
        </is>
      </c>
      <c r="J921" s="10" t="inlineStr">
        <is>
          <t>JEFE DE PLANIFICACIÓN Y PROCESOS</t>
        </is>
      </c>
      <c r="K921" s="10" t="inlineStr">
        <is>
          <t>JEFE DE PLANIFICACIÓN Y PROCESOS</t>
        </is>
      </c>
      <c r="L921" s="10" t="inlineStr">
        <is>
          <t>UBICACIÓN DIGITAL-EQUIPO DEL CUSTODIO</t>
        </is>
      </c>
      <c r="M921" s="10" t="inlineStr">
        <is>
          <t>DOCUMENTO DE ARCHIVO-ELECTRÓNICO</t>
        </is>
      </c>
      <c r="N921" s="10" t="inlineStr">
        <is>
          <t>PRIMARIOS</t>
        </is>
      </c>
      <c r="O921" s="10" t="inlineStr">
        <is>
          <t>DOCUMENTOS TÉCNICOS</t>
        </is>
      </c>
      <c r="P921" s="10" t="inlineStr">
        <is>
          <t>PUBLICA(1)</t>
        </is>
      </c>
      <c r="Q921" s="10" t="inlineStr">
        <is>
          <t>BAJA(1)</t>
        </is>
      </c>
      <c r="R921" s="10" t="inlineStr">
        <is>
          <t>BAJA(1)</t>
        </is>
      </c>
      <c r="S921" s="10">
        <f>+(IF(P921="PUBLICA(1)",1,IF(P921="USO INTERNO(2)",2,IF(P921="RESTRINGIDO(3)",3,3))))+(IF(Q921="BAJA(1)",1,IF(Q921="MEDIA(2)",2,IF(Q921="ALTA(3)",3,3))))+(IF(R921="BAJA(1)",1,IF(R921="MEDIA(2)",2,IF(R921="ALTA(3)",3,3))))</f>
        <v/>
      </c>
      <c r="T921" s="10">
        <f>+IF(S921&lt;6,"BAJA",IF(S921&lt;8,"MEDIA","ALTA"))</f>
        <v/>
      </c>
      <c r="U921" s="10" t="inlineStr">
        <is>
          <t>-</t>
        </is>
      </c>
      <c r="V921" s="24" t="n">
        <v>45681</v>
      </c>
      <c r="W921" s="19" t="inlineStr">
        <is>
          <t>N/A</t>
        </is>
      </c>
      <c r="X921" s="10">
        <f>+IFERROR(IF(VLOOKUP(Tabla2[[#This Row],[ID]],'EVALUACION DE RIESGO'!A:A,1,FALSE)=Tabla2[[#This Row],[ID]],"SI","NO"),"NO")</f>
        <v/>
      </c>
    </row>
    <row r="922">
      <c r="A922" s="91" t="inlineStr">
        <is>
          <t>99-GES</t>
        </is>
      </c>
      <c r="B922" s="10" t="inlineStr">
        <is>
          <t>ESTRATÉGICO</t>
        </is>
      </c>
      <c r="C922" s="10" t="inlineStr">
        <is>
          <t xml:space="preserve">Gestión Estratégica </t>
        </is>
      </c>
      <c r="D922" s="10" t="inlineStr">
        <is>
          <t>GES</t>
        </is>
      </c>
      <c r="E922" s="10" t="inlineStr">
        <is>
          <t xml:space="preserve">Gestión de Proyectos </t>
        </is>
      </c>
      <c r="F922" s="10" t="inlineStr">
        <is>
          <t>-</t>
        </is>
      </c>
      <c r="G922" s="10" t="inlineStr">
        <is>
          <t>Otros Activos</t>
        </is>
      </c>
      <c r="H922" s="10" t="inlineStr">
        <is>
          <t xml:space="preserve">Metodología para la Gestión de Proyectos </t>
        </is>
      </c>
      <c r="I922" s="10" t="inlineStr">
        <is>
          <t>Todo el documento</t>
        </is>
      </c>
      <c r="J922" s="10" t="inlineStr">
        <is>
          <t>JEFE DE PLANIFICACIÓN Y PROCESOS</t>
        </is>
      </c>
      <c r="K922" s="10" t="inlineStr">
        <is>
          <t>JEFE DE PLANIFICACIÓN Y PROCESOS</t>
        </is>
      </c>
      <c r="L922" s="10" t="inlineStr">
        <is>
          <t>UBICACIÓN DIGITAL-EQUIPO DEL CUSTODIO</t>
        </is>
      </c>
      <c r="M922" s="10" t="inlineStr">
        <is>
          <t>DOCUMENTO DE ARCHIVO-ELECTRÓNICO</t>
        </is>
      </c>
      <c r="N922" s="10" t="inlineStr">
        <is>
          <t>PRIMARIOS</t>
        </is>
      </c>
      <c r="O922" s="10" t="inlineStr">
        <is>
          <t>DOCUMENTOS TÉCNICOS</t>
        </is>
      </c>
      <c r="P922" s="10" t="inlineStr">
        <is>
          <t>PUBLICA(1)</t>
        </is>
      </c>
      <c r="Q922" s="10" t="inlineStr">
        <is>
          <t>BAJA(1)</t>
        </is>
      </c>
      <c r="R922" s="10" t="inlineStr">
        <is>
          <t>BAJA(1)</t>
        </is>
      </c>
      <c r="S922" s="10">
        <f>+(IF(P922="PUBLICA(1)",1,IF(P922="USO INTERNO(2)",2,IF(P922="RESTRINGIDO(3)",3,3))))+(IF(Q922="BAJA(1)",1,IF(Q922="MEDIA(2)",2,IF(Q922="ALTA(3)",3,3))))+(IF(R922="BAJA(1)",1,IF(R922="MEDIA(2)",2,IF(R922="ALTA(3)",3,3))))</f>
        <v/>
      </c>
      <c r="T922" s="10">
        <f>+IF(S922&lt;6,"BAJA",IF(S922&lt;8,"MEDIA","ALTA"))</f>
        <v/>
      </c>
      <c r="U922" s="10" t="inlineStr">
        <is>
          <t>-</t>
        </is>
      </c>
      <c r="V922" s="24" t="n">
        <v>45681</v>
      </c>
      <c r="W922" s="19" t="inlineStr">
        <is>
          <t>N/A</t>
        </is>
      </c>
      <c r="X922" s="10">
        <f>+IFERROR(IF(VLOOKUP(Tabla2[[#This Row],[ID]],'EVALUACION DE RIESGO'!A:A,1,FALSE)=Tabla2[[#This Row],[ID]],"SI","NO"),"NO")</f>
        <v/>
      </c>
    </row>
    <row r="923">
      <c r="A923" s="91" t="inlineStr">
        <is>
          <t>1-GFI</t>
        </is>
      </c>
      <c r="B923" s="10" t="inlineStr">
        <is>
          <t>APOYO</t>
        </is>
      </c>
      <c r="C923" s="10" t="inlineStr">
        <is>
          <t>Gestión Financiera</t>
        </is>
      </c>
      <c r="D923" s="10" t="inlineStr">
        <is>
          <t>GFI</t>
        </is>
      </c>
      <c r="E923" s="10" t="inlineStr">
        <is>
          <t>Gestión Contable</t>
        </is>
      </c>
      <c r="F923" s="10" t="inlineStr">
        <is>
          <t>-</t>
        </is>
      </c>
      <c r="G923" s="10" t="inlineStr">
        <is>
          <t xml:space="preserve">Registro Contable Diario  </t>
        </is>
      </c>
      <c r="H923" s="10" t="inlineStr">
        <is>
          <t>Registro y Comprobante Contable Diario</t>
        </is>
      </c>
      <c r="I923" s="10" t="inlineStr">
        <is>
          <t>Consolida las transacciones diarias que se generan en el día</t>
        </is>
      </c>
      <c r="J923" s="10" t="inlineStr">
        <is>
          <t>Contador General</t>
        </is>
      </c>
      <c r="K923" s="10" t="inlineStr">
        <is>
          <t>ASIS CONTABLE / ANALISTA CONTABLE</t>
        </is>
      </c>
      <c r="L923" s="10" t="inlineStr">
        <is>
          <t>DOCUMENTOS FISICOS-ARCHIVOS DE LA OFICINA</t>
        </is>
      </c>
      <c r="M923" s="10" t="inlineStr">
        <is>
          <t>ARCHIVOS INSTITUCIONALES-FÍSICOS</t>
        </is>
      </c>
      <c r="N923" s="10" t="inlineStr">
        <is>
          <t>PRIMARIOS</t>
        </is>
      </c>
      <c r="O923" s="10" t="inlineStr">
        <is>
          <t>INFORMACIÓN DE SOCIOS Y CLIENTES</t>
        </is>
      </c>
      <c r="P923" s="10" t="inlineStr">
        <is>
          <t>RESTRINGIDO(3)</t>
        </is>
      </c>
      <c r="Q923" s="10" t="inlineStr">
        <is>
          <t>MEDIA(2)</t>
        </is>
      </c>
      <c r="R923" s="10" t="inlineStr">
        <is>
          <t>MEDIA(2)</t>
        </is>
      </c>
      <c r="S923" s="10">
        <f>+(IF(P923="PUBLICA(1)",1,IF(P923="USO INTERNO(2)",2,IF(P923="RESTRINGIDO(3)",3,3))))+(IF(Q923="BAJA(1)",1,IF(Q923="MEDIA(2)",2,IF(Q923="ALTA(3)",3,3))))+(IF(R923="BAJA(1)",1,IF(R923="MEDIA(2)",2,IF(R923="ALTA(3)",3,3))))</f>
        <v/>
      </c>
      <c r="T923" s="10">
        <f>+IF(S923&lt;6,"BAJA",IF(S923&lt;8,"MEDIA","ALTA"))</f>
        <v/>
      </c>
      <c r="U923" s="10" t="inlineStr">
        <is>
          <t>-</t>
        </is>
      </c>
      <c r="V923" s="24" t="n">
        <v>45673</v>
      </c>
      <c r="W923" s="19" t="inlineStr">
        <is>
          <t>N/A</t>
        </is>
      </c>
      <c r="X923" s="10">
        <f>+IFERROR(IF(VLOOKUP(Tabla2[[#This Row],[ID]],'EVALUACION DE RIESGO'!A:A,1,FALSE)=Tabla2[[#This Row],[ID]],"SI","NO"),"NO")</f>
        <v/>
      </c>
    </row>
    <row r="924">
      <c r="A924" s="91" t="inlineStr">
        <is>
          <t>2-GFI</t>
        </is>
      </c>
      <c r="B924" s="10" t="inlineStr">
        <is>
          <t>APOYO</t>
        </is>
      </c>
      <c r="C924" s="10" t="inlineStr">
        <is>
          <t>Gestión Financiera</t>
        </is>
      </c>
      <c r="D924" s="10" t="inlineStr">
        <is>
          <t>GFI</t>
        </is>
      </c>
      <c r="E924" s="10" t="inlineStr">
        <is>
          <t>Gestión Contable</t>
        </is>
      </c>
      <c r="F924" s="10" t="inlineStr">
        <is>
          <t>-</t>
        </is>
      </c>
      <c r="G924" s="10" t="inlineStr">
        <is>
          <t xml:space="preserve">Registro Contable Diario  </t>
        </is>
      </c>
      <c r="H924" s="10" t="inlineStr">
        <is>
          <t>Mayor contable diario</t>
        </is>
      </c>
      <c r="I924" s="10" t="inlineStr">
        <is>
          <t>Información (Trx 124023 ) del sistema para visualizar transacciones cuentas contables y madre</t>
        </is>
      </c>
      <c r="J924" s="10" t="inlineStr">
        <is>
          <t>Contador General</t>
        </is>
      </c>
      <c r="K924" s="10" t="inlineStr">
        <is>
          <t>AREA CONTABLE</t>
        </is>
      </c>
      <c r="L924" s="10" t="inlineStr">
        <is>
          <t>UBICACIÓN DIGITAL-CORE FINANCIERO</t>
        </is>
      </c>
      <c r="M924" s="10" t="inlineStr">
        <is>
          <t>SISTEMAS DE INFORMACIÓN CORPORATIVOS</t>
        </is>
      </c>
      <c r="N924" s="10" t="inlineStr">
        <is>
          <t>APOYO</t>
        </is>
      </c>
      <c r="O924" s="10" t="inlineStr">
        <is>
          <t>OTROS</t>
        </is>
      </c>
      <c r="P924" s="10" t="inlineStr">
        <is>
          <t>RESTRINGIDO(3)</t>
        </is>
      </c>
      <c r="Q924" s="10" t="inlineStr">
        <is>
          <t>MEDIA(2)</t>
        </is>
      </c>
      <c r="R924" s="10" t="inlineStr">
        <is>
          <t>MEDIA(2)</t>
        </is>
      </c>
      <c r="S924" s="10">
        <f>+(IF(P924="PUBLICA(1)",1,IF(P924="USO INTERNO(2)",2,IF(P924="RESTRINGIDO(3)",3,3))))+(IF(Q924="BAJA(1)",1,IF(Q924="MEDIA(2)",2,IF(Q924="ALTA(3)",3,3))))+(IF(R924="BAJA(1)",1,IF(R924="MEDIA(2)",2,IF(R924="ALTA(3)",3,3))))</f>
        <v/>
      </c>
      <c r="T924" s="10">
        <f>+IF(S924&lt;6,"BAJA",IF(S924&lt;8,"MEDIA","ALTA"))</f>
        <v/>
      </c>
      <c r="U924" s="10" t="inlineStr">
        <is>
          <t>-</t>
        </is>
      </c>
      <c r="V924" s="24" t="n">
        <v>45673</v>
      </c>
      <c r="W924" s="19" t="inlineStr">
        <is>
          <t>N/A</t>
        </is>
      </c>
      <c r="X924" s="10">
        <f>+IFERROR(IF(VLOOKUP(Tabla2[[#This Row],[ID]],'EVALUACION DE RIESGO'!A:A,1,FALSE)=Tabla2[[#This Row],[ID]],"SI","NO"),"NO")</f>
        <v/>
      </c>
    </row>
    <row r="925">
      <c r="A925" s="91" t="inlineStr">
        <is>
          <t>3-GFI</t>
        </is>
      </c>
      <c r="B925" s="10" t="inlineStr">
        <is>
          <t>APOYO</t>
        </is>
      </c>
      <c r="C925" s="10" t="inlineStr">
        <is>
          <t>Gestión Financiera</t>
        </is>
      </c>
      <c r="D925" s="10" t="inlineStr">
        <is>
          <t>GFI</t>
        </is>
      </c>
      <c r="E925" s="10" t="inlineStr">
        <is>
          <t>Gestión Contable</t>
        </is>
      </c>
      <c r="F925" s="10" t="inlineStr">
        <is>
          <t>-</t>
        </is>
      </c>
      <c r="G925" s="10" t="inlineStr">
        <is>
          <t xml:space="preserve">Registro Contable Mensual   </t>
        </is>
      </c>
      <c r="H925" s="10" t="inlineStr">
        <is>
          <t>Registro y comprobante contable mensual</t>
        </is>
      </c>
      <c r="I925" s="10" t="inlineStr">
        <is>
          <t>Consolida las transacciones diarias que se generan en el mes, similar al registro contable diario</t>
        </is>
      </c>
      <c r="J925" s="10" t="inlineStr">
        <is>
          <t>Contador General</t>
        </is>
      </c>
      <c r="K925" s="10" t="inlineStr">
        <is>
          <t>AREA CONTABLE</t>
        </is>
      </c>
      <c r="L925" s="10" t="inlineStr">
        <is>
          <t>DOCUMENTOS FISICOS-ARCHIVOS DE LA OFICINA</t>
        </is>
      </c>
      <c r="M925" s="10" t="inlineStr">
        <is>
          <t>ARCHIVOS INSTITUCIONALES-FÍSICOS</t>
        </is>
      </c>
      <c r="N925" s="10" t="inlineStr">
        <is>
          <t>APOYO</t>
        </is>
      </c>
      <c r="O925" s="10" t="inlineStr">
        <is>
          <t>OTROS</t>
        </is>
      </c>
      <c r="P925" s="10" t="inlineStr">
        <is>
          <t>RESTRINGIDO(3)</t>
        </is>
      </c>
      <c r="Q925" s="10" t="inlineStr">
        <is>
          <t>MEDIA(2)</t>
        </is>
      </c>
      <c r="R925" s="10" t="inlineStr">
        <is>
          <t>MEDIA(2)</t>
        </is>
      </c>
      <c r="S925" s="10">
        <f>+(IF(P925="PUBLICA(1)",1,IF(P925="USO INTERNO(2)",2,IF(P925="RESTRINGIDO(3)",3,3))))+(IF(Q925="BAJA(1)",1,IF(Q925="MEDIA(2)",2,IF(Q925="ALTA(3)",3,3))))+(IF(R925="BAJA(1)",1,IF(R925="MEDIA(2)",2,IF(R925="ALTA(3)",3,3))))</f>
        <v/>
      </c>
      <c r="T925" s="10">
        <f>+IF(S925&lt;6,"BAJA",IF(S925&lt;8,"MEDIA","ALTA"))</f>
        <v/>
      </c>
      <c r="U925" s="10" t="inlineStr">
        <is>
          <t>-</t>
        </is>
      </c>
      <c r="V925" s="24" t="n">
        <v>45673</v>
      </c>
      <c r="W925" s="19" t="inlineStr">
        <is>
          <t>N/A</t>
        </is>
      </c>
      <c r="X925" s="10">
        <f>+IFERROR(IF(VLOOKUP(Tabla2[[#This Row],[ID]],'EVALUACION DE RIESGO'!A:A,1,FALSE)=Tabla2[[#This Row],[ID]],"SI","NO"),"NO")</f>
        <v/>
      </c>
    </row>
    <row r="926">
      <c r="A926" s="91" t="inlineStr">
        <is>
          <t>4-GFI</t>
        </is>
      </c>
      <c r="B926" s="10" t="inlineStr">
        <is>
          <t>APOYO</t>
        </is>
      </c>
      <c r="C926" s="10" t="inlineStr">
        <is>
          <t>Gestión Financiera</t>
        </is>
      </c>
      <c r="D926" s="10" t="inlineStr">
        <is>
          <t>GFI</t>
        </is>
      </c>
      <c r="E926" s="10" t="inlineStr">
        <is>
          <t>Gestión Contable</t>
        </is>
      </c>
      <c r="F926" s="10" t="inlineStr">
        <is>
          <t>-</t>
        </is>
      </c>
      <c r="G926" s="10" t="inlineStr">
        <is>
          <t xml:space="preserve">Registro Contable Mensual   </t>
        </is>
      </c>
      <c r="H926" s="10" t="inlineStr">
        <is>
          <t>Mayor contable mensual</t>
        </is>
      </c>
      <c r="I926" s="10" t="inlineStr">
        <is>
          <t>Información (Trx 124023 ) del sistema para visualizar transacciones cuentas contables y madre, similar al mayor contable diario</t>
        </is>
      </c>
      <c r="J926" s="10" t="inlineStr">
        <is>
          <t>Contador General</t>
        </is>
      </c>
      <c r="K926" s="10" t="inlineStr">
        <is>
          <t>AREA CONTABLE</t>
        </is>
      </c>
      <c r="L926" s="10" t="inlineStr">
        <is>
          <t>DOCUMENTOS FISICOS-ARCHIVOS DE LA OFICINA</t>
        </is>
      </c>
      <c r="M926" s="10" t="inlineStr">
        <is>
          <t>ARCHIVOS INSTITUCIONALES-FÍSICOS</t>
        </is>
      </c>
      <c r="N926" s="10" t="inlineStr">
        <is>
          <t>APOYO</t>
        </is>
      </c>
      <c r="O926" s="10" t="inlineStr">
        <is>
          <t>OTROS</t>
        </is>
      </c>
      <c r="P926" s="10" t="inlineStr">
        <is>
          <t>RESTRINGIDO(3)</t>
        </is>
      </c>
      <c r="Q926" s="10" t="inlineStr">
        <is>
          <t>MEDIA(2)</t>
        </is>
      </c>
      <c r="R926" s="10" t="inlineStr">
        <is>
          <t>MEDIA(2)</t>
        </is>
      </c>
      <c r="S926" s="10">
        <f>+(IF(P926="PUBLICA(1)",1,IF(P926="USO INTERNO(2)",2,IF(P926="RESTRINGIDO(3)",3,3))))+(IF(Q926="BAJA(1)",1,IF(Q926="MEDIA(2)",2,IF(Q926="ALTA(3)",3,3))))+(IF(R926="BAJA(1)",1,IF(R926="MEDIA(2)",2,IF(R926="ALTA(3)",3,3))))</f>
        <v/>
      </c>
      <c r="T926" s="10">
        <f>+IF(S926&lt;6,"BAJA",IF(S926&lt;8,"MEDIA","ALTA"))</f>
        <v/>
      </c>
      <c r="U926" s="10" t="inlineStr">
        <is>
          <t>-</t>
        </is>
      </c>
      <c r="V926" s="24" t="n">
        <v>45673</v>
      </c>
      <c r="W926" s="19" t="inlineStr">
        <is>
          <t>N/A</t>
        </is>
      </c>
      <c r="X926" s="10">
        <f>+IFERROR(IF(VLOOKUP(Tabla2[[#This Row],[ID]],'EVALUACION DE RIESGO'!A:A,1,FALSE)=Tabla2[[#This Row],[ID]],"SI","NO"),"NO")</f>
        <v/>
      </c>
    </row>
    <row r="927">
      <c r="A927" s="91" t="inlineStr">
        <is>
          <t>5-GFI</t>
        </is>
      </c>
      <c r="B927" s="10" t="inlineStr">
        <is>
          <t>APOYO</t>
        </is>
      </c>
      <c r="C927" s="10" t="inlineStr">
        <is>
          <t>Gestión Financiera</t>
        </is>
      </c>
      <c r="D927" s="10" t="inlineStr">
        <is>
          <t>GFI</t>
        </is>
      </c>
      <c r="E927" s="10" t="inlineStr">
        <is>
          <t>Gestión Contable</t>
        </is>
      </c>
      <c r="F927" s="10" t="inlineStr">
        <is>
          <t>-</t>
        </is>
      </c>
      <c r="G927" s="10" t="inlineStr">
        <is>
          <t>Registro de Ajustes Contables y Reclasificaciones</t>
        </is>
      </c>
      <c r="H927" s="10" t="inlineStr">
        <is>
          <t>Registro contable de ajustes</t>
        </is>
      </c>
      <c r="I927" s="10" t="inlineStr">
        <is>
          <t xml:space="preserve">Formulario interno donde se registran los ajustes contables requeridos al área </t>
        </is>
      </c>
      <c r="J927" s="10" t="inlineStr">
        <is>
          <t>Contador General</t>
        </is>
      </c>
      <c r="K927" s="10" t="inlineStr">
        <is>
          <t>Contador General</t>
        </is>
      </c>
      <c r="L927" s="10" t="inlineStr">
        <is>
          <t>UBICACIÓN DIGITAL-EQUIPO DEL CUSTODIO</t>
        </is>
      </c>
      <c r="M927" s="10" t="inlineStr">
        <is>
          <t>DOCUMENTO DE ARCHIVO-FÍSICO</t>
        </is>
      </c>
      <c r="N927" s="10" t="inlineStr">
        <is>
          <t>PRIMARIOS</t>
        </is>
      </c>
      <c r="O927" s="10" t="inlineStr">
        <is>
          <t>DOCUMENTOS HABILITANTES</t>
        </is>
      </c>
      <c r="P927" s="10" t="inlineStr">
        <is>
          <t>RESTRINGIDO(3)</t>
        </is>
      </c>
      <c r="Q927" s="10" t="inlineStr">
        <is>
          <t>MEDIA(2)</t>
        </is>
      </c>
      <c r="R927" s="10" t="inlineStr">
        <is>
          <t>MEDIA(2)</t>
        </is>
      </c>
      <c r="S927" s="10">
        <f>+(IF(P927="PUBLICA(1)",1,IF(P927="USO INTERNO(2)",2,IF(P927="RESTRINGIDO(3)",3,3))))+(IF(Q927="BAJA(1)",1,IF(Q927="MEDIA(2)",2,IF(Q927="ALTA(3)",3,3))))+(IF(R927="BAJA(1)",1,IF(R927="MEDIA(2)",2,IF(R927="ALTA(3)",3,3))))</f>
        <v/>
      </c>
      <c r="T927" s="10">
        <f>+IF(S927&lt;6,"BAJA",IF(S927&lt;8,"MEDIA","ALTA"))</f>
        <v/>
      </c>
      <c r="U927" s="10" t="inlineStr">
        <is>
          <t>-</t>
        </is>
      </c>
      <c r="V927" s="24" t="n">
        <v>45673</v>
      </c>
      <c r="W927" s="19" t="inlineStr">
        <is>
          <t>N/A</t>
        </is>
      </c>
      <c r="X927" s="10">
        <f>+IFERROR(IF(VLOOKUP(Tabla2[[#This Row],[ID]],'EVALUACION DE RIESGO'!A:A,1,FALSE)=Tabla2[[#This Row],[ID]],"SI","NO"),"NO")</f>
        <v/>
      </c>
    </row>
    <row r="928">
      <c r="A928" s="91" t="inlineStr">
        <is>
          <t>6-GFI</t>
        </is>
      </c>
      <c r="B928" s="10" t="inlineStr">
        <is>
          <t>APOYO</t>
        </is>
      </c>
      <c r="C928" s="10" t="inlineStr">
        <is>
          <t>Gestión Financiera</t>
        </is>
      </c>
      <c r="D928" s="10" t="inlineStr">
        <is>
          <t>GFI</t>
        </is>
      </c>
      <c r="E928" s="10" t="inlineStr">
        <is>
          <t>Gestión Contable</t>
        </is>
      </c>
      <c r="F928" s="10" t="inlineStr">
        <is>
          <t>-</t>
        </is>
      </c>
      <c r="G928" s="10" t="inlineStr">
        <is>
          <t>Registro de Ajustes Contables y Reclasificaciones</t>
        </is>
      </c>
      <c r="H928" s="10" t="inlineStr">
        <is>
          <t>Comprobante contable de ajustes</t>
        </is>
      </c>
      <c r="I928" s="10" t="inlineStr">
        <is>
          <t>Registro y Comprobante en función al ajuste solicitado</t>
        </is>
      </c>
      <c r="J928" s="10" t="inlineStr">
        <is>
          <t>Contador General</t>
        </is>
      </c>
      <c r="K928" s="10" t="inlineStr">
        <is>
          <t>ANALISTA CONTABLE / ASIS CONTABLE</t>
        </is>
      </c>
      <c r="L928" s="10" t="inlineStr">
        <is>
          <t>DOCUMENTOS FISICOS-ARCHIVOS DE LA OFICINA</t>
        </is>
      </c>
      <c r="M928" s="10" t="inlineStr">
        <is>
          <t>DOCUMENTO DE ARCHIVO-FÍSICO</t>
        </is>
      </c>
      <c r="N928" s="10" t="inlineStr">
        <is>
          <t>PRIMARIOS</t>
        </is>
      </c>
      <c r="O928" s="10" t="inlineStr">
        <is>
          <t>COMUNICACIÓN INTERNA</t>
        </is>
      </c>
      <c r="P928" s="10" t="inlineStr">
        <is>
          <t>USO INTERNO(2)</t>
        </is>
      </c>
      <c r="Q928" s="10" t="inlineStr">
        <is>
          <t>BAJA(1)</t>
        </is>
      </c>
      <c r="R928" s="10" t="inlineStr">
        <is>
          <t>MEDIA(2)</t>
        </is>
      </c>
      <c r="S928" s="10">
        <f>+(IF(P928="PUBLICA(1)",1,IF(P928="USO INTERNO(2)",2,IF(P928="RESTRINGIDO(3)",3,3))))+(IF(Q928="BAJA(1)",1,IF(Q928="MEDIA(2)",2,IF(Q928="ALTA(3)",3,3))))+(IF(R928="BAJA(1)",1,IF(R928="MEDIA(2)",2,IF(R928="ALTA(3)",3,3))))</f>
        <v/>
      </c>
      <c r="T928" s="10">
        <f>+IF(S928&lt;6,"BAJA",IF(S928&lt;8,"MEDIA","ALTA"))</f>
        <v/>
      </c>
      <c r="U928" s="10" t="inlineStr">
        <is>
          <t>-</t>
        </is>
      </c>
      <c r="V928" s="24" t="n">
        <v>45673</v>
      </c>
      <c r="W928" s="19" t="inlineStr">
        <is>
          <t>N/A</t>
        </is>
      </c>
      <c r="X928" s="10">
        <f>+IFERROR(IF(VLOOKUP(Tabla2[[#This Row],[ID]],'EVALUACION DE RIESGO'!A:A,1,FALSE)=Tabla2[[#This Row],[ID]],"SI","NO"),"NO")</f>
        <v/>
      </c>
    </row>
    <row r="929">
      <c r="A929" s="91" t="inlineStr">
        <is>
          <t>7-GFI</t>
        </is>
      </c>
      <c r="B929" s="10" t="inlineStr">
        <is>
          <t>APOYO</t>
        </is>
      </c>
      <c r="C929" s="10" t="inlineStr">
        <is>
          <t>Gestión Financiera</t>
        </is>
      </c>
      <c r="D929" s="10" t="inlineStr">
        <is>
          <t>GFI</t>
        </is>
      </c>
      <c r="E929" s="10" t="inlineStr">
        <is>
          <t>Gestión Contable</t>
        </is>
      </c>
      <c r="F929" s="10" t="inlineStr">
        <is>
          <t>-</t>
        </is>
      </c>
      <c r="G929" s="10" t="inlineStr">
        <is>
          <t xml:space="preserve">Creación y reposición de fondos caja chica, judicial y vehicular </t>
        </is>
      </c>
      <c r="H929" s="10" t="inlineStr">
        <is>
          <t>Solicitud de acreditación de
fondos (caja chica, judicial y
vehicular)</t>
        </is>
      </c>
      <c r="I929" s="10" t="inlineStr">
        <is>
          <t>Solicitud mediante correo donde se indica el objeto de la acreditación</t>
        </is>
      </c>
      <c r="J929" s="10" t="inlineStr">
        <is>
          <t>Contador General</t>
        </is>
      </c>
      <c r="K929" s="10" t="inlineStr">
        <is>
          <t>ANALISTA CONTABLE / ASIS CONTABLE</t>
        </is>
      </c>
      <c r="L929" s="10" t="inlineStr">
        <is>
          <t>DOCUMENTOS FISICOS-ARCHIVOS DE LA OFICINA</t>
        </is>
      </c>
      <c r="M929" s="10" t="inlineStr">
        <is>
          <t>DOCUMENTO DE ARCHIVO-FÍSICO</t>
        </is>
      </c>
      <c r="N929" s="10" t="inlineStr">
        <is>
          <t>PRIMARIOS</t>
        </is>
      </c>
      <c r="O929" s="10" t="inlineStr">
        <is>
          <t>COMUNICACIÓN INTERNA</t>
        </is>
      </c>
      <c r="P929" s="10" t="inlineStr">
        <is>
          <t>USO INTERNO(2)</t>
        </is>
      </c>
      <c r="Q929" s="10" t="inlineStr">
        <is>
          <t>BAJA(1)</t>
        </is>
      </c>
      <c r="R929" s="10" t="inlineStr">
        <is>
          <t>BAJA(1)</t>
        </is>
      </c>
      <c r="S929" s="10">
        <f>+(IF(P929="PUBLICA(1)",1,IF(P929="USO INTERNO(2)",2,IF(P929="RESTRINGIDO(3)",3,3))))+(IF(Q929="BAJA(1)",1,IF(Q929="MEDIA(2)",2,IF(Q929="ALTA(3)",3,3))))+(IF(R929="BAJA(1)",1,IF(R929="MEDIA(2)",2,IF(R929="ALTA(3)",3,3))))</f>
        <v/>
      </c>
      <c r="T929" s="10">
        <f>+IF(S929&lt;6,"BAJA",IF(S929&lt;8,"MEDIA","ALTA"))</f>
        <v/>
      </c>
      <c r="U929" s="10" t="inlineStr">
        <is>
          <t>-</t>
        </is>
      </c>
      <c r="V929" s="24" t="n">
        <v>45673</v>
      </c>
      <c r="W929" s="19" t="inlineStr">
        <is>
          <t>N/A</t>
        </is>
      </c>
      <c r="X929" s="10">
        <f>+IFERROR(IF(VLOOKUP(Tabla2[[#This Row],[ID]],'EVALUACION DE RIESGO'!A:A,1,FALSE)=Tabla2[[#This Row],[ID]],"SI","NO"),"NO")</f>
        <v/>
      </c>
    </row>
    <row r="930">
      <c r="A930" s="91" t="inlineStr">
        <is>
          <t>8-GFI</t>
        </is>
      </c>
      <c r="B930" s="10" t="inlineStr">
        <is>
          <t>APOYO</t>
        </is>
      </c>
      <c r="C930" s="10" t="inlineStr">
        <is>
          <t>Gestión Financiera</t>
        </is>
      </c>
      <c r="D930" s="10" t="inlineStr">
        <is>
          <t>GFI</t>
        </is>
      </c>
      <c r="E930" s="10" t="inlineStr">
        <is>
          <t>Gestión Contable</t>
        </is>
      </c>
      <c r="F930" s="10" t="inlineStr">
        <is>
          <t>-</t>
        </is>
      </c>
      <c r="G930" s="10" t="inlineStr">
        <is>
          <t xml:space="preserve">Creación y reposición de fondos caja chica, judicial y vehicular </t>
        </is>
      </c>
      <c r="H930" s="10" t="inlineStr">
        <is>
          <t>Registro y comprobante contable creación y reposición de fondos caja chica</t>
        </is>
      </c>
      <c r="I930" s="10" t="inlineStr">
        <is>
          <t>Registro y Comprobante de la reposición, similar al registro contable diario</t>
        </is>
      </c>
      <c r="J930" s="10" t="inlineStr">
        <is>
          <t>Contador General</t>
        </is>
      </c>
      <c r="K930" s="10" t="inlineStr">
        <is>
          <t>AREA CONTABLE</t>
        </is>
      </c>
      <c r="L930" s="10" t="inlineStr">
        <is>
          <t>DOCUMENTOS FISICOS-ARCHIVOS DE LA OFICINA</t>
        </is>
      </c>
      <c r="M930" s="10" t="inlineStr">
        <is>
          <t>DOCUMENTO DE ARCHIVO-FÍSICO</t>
        </is>
      </c>
      <c r="N930" s="10" t="inlineStr">
        <is>
          <t>APOYO</t>
        </is>
      </c>
      <c r="O930" s="10" t="inlineStr">
        <is>
          <t>OTROS</t>
        </is>
      </c>
      <c r="P930" s="10" t="inlineStr">
        <is>
          <t>USO INTERNO(2)</t>
        </is>
      </c>
      <c r="Q930" s="10" t="inlineStr">
        <is>
          <t>MEDIA(2)</t>
        </is>
      </c>
      <c r="R930" s="10" t="inlineStr">
        <is>
          <t>BAJA(1)</t>
        </is>
      </c>
      <c r="S930" s="10">
        <f>+(IF(P930="PUBLICA(1)",1,IF(P930="USO INTERNO(2)",2,IF(P930="RESTRINGIDO(3)",3,3))))+(IF(Q930="BAJA(1)",1,IF(Q930="MEDIA(2)",2,IF(Q930="ALTA(3)",3,3))))+(IF(R930="BAJA(1)",1,IF(R930="MEDIA(2)",2,IF(R930="ALTA(3)",3,3))))</f>
        <v/>
      </c>
      <c r="T930" s="10">
        <f>+IF(S930&lt;6,"BAJA",IF(S930&lt;8,"MEDIA","ALTA"))</f>
        <v/>
      </c>
      <c r="U930" s="10" t="inlineStr">
        <is>
          <t>-</t>
        </is>
      </c>
      <c r="V930" s="24" t="n">
        <v>45673</v>
      </c>
      <c r="W930" s="19" t="inlineStr">
        <is>
          <t>N/A</t>
        </is>
      </c>
      <c r="X930" s="10">
        <f>+IFERROR(IF(VLOOKUP(Tabla2[[#This Row],[ID]],'EVALUACION DE RIESGO'!A:A,1,FALSE)=Tabla2[[#This Row],[ID]],"SI","NO"),"NO")</f>
        <v/>
      </c>
    </row>
    <row r="931" ht="20.5" customHeight="1" s="98">
      <c r="A931" s="91" t="inlineStr">
        <is>
          <t>9-GFI</t>
        </is>
      </c>
      <c r="B931" s="10" t="inlineStr">
        <is>
          <t>APOYO</t>
        </is>
      </c>
      <c r="C931" s="10" t="inlineStr">
        <is>
          <t>Gestión Financiera</t>
        </is>
      </c>
      <c r="D931" s="10" t="inlineStr">
        <is>
          <t>GFI</t>
        </is>
      </c>
      <c r="E931" s="10" t="inlineStr">
        <is>
          <t>Gestión Contable</t>
        </is>
      </c>
      <c r="F931" s="10" t="inlineStr">
        <is>
          <t>-</t>
        </is>
      </c>
      <c r="G931" s="10" t="inlineStr">
        <is>
          <t>Bienes Realizables, Adjudicados por Pago y no utilizados</t>
        </is>
      </c>
      <c r="H931" s="17" t="inlineStr">
        <is>
          <t>Escrituras del Bien inmueble/ Autorizaciones de Gerencia</t>
        </is>
      </c>
      <c r="I931" s="17" t="inlineStr">
        <is>
          <t>Escritura del bien inmueble que se va adjudicar con autorización del Gerente. G</t>
        </is>
      </c>
      <c r="J931" s="10" t="inlineStr">
        <is>
          <t>Contador General</t>
        </is>
      </c>
      <c r="K931" s="10" t="inlineStr">
        <is>
          <t>AREA CONTABLE</t>
        </is>
      </c>
      <c r="L931" s="10" t="inlineStr">
        <is>
          <t>UBICACIÓN DIGITAL-EQUIPO DEL CUSTODIO</t>
        </is>
      </c>
      <c r="M931" s="10" t="inlineStr">
        <is>
          <t>DOCUMENTO DE ARCHIVO-ELECTRÓNICO</t>
        </is>
      </c>
      <c r="N931" s="10" t="inlineStr">
        <is>
          <t>PRIMARIOS</t>
        </is>
      </c>
      <c r="O931" s="10" t="inlineStr">
        <is>
          <t>DOCUMENTOS HABILITANTES</t>
        </is>
      </c>
      <c r="P931" s="10" t="inlineStr">
        <is>
          <t>RESTRINGIDO(3)</t>
        </is>
      </c>
      <c r="Q931" s="10" t="inlineStr">
        <is>
          <t>MEDIA(2)</t>
        </is>
      </c>
      <c r="R931" s="10" t="inlineStr">
        <is>
          <t>ALTA(3)</t>
        </is>
      </c>
      <c r="S931" s="10">
        <f>+(IF(P931="PUBLICA(1)",1,IF(P931="USO INTERNO(2)",2,IF(P931="RESTRINGIDO(3)",3,3))))+(IF(Q931="BAJA(1)",1,IF(Q931="MEDIA(2)",2,IF(Q931="ALTA(3)",3,3))))+(IF(R931="BAJA(1)",1,IF(R931="MEDIA(2)",2,IF(R931="ALTA(3)",3,3))))</f>
        <v/>
      </c>
      <c r="T931" s="10">
        <f>+IF(S931&lt;6,"BAJA",IF(S931&lt;8,"MEDIA","ALTA"))</f>
        <v/>
      </c>
      <c r="U931" s="10" t="inlineStr">
        <is>
          <t>-</t>
        </is>
      </c>
      <c r="V931" s="24" t="n">
        <v>45673</v>
      </c>
      <c r="W931" s="19" t="inlineStr">
        <is>
          <t>N/A</t>
        </is>
      </c>
      <c r="X931" s="10">
        <f>+IFERROR(IF(VLOOKUP(Tabla2[[#This Row],[ID]],'EVALUACION DE RIESGO'!A:A,1,FALSE)=Tabla2[[#This Row],[ID]],"SI","NO"),"NO")</f>
        <v/>
      </c>
    </row>
    <row r="932" ht="24" customHeight="1" s="98">
      <c r="A932" s="91" t="inlineStr">
        <is>
          <t>10-GFI</t>
        </is>
      </c>
      <c r="B932" s="10" t="inlineStr">
        <is>
          <t>APOYO</t>
        </is>
      </c>
      <c r="C932" s="10" t="inlineStr">
        <is>
          <t>Gestión Financiera</t>
        </is>
      </c>
      <c r="D932" s="10" t="inlineStr">
        <is>
          <t>GFI</t>
        </is>
      </c>
      <c r="E932" s="10" t="inlineStr">
        <is>
          <t>Gestión Contable</t>
        </is>
      </c>
      <c r="F932" s="10" t="inlineStr">
        <is>
          <t>-</t>
        </is>
      </c>
      <c r="G932" s="10" t="inlineStr">
        <is>
          <t xml:space="preserve">Compras y Pagos a Terceros </t>
        </is>
      </c>
      <c r="H932" s="17" t="inlineStr">
        <is>
          <t>Cheque</t>
        </is>
      </c>
      <c r="I932" s="17" t="inlineStr">
        <is>
          <t>Pagos que se realiza a los proveedores en cheques</t>
        </is>
      </c>
      <c r="J932" s="10" t="inlineStr">
        <is>
          <t>Contador General</t>
        </is>
      </c>
      <c r="K932" s="10" t="inlineStr">
        <is>
          <t>ANALISTA CONTABLE</t>
        </is>
      </c>
      <c r="L932" s="10" t="inlineStr">
        <is>
          <t>DOCUMENTOS FISICOS-ARCHIVOS DE LA OFICINA</t>
        </is>
      </c>
      <c r="M932" s="10" t="inlineStr">
        <is>
          <t>DOCUMENTO DE ARCHIVO-FÍSICO</t>
        </is>
      </c>
      <c r="N932" s="10" t="inlineStr">
        <is>
          <t>PRIMARIOS</t>
        </is>
      </c>
      <c r="O932" s="10" t="inlineStr">
        <is>
          <t>DOCUMENTOS HABILITANTES</t>
        </is>
      </c>
      <c r="P932" s="10" t="inlineStr">
        <is>
          <t>RESTRINGIDO(3)</t>
        </is>
      </c>
      <c r="Q932" s="10" t="inlineStr">
        <is>
          <t>MEDIA(2)</t>
        </is>
      </c>
      <c r="R932" s="10" t="inlineStr">
        <is>
          <t>ALTA(3)</t>
        </is>
      </c>
      <c r="S932" s="10">
        <f>+(IF(P932="PUBLICA(1)",1,IF(P932="USO INTERNO(2)",2,IF(P932="RESTRINGIDO(3)",3,3))))+(IF(Q932="BAJA(1)",1,IF(Q932="MEDIA(2)",2,IF(Q932="ALTA(3)",3,3))))+(IF(R932="BAJA(1)",1,IF(R932="MEDIA(2)",2,IF(R932="ALTA(3)",3,3))))</f>
        <v/>
      </c>
      <c r="T932" s="10">
        <f>+IF(S932&lt;6,"BAJA",IF(S932&lt;8,"MEDIA","ALTA"))</f>
        <v/>
      </c>
      <c r="U932" s="10" t="inlineStr">
        <is>
          <t>-</t>
        </is>
      </c>
      <c r="V932" s="24" t="n">
        <v>45673</v>
      </c>
      <c r="W932" s="19" t="inlineStr">
        <is>
          <t>N/A</t>
        </is>
      </c>
      <c r="X932" s="10">
        <f>+IFERROR(IF(VLOOKUP(Tabla2[[#This Row],[ID]],'EVALUACION DE RIESGO'!A:A,1,FALSE)=Tabla2[[#This Row],[ID]],"SI","NO"),"NO")</f>
        <v/>
      </c>
    </row>
    <row r="933">
      <c r="A933" s="91" t="inlineStr">
        <is>
          <t>11-GFI</t>
        </is>
      </c>
      <c r="B933" s="10" t="inlineStr">
        <is>
          <t>APOYO</t>
        </is>
      </c>
      <c r="C933" s="10" t="inlineStr">
        <is>
          <t>Gestión Financiera</t>
        </is>
      </c>
      <c r="D933" s="10" t="inlineStr">
        <is>
          <t>GFI</t>
        </is>
      </c>
      <c r="E933" s="10" t="inlineStr">
        <is>
          <t>Gestión Contable</t>
        </is>
      </c>
      <c r="F933" s="10" t="inlineStr">
        <is>
          <t>-</t>
        </is>
      </c>
      <c r="G933" s="10" t="inlineStr">
        <is>
          <t xml:space="preserve">Compras y Pagos a Terceros </t>
        </is>
      </c>
      <c r="H933" s="10" t="inlineStr">
        <is>
          <t>Orden de liquidación</t>
        </is>
      </c>
      <c r="I933" s="10" t="inlineStr">
        <is>
          <t>Doc. generado del sistema para liquidar mediante pagos con cheque</t>
        </is>
      </c>
      <c r="J933" s="10" t="inlineStr">
        <is>
          <t>Contador General</t>
        </is>
      </c>
      <c r="K933" s="10" t="inlineStr">
        <is>
          <t>ANALISTA CONTABLE</t>
        </is>
      </c>
      <c r="L933" s="10" t="inlineStr">
        <is>
          <t>DOCUMENTOS FISICOS-ARCHIVOS DE LA OFICINA</t>
        </is>
      </c>
      <c r="M933" s="10" t="inlineStr">
        <is>
          <t>DOCUMENTO DE ARCHIVO-FÍSICO</t>
        </is>
      </c>
      <c r="N933" s="10" t="inlineStr">
        <is>
          <t>PRIMARIOS</t>
        </is>
      </c>
      <c r="O933" s="10" t="inlineStr">
        <is>
          <t>DOCUMENTOS HABILITANTES</t>
        </is>
      </c>
      <c r="P933" s="10" t="inlineStr">
        <is>
          <t>RESTRINGIDO(3)</t>
        </is>
      </c>
      <c r="Q933" s="10" t="inlineStr">
        <is>
          <t>MEDIA(2)</t>
        </is>
      </c>
      <c r="R933" s="10" t="inlineStr">
        <is>
          <t>MEDIA(2)</t>
        </is>
      </c>
      <c r="S933" s="10">
        <f>+(IF(P933="PUBLICA(1)",1,IF(P933="USO INTERNO(2)",2,IF(P933="RESTRINGIDO(3)",3,3))))+(IF(Q933="BAJA(1)",1,IF(Q933="MEDIA(2)",2,IF(Q933="ALTA(3)",3,3))))+(IF(R933="BAJA(1)",1,IF(R933="MEDIA(2)",2,IF(R933="ALTA(3)",3,3))))</f>
        <v/>
      </c>
      <c r="T933" s="10">
        <f>+IF(S933&lt;6,"BAJA",IF(S933&lt;8,"MEDIA","ALTA"))</f>
        <v/>
      </c>
      <c r="U933" s="10" t="inlineStr">
        <is>
          <t>-</t>
        </is>
      </c>
      <c r="V933" s="24" t="n">
        <v>45673</v>
      </c>
      <c r="W933" s="19" t="inlineStr">
        <is>
          <t>N/A</t>
        </is>
      </c>
      <c r="X933" s="10">
        <f>+IFERROR(IF(VLOOKUP(Tabla2[[#This Row],[ID]],'EVALUACION DE RIESGO'!A:A,1,FALSE)=Tabla2[[#This Row],[ID]],"SI","NO"),"NO")</f>
        <v/>
      </c>
    </row>
    <row r="934">
      <c r="A934" s="91" t="inlineStr">
        <is>
          <t>12-GFI</t>
        </is>
      </c>
      <c r="B934" s="10" t="inlineStr">
        <is>
          <t>APOYO</t>
        </is>
      </c>
      <c r="C934" s="10" t="inlineStr">
        <is>
          <t>Gestión Financiera</t>
        </is>
      </c>
      <c r="D934" s="10" t="inlineStr">
        <is>
          <t>GFI</t>
        </is>
      </c>
      <c r="E934" s="10" t="inlineStr">
        <is>
          <t>Gestión Contable</t>
        </is>
      </c>
      <c r="F934" s="10" t="inlineStr">
        <is>
          <t>-</t>
        </is>
      </c>
      <c r="G934" s="10" t="inlineStr">
        <is>
          <t xml:space="preserve">Compras y Pagos a Terceros </t>
        </is>
      </c>
      <c r="H934" s="10" t="inlineStr">
        <is>
          <t>Comprobantes electrónico de retención electrónica</t>
        </is>
      </c>
      <c r="I934" s="10" t="inlineStr">
        <is>
          <t>Retención que se maneja a través del sistema, trx 244042, se descarga la factura electrónica.</t>
        </is>
      </c>
      <c r="J934" s="10" t="inlineStr">
        <is>
          <t>Contador General</t>
        </is>
      </c>
      <c r="K934" s="10" t="inlineStr">
        <is>
          <t>CORE FINANCIERO</t>
        </is>
      </c>
      <c r="L934" s="10" t="inlineStr">
        <is>
          <t>UBICACIÓN DIGITAL-CORE FINANCIERO</t>
        </is>
      </c>
      <c r="M934" s="10" t="inlineStr">
        <is>
          <t>DOCUMENTO DE ARCHIVO-ELECTRÓNICO</t>
        </is>
      </c>
      <c r="N934" s="10" t="inlineStr">
        <is>
          <t>PRIMARIOS</t>
        </is>
      </c>
      <c r="O934" s="10" t="inlineStr">
        <is>
          <t>COMUNICACIÓN INTERNA</t>
        </is>
      </c>
      <c r="P934" s="10" t="inlineStr">
        <is>
          <t>USO INTERNO(2)</t>
        </is>
      </c>
      <c r="Q934" s="10" t="inlineStr">
        <is>
          <t>MEDIA(2)</t>
        </is>
      </c>
      <c r="R934" s="10" t="inlineStr">
        <is>
          <t>MEDIA(2)</t>
        </is>
      </c>
      <c r="S934" s="10">
        <f>+(IF(P934="PUBLICA(1)",1,IF(P934="USO INTERNO(2)",2,IF(P934="RESTRINGIDO(3)",3,3))))+(IF(Q934="BAJA(1)",1,IF(Q934="MEDIA(2)",2,IF(Q934="ALTA(3)",3,3))))+(IF(R934="BAJA(1)",1,IF(R934="MEDIA(2)",2,IF(R934="ALTA(3)",3,3))))</f>
        <v/>
      </c>
      <c r="T934" s="10">
        <f>+IF(S934&lt;6,"BAJA",IF(S934&lt;8,"MEDIA","ALTA"))</f>
        <v/>
      </c>
      <c r="U934" s="10" t="inlineStr">
        <is>
          <t>-</t>
        </is>
      </c>
      <c r="V934" s="24" t="n">
        <v>45673</v>
      </c>
      <c r="W934" s="19" t="inlineStr">
        <is>
          <t>N/A</t>
        </is>
      </c>
      <c r="X934" s="10">
        <f>+IFERROR(IF(VLOOKUP(Tabla2[[#This Row],[ID]],'EVALUACION DE RIESGO'!A:A,1,FALSE)=Tabla2[[#This Row],[ID]],"SI","NO"),"NO")</f>
        <v/>
      </c>
    </row>
    <row r="935">
      <c r="A935" s="91" t="inlineStr">
        <is>
          <t>13-GFI</t>
        </is>
      </c>
      <c r="B935" s="10" t="inlineStr">
        <is>
          <t>APOYO</t>
        </is>
      </c>
      <c r="C935" s="10" t="inlineStr">
        <is>
          <t>Gestión Financiera</t>
        </is>
      </c>
      <c r="D935" s="10" t="inlineStr">
        <is>
          <t>GFI</t>
        </is>
      </c>
      <c r="E935" s="10" t="inlineStr">
        <is>
          <t>Gestión Contable</t>
        </is>
      </c>
      <c r="F935" s="10" t="inlineStr">
        <is>
          <t>-</t>
        </is>
      </c>
      <c r="G935" s="10" t="inlineStr">
        <is>
          <t xml:space="preserve">Compras y Pagos a Terceros </t>
        </is>
      </c>
      <c r="H935" s="10" t="inlineStr">
        <is>
          <t>Registro contable automático</t>
        </is>
      </c>
      <c r="I935" s="10" t="inlineStr">
        <is>
          <t>Registro y Comprobante Contable que se genera en FIT, igual a Registro y Comprobante Contable Diario</t>
        </is>
      </c>
      <c r="J935" s="10" t="inlineStr">
        <is>
          <t>Contador General</t>
        </is>
      </c>
      <c r="K935" s="10" t="inlineStr">
        <is>
          <t>AREA CONTABLE</t>
        </is>
      </c>
      <c r="L935" s="10" t="inlineStr">
        <is>
          <t>UBICACIÓN DIGITAL-EQUIPO DEL CUSTODIO</t>
        </is>
      </c>
      <c r="M935" s="10" t="inlineStr">
        <is>
          <t>DISCOS DUROS, SERVIDORES, DISCOS O MEDIOS PORTÁTILES, CINTAS O MEDIOS DE VIDEO Y AUDIO, ETC.</t>
        </is>
      </c>
      <c r="N935" s="10" t="inlineStr">
        <is>
          <t>PRIMARIOS</t>
        </is>
      </c>
      <c r="O935" s="10" t="inlineStr">
        <is>
          <t>INFORMACIÓN DE SOCIOS Y CLIENTES</t>
        </is>
      </c>
      <c r="P935" s="10" t="inlineStr">
        <is>
          <t>USO INTERNO(2)</t>
        </is>
      </c>
      <c r="Q935" s="10" t="inlineStr">
        <is>
          <t>BAJA(1)</t>
        </is>
      </c>
      <c r="R935" s="10" t="inlineStr">
        <is>
          <t>MEDIA(2)</t>
        </is>
      </c>
      <c r="S935" s="10">
        <f>+(IF(P935="PUBLICA(1)",1,IF(P935="USO INTERNO(2)",2,IF(P935="RESTRINGIDO(3)",3,3))))+(IF(Q935="BAJA(1)",1,IF(Q935="MEDIA(2)",2,IF(Q935="ALTA(3)",3,3))))+(IF(R935="BAJA(1)",1,IF(R935="MEDIA(2)",2,IF(R935="ALTA(3)",3,3))))</f>
        <v/>
      </c>
      <c r="T935" s="10">
        <f>+IF(S935&lt;6,"BAJA",IF(S935&lt;8,"MEDIA","ALTA"))</f>
        <v/>
      </c>
      <c r="U935" s="10" t="inlineStr">
        <is>
          <t>-</t>
        </is>
      </c>
      <c r="V935" s="24" t="n">
        <v>45673</v>
      </c>
      <c r="W935" s="19" t="inlineStr">
        <is>
          <t>N/A</t>
        </is>
      </c>
      <c r="X935" s="10">
        <f>+IFERROR(IF(VLOOKUP(Tabla2[[#This Row],[ID]],'EVALUACION DE RIESGO'!A:A,1,FALSE)=Tabla2[[#This Row],[ID]],"SI","NO"),"NO")</f>
        <v/>
      </c>
    </row>
    <row r="936">
      <c r="A936" s="91" t="inlineStr">
        <is>
          <t>14-GFI</t>
        </is>
      </c>
      <c r="B936" s="10" t="inlineStr">
        <is>
          <t>APOYO</t>
        </is>
      </c>
      <c r="C936" s="10" t="inlineStr">
        <is>
          <t>Gestión Financiera</t>
        </is>
      </c>
      <c r="D936" s="10" t="inlineStr">
        <is>
          <t>GFI</t>
        </is>
      </c>
      <c r="E936" s="10" t="inlineStr">
        <is>
          <t>Gestión Contable</t>
        </is>
      </c>
      <c r="F936" s="10" t="inlineStr">
        <is>
          <t>-</t>
        </is>
      </c>
      <c r="G936" s="10" t="inlineStr">
        <is>
          <t xml:space="preserve">Nómina, Liquidaciones de viáticos, haberes y jubilaciones     </t>
        </is>
      </c>
      <c r="H936" s="10" t="inlineStr">
        <is>
          <t xml:space="preserve">Solicitud de liquidación de viáticos </t>
        </is>
      </c>
      <c r="I936" s="10" t="inlineStr">
        <is>
          <t>Solicitud que emiten los empleados para el reembolso</t>
        </is>
      </c>
      <c r="J936" s="10" t="inlineStr">
        <is>
          <t>Contador General</t>
        </is>
      </c>
      <c r="K936" s="10" t="inlineStr">
        <is>
          <t>Contador General</t>
        </is>
      </c>
      <c r="L936" s="10" t="inlineStr">
        <is>
          <t>DOCUMENTOS FISICOS-ARCHIVOS DE LA OFICINA</t>
        </is>
      </c>
      <c r="M936" s="10" t="inlineStr">
        <is>
          <t>DOCUMENTO DE ARCHIVO-FÍSICO</t>
        </is>
      </c>
      <c r="N936" s="10" t="inlineStr">
        <is>
          <t>PRIMARIOS</t>
        </is>
      </c>
      <c r="O936" s="10" t="inlineStr">
        <is>
          <t>DOCUMENTOS HABILITANTES</t>
        </is>
      </c>
      <c r="P936" s="10" t="inlineStr">
        <is>
          <t>USO INTERNO(2)</t>
        </is>
      </c>
      <c r="Q936" s="10" t="inlineStr">
        <is>
          <t>BAJA(1)</t>
        </is>
      </c>
      <c r="R936" s="10" t="inlineStr">
        <is>
          <t>BAJA(1)</t>
        </is>
      </c>
      <c r="S936" s="10">
        <f>+(IF(P936="PUBLICA(1)",1,IF(P936="USO INTERNO(2)",2,IF(P936="RESTRINGIDO(3)",3,3))))+(IF(Q936="BAJA(1)",1,IF(Q936="MEDIA(2)",2,IF(Q936="ALTA(3)",3,3))))+(IF(R936="BAJA(1)",1,IF(R936="MEDIA(2)",2,IF(R936="ALTA(3)",3,3))))</f>
        <v/>
      </c>
      <c r="T936" s="10">
        <f>+IF(S936&lt;6,"BAJA",IF(S936&lt;8,"MEDIA","ALTA"))</f>
        <v/>
      </c>
      <c r="U936" s="10" t="inlineStr">
        <is>
          <t>-</t>
        </is>
      </c>
      <c r="V936" s="24" t="n">
        <v>45673</v>
      </c>
      <c r="W936" s="19" t="inlineStr">
        <is>
          <t>N/A</t>
        </is>
      </c>
      <c r="X936" s="10">
        <f>+IFERROR(IF(VLOOKUP(Tabla2[[#This Row],[ID]],'EVALUACION DE RIESGO'!A:A,1,FALSE)=Tabla2[[#This Row],[ID]],"SI","NO"),"NO")</f>
        <v/>
      </c>
    </row>
    <row r="937">
      <c r="A937" s="91" t="inlineStr">
        <is>
          <t>15-GFI</t>
        </is>
      </c>
      <c r="B937" s="10" t="inlineStr">
        <is>
          <t>APOYO</t>
        </is>
      </c>
      <c r="C937" s="10" t="inlineStr">
        <is>
          <t>Gestión Financiera</t>
        </is>
      </c>
      <c r="D937" s="10" t="inlineStr">
        <is>
          <t>GFI</t>
        </is>
      </c>
      <c r="E937" s="10" t="inlineStr">
        <is>
          <t>Gestión Contable</t>
        </is>
      </c>
      <c r="F937" s="10" t="inlineStr">
        <is>
          <t>-</t>
        </is>
      </c>
      <c r="G937" s="10" t="inlineStr">
        <is>
          <t xml:space="preserve">Nómina, Liquidaciones de viáticos, haberes y jubilaciones     </t>
        </is>
      </c>
      <c r="H937" s="10" t="inlineStr">
        <is>
          <t>Acta transaccional de entrega de fondos global</t>
        </is>
      </c>
      <c r="I937" s="10" t="inlineStr">
        <is>
          <t>Doc. que proviene de GTH indicando el valor que se debe cancelar, pago global</t>
        </is>
      </c>
      <c r="J937" s="10" t="inlineStr">
        <is>
          <t>Contador General</t>
        </is>
      </c>
      <c r="K937" s="10" t="inlineStr">
        <is>
          <t>AREA CONTABLE</t>
        </is>
      </c>
      <c r="L937" s="10" t="inlineStr">
        <is>
          <t>DOCUMENTOS FISICOS-ARCHIVOS DE LA OFICINA</t>
        </is>
      </c>
      <c r="M937" s="10" t="inlineStr">
        <is>
          <t>DOCUMENTO DE ARCHIVO-FÍSICO</t>
        </is>
      </c>
      <c r="N937" s="10" t="inlineStr">
        <is>
          <t>PRIMARIOS</t>
        </is>
      </c>
      <c r="O937" s="10" t="inlineStr">
        <is>
          <t>DOCUMENTOS HABILITANTES</t>
        </is>
      </c>
      <c r="P937" s="10" t="inlineStr">
        <is>
          <t>USO INTERNO(2)</t>
        </is>
      </c>
      <c r="Q937" s="10" t="inlineStr">
        <is>
          <t>MEDIA(2)</t>
        </is>
      </c>
      <c r="R937" s="10" t="inlineStr">
        <is>
          <t>BAJA(1)</t>
        </is>
      </c>
      <c r="S937" s="10">
        <f>+(IF(P937="PUBLICA(1)",1,IF(P937="USO INTERNO(2)",2,IF(P937="RESTRINGIDO(3)",3,3))))+(IF(Q937="BAJA(1)",1,IF(Q937="MEDIA(2)",2,IF(Q937="ALTA(3)",3,3))))+(IF(R937="BAJA(1)",1,IF(R937="MEDIA(2)",2,IF(R937="ALTA(3)",3,3))))</f>
        <v/>
      </c>
      <c r="T937" s="10">
        <f>+IF(S937&lt;6,"BAJA",IF(S937&lt;8,"MEDIA","ALTA"))</f>
        <v/>
      </c>
      <c r="U937" s="10" t="inlineStr">
        <is>
          <t>-</t>
        </is>
      </c>
      <c r="V937" s="24" t="n">
        <v>45673</v>
      </c>
      <c r="W937" s="19" t="inlineStr">
        <is>
          <t>N/A</t>
        </is>
      </c>
      <c r="X937" s="10">
        <f>+IFERROR(IF(VLOOKUP(Tabla2[[#This Row],[ID]],'EVALUACION DE RIESGO'!A:A,1,FALSE)=Tabla2[[#This Row],[ID]],"SI","NO"),"NO")</f>
        <v/>
      </c>
    </row>
    <row r="938">
      <c r="A938" s="91" t="inlineStr">
        <is>
          <t>16-GFI</t>
        </is>
      </c>
      <c r="B938" s="10" t="inlineStr">
        <is>
          <t>APOYO</t>
        </is>
      </c>
      <c r="C938" s="10" t="inlineStr">
        <is>
          <t>Gestión Financiera</t>
        </is>
      </c>
      <c r="D938" s="10" t="inlineStr">
        <is>
          <t>GFI</t>
        </is>
      </c>
      <c r="E938" s="10" t="inlineStr">
        <is>
          <t>Gestión Contable</t>
        </is>
      </c>
      <c r="F938" s="10" t="inlineStr">
        <is>
          <t>-</t>
        </is>
      </c>
      <c r="G938" s="10" t="inlineStr">
        <is>
          <t xml:space="preserve">Nómina, Liquidaciones de viáticos, haberes y jubilaciones     </t>
        </is>
      </c>
      <c r="H938" s="10" t="inlineStr">
        <is>
          <t>Solicitud de pago de pensión mensual</t>
        </is>
      </c>
      <c r="I938" s="10" t="inlineStr">
        <is>
          <t>Doc. que proviene de GTH indicando el valor que se debe cancelar, pago mensualizado</t>
        </is>
      </c>
      <c r="J938" s="10" t="inlineStr">
        <is>
          <t>Contador General</t>
        </is>
      </c>
      <c r="K938" s="10" t="inlineStr">
        <is>
          <t>AREA CONTABLE</t>
        </is>
      </c>
      <c r="L938" s="10" t="inlineStr">
        <is>
          <t>UBICACIÓN DIGITAL-EQUIPO DEL CUSTODIO</t>
        </is>
      </c>
      <c r="M938" s="10" t="inlineStr">
        <is>
          <t>DISCOS DUROS, SERVIDORES, DISCOS O MEDIOS PORTÁTILES, CINTAS O MEDIOS DE VIDEO Y AUDIO, ETC.</t>
        </is>
      </c>
      <c r="N938" s="10" t="inlineStr">
        <is>
          <t>PRIMARIOS</t>
        </is>
      </c>
      <c r="O938" s="10" t="inlineStr">
        <is>
          <t>DOCUMENTOS HABILITANTES</t>
        </is>
      </c>
      <c r="P938" s="10" t="inlineStr">
        <is>
          <t>USO INTERNO(2)</t>
        </is>
      </c>
      <c r="Q938" s="10" t="inlineStr">
        <is>
          <t>MEDIA(2)</t>
        </is>
      </c>
      <c r="R938" s="10" t="inlineStr">
        <is>
          <t>BAJA(1)</t>
        </is>
      </c>
      <c r="S938" s="10">
        <f>+(IF(P938="PUBLICA(1)",1,IF(P938="USO INTERNO(2)",2,IF(P938="RESTRINGIDO(3)",3,3))))+(IF(Q938="BAJA(1)",1,IF(Q938="MEDIA(2)",2,IF(Q938="ALTA(3)",3,3))))+(IF(R938="BAJA(1)",1,IF(R938="MEDIA(2)",2,IF(R938="ALTA(3)",3,3))))</f>
        <v/>
      </c>
      <c r="T938" s="10">
        <f>+IF(S938&lt;6,"BAJA",IF(S938&lt;8,"MEDIA","ALTA"))</f>
        <v/>
      </c>
      <c r="U938" s="10" t="inlineStr">
        <is>
          <t>-</t>
        </is>
      </c>
      <c r="V938" s="24" t="n">
        <v>45673</v>
      </c>
      <c r="W938" s="19" t="inlineStr">
        <is>
          <t>N/A</t>
        </is>
      </c>
      <c r="X938" s="10">
        <f>+IFERROR(IF(VLOOKUP(Tabla2[[#This Row],[ID]],'EVALUACION DE RIESGO'!A:A,1,FALSE)=Tabla2[[#This Row],[ID]],"SI","NO"),"NO")</f>
        <v/>
      </c>
    </row>
    <row r="939">
      <c r="A939" s="91" t="inlineStr">
        <is>
          <t>17-GFI</t>
        </is>
      </c>
      <c r="B939" s="10" t="inlineStr">
        <is>
          <t>APOYO</t>
        </is>
      </c>
      <c r="C939" s="10" t="inlineStr">
        <is>
          <t>Gestión Financiera</t>
        </is>
      </c>
      <c r="D939" s="10" t="inlineStr">
        <is>
          <t>GFI</t>
        </is>
      </c>
      <c r="E939" s="10" t="inlineStr">
        <is>
          <t>Gestión Contable</t>
        </is>
      </c>
      <c r="F939" s="10" t="inlineStr">
        <is>
          <t>-</t>
        </is>
      </c>
      <c r="G939" s="10" t="inlineStr">
        <is>
          <t>Cuadre Contable</t>
        </is>
      </c>
      <c r="H939" s="10" t="inlineStr">
        <is>
          <t>Cuadre contable</t>
        </is>
      </c>
      <c r="I939" s="10" t="inlineStr">
        <is>
          <t>Doc. interno del área, se revisa las cuadraturas de reportes que se generan en el sistema entre reporte de Fit versus lo que se registra en la contabilidad</t>
        </is>
      </c>
      <c r="J939" s="10" t="inlineStr">
        <is>
          <t>Contador General</t>
        </is>
      </c>
      <c r="K939" s="10" t="inlineStr">
        <is>
          <t>ANALISTA CONTABLE</t>
        </is>
      </c>
      <c r="L939" s="10" t="inlineStr">
        <is>
          <t>UBICACIÓN DIGITAL-EQUIPO DEL CUSTODIO</t>
        </is>
      </c>
      <c r="M939" s="10" t="inlineStr">
        <is>
          <t>DISCOS DUROS, SERVIDORES, DISCOS O MEDIOS PORTÁTILES, CINTAS O MEDIOS DE VIDEO Y AUDIO, ETC.</t>
        </is>
      </c>
      <c r="N939" s="10" t="inlineStr">
        <is>
          <t>PRIMARIOS</t>
        </is>
      </c>
      <c r="O939" s="10" t="inlineStr">
        <is>
          <t>DOCUMENTOS TÉCNICOS</t>
        </is>
      </c>
      <c r="P939" s="10" t="inlineStr">
        <is>
          <t>RESTRINGIDO(3)</t>
        </is>
      </c>
      <c r="Q939" s="10" t="inlineStr">
        <is>
          <t>MEDIA(2)</t>
        </is>
      </c>
      <c r="R939" s="10" t="inlineStr">
        <is>
          <t>MEDIA(2)</t>
        </is>
      </c>
      <c r="S939" s="10">
        <f>+(IF(P939="PUBLICA(1)",1,IF(P939="USO INTERNO(2)",2,IF(P939="RESTRINGIDO(3)",3,3))))+(IF(Q939="BAJA(1)",1,IF(Q939="MEDIA(2)",2,IF(Q939="ALTA(3)",3,3))))+(IF(R939="BAJA(1)",1,IF(R939="MEDIA(2)",2,IF(R939="ALTA(3)",3,3))))</f>
        <v/>
      </c>
      <c r="T939" s="10">
        <f>+IF(S939&lt;6,"BAJA",IF(S939&lt;8,"MEDIA","ALTA"))</f>
        <v/>
      </c>
      <c r="U939" s="10" t="inlineStr">
        <is>
          <t>-</t>
        </is>
      </c>
      <c r="V939" s="24" t="n">
        <v>45673</v>
      </c>
      <c r="W939" s="19" t="inlineStr">
        <is>
          <t>N/A</t>
        </is>
      </c>
      <c r="X939" s="10">
        <f>+IFERROR(IF(VLOOKUP(Tabla2[[#This Row],[ID]],'EVALUACION DE RIESGO'!A:A,1,FALSE)=Tabla2[[#This Row],[ID]],"SI","NO"),"NO")</f>
        <v/>
      </c>
    </row>
    <row r="940">
      <c r="A940" s="91" t="inlineStr">
        <is>
          <t>18-GFI</t>
        </is>
      </c>
      <c r="B940" s="10" t="inlineStr">
        <is>
          <t>APOYO</t>
        </is>
      </c>
      <c r="C940" s="10" t="inlineStr">
        <is>
          <t>Gestión Financiera</t>
        </is>
      </c>
      <c r="D940" s="10" t="inlineStr">
        <is>
          <t>GFI</t>
        </is>
      </c>
      <c r="E940" s="10" t="inlineStr">
        <is>
          <t>Gestión Contable</t>
        </is>
      </c>
      <c r="F940" s="10" t="inlineStr">
        <is>
          <t>-</t>
        </is>
      </c>
      <c r="G940" s="10" t="inlineStr">
        <is>
          <t xml:space="preserve">Facturación Electrónica </t>
        </is>
      </c>
      <c r="H940" s="10" t="inlineStr">
        <is>
          <t>Comprobantes digitales</t>
        </is>
      </c>
      <c r="I940" s="10" t="inlineStr">
        <is>
          <t>Documentos que se encuentran en el sistema al igual que los comprobantes electrónicos</t>
        </is>
      </c>
      <c r="J940" s="10" t="inlineStr">
        <is>
          <t>Contador General</t>
        </is>
      </c>
      <c r="K940" s="10" t="inlineStr">
        <is>
          <t>CORE FINANCIERO</t>
        </is>
      </c>
      <c r="L940" s="10" t="inlineStr">
        <is>
          <t>UBICACIÓN DIGITAL-CORE FINANCIERO</t>
        </is>
      </c>
      <c r="M940" s="10" t="inlineStr">
        <is>
          <t>DOCUMENTO DE ARCHIVO-ELECTRÓNICO</t>
        </is>
      </c>
      <c r="N940" s="10" t="inlineStr">
        <is>
          <t>PRIMARIOS</t>
        </is>
      </c>
      <c r="O940" s="10" t="inlineStr">
        <is>
          <t>DOCUMENTOS HABILITANTES</t>
        </is>
      </c>
      <c r="P940" s="10" t="inlineStr">
        <is>
          <t>USO INTERNO(2)</t>
        </is>
      </c>
      <c r="Q940" s="10" t="inlineStr">
        <is>
          <t>MEDIA(2)</t>
        </is>
      </c>
      <c r="R940" s="10" t="inlineStr">
        <is>
          <t>MEDIA(2)</t>
        </is>
      </c>
      <c r="S940" s="10">
        <f>+(IF(P940="PUBLICA(1)",1,IF(P940="USO INTERNO(2)",2,IF(P940="RESTRINGIDO(3)",3,3))))+(IF(Q940="BAJA(1)",1,IF(Q940="MEDIA(2)",2,IF(Q940="ALTA(3)",3,3))))+(IF(R940="BAJA(1)",1,IF(R940="MEDIA(2)",2,IF(R940="ALTA(3)",3,3))))</f>
        <v/>
      </c>
      <c r="T940" s="10">
        <f>+IF(S940&lt;6,"BAJA",IF(S940&lt;8,"MEDIA","ALTA"))</f>
        <v/>
      </c>
      <c r="U940" s="10" t="inlineStr">
        <is>
          <t>-</t>
        </is>
      </c>
      <c r="V940" s="24" t="n">
        <v>45673</v>
      </c>
      <c r="W940" s="19" t="inlineStr">
        <is>
          <t>N/A</t>
        </is>
      </c>
      <c r="X940" s="10">
        <f>+IFERROR(IF(VLOOKUP(Tabla2[[#This Row],[ID]],'EVALUACION DE RIESGO'!A:A,1,FALSE)=Tabla2[[#This Row],[ID]],"SI","NO"),"NO")</f>
        <v/>
      </c>
    </row>
    <row r="941">
      <c r="A941" s="91" t="inlineStr">
        <is>
          <t>19-GFI</t>
        </is>
      </c>
      <c r="B941" s="10" t="inlineStr">
        <is>
          <t>APOYO</t>
        </is>
      </c>
      <c r="C941" s="10" t="inlineStr">
        <is>
          <t>Gestión Financiera</t>
        </is>
      </c>
      <c r="D941" s="10" t="inlineStr">
        <is>
          <t>GFI</t>
        </is>
      </c>
      <c r="E941" s="10" t="inlineStr">
        <is>
          <t>Gestión Contable</t>
        </is>
      </c>
      <c r="F941" s="10" t="inlineStr">
        <is>
          <t>-</t>
        </is>
      </c>
      <c r="G941" s="10" t="inlineStr">
        <is>
          <t>Ventas</t>
        </is>
      </c>
      <c r="H941" s="10" t="inlineStr">
        <is>
          <t>Registros de Ventas</t>
        </is>
      </c>
      <c r="I941" s="10" t="inlineStr">
        <is>
          <t>Doc. interno donde se controla que se haya reaceptado las retenciones y registrarlos en el sistema</t>
        </is>
      </c>
      <c r="J941" s="10" t="inlineStr">
        <is>
          <t>Contador General</t>
        </is>
      </c>
      <c r="K941" s="10" t="inlineStr">
        <is>
          <t>CORE FINANCIERO</t>
        </is>
      </c>
      <c r="L941" s="10" t="inlineStr">
        <is>
          <t>UBICACIÓN DIGITAL-CORE FINANCIERO</t>
        </is>
      </c>
      <c r="M941" s="10" t="inlineStr">
        <is>
          <t>DOCUMENTO DE ARCHIVO-ELECTRÓNICO</t>
        </is>
      </c>
      <c r="N941" s="10" t="inlineStr">
        <is>
          <t>PRIMARIOS</t>
        </is>
      </c>
      <c r="O941" s="10" t="inlineStr">
        <is>
          <t>DOCUMENTOS HABILITANTES</t>
        </is>
      </c>
      <c r="P941" s="10" t="inlineStr">
        <is>
          <t>USO INTERNO(2)</t>
        </is>
      </c>
      <c r="Q941" s="10" t="inlineStr">
        <is>
          <t>MEDIA(2)</t>
        </is>
      </c>
      <c r="R941" s="10" t="inlineStr">
        <is>
          <t>BAJA(1)</t>
        </is>
      </c>
      <c r="S941" s="10">
        <f>+(IF(P941="PUBLICA(1)",1,IF(P941="USO INTERNO(2)",2,IF(P941="RESTRINGIDO(3)",3,3))))+(IF(Q941="BAJA(1)",1,IF(Q941="MEDIA(2)",2,IF(Q941="ALTA(3)",3,3))))+(IF(R941="BAJA(1)",1,IF(R941="MEDIA(2)",2,IF(R941="ALTA(3)",3,3))))</f>
        <v/>
      </c>
      <c r="T941" s="10">
        <f>+IF(S941&lt;6,"BAJA",IF(S941&lt;8,"MEDIA","ALTA"))</f>
        <v/>
      </c>
      <c r="U941" s="10" t="inlineStr">
        <is>
          <t>-</t>
        </is>
      </c>
      <c r="V941" s="24" t="n">
        <v>45673</v>
      </c>
      <c r="W941" s="19" t="inlineStr">
        <is>
          <t>N/A</t>
        </is>
      </c>
      <c r="X941" s="10">
        <f>+IFERROR(IF(VLOOKUP(Tabla2[[#This Row],[ID]],'EVALUACION DE RIESGO'!A:A,1,FALSE)=Tabla2[[#This Row],[ID]],"SI","NO"),"NO")</f>
        <v/>
      </c>
    </row>
    <row r="942">
      <c r="A942" s="91" t="inlineStr">
        <is>
          <t>20-GFI</t>
        </is>
      </c>
      <c r="B942" s="10" t="inlineStr">
        <is>
          <t>APOYO</t>
        </is>
      </c>
      <c r="C942" s="10" t="inlineStr">
        <is>
          <t>Gestión Financiera</t>
        </is>
      </c>
      <c r="D942" s="10" t="inlineStr">
        <is>
          <t>GFI</t>
        </is>
      </c>
      <c r="E942" s="10" t="inlineStr">
        <is>
          <t>Gestión Contable</t>
        </is>
      </c>
      <c r="F942" s="10" t="inlineStr">
        <is>
          <t>-</t>
        </is>
      </c>
      <c r="G942" s="10" t="inlineStr">
        <is>
          <t>Cuentas por Pagar generadas por Módulos</t>
        </is>
      </c>
      <c r="H942" s="10" t="inlineStr">
        <is>
          <t>Registros Cuentas por Pagar generadas por Módulos</t>
        </is>
      </c>
      <c r="I942" s="10" t="inlineStr">
        <is>
          <t>Facturación de servicios financieros y sus cobros que se establecen en la norma por servicio que la institución da</t>
        </is>
      </c>
      <c r="J942" s="10" t="inlineStr">
        <is>
          <t>Contador General</t>
        </is>
      </c>
      <c r="K942" s="10" t="inlineStr">
        <is>
          <t>CORE FINANCIERO</t>
        </is>
      </c>
      <c r="L942" s="10" t="inlineStr">
        <is>
          <t>UBICACIÓN DIGITAL-CORE FINANCIERO</t>
        </is>
      </c>
      <c r="M942" s="10" t="inlineStr">
        <is>
          <t>DOCUMENTO DE ARCHIVO-ELECTRÓNICO</t>
        </is>
      </c>
      <c r="N942" s="10" t="inlineStr">
        <is>
          <t>PRIMARIOS</t>
        </is>
      </c>
      <c r="O942" s="10" t="inlineStr">
        <is>
          <t>COMUNICACIÓN INTERNA</t>
        </is>
      </c>
      <c r="P942" s="10" t="inlineStr">
        <is>
          <t>USO INTERNO(2)</t>
        </is>
      </c>
      <c r="Q942" s="10" t="inlineStr">
        <is>
          <t>MEDIA(2)</t>
        </is>
      </c>
      <c r="R942" s="10" t="inlineStr">
        <is>
          <t>MEDIA(2)</t>
        </is>
      </c>
      <c r="S942" s="10">
        <f>+(IF(P942="PUBLICA(1)",1,IF(P942="USO INTERNO(2)",2,IF(P942="RESTRINGIDO(3)",3,3))))+(IF(Q942="BAJA(1)",1,IF(Q942="MEDIA(2)",2,IF(Q942="ALTA(3)",3,3))))+(IF(R942="BAJA(1)",1,IF(R942="MEDIA(2)",2,IF(R942="ALTA(3)",3,3))))</f>
        <v/>
      </c>
      <c r="T942" s="10">
        <f>+IF(S942&lt;6,"BAJA",IF(S942&lt;8,"MEDIA","ALTA"))</f>
        <v/>
      </c>
      <c r="U942" s="10" t="inlineStr">
        <is>
          <t>-</t>
        </is>
      </c>
      <c r="V942" s="24" t="n">
        <v>45673</v>
      </c>
      <c r="W942" s="19" t="inlineStr">
        <is>
          <t>N/A</t>
        </is>
      </c>
      <c r="X942" s="10">
        <f>+IFERROR(IF(VLOOKUP(Tabla2[[#This Row],[ID]],'EVALUACION DE RIESGO'!A:A,1,FALSE)=Tabla2[[#This Row],[ID]],"SI","NO"),"NO")</f>
        <v/>
      </c>
    </row>
    <row r="943">
      <c r="A943" s="91" t="inlineStr">
        <is>
          <t>21-GFI</t>
        </is>
      </c>
      <c r="B943" s="10" t="inlineStr">
        <is>
          <t>APOYO</t>
        </is>
      </c>
      <c r="C943" s="10" t="inlineStr">
        <is>
          <t>Gestión Financiera</t>
        </is>
      </c>
      <c r="D943" s="10" t="inlineStr">
        <is>
          <t>GFI</t>
        </is>
      </c>
      <c r="E943" s="10" t="inlineStr">
        <is>
          <t>Gestión Contable</t>
        </is>
      </c>
      <c r="F943" s="10" t="inlineStr">
        <is>
          <t>-</t>
        </is>
      </c>
      <c r="G943" s="10" t="inlineStr">
        <is>
          <t>Lotes Masivos</t>
        </is>
      </c>
      <c r="H943" s="10" t="inlineStr">
        <is>
          <t>Registros de Lotes masivos</t>
        </is>
      </c>
      <c r="I943" s="10" t="inlineStr">
        <is>
          <t>Registro para acreditar o debitar por lotes</t>
        </is>
      </c>
      <c r="J943" s="10" t="inlineStr">
        <is>
          <t>Contador General</t>
        </is>
      </c>
      <c r="K943" s="10" t="inlineStr">
        <is>
          <t>ASIS CONTABLE</t>
        </is>
      </c>
      <c r="L943" s="10" t="inlineStr">
        <is>
          <t>DOCUMENTOS FISICOS-ARCHIVOS DE LA OFICINA</t>
        </is>
      </c>
      <c r="M943" s="10" t="inlineStr">
        <is>
          <t>DOCUMENTO DE ARCHIVO-FÍSICO</t>
        </is>
      </c>
      <c r="N943" s="10" t="inlineStr">
        <is>
          <t>PRIMARIOS</t>
        </is>
      </c>
      <c r="O943" s="10" t="inlineStr">
        <is>
          <t>COMUNICACIÓN INTERNA</t>
        </is>
      </c>
      <c r="P943" s="10" t="inlineStr">
        <is>
          <t>RESTRINGIDO(3)</t>
        </is>
      </c>
      <c r="Q943" s="10" t="inlineStr">
        <is>
          <t>MEDIA(2)</t>
        </is>
      </c>
      <c r="R943" s="10" t="inlineStr">
        <is>
          <t>MEDIA(2)</t>
        </is>
      </c>
      <c r="S943" s="10">
        <f>+(IF(P943="PUBLICA(1)",1,IF(P943="USO INTERNO(2)",2,IF(P943="RESTRINGIDO(3)",3,3))))+(IF(Q943="BAJA(1)",1,IF(Q943="MEDIA(2)",2,IF(Q943="ALTA(3)",3,3))))+(IF(R943="BAJA(1)",1,IF(R943="MEDIA(2)",2,IF(R943="ALTA(3)",3,3))))</f>
        <v/>
      </c>
      <c r="T943" s="10">
        <f>+IF(S943&lt;6,"BAJA",IF(S943&lt;8,"MEDIA","ALTA"))</f>
        <v/>
      </c>
      <c r="U943" s="10" t="inlineStr">
        <is>
          <t>-</t>
        </is>
      </c>
      <c r="V943" s="24" t="n">
        <v>45673</v>
      </c>
      <c r="W943" s="19" t="inlineStr">
        <is>
          <t>N/A</t>
        </is>
      </c>
      <c r="X943" s="10">
        <f>+IFERROR(IF(VLOOKUP(Tabla2[[#This Row],[ID]],'EVALUACION DE RIESGO'!A:A,1,FALSE)=Tabla2[[#This Row],[ID]],"SI","NO"),"NO")</f>
        <v/>
      </c>
    </row>
    <row r="944">
      <c r="A944" s="91" t="inlineStr">
        <is>
          <t>22-GFI</t>
        </is>
      </c>
      <c r="B944" s="10" t="inlineStr">
        <is>
          <t>APOYO</t>
        </is>
      </c>
      <c r="C944" s="10" t="inlineStr">
        <is>
          <t>Gestión Financiera</t>
        </is>
      </c>
      <c r="D944" s="10" t="inlineStr">
        <is>
          <t>GFI</t>
        </is>
      </c>
      <c r="E944" s="10" t="inlineStr">
        <is>
          <t>Gestión Contable</t>
        </is>
      </c>
      <c r="F944" s="10" t="inlineStr">
        <is>
          <t>-</t>
        </is>
      </c>
      <c r="G944" s="10" t="inlineStr">
        <is>
          <t>Parametrización y Certificación de Pruebas</t>
        </is>
      </c>
      <c r="H944" s="10" t="inlineStr">
        <is>
          <t>Requerimientos de parametrización y certificación de pruebas</t>
        </is>
      </c>
      <c r="I944" s="10" t="inlineStr">
        <is>
          <t>Requerimiento subido por service desk para solicitar desarrollos y actualizaciones</t>
        </is>
      </c>
      <c r="J944" s="10" t="inlineStr">
        <is>
          <t>Contador General</t>
        </is>
      </c>
      <c r="K944" s="10" t="inlineStr">
        <is>
          <t>SERVICE DESK</t>
        </is>
      </c>
      <c r="L944" s="10" t="inlineStr">
        <is>
          <t>DOCUMENTOS FISICOS-ARCHIVOS DE LA OFICINA</t>
        </is>
      </c>
      <c r="M944" s="10" t="inlineStr">
        <is>
          <t>DOCUMENTO DE ARCHIVO-FÍSICO</t>
        </is>
      </c>
      <c r="N944" s="10" t="inlineStr">
        <is>
          <t>PRIMARIOS</t>
        </is>
      </c>
      <c r="O944" s="10" t="inlineStr">
        <is>
          <t>COMUNICACIÓN INTERNA</t>
        </is>
      </c>
      <c r="P944" s="10" t="inlineStr">
        <is>
          <t>USO INTERNO(2)</t>
        </is>
      </c>
      <c r="Q944" s="10" t="inlineStr">
        <is>
          <t>BAJA(1)</t>
        </is>
      </c>
      <c r="R944" s="10" t="inlineStr">
        <is>
          <t>BAJA(1)</t>
        </is>
      </c>
      <c r="S944" s="10">
        <f>+(IF(P944="PUBLICA(1)",1,IF(P944="USO INTERNO(2)",2,IF(P944="RESTRINGIDO(3)",3,3))))+(IF(Q944="BAJA(1)",1,IF(Q944="MEDIA(2)",2,IF(Q944="ALTA(3)",3,3))))+(IF(R944="BAJA(1)",1,IF(R944="MEDIA(2)",2,IF(R944="ALTA(3)",3,3))))</f>
        <v/>
      </c>
      <c r="T944" s="10">
        <f>+IF(S944&lt;6,"BAJA",IF(S944&lt;8,"MEDIA","ALTA"))</f>
        <v/>
      </c>
      <c r="U944" s="10" t="inlineStr">
        <is>
          <t>-</t>
        </is>
      </c>
      <c r="V944" s="24" t="n">
        <v>45673</v>
      </c>
      <c r="W944" s="19" t="inlineStr">
        <is>
          <t>N/A</t>
        </is>
      </c>
      <c r="X944" s="10">
        <f>+IFERROR(IF(VLOOKUP(Tabla2[[#This Row],[ID]],'EVALUACION DE RIESGO'!A:A,1,FALSE)=Tabla2[[#This Row],[ID]],"SI","NO"),"NO")</f>
        <v/>
      </c>
    </row>
    <row r="945">
      <c r="A945" s="91" t="inlineStr">
        <is>
          <t>23-GFI</t>
        </is>
      </c>
      <c r="B945" s="10" t="inlineStr">
        <is>
          <t>APOYO</t>
        </is>
      </c>
      <c r="C945" s="10" t="inlineStr">
        <is>
          <t>Gestión Financiera</t>
        </is>
      </c>
      <c r="D945" s="10" t="inlineStr">
        <is>
          <t>GFI</t>
        </is>
      </c>
      <c r="E945" s="10" t="inlineStr">
        <is>
          <t>Gestión Contable</t>
        </is>
      </c>
      <c r="F945" s="10" t="inlineStr">
        <is>
          <t>-</t>
        </is>
      </c>
      <c r="G945" s="10" t="inlineStr">
        <is>
          <t xml:space="preserve">Generación de Balance </t>
        </is>
      </c>
      <c r="H945" s="10" t="inlineStr">
        <is>
          <t>Balance</t>
        </is>
      </c>
      <c r="I945" s="10" t="inlineStr">
        <is>
          <t>información financiera consolidad en un solo archivo</t>
        </is>
      </c>
      <c r="J945" s="10" t="inlineStr">
        <is>
          <t>Contador General</t>
        </is>
      </c>
      <c r="K945" s="10" t="inlineStr">
        <is>
          <t>Contador General</t>
        </is>
      </c>
      <c r="L945" s="10" t="inlineStr">
        <is>
          <t>UBICACIÓN DIGITAL-EQUIPO DEL RESPONSABLE</t>
        </is>
      </c>
      <c r="M945" s="10" t="inlineStr">
        <is>
          <t>DISCOS DUROS, SERVIDORES, DISCOS O MEDIOS PORTÁTILES, CINTAS O MEDIOS DE VIDEO Y AUDIO, ETC.</t>
        </is>
      </c>
      <c r="N945" s="10" t="inlineStr">
        <is>
          <t>PRIMARIOS</t>
        </is>
      </c>
      <c r="O945" s="10" t="inlineStr">
        <is>
          <t>DOCUMENTOS TÉCNICOS</t>
        </is>
      </c>
      <c r="P945" s="10" t="inlineStr">
        <is>
          <t>USO INTERNO(2)</t>
        </is>
      </c>
      <c r="Q945" s="10" t="inlineStr">
        <is>
          <t>MEDIA(2)</t>
        </is>
      </c>
      <c r="R945" s="10" t="inlineStr">
        <is>
          <t>ALTA(3)</t>
        </is>
      </c>
      <c r="S945" s="10">
        <f>+(IF(P945="PUBLICA(1)",1,IF(P945="USO INTERNO(2)",2,IF(P945="RESTRINGIDO(3)",3,3))))+(IF(Q945="BAJA(1)",1,IF(Q945="MEDIA(2)",2,IF(Q945="ALTA(3)",3,3))))+(IF(R945="BAJA(1)",1,IF(R945="MEDIA(2)",2,IF(R945="ALTA(3)",3,3))))</f>
        <v/>
      </c>
      <c r="T945" s="10">
        <f>+IF(S945&lt;6,"BAJA",IF(S945&lt;8,"MEDIA","ALTA"))</f>
        <v/>
      </c>
      <c r="U945" s="10" t="inlineStr">
        <is>
          <t>-</t>
        </is>
      </c>
      <c r="V945" s="24" t="n">
        <v>45673</v>
      </c>
      <c r="W945" s="19" t="inlineStr">
        <is>
          <t>N/A</t>
        </is>
      </c>
      <c r="X945" s="10">
        <f>+IFERROR(IF(VLOOKUP(Tabla2[[#This Row],[ID]],'EVALUACION DE RIESGO'!A:A,1,FALSE)=Tabla2[[#This Row],[ID]],"SI","NO"),"NO")</f>
        <v/>
      </c>
    </row>
    <row r="946">
      <c r="A946" s="91" t="inlineStr">
        <is>
          <t>24-GFI</t>
        </is>
      </c>
      <c r="B946" s="10" t="inlineStr">
        <is>
          <t>APOYO</t>
        </is>
      </c>
      <c r="C946" s="10" t="inlineStr">
        <is>
          <t>Gestión Financiera</t>
        </is>
      </c>
      <c r="D946" s="10" t="inlineStr">
        <is>
          <t>GFI</t>
        </is>
      </c>
      <c r="E946" s="10" t="inlineStr">
        <is>
          <t>Gestión Contable</t>
        </is>
      </c>
      <c r="F946" s="10" t="inlineStr">
        <is>
          <t>-</t>
        </is>
      </c>
      <c r="G946" s="10" t="inlineStr">
        <is>
          <t xml:space="preserve">Generación de Balance </t>
        </is>
      </c>
      <c r="H946" s="10" t="inlineStr">
        <is>
          <t>Estado de flujo de efectivo y evolución patrimonial</t>
        </is>
      </c>
      <c r="I946" s="10" t="inlineStr">
        <is>
          <t>información financiera consolidad en un solo archivo sujeta al balance</t>
        </is>
      </c>
      <c r="J946" s="10" t="inlineStr">
        <is>
          <t>Contador General</t>
        </is>
      </c>
      <c r="K946" s="10" t="inlineStr">
        <is>
          <t>Contador General</t>
        </is>
      </c>
      <c r="L946" s="10" t="inlineStr">
        <is>
          <t>UBICACIÓN DIGITAL-EQUIPO DEL RESPONSABLE</t>
        </is>
      </c>
      <c r="M946" s="10" t="inlineStr">
        <is>
          <t>DISCOS DUROS, SERVIDORES, DISCOS O MEDIOS PORTÁTILES, CINTAS O MEDIOS DE VIDEO Y AUDIO, ETC.</t>
        </is>
      </c>
      <c r="N946" s="10" t="inlineStr">
        <is>
          <t>PRIMARIOS</t>
        </is>
      </c>
      <c r="O946" s="10" t="inlineStr">
        <is>
          <t>DOCUMENTOS TÉCNICOS</t>
        </is>
      </c>
      <c r="P946" s="10" t="inlineStr">
        <is>
          <t>RESTRINGIDO(3)</t>
        </is>
      </c>
      <c r="Q946" s="10" t="inlineStr">
        <is>
          <t>MEDIA(2)</t>
        </is>
      </c>
      <c r="R946" s="10" t="inlineStr">
        <is>
          <t>MEDIA(2)</t>
        </is>
      </c>
      <c r="S946" s="10">
        <f>+(IF(P946="PUBLICA(1)",1,IF(P946="USO INTERNO(2)",2,IF(P946="RESTRINGIDO(3)",3,3))))+(IF(Q946="BAJA(1)",1,IF(Q946="MEDIA(2)",2,IF(Q946="ALTA(3)",3,3))))+(IF(R946="BAJA(1)",1,IF(R946="MEDIA(2)",2,IF(R946="ALTA(3)",3,3))))</f>
        <v/>
      </c>
      <c r="T946" s="10">
        <f>+IF(S946&lt;6,"BAJA",IF(S946&lt;8,"MEDIA","ALTA"))</f>
        <v/>
      </c>
      <c r="U946" s="10" t="inlineStr">
        <is>
          <t>-</t>
        </is>
      </c>
      <c r="V946" s="24" t="n">
        <v>45673</v>
      </c>
      <c r="W946" s="19" t="inlineStr">
        <is>
          <t>N/A</t>
        </is>
      </c>
      <c r="X946" s="10">
        <f>+IFERROR(IF(VLOOKUP(Tabla2[[#This Row],[ID]],'EVALUACION DE RIESGO'!A:A,1,FALSE)=Tabla2[[#This Row],[ID]],"SI","NO"),"NO")</f>
        <v/>
      </c>
    </row>
    <row r="947">
      <c r="A947" s="91" t="inlineStr">
        <is>
          <t>25-GFI</t>
        </is>
      </c>
      <c r="B947" s="10" t="inlineStr">
        <is>
          <t>APOYO</t>
        </is>
      </c>
      <c r="C947" s="10" t="inlineStr">
        <is>
          <t>Gestión Financiera</t>
        </is>
      </c>
      <c r="D947" s="10" t="inlineStr">
        <is>
          <t>GFI</t>
        </is>
      </c>
      <c r="E947" s="10" t="inlineStr">
        <is>
          <t>Gestión Contable</t>
        </is>
      </c>
      <c r="F947" s="10" t="inlineStr">
        <is>
          <t>-</t>
        </is>
      </c>
      <c r="G947" s="10" t="inlineStr">
        <is>
          <t xml:space="preserve">Generación de Balance </t>
        </is>
      </c>
      <c r="H947" s="10" t="inlineStr">
        <is>
          <t>Balance de comprobación</t>
        </is>
      </c>
      <c r="I947" s="10" t="inlineStr">
        <is>
          <t>Resumen de las operaciones financieras obtenidas del balance</t>
        </is>
      </c>
      <c r="J947" s="10" t="inlineStr">
        <is>
          <t>Contador General</t>
        </is>
      </c>
      <c r="K947" s="10" t="inlineStr">
        <is>
          <t>Contador General</t>
        </is>
      </c>
      <c r="L947" s="10" t="inlineStr">
        <is>
          <t>UBICACIÓN DIGITAL-EQUIPO DEL RESPONSABLE</t>
        </is>
      </c>
      <c r="M947" s="10" t="inlineStr">
        <is>
          <t>DISCOS DUROS, SERVIDORES, DISCOS O MEDIOS PORTÁTILES, CINTAS O MEDIOS DE VIDEO Y AUDIO, ETC.</t>
        </is>
      </c>
      <c r="N947" s="10" t="inlineStr">
        <is>
          <t>PRIMARIOS</t>
        </is>
      </c>
      <c r="O947" s="10" t="inlineStr">
        <is>
          <t>DOCUMENTOS TÉCNICOS</t>
        </is>
      </c>
      <c r="P947" s="10" t="inlineStr">
        <is>
          <t>RESTRINGIDO(3)</t>
        </is>
      </c>
      <c r="Q947" s="10" t="inlineStr">
        <is>
          <t>MEDIA(2)</t>
        </is>
      </c>
      <c r="R947" s="10" t="inlineStr">
        <is>
          <t>MEDIA(2)</t>
        </is>
      </c>
      <c r="S947" s="10">
        <f>+(IF(P947="PUBLICA(1)",1,IF(P947="USO INTERNO(2)",2,IF(P947="RESTRINGIDO(3)",3,3))))+(IF(Q947="BAJA(1)",1,IF(Q947="MEDIA(2)",2,IF(Q947="ALTA(3)",3,3))))+(IF(R947="BAJA(1)",1,IF(R947="MEDIA(2)",2,IF(R947="ALTA(3)",3,3))))</f>
        <v/>
      </c>
      <c r="T947" s="10">
        <f>+IF(S947&lt;6,"BAJA",IF(S947&lt;8,"MEDIA","ALTA"))</f>
        <v/>
      </c>
      <c r="U947" s="10" t="inlineStr">
        <is>
          <t>-</t>
        </is>
      </c>
      <c r="V947" s="24" t="n">
        <v>45673</v>
      </c>
      <c r="W947" s="19" t="inlineStr">
        <is>
          <t>N/A</t>
        </is>
      </c>
      <c r="X947" s="10">
        <f>+IFERROR(IF(VLOOKUP(Tabla2[[#This Row],[ID]],'EVALUACION DE RIESGO'!A:A,1,FALSE)=Tabla2[[#This Row],[ID]],"SI","NO"),"NO")</f>
        <v/>
      </c>
    </row>
    <row r="948">
      <c r="A948" s="91" t="inlineStr">
        <is>
          <t>26-GFI</t>
        </is>
      </c>
      <c r="B948" s="10" t="inlineStr">
        <is>
          <t>APOYO</t>
        </is>
      </c>
      <c r="C948" s="10" t="inlineStr">
        <is>
          <t>Gestión Financiera</t>
        </is>
      </c>
      <c r="D948" s="10" t="inlineStr">
        <is>
          <t>GFI</t>
        </is>
      </c>
      <c r="E948" s="10" t="inlineStr">
        <is>
          <t>Gestión Contable</t>
        </is>
      </c>
      <c r="F948" s="10" t="inlineStr">
        <is>
          <t>-</t>
        </is>
      </c>
      <c r="G948" s="10" t="inlineStr">
        <is>
          <t xml:space="preserve">Generación de Balance </t>
        </is>
      </c>
      <c r="H948" s="10" t="inlineStr">
        <is>
          <t>Notas a los estados financieros</t>
        </is>
      </c>
      <c r="I948" s="10" t="inlineStr">
        <is>
          <t>Registros de las observaciones relevantes de los estados financieros en función de los datos obtenidos</t>
        </is>
      </c>
      <c r="J948" s="10" t="inlineStr">
        <is>
          <t>Contador General</t>
        </is>
      </c>
      <c r="K948" s="10" t="inlineStr">
        <is>
          <t>Contador General</t>
        </is>
      </c>
      <c r="L948" s="10" t="inlineStr">
        <is>
          <t>UBICACIÓN DIGITAL-EQUIPO DEL RESPONSABLE</t>
        </is>
      </c>
      <c r="M948" s="10" t="inlineStr">
        <is>
          <t>DISCOS DUROS, SERVIDORES, DISCOS O MEDIOS PORTÁTILES, CINTAS O MEDIOS DE VIDEO Y AUDIO, ETC.</t>
        </is>
      </c>
      <c r="N948" s="10" t="inlineStr">
        <is>
          <t>PRIMARIOS</t>
        </is>
      </c>
      <c r="O948" s="10" t="inlineStr">
        <is>
          <t>COMUNICACIÓN INTERNA</t>
        </is>
      </c>
      <c r="P948" s="10" t="inlineStr">
        <is>
          <t>RESTRINGIDO(3)</t>
        </is>
      </c>
      <c r="Q948" s="10" t="inlineStr">
        <is>
          <t>MEDIA(2)</t>
        </is>
      </c>
      <c r="R948" s="10" t="inlineStr">
        <is>
          <t>MEDIA(2)</t>
        </is>
      </c>
      <c r="S948" s="10">
        <f>+(IF(P948="PUBLICA(1)",1,IF(P948="USO INTERNO(2)",2,IF(P948="RESTRINGIDO(3)",3,3))))+(IF(Q948="BAJA(1)",1,IF(Q948="MEDIA(2)",2,IF(Q948="ALTA(3)",3,3))))+(IF(R948="BAJA(1)",1,IF(R948="MEDIA(2)",2,IF(R948="ALTA(3)",3,3))))</f>
        <v/>
      </c>
      <c r="T948" s="10">
        <f>+IF(S948&lt;6,"BAJA",IF(S948&lt;8,"MEDIA","ALTA"))</f>
        <v/>
      </c>
      <c r="U948" s="10" t="inlineStr">
        <is>
          <t>-</t>
        </is>
      </c>
      <c r="V948" s="24" t="n">
        <v>45673</v>
      </c>
      <c r="W948" s="19" t="inlineStr">
        <is>
          <t>N/A</t>
        </is>
      </c>
      <c r="X948" s="10">
        <f>+IFERROR(IF(VLOOKUP(Tabla2[[#This Row],[ID]],'EVALUACION DE RIESGO'!A:A,1,FALSE)=Tabla2[[#This Row],[ID]],"SI","NO"),"NO")</f>
        <v/>
      </c>
    </row>
    <row r="949">
      <c r="A949" s="91" t="inlineStr">
        <is>
          <t>27-GFI</t>
        </is>
      </c>
      <c r="B949" s="10" t="inlineStr">
        <is>
          <t>APOYO</t>
        </is>
      </c>
      <c r="C949" s="10" t="inlineStr">
        <is>
          <t>Gestión Financiera</t>
        </is>
      </c>
      <c r="D949" s="10" t="inlineStr">
        <is>
          <t>GFI</t>
        </is>
      </c>
      <c r="E949" s="10" t="inlineStr">
        <is>
          <t>Gestión Contable</t>
        </is>
      </c>
      <c r="F949" s="10" t="inlineStr">
        <is>
          <t>-</t>
        </is>
      </c>
      <c r="G949" s="10" t="inlineStr">
        <is>
          <t>Validación de Estructuras de Balances Diarios</t>
        </is>
      </c>
      <c r="H949" s="10" t="inlineStr">
        <is>
          <t>Estructura B13</t>
        </is>
      </c>
      <c r="I949" s="10" t="inlineStr">
        <is>
          <t>Estructura de cuentas contables y saldos que se valida en BCE y SEPS</t>
        </is>
      </c>
      <c r="J949" s="10" t="inlineStr">
        <is>
          <t>Contador General</t>
        </is>
      </c>
      <c r="K949" s="10" t="inlineStr">
        <is>
          <t>Contador General</t>
        </is>
      </c>
      <c r="L949" s="10" t="inlineStr">
        <is>
          <t>UBICACIÓN DIGITAL-EQUIPO DEL RESPONSABLE</t>
        </is>
      </c>
      <c r="M949" s="10" t="inlineStr">
        <is>
          <t>DISCOS DUROS, SERVIDORES, DISCOS O MEDIOS PORTÁTILES, CINTAS O MEDIOS DE VIDEO Y AUDIO, ETC.</t>
        </is>
      </c>
      <c r="N949" s="10" t="inlineStr">
        <is>
          <t>PRIMARIOS</t>
        </is>
      </c>
      <c r="O949" s="10" t="inlineStr">
        <is>
          <t>DOCUMENTOS TÉCNICOS</t>
        </is>
      </c>
      <c r="P949" s="10" t="inlineStr">
        <is>
          <t>RESTRINGIDO(3)</t>
        </is>
      </c>
      <c r="Q949" s="10" t="inlineStr">
        <is>
          <t>MEDIA(2)</t>
        </is>
      </c>
      <c r="R949" s="10" t="inlineStr">
        <is>
          <t>MEDIA(2)</t>
        </is>
      </c>
      <c r="S949" s="10">
        <f>+(IF(P949="PUBLICA(1)",1,IF(P949="USO INTERNO(2)",2,IF(P949="RESTRINGIDO(3)",3,3))))+(IF(Q949="BAJA(1)",1,IF(Q949="MEDIA(2)",2,IF(Q949="ALTA(3)",3,3))))+(IF(R949="BAJA(1)",1,IF(R949="MEDIA(2)",2,IF(R949="ALTA(3)",3,3))))</f>
        <v/>
      </c>
      <c r="T949" s="10">
        <f>+IF(S949&lt;6,"BAJA",IF(S949&lt;8,"MEDIA","ALTA"))</f>
        <v/>
      </c>
      <c r="U949" s="10" t="inlineStr">
        <is>
          <t>-</t>
        </is>
      </c>
      <c r="V949" s="24" t="n">
        <v>45673</v>
      </c>
      <c r="W949" s="19" t="inlineStr">
        <is>
          <t>N/A</t>
        </is>
      </c>
      <c r="X949" s="10">
        <f>+IFERROR(IF(VLOOKUP(Tabla2[[#This Row],[ID]],'EVALUACION DE RIESGO'!A:A,1,FALSE)=Tabla2[[#This Row],[ID]],"SI","NO"),"NO")</f>
        <v/>
      </c>
    </row>
    <row r="950">
      <c r="A950" s="91" t="inlineStr">
        <is>
          <t>28-GFI</t>
        </is>
      </c>
      <c r="B950" s="10" t="inlineStr">
        <is>
          <t>APOYO</t>
        </is>
      </c>
      <c r="C950" s="10" t="inlineStr">
        <is>
          <t>Gestión Financiera</t>
        </is>
      </c>
      <c r="D950" s="10" t="inlineStr">
        <is>
          <t>GFI</t>
        </is>
      </c>
      <c r="E950" s="10" t="inlineStr">
        <is>
          <t>Gestión Contable</t>
        </is>
      </c>
      <c r="F950" s="10" t="inlineStr">
        <is>
          <t>-</t>
        </is>
      </c>
      <c r="G950" s="10" t="inlineStr">
        <is>
          <t>Validación de Estructuras de Balances Diarios</t>
        </is>
      </c>
      <c r="H950" s="10" t="inlineStr">
        <is>
          <t>Sectorialización</t>
        </is>
      </c>
      <c r="I950" s="10" t="inlineStr">
        <is>
          <t>Documento de texto de recopilación de cuantas contables especificas que solicita el BCE</t>
        </is>
      </c>
      <c r="J950" s="10" t="inlineStr">
        <is>
          <t>Contador General</t>
        </is>
      </c>
      <c r="K950" s="10" t="inlineStr">
        <is>
          <t>Contador General</t>
        </is>
      </c>
      <c r="L950" s="10" t="inlineStr">
        <is>
          <t>UBICACIÓN DIGITAL-EQUIPO DEL RESPONSABLE</t>
        </is>
      </c>
      <c r="M950" s="10" t="inlineStr">
        <is>
          <t>DISCOS DUROS, SERVIDORES, DISCOS O MEDIOS PORTÁTILES, CINTAS O MEDIOS DE VIDEO Y AUDIO, ETC.</t>
        </is>
      </c>
      <c r="N950" s="10" t="inlineStr">
        <is>
          <t>PRIMARIOS</t>
        </is>
      </c>
      <c r="O950" s="10" t="inlineStr">
        <is>
          <t>DOCUMENTOS TÉCNICOS</t>
        </is>
      </c>
      <c r="P950" s="10" t="inlineStr">
        <is>
          <t>RESTRINGIDO(3)</t>
        </is>
      </c>
      <c r="Q950" s="10" t="inlineStr">
        <is>
          <t>MEDIA(2)</t>
        </is>
      </c>
      <c r="R950" s="10" t="inlineStr">
        <is>
          <t>MEDIA(2)</t>
        </is>
      </c>
      <c r="S950" s="10">
        <f>+(IF(P950="PUBLICA(1)",1,IF(P950="USO INTERNO(2)",2,IF(P950="RESTRINGIDO(3)",3,3))))+(IF(Q950="BAJA(1)",1,IF(Q950="MEDIA(2)",2,IF(Q950="ALTA(3)",3,3))))+(IF(R950="BAJA(1)",1,IF(R950="MEDIA(2)",2,IF(R950="ALTA(3)",3,3))))</f>
        <v/>
      </c>
      <c r="T950" s="10">
        <f>+IF(S950&lt;6,"BAJA",IF(S950&lt;8,"MEDIA","ALTA"))</f>
        <v/>
      </c>
      <c r="U950" s="10" t="inlineStr">
        <is>
          <t>-</t>
        </is>
      </c>
      <c r="V950" s="24" t="n">
        <v>45673</v>
      </c>
      <c r="W950" s="19" t="inlineStr">
        <is>
          <t>N/A</t>
        </is>
      </c>
      <c r="X950" s="10">
        <f>+IFERROR(IF(VLOOKUP(Tabla2[[#This Row],[ID]],'EVALUACION DE RIESGO'!A:A,1,FALSE)=Tabla2[[#This Row],[ID]],"SI","NO"),"NO")</f>
        <v/>
      </c>
    </row>
    <row r="951">
      <c r="A951" s="91" t="inlineStr">
        <is>
          <t>29-GFI</t>
        </is>
      </c>
      <c r="B951" s="10" t="inlineStr">
        <is>
          <t>APOYO</t>
        </is>
      </c>
      <c r="C951" s="10" t="inlineStr">
        <is>
          <t>Gestión Financiera</t>
        </is>
      </c>
      <c r="D951" s="10" t="inlineStr">
        <is>
          <t>GFI</t>
        </is>
      </c>
      <c r="E951" s="10" t="inlineStr">
        <is>
          <t>Gestión Contable</t>
        </is>
      </c>
      <c r="F951" s="10" t="inlineStr">
        <is>
          <t>-</t>
        </is>
      </c>
      <c r="G951" s="10" t="inlineStr">
        <is>
          <t>Generación de Estructuras de Balances Mensuales</t>
        </is>
      </c>
      <c r="H951" s="10" t="inlineStr">
        <is>
          <t>Estructura B11</t>
        </is>
      </c>
      <c r="I951" s="10" t="inlineStr">
        <is>
          <t>Estructura XML que se genera del sistema para validación BCE</t>
        </is>
      </c>
      <c r="J951" s="10" t="inlineStr">
        <is>
          <t>Contador General</t>
        </is>
      </c>
      <c r="K951" s="10" t="inlineStr">
        <is>
          <t>Contador General</t>
        </is>
      </c>
      <c r="L951" s="10" t="inlineStr">
        <is>
          <t>UBICACIÓN DIGITAL-EQUIPO DEL RESPONSABLE</t>
        </is>
      </c>
      <c r="M951" s="10" t="inlineStr">
        <is>
          <t>DISCOS DUROS, SERVIDORES, DISCOS O MEDIOS PORTÁTILES, CINTAS O MEDIOS DE VIDEO Y AUDIO, ETC.</t>
        </is>
      </c>
      <c r="N951" s="10" t="inlineStr">
        <is>
          <t>PRIMARIOS</t>
        </is>
      </c>
      <c r="O951" s="10" t="inlineStr">
        <is>
          <t>DOCUMENTOS TÉCNICOS</t>
        </is>
      </c>
      <c r="P951" s="10" t="inlineStr">
        <is>
          <t>RESTRINGIDO(3)</t>
        </is>
      </c>
      <c r="Q951" s="10" t="inlineStr">
        <is>
          <t>MEDIA(2)</t>
        </is>
      </c>
      <c r="R951" s="10" t="inlineStr">
        <is>
          <t>MEDIA(2)</t>
        </is>
      </c>
      <c r="S951" s="10">
        <f>+(IF(P951="PUBLICA(1)",1,IF(P951="USO INTERNO(2)",2,IF(P951="RESTRINGIDO(3)",3,3))))+(IF(Q951="BAJA(1)",1,IF(Q951="MEDIA(2)",2,IF(Q951="ALTA(3)",3,3))))+(IF(R951="BAJA(1)",1,IF(R951="MEDIA(2)",2,IF(R951="ALTA(3)",3,3))))</f>
        <v/>
      </c>
      <c r="T951" s="10">
        <f>+IF(S951&lt;6,"BAJA",IF(S951&lt;8,"MEDIA","ALTA"))</f>
        <v/>
      </c>
      <c r="U951" s="10" t="inlineStr">
        <is>
          <t>-</t>
        </is>
      </c>
      <c r="V951" s="24" t="n">
        <v>45673</v>
      </c>
      <c r="W951" s="19" t="inlineStr">
        <is>
          <t>N/A</t>
        </is>
      </c>
      <c r="X951" s="10">
        <f>+IFERROR(IF(VLOOKUP(Tabla2[[#This Row],[ID]],'EVALUACION DE RIESGO'!A:A,1,FALSE)=Tabla2[[#This Row],[ID]],"SI","NO"),"NO")</f>
        <v/>
      </c>
    </row>
    <row r="952">
      <c r="A952" s="91" t="inlineStr">
        <is>
          <t>30-GFI</t>
        </is>
      </c>
      <c r="B952" s="10" t="inlineStr">
        <is>
          <t>APOYO</t>
        </is>
      </c>
      <c r="C952" s="10" t="inlineStr">
        <is>
          <t>Gestión Financiera</t>
        </is>
      </c>
      <c r="D952" s="10" t="inlineStr">
        <is>
          <t>GFI</t>
        </is>
      </c>
      <c r="E952" s="10" t="inlineStr">
        <is>
          <t>Gestión Contable</t>
        </is>
      </c>
      <c r="F952" s="10" t="inlineStr">
        <is>
          <t>-</t>
        </is>
      </c>
      <c r="G952" s="10" t="inlineStr">
        <is>
          <t>Generación de Estructuras de Balances Mensuales</t>
        </is>
      </c>
      <c r="H952" s="10" t="inlineStr">
        <is>
          <t>Patrimonio Técnico</t>
        </is>
      </c>
      <c r="I952" s="10" t="inlineStr">
        <is>
          <t>Reporte de Patrimonio técnico de acuerdo a los lineamientos de la SEPS, estructura validad a través del formulario FS01</t>
        </is>
      </c>
      <c r="J952" s="10" t="inlineStr">
        <is>
          <t>Contador General</t>
        </is>
      </c>
      <c r="K952" s="10" t="inlineStr">
        <is>
          <t>Contador General</t>
        </is>
      </c>
      <c r="L952" s="10" t="inlineStr">
        <is>
          <t>UBICACIÓN DIGITAL-EQUIPO DEL RESPONSABLE</t>
        </is>
      </c>
      <c r="M952" s="10" t="inlineStr">
        <is>
          <t>DISCOS DUROS, SERVIDORES, DISCOS O MEDIOS PORTÁTILES, CINTAS O MEDIOS DE VIDEO Y AUDIO, ETC.</t>
        </is>
      </c>
      <c r="N952" s="10" t="inlineStr">
        <is>
          <t>PRIMARIOS</t>
        </is>
      </c>
      <c r="O952" s="10" t="inlineStr">
        <is>
          <t>DOCUMENTOS TÉCNICOS</t>
        </is>
      </c>
      <c r="P952" s="10" t="inlineStr">
        <is>
          <t>RESTRINGIDO(3)</t>
        </is>
      </c>
      <c r="Q952" s="10" t="inlineStr">
        <is>
          <t>MEDIA(2)</t>
        </is>
      </c>
      <c r="R952" s="10" t="inlineStr">
        <is>
          <t>MEDIA(2)</t>
        </is>
      </c>
      <c r="S952" s="10">
        <f>+(IF(P952="PUBLICA(1)",1,IF(P952="USO INTERNO(2)",2,IF(P952="RESTRINGIDO(3)",3,3))))+(IF(Q952="BAJA(1)",1,IF(Q952="MEDIA(2)",2,IF(Q952="ALTA(3)",3,3))))+(IF(R952="BAJA(1)",1,IF(R952="MEDIA(2)",2,IF(R952="ALTA(3)",3,3))))</f>
        <v/>
      </c>
      <c r="T952" s="10">
        <f>+IF(S952&lt;6,"BAJA",IF(S952&lt;8,"MEDIA","ALTA"))</f>
        <v/>
      </c>
      <c r="U952" s="10" t="inlineStr">
        <is>
          <t>-</t>
        </is>
      </c>
      <c r="V952" s="24" t="n">
        <v>45673</v>
      </c>
      <c r="W952" s="19" t="inlineStr">
        <is>
          <t>N/A</t>
        </is>
      </c>
      <c r="X952" s="10">
        <f>+IFERROR(IF(VLOOKUP(Tabla2[[#This Row],[ID]],'EVALUACION DE RIESGO'!A:A,1,FALSE)=Tabla2[[#This Row],[ID]],"SI","NO"),"NO")</f>
        <v/>
      </c>
    </row>
    <row r="953">
      <c r="A953" s="91" t="inlineStr">
        <is>
          <t>31-GFI</t>
        </is>
      </c>
      <c r="B953" s="10" t="inlineStr">
        <is>
          <t>APOYO</t>
        </is>
      </c>
      <c r="C953" s="10" t="inlineStr">
        <is>
          <t>Gestión Financiera</t>
        </is>
      </c>
      <c r="D953" s="10" t="inlineStr">
        <is>
          <t>GFI</t>
        </is>
      </c>
      <c r="E953" s="10" t="inlineStr">
        <is>
          <t>Gestión Contable</t>
        </is>
      </c>
      <c r="F953" s="10" t="inlineStr">
        <is>
          <t>-</t>
        </is>
      </c>
      <c r="G953" s="10" t="inlineStr">
        <is>
          <t>Generación de Estructuras de Balances Mensuales</t>
        </is>
      </c>
      <c r="H953" s="10" t="inlineStr">
        <is>
          <t>Reporte 231</t>
        </is>
      </c>
      <c r="I953" s="10" t="inlineStr">
        <is>
          <t>Consolidación de anexos por oficinas de las cuentas contables requeridas en el Reporte 231, se detallan los saldos reflejados en cada cuenta y anexo de calificación de acuerdo al tipo de calificación en las bandas de temporalidad correspondiente.</t>
        </is>
      </c>
      <c r="J953" s="10" t="inlineStr">
        <is>
          <t>Contador General</t>
        </is>
      </c>
      <c r="K953" s="10" t="inlineStr">
        <is>
          <t>Contador General</t>
        </is>
      </c>
      <c r="L953" s="10" t="inlineStr">
        <is>
          <t>UBICACIÓN DIGITAL-EQUIPO DEL RESPONSABLE</t>
        </is>
      </c>
      <c r="M953" s="10" t="inlineStr">
        <is>
          <t>DISCOS DUROS, SERVIDORES, DISCOS O MEDIOS PORTÁTILES, CINTAS O MEDIOS DE VIDEO Y AUDIO, ETC.</t>
        </is>
      </c>
      <c r="N953" s="10" t="inlineStr">
        <is>
          <t>PRIMARIOS</t>
        </is>
      </c>
      <c r="O953" s="10" t="inlineStr">
        <is>
          <t>DOCUMENTOS TÉCNICOS</t>
        </is>
      </c>
      <c r="P953" s="10" t="inlineStr">
        <is>
          <t>RESTRINGIDO(3)</t>
        </is>
      </c>
      <c r="Q953" s="10" t="inlineStr">
        <is>
          <t>MEDIA(2)</t>
        </is>
      </c>
      <c r="R953" s="10" t="inlineStr">
        <is>
          <t>MEDIA(2)</t>
        </is>
      </c>
      <c r="S953" s="10">
        <f>+(IF(P953="PUBLICA(1)",1,IF(P953="USO INTERNO(2)",2,IF(P953="RESTRINGIDO(3)",3,3))))+(IF(Q953="BAJA(1)",1,IF(Q953="MEDIA(2)",2,IF(Q953="ALTA(3)",3,3))))+(IF(R953="BAJA(1)",1,IF(R953="MEDIA(2)",2,IF(R953="ALTA(3)",3,3))))</f>
        <v/>
      </c>
      <c r="T953" s="10">
        <f>+IF(S953&lt;6,"BAJA",IF(S953&lt;8,"MEDIA","ALTA"))</f>
        <v/>
      </c>
      <c r="U953" s="10" t="inlineStr">
        <is>
          <t>-</t>
        </is>
      </c>
      <c r="V953" s="24" t="n">
        <v>45673</v>
      </c>
      <c r="W953" s="19" t="inlineStr">
        <is>
          <t>N/A</t>
        </is>
      </c>
      <c r="X953" s="10">
        <f>+IFERROR(IF(VLOOKUP(Tabla2[[#This Row],[ID]],'EVALUACION DE RIESGO'!A:A,1,FALSE)=Tabla2[[#This Row],[ID]],"SI","NO"),"NO")</f>
        <v/>
      </c>
    </row>
    <row r="954">
      <c r="A954" s="91" t="inlineStr">
        <is>
          <t>32-GFI</t>
        </is>
      </c>
      <c r="B954" s="10" t="inlineStr">
        <is>
          <t>APOYO</t>
        </is>
      </c>
      <c r="C954" s="10" t="inlineStr">
        <is>
          <t>Gestión Financiera</t>
        </is>
      </c>
      <c r="D954" s="10" t="inlineStr">
        <is>
          <t>GFI</t>
        </is>
      </c>
      <c r="E954" s="10" t="inlineStr">
        <is>
          <t>Gestión Contable</t>
        </is>
      </c>
      <c r="F954" s="10" t="inlineStr">
        <is>
          <t>-</t>
        </is>
      </c>
      <c r="G954" s="10" t="inlineStr">
        <is>
          <t xml:space="preserve">Elaboración de anexos contables </t>
        </is>
      </c>
      <c r="H954" s="10" t="inlineStr">
        <is>
          <t>Anexos contables</t>
        </is>
      </c>
      <c r="I954" s="10" t="inlineStr">
        <is>
          <t>anexos que respaldan la información de los balances generados por cada cuenta contable</t>
        </is>
      </c>
      <c r="J954" s="10" t="inlineStr">
        <is>
          <t>Contador General</t>
        </is>
      </c>
      <c r="K954" s="10" t="inlineStr">
        <is>
          <t>ANALISTA CONTABLE / ASIS CONTABLE</t>
        </is>
      </c>
      <c r="L954" s="10" t="inlineStr">
        <is>
          <t>UBICACIÓN DIGITAL-EQUIPO DEL RESPONSABLE</t>
        </is>
      </c>
      <c r="M954" s="10" t="inlineStr">
        <is>
          <t>DISCOS DUROS, SERVIDORES, DISCOS O MEDIOS PORTÁTILES, CINTAS O MEDIOS DE VIDEO Y AUDIO, ETC.</t>
        </is>
      </c>
      <c r="N954" s="10" t="inlineStr">
        <is>
          <t>PRIMARIOS</t>
        </is>
      </c>
      <c r="O954" s="10" t="inlineStr">
        <is>
          <t>DOCUMENTOS TÉCNICOS</t>
        </is>
      </c>
      <c r="P954" s="10" t="inlineStr">
        <is>
          <t>USO INTERNO(2)</t>
        </is>
      </c>
      <c r="Q954" s="10" t="inlineStr">
        <is>
          <t>MEDIA(2)</t>
        </is>
      </c>
      <c r="R954" s="10" t="inlineStr">
        <is>
          <t>MEDIA(2)</t>
        </is>
      </c>
      <c r="S954" s="10">
        <f>+(IF(P954="PUBLICA(1)",1,IF(P954="USO INTERNO(2)",2,IF(P954="RESTRINGIDO(3)",3,3))))+(IF(Q954="BAJA(1)",1,IF(Q954="MEDIA(2)",2,IF(Q954="ALTA(3)",3,3))))+(IF(R954="BAJA(1)",1,IF(R954="MEDIA(2)",2,IF(R954="ALTA(3)",3,3))))</f>
        <v/>
      </c>
      <c r="T954" s="10">
        <f>+IF(S954&lt;6,"BAJA",IF(S954&lt;8,"MEDIA","ALTA"))</f>
        <v/>
      </c>
      <c r="U954" s="10" t="inlineStr">
        <is>
          <t>-</t>
        </is>
      </c>
      <c r="V954" s="24" t="n">
        <v>45673</v>
      </c>
      <c r="W954" s="19" t="inlineStr">
        <is>
          <t>N/A</t>
        </is>
      </c>
      <c r="X954" s="10">
        <f>+IFERROR(IF(VLOOKUP(Tabla2[[#This Row],[ID]],'EVALUACION DE RIESGO'!A:A,1,FALSE)=Tabla2[[#This Row],[ID]],"SI","NO"),"NO")</f>
        <v/>
      </c>
    </row>
    <row r="955">
      <c r="A955" s="91" t="inlineStr">
        <is>
          <t>33-GFI</t>
        </is>
      </c>
      <c r="B955" s="10" t="inlineStr">
        <is>
          <t>APOYO</t>
        </is>
      </c>
      <c r="C955" s="10" t="inlineStr">
        <is>
          <t>Gestión Financiera</t>
        </is>
      </c>
      <c r="D955" s="10" t="inlineStr">
        <is>
          <t>GFI</t>
        </is>
      </c>
      <c r="E955" s="10" t="inlineStr">
        <is>
          <t>Gestión Contable</t>
        </is>
      </c>
      <c r="F955" s="10" t="inlineStr">
        <is>
          <t>-</t>
        </is>
      </c>
      <c r="G955" s="10" t="inlineStr">
        <is>
          <t xml:space="preserve">Conciliación Bancaria Previa </t>
        </is>
      </c>
      <c r="H955" s="10" t="inlineStr">
        <is>
          <t>Estados de cuenta de los bancos</t>
        </is>
      </c>
      <c r="I955" s="10" t="inlineStr">
        <is>
          <t>Información bancaria donde la institución tiene la cuenta / borrador</t>
        </is>
      </c>
      <c r="J955" s="10" t="inlineStr">
        <is>
          <t>Contador General</t>
        </is>
      </c>
      <c r="K955" s="10" t="inlineStr">
        <is>
          <t>ANALISTA CONTABLE / ASIS CONTABLE</t>
        </is>
      </c>
      <c r="L955" s="10" t="inlineStr">
        <is>
          <t>UBICACIÓN DIGITAL-EQUIPO DEL RESPONSABLE</t>
        </is>
      </c>
      <c r="M955" s="10" t="inlineStr">
        <is>
          <t>DISCOS DUROS, SERVIDORES, DISCOS O MEDIOS PORTÁTILES, CINTAS O MEDIOS DE VIDEO Y AUDIO, ETC.</t>
        </is>
      </c>
      <c r="N955" s="10" t="inlineStr">
        <is>
          <t>PRIMARIOS</t>
        </is>
      </c>
      <c r="O955" s="10" t="inlineStr">
        <is>
          <t>DOCUMENTOS TÉCNICOS</t>
        </is>
      </c>
      <c r="P955" s="10" t="inlineStr">
        <is>
          <t>RESTRINGIDO(3)</t>
        </is>
      </c>
      <c r="Q955" s="10" t="inlineStr">
        <is>
          <t>BAJA(1)</t>
        </is>
      </c>
      <c r="R955" s="10" t="inlineStr">
        <is>
          <t>MEDIA(2)</t>
        </is>
      </c>
      <c r="S955" s="10">
        <f>+(IF(P955="PUBLICA(1)",1,IF(P955="USO INTERNO(2)",2,IF(P955="RESTRINGIDO(3)",3,3))))+(IF(Q955="BAJA(1)",1,IF(Q955="MEDIA(2)",2,IF(Q955="ALTA(3)",3,3))))+(IF(R955="BAJA(1)",1,IF(R955="MEDIA(2)",2,IF(R955="ALTA(3)",3,3))))</f>
        <v/>
      </c>
      <c r="T955" s="10">
        <f>+IF(S955&lt;6,"BAJA",IF(S955&lt;8,"MEDIA","ALTA"))</f>
        <v/>
      </c>
      <c r="U955" s="10" t="inlineStr">
        <is>
          <t>-</t>
        </is>
      </c>
      <c r="V955" s="24" t="n">
        <v>45673</v>
      </c>
      <c r="W955" s="19" t="inlineStr">
        <is>
          <t>N/A</t>
        </is>
      </c>
      <c r="X955" s="10">
        <f>+IFERROR(IF(VLOOKUP(Tabla2[[#This Row],[ID]],'EVALUACION DE RIESGO'!A:A,1,FALSE)=Tabla2[[#This Row],[ID]],"SI","NO"),"NO")</f>
        <v/>
      </c>
    </row>
    <row r="956">
      <c r="A956" s="91" t="inlineStr">
        <is>
          <t>34-GFI</t>
        </is>
      </c>
      <c r="B956" s="10" t="inlineStr">
        <is>
          <t>APOYO</t>
        </is>
      </c>
      <c r="C956" s="10" t="inlineStr">
        <is>
          <t>Gestión Financiera</t>
        </is>
      </c>
      <c r="D956" s="10" t="inlineStr">
        <is>
          <t>GFI</t>
        </is>
      </c>
      <c r="E956" s="10" t="inlineStr">
        <is>
          <t>Gestión Contable</t>
        </is>
      </c>
      <c r="F956" s="10" t="inlineStr">
        <is>
          <t>-</t>
        </is>
      </c>
      <c r="G956" s="10" t="inlineStr">
        <is>
          <t xml:space="preserve">Conciliación Bancaria Previa </t>
        </is>
      </c>
      <c r="H956" s="10" t="inlineStr">
        <is>
          <t>Conciliación bancaria</t>
        </is>
      </c>
      <c r="I956" s="10" t="inlineStr">
        <is>
          <t>Resultado final la conciliación bancaria, la fuente es el estado de cuenta de los bancos  / borrador</t>
        </is>
      </c>
      <c r="J956" s="10" t="inlineStr">
        <is>
          <t>Contador General</t>
        </is>
      </c>
      <c r="K956" s="10" t="inlineStr">
        <is>
          <t>ANALISTA CONTABLE / ASIS CONTABLE</t>
        </is>
      </c>
      <c r="L956" s="10" t="inlineStr">
        <is>
          <t>UBICACIÓN DIGITAL-EQUIPO DEL RESPONSABLE</t>
        </is>
      </c>
      <c r="M956" s="10" t="inlineStr">
        <is>
          <t>DISCOS DUROS, SERVIDORES, DISCOS O MEDIOS PORTÁTILES, CINTAS O MEDIOS DE VIDEO Y AUDIO, ETC.</t>
        </is>
      </c>
      <c r="N956" s="10" t="inlineStr">
        <is>
          <t>PRIMARIOS</t>
        </is>
      </c>
      <c r="O956" s="10" t="inlineStr">
        <is>
          <t>DOCUMENTOS TÉCNICOS</t>
        </is>
      </c>
      <c r="P956" s="10" t="inlineStr">
        <is>
          <t>USO INTERNO(2)</t>
        </is>
      </c>
      <c r="Q956" s="10" t="inlineStr">
        <is>
          <t>BAJA(1)</t>
        </is>
      </c>
      <c r="R956" s="10" t="inlineStr">
        <is>
          <t>MEDIA(2)</t>
        </is>
      </c>
      <c r="S956" s="10">
        <f>+(IF(P956="PUBLICA(1)",1,IF(P956="USO INTERNO(2)",2,IF(P956="RESTRINGIDO(3)",3,3))))+(IF(Q956="BAJA(1)",1,IF(Q956="MEDIA(2)",2,IF(Q956="ALTA(3)",3,3))))+(IF(R956="BAJA(1)",1,IF(R956="MEDIA(2)",2,IF(R956="ALTA(3)",3,3))))</f>
        <v/>
      </c>
      <c r="T956" s="10">
        <f>+IF(S956&lt;6,"BAJA",IF(S956&lt;8,"MEDIA","ALTA"))</f>
        <v/>
      </c>
      <c r="U956" s="10" t="inlineStr">
        <is>
          <t>-</t>
        </is>
      </c>
      <c r="V956" s="24" t="n">
        <v>45673</v>
      </c>
      <c r="W956" s="19" t="inlineStr">
        <is>
          <t>N/A</t>
        </is>
      </c>
      <c r="X956" s="10">
        <f>+IFERROR(IF(VLOOKUP(Tabla2[[#This Row],[ID]],'EVALUACION DE RIESGO'!A:A,1,FALSE)=Tabla2[[#This Row],[ID]],"SI","NO"),"NO")</f>
        <v/>
      </c>
    </row>
    <row r="957">
      <c r="A957" s="91" t="inlineStr">
        <is>
          <t>35-GFI</t>
        </is>
      </c>
      <c r="B957" s="10" t="inlineStr">
        <is>
          <t>APOYO</t>
        </is>
      </c>
      <c r="C957" s="10" t="inlineStr">
        <is>
          <t>Gestión Financiera</t>
        </is>
      </c>
      <c r="D957" s="10" t="inlineStr">
        <is>
          <t>GFI</t>
        </is>
      </c>
      <c r="E957" s="10" t="inlineStr">
        <is>
          <t>Gestión Contable</t>
        </is>
      </c>
      <c r="F957" s="10" t="inlineStr">
        <is>
          <t>-</t>
        </is>
      </c>
      <c r="G957" s="10" t="inlineStr">
        <is>
          <t>Conciliación Bancaria Definitiva</t>
        </is>
      </c>
      <c r="H957" s="10" t="inlineStr">
        <is>
          <t>Estados de cuenta de los bancos</t>
        </is>
      </c>
      <c r="I957" s="10" t="inlineStr">
        <is>
          <t xml:space="preserve">Información bancaria donde la institución tiene la cuenta / definitivo a legalizar </t>
        </is>
      </c>
      <c r="J957" s="10" t="inlineStr">
        <is>
          <t>Contador General</t>
        </is>
      </c>
      <c r="K957" s="10" t="inlineStr">
        <is>
          <t>ANALISTA CONTABLE / ASIS CONTABLE</t>
        </is>
      </c>
      <c r="L957" s="10" t="inlineStr">
        <is>
          <t>DOCUMENTOS FISICOS-ARCHIVOS DE LA OFICINA</t>
        </is>
      </c>
      <c r="M957" s="10" t="inlineStr">
        <is>
          <t>DOCUMENTO DE ARCHIVO-FÍSICO</t>
        </is>
      </c>
      <c r="N957" s="10" t="inlineStr">
        <is>
          <t>PRIMARIOS</t>
        </is>
      </c>
      <c r="O957" s="10" t="inlineStr">
        <is>
          <t>DOCUMENTOS TÉCNICOS</t>
        </is>
      </c>
      <c r="P957" s="10" t="inlineStr">
        <is>
          <t>RESTRINGIDO(3)</t>
        </is>
      </c>
      <c r="Q957" s="10" t="inlineStr">
        <is>
          <t>BAJA(1)</t>
        </is>
      </c>
      <c r="R957" s="10" t="inlineStr">
        <is>
          <t>MEDIA(2)</t>
        </is>
      </c>
      <c r="S957" s="10">
        <f>+(IF(P957="PUBLICA(1)",1,IF(P957="USO INTERNO(2)",2,IF(P957="RESTRINGIDO(3)",3,3))))+(IF(Q957="BAJA(1)",1,IF(Q957="MEDIA(2)",2,IF(Q957="ALTA(3)",3,3))))+(IF(R957="BAJA(1)",1,IF(R957="MEDIA(2)",2,IF(R957="ALTA(3)",3,3))))</f>
        <v/>
      </c>
      <c r="T957" s="10">
        <f>+IF(S957&lt;6,"BAJA",IF(S957&lt;8,"MEDIA","ALTA"))</f>
        <v/>
      </c>
      <c r="U957" s="10" t="inlineStr">
        <is>
          <t>-</t>
        </is>
      </c>
      <c r="V957" s="24" t="n">
        <v>45673</v>
      </c>
      <c r="W957" s="19" t="inlineStr">
        <is>
          <t>N/A</t>
        </is>
      </c>
      <c r="X957" s="10">
        <f>+IFERROR(IF(VLOOKUP(Tabla2[[#This Row],[ID]],'EVALUACION DE RIESGO'!A:A,1,FALSE)=Tabla2[[#This Row],[ID]],"SI","NO"),"NO")</f>
        <v/>
      </c>
    </row>
    <row r="958">
      <c r="A958" s="91" t="inlineStr">
        <is>
          <t>36-GFI</t>
        </is>
      </c>
      <c r="B958" s="10" t="inlineStr">
        <is>
          <t>APOYO</t>
        </is>
      </c>
      <c r="C958" s="10" t="inlineStr">
        <is>
          <t>Gestión Financiera</t>
        </is>
      </c>
      <c r="D958" s="10" t="inlineStr">
        <is>
          <t>GFI</t>
        </is>
      </c>
      <c r="E958" s="10" t="inlineStr">
        <is>
          <t>Gestión Contable</t>
        </is>
      </c>
      <c r="F958" s="10" t="inlineStr">
        <is>
          <t>-</t>
        </is>
      </c>
      <c r="G958" s="10" t="inlineStr">
        <is>
          <t>Conciliación Bancaria Definitiva</t>
        </is>
      </c>
      <c r="H958" s="10" t="inlineStr">
        <is>
          <t>Conciliación bancaria</t>
        </is>
      </c>
      <c r="I958" s="10" t="inlineStr">
        <is>
          <t xml:space="preserve">Resultado final la conciliación bancaria, la fuente es el estado de cuenta de los bancos  / definitivo a legalizar </t>
        </is>
      </c>
      <c r="J958" s="10" t="inlineStr">
        <is>
          <t>Contador General</t>
        </is>
      </c>
      <c r="K958" s="10" t="inlineStr">
        <is>
          <t>ANALISTA CONTABLE / ASIS CONTABLE</t>
        </is>
      </c>
      <c r="L958" s="10" t="inlineStr">
        <is>
          <t>DOCUMENTOS FISICOS-ARCHIVOS DE LA OFICINA</t>
        </is>
      </c>
      <c r="M958" s="10" t="inlineStr">
        <is>
          <t>DOCUMENTO DE ARCHIVO-FÍSICO</t>
        </is>
      </c>
      <c r="N958" s="10" t="inlineStr">
        <is>
          <t>PRIMARIOS</t>
        </is>
      </c>
      <c r="O958" s="10" t="inlineStr">
        <is>
          <t>DOCUMENTOS TÉCNICOS</t>
        </is>
      </c>
      <c r="P958" s="10" t="inlineStr">
        <is>
          <t>USO INTERNO(2)</t>
        </is>
      </c>
      <c r="Q958" s="10" t="inlineStr">
        <is>
          <t>BAJA(1)</t>
        </is>
      </c>
      <c r="R958" s="10" t="inlineStr">
        <is>
          <t>BAJA(1)</t>
        </is>
      </c>
      <c r="S958" s="10">
        <f>+(IF(P958="PUBLICA(1)",1,IF(P958="USO INTERNO(2)",2,IF(P958="RESTRINGIDO(3)",3,3))))+(IF(Q958="BAJA(1)",1,IF(Q958="MEDIA(2)",2,IF(Q958="ALTA(3)",3,3))))+(IF(R958="BAJA(1)",1,IF(R958="MEDIA(2)",2,IF(R958="ALTA(3)",3,3))))</f>
        <v/>
      </c>
      <c r="T958" s="10">
        <f>+IF(S958&lt;6,"BAJA",IF(S958&lt;8,"MEDIA","ALTA"))</f>
        <v/>
      </c>
      <c r="U958" s="10" t="inlineStr">
        <is>
          <t>-</t>
        </is>
      </c>
      <c r="V958" s="24" t="n">
        <v>45673</v>
      </c>
      <c r="W958" s="19" t="inlineStr">
        <is>
          <t>N/A</t>
        </is>
      </c>
      <c r="X958" s="10">
        <f>+IFERROR(IF(VLOOKUP(Tabla2[[#This Row],[ID]],'EVALUACION DE RIESGO'!A:A,1,FALSE)=Tabla2[[#This Row],[ID]],"SI","NO"),"NO")</f>
        <v/>
      </c>
    </row>
    <row r="959">
      <c r="A959" s="91" t="inlineStr">
        <is>
          <t>37-GFI</t>
        </is>
      </c>
      <c r="B959" s="10" t="inlineStr">
        <is>
          <t>APOYO</t>
        </is>
      </c>
      <c r="C959" s="10" t="inlineStr">
        <is>
          <t>Gestión Financiera</t>
        </is>
      </c>
      <c r="D959" s="10" t="inlineStr">
        <is>
          <t>GFI</t>
        </is>
      </c>
      <c r="E959" s="10" t="inlineStr">
        <is>
          <t>Gestión Contable</t>
        </is>
      </c>
      <c r="F959" s="10" t="inlineStr">
        <is>
          <t>-</t>
        </is>
      </c>
      <c r="G959" s="10" t="inlineStr">
        <is>
          <t>Declaración y legalización de obligaciones tributarias</t>
        </is>
      </c>
      <c r="H959" s="10" t="inlineStr">
        <is>
          <t>Reporte de cuadre de impuestos</t>
        </is>
      </c>
      <c r="I959" s="10" t="inlineStr">
        <is>
          <t>Detalle de la conciliación realizada de impuestos versus la contabilización, para la declaración de impuestos</t>
        </is>
      </c>
      <c r="J959" s="10" t="inlineStr">
        <is>
          <t>Contador General</t>
        </is>
      </c>
      <c r="K959" s="10" t="inlineStr">
        <is>
          <t>ANALISTA CONTABLE / ASIS CONTABLE</t>
        </is>
      </c>
      <c r="L959" s="10" t="inlineStr">
        <is>
          <t>UBICACIÓN DIGITAL-EQUIPO DEL RESPONSABLE</t>
        </is>
      </c>
      <c r="M959" s="10" t="inlineStr">
        <is>
          <t>DISCOS DUROS, SERVIDORES, DISCOS O MEDIOS PORTÁTILES, CINTAS O MEDIOS DE VIDEO Y AUDIO, ETC.</t>
        </is>
      </c>
      <c r="N959" s="10" t="inlineStr">
        <is>
          <t>PRIMARIOS</t>
        </is>
      </c>
      <c r="O959" s="10" t="inlineStr">
        <is>
          <t>DOCUMENTOS TÉCNICOS</t>
        </is>
      </c>
      <c r="P959" s="10" t="inlineStr">
        <is>
          <t>RESTRINGIDO(3)</t>
        </is>
      </c>
      <c r="Q959" s="10" t="inlineStr">
        <is>
          <t>BAJA(1)</t>
        </is>
      </c>
      <c r="R959" s="10" t="inlineStr">
        <is>
          <t>BAJA(1)</t>
        </is>
      </c>
      <c r="S959" s="10">
        <f>+(IF(P959="PUBLICA(1)",1,IF(P959="USO INTERNO(2)",2,IF(P959="RESTRINGIDO(3)",3,3))))+(IF(Q959="BAJA(1)",1,IF(Q959="MEDIA(2)",2,IF(Q959="ALTA(3)",3,3))))+(IF(R959="BAJA(1)",1,IF(R959="MEDIA(2)",2,IF(R959="ALTA(3)",3,3))))</f>
        <v/>
      </c>
      <c r="T959" s="10">
        <f>+IF(S959&lt;6,"BAJA",IF(S959&lt;8,"MEDIA","ALTA"))</f>
        <v/>
      </c>
      <c r="U959" s="10" t="inlineStr">
        <is>
          <t>-</t>
        </is>
      </c>
      <c r="V959" s="24" t="n">
        <v>45673</v>
      </c>
      <c r="W959" s="19" t="inlineStr">
        <is>
          <t>N/A</t>
        </is>
      </c>
      <c r="X959" s="10">
        <f>+IFERROR(IF(VLOOKUP(Tabla2[[#This Row],[ID]],'EVALUACION DE RIESGO'!A:A,1,FALSE)=Tabla2[[#This Row],[ID]],"SI","NO"),"NO")</f>
        <v/>
      </c>
    </row>
    <row r="960">
      <c r="A960" s="91" t="inlineStr">
        <is>
          <t>38-GFI</t>
        </is>
      </c>
      <c r="B960" s="10" t="inlineStr">
        <is>
          <t>APOYO</t>
        </is>
      </c>
      <c r="C960" s="10" t="inlineStr">
        <is>
          <t>Gestión Financiera</t>
        </is>
      </c>
      <c r="D960" s="10" t="inlineStr">
        <is>
          <t>GFI</t>
        </is>
      </c>
      <c r="E960" s="10" t="inlineStr">
        <is>
          <t>Gestión Contable</t>
        </is>
      </c>
      <c r="F960" s="10" t="inlineStr">
        <is>
          <t>-</t>
        </is>
      </c>
      <c r="G960" s="10" t="inlineStr">
        <is>
          <t>Declaración y legalización de obligaciones tributarias</t>
        </is>
      </c>
      <c r="H960" s="10" t="inlineStr">
        <is>
          <t>Formularios tributarios 101, 103, 104, 109, 110, 115</t>
        </is>
      </c>
      <c r="I960" s="10" t="inlineStr">
        <is>
          <t>Formularios de reporte de cuadre de impuestos con saldos contables del sistema.</t>
        </is>
      </c>
      <c r="J960" s="10" t="inlineStr">
        <is>
          <t>Contador General</t>
        </is>
      </c>
      <c r="K960" s="10" t="inlineStr">
        <is>
          <t>Contador General</t>
        </is>
      </c>
      <c r="L960" s="10" t="inlineStr">
        <is>
          <t>UBICACIÓN DIGITAL-EQUIPO DEL RESPONSABLE</t>
        </is>
      </c>
      <c r="M960" s="10" t="inlineStr">
        <is>
          <t>DISCOS DUROS, SERVIDORES, DISCOS O MEDIOS PORTÁTILES, CINTAS O MEDIOS DE VIDEO Y AUDIO, ETC.</t>
        </is>
      </c>
      <c r="N960" s="10" t="inlineStr">
        <is>
          <t>PRIMARIOS</t>
        </is>
      </c>
      <c r="O960" s="10" t="inlineStr">
        <is>
          <t>DOCUMENTOS TÉCNICOS</t>
        </is>
      </c>
      <c r="P960" s="10" t="inlineStr">
        <is>
          <t>RESTRINGIDO(3)</t>
        </is>
      </c>
      <c r="Q960" s="10" t="inlineStr">
        <is>
          <t>MEDIA(2)</t>
        </is>
      </c>
      <c r="R960" s="10" t="inlineStr">
        <is>
          <t>MEDIA(2)</t>
        </is>
      </c>
      <c r="S960" s="10">
        <f>+(IF(P960="PUBLICA(1)",1,IF(P960="USO INTERNO(2)",2,IF(P960="RESTRINGIDO(3)",3,3))))+(IF(Q960="BAJA(1)",1,IF(Q960="MEDIA(2)",2,IF(Q960="ALTA(3)",3,3))))+(IF(R960="BAJA(1)",1,IF(R960="MEDIA(2)",2,IF(R960="ALTA(3)",3,3))))</f>
        <v/>
      </c>
      <c r="T960" s="10">
        <f>+IF(S960&lt;6,"BAJA",IF(S960&lt;8,"MEDIA","ALTA"))</f>
        <v/>
      </c>
      <c r="U960" s="10" t="inlineStr">
        <is>
          <t>-</t>
        </is>
      </c>
      <c r="V960" s="24" t="n">
        <v>45673</v>
      </c>
      <c r="W960" s="19" t="inlineStr">
        <is>
          <t>N/A</t>
        </is>
      </c>
      <c r="X960" s="10">
        <f>+IFERROR(IF(VLOOKUP(Tabla2[[#This Row],[ID]],'EVALUACION DE RIESGO'!A:A,1,FALSE)=Tabla2[[#This Row],[ID]],"SI","NO"),"NO")</f>
        <v/>
      </c>
    </row>
    <row r="961">
      <c r="A961" s="91" t="inlineStr">
        <is>
          <t>39-GFI</t>
        </is>
      </c>
      <c r="B961" s="10" t="inlineStr">
        <is>
          <t>APOYO</t>
        </is>
      </c>
      <c r="C961" s="10" t="inlineStr">
        <is>
          <t>Gestión Financiera</t>
        </is>
      </c>
      <c r="D961" s="10" t="inlineStr">
        <is>
          <t>GFI</t>
        </is>
      </c>
      <c r="E961" s="10" t="inlineStr">
        <is>
          <t>Gestión Contable</t>
        </is>
      </c>
      <c r="F961" s="10" t="inlineStr">
        <is>
          <t>-</t>
        </is>
      </c>
      <c r="G961" s="10" t="inlineStr">
        <is>
          <t>Declaración y legalización de obligaciones tributarias</t>
        </is>
      </c>
      <c r="H961" s="10" t="inlineStr">
        <is>
          <t>Comprobantes de pago tributario</t>
        </is>
      </c>
      <c r="I961" s="10" t="inlineStr">
        <is>
          <t>Registro contable del pago tributario</t>
        </is>
      </c>
      <c r="J961" s="10" t="inlineStr">
        <is>
          <t>Contador General</t>
        </is>
      </c>
      <c r="K961" s="10" t="inlineStr">
        <is>
          <t>Contador General</t>
        </is>
      </c>
      <c r="L961" s="10" t="inlineStr">
        <is>
          <t>UBICACIÓN DIGITAL-EQUIPO DEL RESPONSABLE</t>
        </is>
      </c>
      <c r="M961" s="10" t="inlineStr">
        <is>
          <t>DISCOS DUROS, SERVIDORES, DISCOS O MEDIOS PORTÁTILES, CINTAS O MEDIOS DE VIDEO Y AUDIO, ETC.</t>
        </is>
      </c>
      <c r="N961" s="10" t="inlineStr">
        <is>
          <t>PRIMARIOS</t>
        </is>
      </c>
      <c r="O961" s="10" t="inlineStr">
        <is>
          <t>DOCUMENTOS HABILITANTES</t>
        </is>
      </c>
      <c r="P961" s="10" t="inlineStr">
        <is>
          <t>RESTRINGIDO(3)</t>
        </is>
      </c>
      <c r="Q961" s="10" t="inlineStr">
        <is>
          <t>MEDIA(2)</t>
        </is>
      </c>
      <c r="R961" s="10" t="inlineStr">
        <is>
          <t>MEDIA(2)</t>
        </is>
      </c>
      <c r="S961" s="10">
        <f>+(IF(P961="PUBLICA(1)",1,IF(P961="USO INTERNO(2)",2,IF(P961="RESTRINGIDO(3)",3,3))))+(IF(Q961="BAJA(1)",1,IF(Q961="MEDIA(2)",2,IF(Q961="ALTA(3)",3,3))))+(IF(R961="BAJA(1)",1,IF(R961="MEDIA(2)",2,IF(R961="ALTA(3)",3,3))))</f>
        <v/>
      </c>
      <c r="T961" s="10">
        <f>+IF(S961&lt;6,"BAJA",IF(S961&lt;8,"MEDIA","ALTA"))</f>
        <v/>
      </c>
      <c r="U961" s="10" t="inlineStr">
        <is>
          <t>-</t>
        </is>
      </c>
      <c r="V961" s="24" t="n">
        <v>45673</v>
      </c>
      <c r="W961" s="19" t="inlineStr">
        <is>
          <t>N/A</t>
        </is>
      </c>
      <c r="X961" s="10">
        <f>+IFERROR(IF(VLOOKUP(Tabla2[[#This Row],[ID]],'EVALUACION DE RIESGO'!A:A,1,FALSE)=Tabla2[[#This Row],[ID]],"SI","NO"),"NO")</f>
        <v/>
      </c>
    </row>
    <row r="962">
      <c r="A962" s="91" t="inlineStr">
        <is>
          <t>40-GFI</t>
        </is>
      </c>
      <c r="B962" s="10" t="inlineStr">
        <is>
          <t>APOYO</t>
        </is>
      </c>
      <c r="C962" s="10" t="inlineStr">
        <is>
          <t>Gestión Financiera</t>
        </is>
      </c>
      <c r="D962" s="10" t="inlineStr">
        <is>
          <t>GFI</t>
        </is>
      </c>
      <c r="E962" s="10" t="inlineStr">
        <is>
          <t>Gestión Contable</t>
        </is>
      </c>
      <c r="F962" s="10" t="inlineStr">
        <is>
          <t>-</t>
        </is>
      </c>
      <c r="G962" s="10" t="inlineStr">
        <is>
          <t xml:space="preserve">Conciliación Tributaria </t>
        </is>
      </c>
      <c r="H962" s="10" t="inlineStr">
        <is>
          <t>Registro de conciliación tributaria</t>
        </is>
      </c>
      <c r="I962" s="10" t="inlineStr">
        <is>
          <t>Anexos de Impuesto a la Renta Anual</t>
        </is>
      </c>
      <c r="J962" s="10" t="inlineStr">
        <is>
          <t>Contador General</t>
        </is>
      </c>
      <c r="K962" s="10" t="inlineStr">
        <is>
          <t>Contador General</t>
        </is>
      </c>
      <c r="L962" s="10" t="inlineStr">
        <is>
          <t>UBICACIÓN DIGITAL-EQUIPO DEL RESPONSABLE</t>
        </is>
      </c>
      <c r="M962" s="10" t="inlineStr">
        <is>
          <t>DISCOS DUROS, SERVIDORES, DISCOS O MEDIOS PORTÁTILES, CINTAS O MEDIOS DE VIDEO Y AUDIO, ETC.</t>
        </is>
      </c>
      <c r="N962" s="10" t="inlineStr">
        <is>
          <t>PRIMARIOS</t>
        </is>
      </c>
      <c r="O962" s="10" t="inlineStr">
        <is>
          <t>DOCUMENTOS HABILITANTES</t>
        </is>
      </c>
      <c r="P962" s="10" t="inlineStr">
        <is>
          <t>USO INTERNO(2)</t>
        </is>
      </c>
      <c r="Q962" s="10" t="inlineStr">
        <is>
          <t>MEDIA(2)</t>
        </is>
      </c>
      <c r="R962" s="10" t="inlineStr">
        <is>
          <t>MEDIA(2)</t>
        </is>
      </c>
      <c r="S962" s="10">
        <f>+(IF(P962="PUBLICA(1)",1,IF(P962="USO INTERNO(2)",2,IF(P962="RESTRINGIDO(3)",3,3))))+(IF(Q962="BAJA(1)",1,IF(Q962="MEDIA(2)",2,IF(Q962="ALTA(3)",3,3))))+(IF(R962="BAJA(1)",1,IF(R962="MEDIA(2)",2,IF(R962="ALTA(3)",3,3))))</f>
        <v/>
      </c>
      <c r="T962" s="10">
        <f>+IF(S962&lt;6,"BAJA",IF(S962&lt;8,"MEDIA","ALTA"))</f>
        <v/>
      </c>
      <c r="U962" s="10" t="inlineStr">
        <is>
          <t>-</t>
        </is>
      </c>
      <c r="V962" s="24" t="n">
        <v>45673</v>
      </c>
      <c r="W962" s="19" t="inlineStr">
        <is>
          <t>N/A</t>
        </is>
      </c>
      <c r="X962" s="10">
        <f>+IFERROR(IF(VLOOKUP(Tabla2[[#This Row],[ID]],'EVALUACION DE RIESGO'!A:A,1,FALSE)=Tabla2[[#This Row],[ID]],"SI","NO"),"NO")</f>
        <v/>
      </c>
    </row>
    <row r="963">
      <c r="A963" s="91" t="inlineStr">
        <is>
          <t>41-GFI</t>
        </is>
      </c>
      <c r="B963" s="10" t="inlineStr">
        <is>
          <t>APOYO</t>
        </is>
      </c>
      <c r="C963" s="10" t="inlineStr">
        <is>
          <t>Gestión Financiera</t>
        </is>
      </c>
      <c r="D963" s="10" t="inlineStr">
        <is>
          <t>GFI</t>
        </is>
      </c>
      <c r="E963" s="10" t="inlineStr">
        <is>
          <t>Gestión Contable</t>
        </is>
      </c>
      <c r="F963" s="10" t="inlineStr">
        <is>
          <t>-</t>
        </is>
      </c>
      <c r="G963" s="10" t="inlineStr">
        <is>
          <t>Anexos de Obligaciones Tributarias</t>
        </is>
      </c>
      <c r="H963" s="10" t="inlineStr">
        <is>
          <t>Anexo transaccional / Anexo de movimiento internacional de divisas / Anexo de Retenciones en la fuente bajo relación de dependencia</t>
        </is>
      </c>
      <c r="I963" s="10" t="inlineStr">
        <is>
          <t>Anexos generados del sistema transaccional, que posterior son cargados al portal web del Servicio de Rentas Internas.</t>
        </is>
      </c>
      <c r="J963" s="10" t="inlineStr">
        <is>
          <t>Contador General</t>
        </is>
      </c>
      <c r="K963" s="10" t="inlineStr">
        <is>
          <t>Contador General</t>
        </is>
      </c>
      <c r="L963" s="10" t="inlineStr">
        <is>
          <t>UBICACIÓN DIGITAL-EQUIPO DEL CUSTODIO</t>
        </is>
      </c>
      <c r="M963" s="10" t="inlineStr">
        <is>
          <t>DISCOS DUROS, SERVIDORES, DISCOS O MEDIOS PORTÁTILES, CINTAS O MEDIOS DE VIDEO Y AUDIO, ETC.</t>
        </is>
      </c>
      <c r="N963" s="10" t="inlineStr">
        <is>
          <t>PRIMARIOS</t>
        </is>
      </c>
      <c r="O963" s="10" t="inlineStr">
        <is>
          <t>DOCUMENTOS TÉCNICOS</t>
        </is>
      </c>
      <c r="P963" s="10" t="inlineStr">
        <is>
          <t>USO INTERNO(2)</t>
        </is>
      </c>
      <c r="Q963" s="10" t="inlineStr">
        <is>
          <t>MEDIA(2)</t>
        </is>
      </c>
      <c r="R963" s="10" t="inlineStr">
        <is>
          <t>MEDIA(2)</t>
        </is>
      </c>
      <c r="S963" s="10">
        <f>+(IF(P963="PUBLICA(1)",1,IF(P963="USO INTERNO(2)",2,IF(P963="RESTRINGIDO(3)",3,3))))+(IF(Q963="BAJA(1)",1,IF(Q963="MEDIA(2)",2,IF(Q963="ALTA(3)",3,3))))+(IF(R963="BAJA(1)",1,IF(R963="MEDIA(2)",2,IF(R963="ALTA(3)",3,3))))</f>
        <v/>
      </c>
      <c r="T963" s="10">
        <f>+IF(S963&lt;6,"BAJA",IF(S963&lt;8,"MEDIA","ALTA"))</f>
        <v/>
      </c>
      <c r="U963" s="10" t="inlineStr">
        <is>
          <t>-</t>
        </is>
      </c>
      <c r="V963" s="24" t="n">
        <v>45673</v>
      </c>
      <c r="W963" s="19" t="inlineStr">
        <is>
          <t>N/A</t>
        </is>
      </c>
      <c r="X963" s="10">
        <f>+IFERROR(IF(VLOOKUP(Tabla2[[#This Row],[ID]],'EVALUACION DE RIESGO'!A:A,1,FALSE)=Tabla2[[#This Row],[ID]],"SI","NO"),"NO")</f>
        <v/>
      </c>
    </row>
    <row r="964">
      <c r="A964" s="91" t="inlineStr">
        <is>
          <t>42-GFI</t>
        </is>
      </c>
      <c r="B964" s="10" t="inlineStr">
        <is>
          <t>APOYO</t>
        </is>
      </c>
      <c r="C964" s="10" t="inlineStr">
        <is>
          <t>Gestión Financiera</t>
        </is>
      </c>
      <c r="D964" s="10" t="inlineStr">
        <is>
          <t>GFI</t>
        </is>
      </c>
      <c r="E964" s="10" t="inlineStr">
        <is>
          <t>Gestión Contable</t>
        </is>
      </c>
      <c r="F964" s="10" t="inlineStr">
        <is>
          <t>-</t>
        </is>
      </c>
      <c r="G964" s="10" t="inlineStr">
        <is>
          <t>N/A</t>
        </is>
      </c>
      <c r="H964" s="10" t="inlineStr">
        <is>
          <t xml:space="preserve">Equipos de computación </t>
        </is>
      </c>
      <c r="I964" s="10" t="inlineStr">
        <is>
          <t>Equipos de computación donde se realiza la gestión del área</t>
        </is>
      </c>
      <c r="J964" s="10" t="inlineStr">
        <is>
          <t xml:space="preserve">Gerente Financiero </t>
        </is>
      </c>
      <c r="K964" s="10" t="inlineStr">
        <is>
          <t xml:space="preserve">Oficial de Seguridad de la Información </t>
        </is>
      </c>
      <c r="L964" s="10" t="inlineStr">
        <is>
          <t>UBICACIÓN FISICA-SUCURSAL IBARRA</t>
        </is>
      </c>
      <c r="M964" s="10" t="inlineStr">
        <is>
          <t>DISCOS DUROS, SERVIDORES, DISCOS O MEDIOS PORTÁTILES, CINTAS O MEDIOS DE VIDEO Y AUDIO, ETC.</t>
        </is>
      </c>
      <c r="N964" s="10" t="inlineStr">
        <is>
          <t>APOYO</t>
        </is>
      </c>
      <c r="O964" s="10" t="inlineStr">
        <is>
          <t>HARDWARE</t>
        </is>
      </c>
      <c r="P964" s="10" t="inlineStr">
        <is>
          <t>RESTRINGIDO(3)</t>
        </is>
      </c>
      <c r="Q964" s="10" t="inlineStr">
        <is>
          <t>MEDIA(2)</t>
        </is>
      </c>
      <c r="R964" s="10" t="inlineStr">
        <is>
          <t>MEDIA(2)</t>
        </is>
      </c>
      <c r="S964" s="10">
        <f>+(IF(P964="PUBLICA(1)",1,IF(P964="USO INTERNO(2)",2,IF(P964="RESTRINGIDO(3)",3,3))))+(IF(Q964="BAJA(1)",1,IF(Q964="MEDIA(2)",2,IF(Q964="ALTA(3)",3,3))))+(IF(R964="BAJA(1)",1,IF(R964="MEDIA(2)",2,IF(R964="ALTA(3)",3,3))))</f>
        <v/>
      </c>
      <c r="T964" s="10">
        <f>+IF(S964&lt;6,"BAJA",IF(S964&lt;8,"MEDIA","ALTA"))</f>
        <v/>
      </c>
      <c r="U964" s="10" t="inlineStr">
        <is>
          <t>-</t>
        </is>
      </c>
      <c r="V964" s="24" t="n">
        <v>45712</v>
      </c>
      <c r="W964" s="19" t="inlineStr">
        <is>
          <t>N/A</t>
        </is>
      </c>
      <c r="X964" s="10">
        <f>+IFERROR(IF(VLOOKUP(Tabla2[[#This Row],[ID]],'EVALUACION DE RIESGO'!A:A,1,FALSE)=Tabla2[[#This Row],[ID]],"SI","NO"),"NO")</f>
        <v/>
      </c>
    </row>
    <row r="965">
      <c r="A965" s="91" t="inlineStr">
        <is>
          <t>43-GFI</t>
        </is>
      </c>
      <c r="B965" s="10" t="inlineStr">
        <is>
          <t>APOYO</t>
        </is>
      </c>
      <c r="C965" s="10" t="inlineStr">
        <is>
          <t>Gestión Financiera</t>
        </is>
      </c>
      <c r="D965" s="10" t="inlineStr">
        <is>
          <t>GFI</t>
        </is>
      </c>
      <c r="E965" s="10" t="inlineStr">
        <is>
          <t>Gestión Contable</t>
        </is>
      </c>
      <c r="F965" s="10" t="inlineStr">
        <is>
          <t>-</t>
        </is>
      </c>
      <c r="G965" s="10" t="inlineStr">
        <is>
          <t>N/A</t>
        </is>
      </c>
      <c r="H965" s="10" t="inlineStr">
        <is>
          <t>Gerente Financiero</t>
        </is>
      </c>
      <c r="I965" s="10" t="inlineStr">
        <is>
          <t>N/A</t>
        </is>
      </c>
      <c r="J965" s="10" t="inlineStr">
        <is>
          <t xml:space="preserve">Gerente Financiero </t>
        </is>
      </c>
      <c r="K965" s="10" t="inlineStr">
        <is>
          <t>N/A</t>
        </is>
      </c>
      <c r="L965" s="10" t="inlineStr">
        <is>
          <t>N/A</t>
        </is>
      </c>
      <c r="M965" s="10" t="inlineStr">
        <is>
          <t>N/A</t>
        </is>
      </c>
      <c r="N965" s="10" t="inlineStr">
        <is>
          <t>APOYO</t>
        </is>
      </c>
      <c r="O965" s="10" t="inlineStr">
        <is>
          <t>RECURSO HUMANO</t>
        </is>
      </c>
      <c r="P965" s="10" t="inlineStr">
        <is>
          <t>USO INTERNO(2)</t>
        </is>
      </c>
      <c r="Q965" s="10" t="inlineStr">
        <is>
          <t>MEDIA(2)</t>
        </is>
      </c>
      <c r="R965" s="10" t="inlineStr">
        <is>
          <t>MEDIA(2)</t>
        </is>
      </c>
      <c r="S965" s="10">
        <f>+(IF(P965="PUBLICA(1)",1,IF(P965="USO INTERNO(2)",2,IF(P965="RESTRINGIDO(3)",3,3))))+(IF(Q965="BAJA(1)",1,IF(Q965="MEDIA(2)",2,IF(Q965="ALTA(3)",3,3))))+(IF(R965="BAJA(1)",1,IF(R965="MEDIA(2)",2,IF(R965="ALTA(3)",3,3))))</f>
        <v/>
      </c>
      <c r="T965" s="10">
        <f>+IF(S965&lt;6,"BAJA",IF(S965&lt;8,"MEDIA","ALTA"))</f>
        <v/>
      </c>
      <c r="U965" s="10" t="inlineStr">
        <is>
          <t>-</t>
        </is>
      </c>
      <c r="V965" s="24" t="n">
        <v>45712</v>
      </c>
      <c r="W965" s="19" t="inlineStr">
        <is>
          <t>N/A</t>
        </is>
      </c>
      <c r="X965" s="10">
        <f>+IFERROR(IF(VLOOKUP(Tabla2[[#This Row],[ID]],'EVALUACION DE RIESGO'!A:A,1,FALSE)=Tabla2[[#This Row],[ID]],"SI","NO"),"NO")</f>
        <v/>
      </c>
    </row>
    <row r="966">
      <c r="A966" s="91" t="inlineStr">
        <is>
          <t>44-GFI</t>
        </is>
      </c>
      <c r="B966" s="10" t="inlineStr">
        <is>
          <t>APOYO</t>
        </is>
      </c>
      <c r="C966" s="10" t="inlineStr">
        <is>
          <t>Gestión Financiera</t>
        </is>
      </c>
      <c r="D966" s="10" t="inlineStr">
        <is>
          <t>GFI</t>
        </is>
      </c>
      <c r="E966" s="10" t="inlineStr">
        <is>
          <t>Gestión Contable</t>
        </is>
      </c>
      <c r="F966" s="10" t="inlineStr">
        <is>
          <t>-</t>
        </is>
      </c>
      <c r="G966" s="10" t="inlineStr">
        <is>
          <t>N/A</t>
        </is>
      </c>
      <c r="H966" s="10" t="inlineStr">
        <is>
          <t>Contador General</t>
        </is>
      </c>
      <c r="I966" s="10" t="inlineStr">
        <is>
          <t>N/A</t>
        </is>
      </c>
      <c r="J966" s="10" t="inlineStr">
        <is>
          <t>Contador General</t>
        </is>
      </c>
      <c r="K966" s="10" t="inlineStr">
        <is>
          <t>N/A</t>
        </is>
      </c>
      <c r="L966" s="10" t="inlineStr">
        <is>
          <t>N/A</t>
        </is>
      </c>
      <c r="M966" s="10" t="inlineStr">
        <is>
          <t>N/A</t>
        </is>
      </c>
      <c r="N966" s="10" t="inlineStr">
        <is>
          <t>APOYO</t>
        </is>
      </c>
      <c r="O966" s="10" t="inlineStr">
        <is>
          <t>RECURSO HUMANO</t>
        </is>
      </c>
      <c r="P966" s="10" t="inlineStr">
        <is>
          <t>USO INTERNO(2)</t>
        </is>
      </c>
      <c r="Q966" s="10" t="inlineStr">
        <is>
          <t>MEDIA(2)</t>
        </is>
      </c>
      <c r="R966" s="10" t="inlineStr">
        <is>
          <t>MEDIA(2)</t>
        </is>
      </c>
      <c r="S966" s="10">
        <f>+(IF(P966="PUBLICA(1)",1,IF(P966="USO INTERNO(2)",2,IF(P966="RESTRINGIDO(3)",3,3))))+(IF(Q966="BAJA(1)",1,IF(Q966="MEDIA(2)",2,IF(Q966="ALTA(3)",3,3))))+(IF(R966="BAJA(1)",1,IF(R966="MEDIA(2)",2,IF(R966="ALTA(3)",3,3))))</f>
        <v/>
      </c>
      <c r="T966" s="10">
        <f>+IF(S966&lt;6,"BAJA",IF(S966&lt;8,"MEDIA","ALTA"))</f>
        <v/>
      </c>
      <c r="U966" s="10" t="inlineStr">
        <is>
          <t>-</t>
        </is>
      </c>
      <c r="V966" s="24" t="n">
        <v>45712</v>
      </c>
      <c r="W966" s="19" t="inlineStr">
        <is>
          <t>N/A</t>
        </is>
      </c>
      <c r="X966" s="10">
        <f>+IFERROR(IF(VLOOKUP(Tabla2[[#This Row],[ID]],'EVALUACION DE RIESGO'!A:A,1,FALSE)=Tabla2[[#This Row],[ID]],"SI","NO"),"NO")</f>
        <v/>
      </c>
    </row>
    <row r="967">
      <c r="A967" s="91" t="inlineStr">
        <is>
          <t>45-GFI</t>
        </is>
      </c>
      <c r="B967" s="10" t="inlineStr">
        <is>
          <t>APOYO</t>
        </is>
      </c>
      <c r="C967" s="10" t="inlineStr">
        <is>
          <t>Gestión Financiera</t>
        </is>
      </c>
      <c r="D967" s="10" t="inlineStr">
        <is>
          <t>GFI</t>
        </is>
      </c>
      <c r="E967" s="10" t="inlineStr">
        <is>
          <t>Gestión de Tesorería</t>
        </is>
      </c>
      <c r="F967" s="10" t="inlineStr">
        <is>
          <t>Gestión de Inversiones de Recursos Propios</t>
        </is>
      </c>
      <c r="G967" s="10" t="inlineStr">
        <is>
          <t>Negociación de inversiones  recursos propios</t>
        </is>
      </c>
      <c r="H967" s="10" t="inlineStr">
        <is>
          <t>Propuesta de apertura de inversiones</t>
        </is>
      </c>
      <c r="I967" s="10" t="inlineStr">
        <is>
          <t>Informe de vencimiento de inversiones, se presenta al comité al comité de las inversiones, se toma las decisiones para cancelar renovar inversiones</t>
        </is>
      </c>
      <c r="J967" s="10" t="inlineStr">
        <is>
          <t xml:space="preserve">Tesorero </t>
        </is>
      </c>
      <c r="K967" s="10" t="inlineStr">
        <is>
          <t>Asistente de Tesorería</t>
        </is>
      </c>
      <c r="L967" s="10" t="inlineStr">
        <is>
          <t>UBICACIÓN DIGITAL-EQUIPO DEL CUSTODIO</t>
        </is>
      </c>
      <c r="M967" s="10" t="inlineStr">
        <is>
          <t>DISCOS DUROS, SERVIDORES, DISCOS O MEDIOS PORTÁTILES, CINTAS O MEDIOS DE VIDEO Y AUDIO, ETC.</t>
        </is>
      </c>
      <c r="N967" s="10" t="inlineStr">
        <is>
          <t>PRIMARIOS</t>
        </is>
      </c>
      <c r="O967" s="10" t="inlineStr">
        <is>
          <t>DOCUMENTOS TÉCNICOS</t>
        </is>
      </c>
      <c r="P967" s="10" t="inlineStr">
        <is>
          <t>RESTRINGIDO(3)</t>
        </is>
      </c>
      <c r="Q967" s="10" t="inlineStr">
        <is>
          <t>BAJA(1)</t>
        </is>
      </c>
      <c r="R967" s="10" t="inlineStr">
        <is>
          <t>BAJA(1)</t>
        </is>
      </c>
      <c r="S967" s="10">
        <f>+(IF(P967="PUBLICA(1)",1,IF(P967="USO INTERNO(2)",2,IF(P967="RESTRINGIDO(3)",3,3))))+(IF(Q967="BAJA(1)",1,IF(Q967="MEDIA(2)",2,IF(Q967="ALTA(3)",3,3))))+(IF(R967="BAJA(1)",1,IF(R967="MEDIA(2)",2,IF(R967="ALTA(3)",3,3))))</f>
        <v/>
      </c>
      <c r="T967" s="10">
        <f>+IF(S967&lt;6,"BAJA",IF(S967&lt;8,"MEDIA","ALTA"))</f>
        <v/>
      </c>
      <c r="U967" s="10" t="inlineStr">
        <is>
          <t>-</t>
        </is>
      </c>
      <c r="V967" s="24" t="n">
        <v>45673</v>
      </c>
      <c r="W967" s="19" t="inlineStr">
        <is>
          <t>N/A</t>
        </is>
      </c>
      <c r="X967" s="10">
        <f>+IFERROR(IF(VLOOKUP(Tabla2[[#This Row],[ID]],'EVALUACION DE RIESGO'!A:A,1,FALSE)=Tabla2[[#This Row],[ID]],"SI","NO"),"NO")</f>
        <v/>
      </c>
    </row>
    <row r="968">
      <c r="A968" s="91" t="inlineStr">
        <is>
          <t>46-GFI</t>
        </is>
      </c>
      <c r="B968" s="10" t="inlineStr">
        <is>
          <t>APOYO</t>
        </is>
      </c>
      <c r="C968" s="10" t="inlineStr">
        <is>
          <t>Gestión Financiera</t>
        </is>
      </c>
      <c r="D968" s="10" t="inlineStr">
        <is>
          <t>GFI</t>
        </is>
      </c>
      <c r="E968" s="10" t="inlineStr">
        <is>
          <t>Gestión de Tesorería</t>
        </is>
      </c>
      <c r="F968" s="10" t="inlineStr">
        <is>
          <t>Gestión de Inversiones de Recursos Propios</t>
        </is>
      </c>
      <c r="G968" s="10" t="inlineStr">
        <is>
          <t>Negociación de inversiones  recursos propios</t>
        </is>
      </c>
      <c r="H968" s="10" t="inlineStr">
        <is>
          <t>Resolución del Comité ALCO</t>
        </is>
      </c>
      <c r="I968" s="10" t="inlineStr">
        <is>
          <t xml:space="preserve">Sumillas de resoluciones de Comité </t>
        </is>
      </c>
      <c r="J968" s="10" t="inlineStr">
        <is>
          <t xml:space="preserve">Tesorero </t>
        </is>
      </c>
      <c r="K968" s="10" t="inlineStr">
        <is>
          <t xml:space="preserve">Tesorero </t>
        </is>
      </c>
      <c r="L968" s="10" t="inlineStr">
        <is>
          <t>UBICACIÓN DIGITAL-EQUIPO DEL CUSTODIO</t>
        </is>
      </c>
      <c r="M968" s="10" t="inlineStr">
        <is>
          <t>DISCOS DUROS, SERVIDORES, DISCOS O MEDIOS PORTÁTILES, CINTAS O MEDIOS DE VIDEO Y AUDIO, ETC.</t>
        </is>
      </c>
      <c r="N968" s="10" t="inlineStr">
        <is>
          <t>PRIMARIOS</t>
        </is>
      </c>
      <c r="O968" s="10" t="inlineStr">
        <is>
          <t>COMUNICACIÓN INTERNA</t>
        </is>
      </c>
      <c r="P968" s="10" t="inlineStr">
        <is>
          <t>RESTRINGIDO(3)</t>
        </is>
      </c>
      <c r="Q968" s="10" t="inlineStr">
        <is>
          <t>MEDIA(2)</t>
        </is>
      </c>
      <c r="R968" s="10" t="inlineStr">
        <is>
          <t>BAJA(1)</t>
        </is>
      </c>
      <c r="S968" s="10">
        <f>+(IF(P968="PUBLICA(1)",1,IF(P968="USO INTERNO(2)",2,IF(P968="RESTRINGIDO(3)",3,3))))+(IF(Q968="BAJA(1)",1,IF(Q968="MEDIA(2)",2,IF(Q968="ALTA(3)",3,3))))+(IF(R968="BAJA(1)",1,IF(R968="MEDIA(2)",2,IF(R968="ALTA(3)",3,3))))</f>
        <v/>
      </c>
      <c r="T968" s="10">
        <f>+IF(S968&lt;6,"BAJA",IF(S968&lt;8,"MEDIA","ALTA"))</f>
        <v/>
      </c>
      <c r="U968" s="10" t="inlineStr">
        <is>
          <t>-</t>
        </is>
      </c>
      <c r="V968" s="24" t="n">
        <v>45673</v>
      </c>
      <c r="W968" s="19" t="inlineStr">
        <is>
          <t>N/A</t>
        </is>
      </c>
      <c r="X968" s="10">
        <f>+IFERROR(IF(VLOOKUP(Tabla2[[#This Row],[ID]],'EVALUACION DE RIESGO'!A:A,1,FALSE)=Tabla2[[#This Row],[ID]],"SI","NO"),"NO")</f>
        <v/>
      </c>
    </row>
    <row r="969">
      <c r="A969" s="91" t="inlineStr">
        <is>
          <t>47-GFI</t>
        </is>
      </c>
      <c r="B969" s="10" t="inlineStr">
        <is>
          <t>APOYO</t>
        </is>
      </c>
      <c r="C969" s="10" t="inlineStr">
        <is>
          <t>Gestión Financiera</t>
        </is>
      </c>
      <c r="D969" s="10" t="inlineStr">
        <is>
          <t>GFI</t>
        </is>
      </c>
      <c r="E969" s="10" t="inlineStr">
        <is>
          <t>Gestión de Tesorería</t>
        </is>
      </c>
      <c r="F969" s="10" t="inlineStr">
        <is>
          <t>Gestión de Inversiones de Recursos Propios</t>
        </is>
      </c>
      <c r="G969" s="10" t="inlineStr">
        <is>
          <t>Negociación de inversiones  recursos propios</t>
        </is>
      </c>
      <c r="H969" s="10" t="inlineStr">
        <is>
          <t>Carta de instrucciones</t>
        </is>
      </c>
      <c r="I969" s="10" t="inlineStr">
        <is>
          <t>Carta de apertura e instrucciones de los bancos que contiene numero de oficio, fecha, institución financiera, detalla de la inversión, firmas de responsabilidad</t>
        </is>
      </c>
      <c r="J969" s="10" t="inlineStr">
        <is>
          <t xml:space="preserve">Tesorero </t>
        </is>
      </c>
      <c r="K969" s="10" t="inlineStr">
        <is>
          <t>Asistente de Tesorería</t>
        </is>
      </c>
      <c r="L969" s="10" t="inlineStr">
        <is>
          <t>UBICACIÓN DIGITAL-EQUIPO DEL CUSTODIO</t>
        </is>
      </c>
      <c r="M969" s="10" t="inlineStr">
        <is>
          <t>DISCOS DUROS, SERVIDORES, DISCOS O MEDIOS PORTÁTILES, CINTAS O MEDIOS DE VIDEO Y AUDIO, ETC.</t>
        </is>
      </c>
      <c r="N969" s="10" t="inlineStr">
        <is>
          <t>PRIMARIOS</t>
        </is>
      </c>
      <c r="O969" s="10" t="inlineStr">
        <is>
          <t>COMUNICACIÓN INTERNA</t>
        </is>
      </c>
      <c r="P969" s="10" t="inlineStr">
        <is>
          <t>USO INTERNO(2)</t>
        </is>
      </c>
      <c r="Q969" s="10" t="inlineStr">
        <is>
          <t>MEDIA(2)</t>
        </is>
      </c>
      <c r="R969" s="10" t="inlineStr">
        <is>
          <t>BAJA(1)</t>
        </is>
      </c>
      <c r="S969" s="10">
        <f>+(IF(P969="PUBLICA(1)",1,IF(P969="USO INTERNO(2)",2,IF(P969="RESTRINGIDO(3)",3,3))))+(IF(Q969="BAJA(1)",1,IF(Q969="MEDIA(2)",2,IF(Q969="ALTA(3)",3,3))))+(IF(R969="BAJA(1)",1,IF(R969="MEDIA(2)",2,IF(R969="ALTA(3)",3,3))))</f>
        <v/>
      </c>
      <c r="T969" s="10">
        <f>+IF(S969&lt;6,"BAJA",IF(S969&lt;8,"MEDIA","ALTA"))</f>
        <v/>
      </c>
      <c r="U969" s="10" t="inlineStr">
        <is>
          <t>-</t>
        </is>
      </c>
      <c r="V969" s="24" t="n">
        <v>45673</v>
      </c>
      <c r="W969" s="19" t="inlineStr">
        <is>
          <t>N/A</t>
        </is>
      </c>
      <c r="X969" s="10">
        <f>+IFERROR(IF(VLOOKUP(Tabla2[[#This Row],[ID]],'EVALUACION DE RIESGO'!A:A,1,FALSE)=Tabla2[[#This Row],[ID]],"SI","NO"),"NO")</f>
        <v/>
      </c>
    </row>
    <row r="970" ht="20.5" customHeight="1" s="98">
      <c r="A970" s="91" t="inlineStr">
        <is>
          <t>48-GFI</t>
        </is>
      </c>
      <c r="B970" s="10" t="inlineStr">
        <is>
          <t>APOYO</t>
        </is>
      </c>
      <c r="C970" s="10" t="inlineStr">
        <is>
          <t>Gestión Financiera</t>
        </is>
      </c>
      <c r="D970" s="10" t="inlineStr">
        <is>
          <t>GFI</t>
        </is>
      </c>
      <c r="E970" s="10" t="inlineStr">
        <is>
          <t>Gestión de Tesorería</t>
        </is>
      </c>
      <c r="F970" s="10" t="inlineStr">
        <is>
          <t>Gestión de Inversiones de Recursos Propios</t>
        </is>
      </c>
      <c r="G970" s="10" t="inlineStr">
        <is>
          <t>Registro de Inversiones recursos propios</t>
        </is>
      </c>
      <c r="H970" s="17" t="inlineStr">
        <is>
          <t>Certificado de Depósito a Plazo</t>
        </is>
      </c>
      <c r="I970" s="17" t="inlineStr">
        <is>
          <t>Pre cancelación de inversiones Cancelación de inversiones Renovación de inversiones</t>
        </is>
      </c>
      <c r="J970" s="10" t="inlineStr">
        <is>
          <t xml:space="preserve">Tesorero </t>
        </is>
      </c>
      <c r="K970" s="10" t="inlineStr">
        <is>
          <t>Asistente de Tesorería</t>
        </is>
      </c>
      <c r="L970" s="10" t="inlineStr">
        <is>
          <t>UBICACIÓN DIGITAL-EQUIPO DEL CUSTODIO</t>
        </is>
      </c>
      <c r="M970" s="10" t="inlineStr">
        <is>
          <t>DISCOS DUROS, SERVIDORES, DISCOS O MEDIOS PORTÁTILES, CINTAS O MEDIOS DE VIDEO Y AUDIO, ETC.</t>
        </is>
      </c>
      <c r="N970" s="10" t="inlineStr">
        <is>
          <t>PRIMARIOS</t>
        </is>
      </c>
      <c r="O970" s="10" t="inlineStr">
        <is>
          <t>DOCUMENTOS HABILITANTES</t>
        </is>
      </c>
      <c r="P970" s="10" t="inlineStr">
        <is>
          <t>RESTRINGIDO(3)</t>
        </is>
      </c>
      <c r="Q970" s="10" t="inlineStr">
        <is>
          <t>MEDIA(2)</t>
        </is>
      </c>
      <c r="R970" s="10" t="inlineStr">
        <is>
          <t>ALTA(3)</t>
        </is>
      </c>
      <c r="S970" s="10">
        <f>+(IF(P970="PUBLICA(1)",1,IF(P970="USO INTERNO(2)",2,IF(P970="RESTRINGIDO(3)",3,3))))+(IF(Q970="BAJA(1)",1,IF(Q970="MEDIA(2)",2,IF(Q970="ALTA(3)",3,3))))+(IF(R970="BAJA(1)",1,IF(R970="MEDIA(2)",2,IF(R970="ALTA(3)",3,3))))</f>
        <v/>
      </c>
      <c r="T970" s="10">
        <f>+IF(S970&lt;6,"BAJA",IF(S970&lt;8,"MEDIA","ALTA"))</f>
        <v/>
      </c>
      <c r="U970" s="10" t="inlineStr">
        <is>
          <t>-</t>
        </is>
      </c>
      <c r="V970" s="24" t="n">
        <v>45673</v>
      </c>
      <c r="W970" s="19" t="inlineStr">
        <is>
          <t>N/A</t>
        </is>
      </c>
      <c r="X970" s="10">
        <f>+IFERROR(IF(VLOOKUP(Tabla2[[#This Row],[ID]],'EVALUACION DE RIESGO'!A:A,1,FALSE)=Tabla2[[#This Row],[ID]],"SI","NO"),"NO")</f>
        <v/>
      </c>
    </row>
    <row r="971">
      <c r="A971" s="91" t="inlineStr">
        <is>
          <t>49-GFI</t>
        </is>
      </c>
      <c r="B971" s="10" t="inlineStr">
        <is>
          <t>APOYO</t>
        </is>
      </c>
      <c r="C971" s="10" t="inlineStr">
        <is>
          <t>Gestión Financiera</t>
        </is>
      </c>
      <c r="D971" s="10" t="inlineStr">
        <is>
          <t>GFI</t>
        </is>
      </c>
      <c r="E971" s="10" t="inlineStr">
        <is>
          <t>Gestión de Tesorería</t>
        </is>
      </c>
      <c r="F971" s="10" t="inlineStr">
        <is>
          <t>Gestión de Inversiones de Recursos Propios</t>
        </is>
      </c>
      <c r="G971" s="10" t="inlineStr">
        <is>
          <t>Registro de Inversiones recursos propias</t>
        </is>
      </c>
      <c r="H971" s="10" t="inlineStr">
        <is>
          <t>Reporte de portafolio de inversiones</t>
        </is>
      </c>
      <c r="I971" s="10" t="inlineStr">
        <is>
          <t xml:space="preserve">Documento donde se detallan tolas las inversiones del activo que se administran en tesorería </t>
        </is>
      </c>
      <c r="J971" s="10" t="inlineStr">
        <is>
          <t xml:space="preserve">Tesorero </t>
        </is>
      </c>
      <c r="K971" s="10" t="inlineStr">
        <is>
          <t>Asistente de Tesorería</t>
        </is>
      </c>
      <c r="L971" s="10" t="inlineStr">
        <is>
          <t>UBICACIÓN DIGITAL-EQUIPO DEL CUSTODIO</t>
        </is>
      </c>
      <c r="M971" s="10" t="inlineStr">
        <is>
          <t>DISCOS DUROS, SERVIDORES, DISCOS O MEDIOS PORTÁTILES, CINTAS O MEDIOS DE VIDEO Y AUDIO, ETC.</t>
        </is>
      </c>
      <c r="N971" s="10" t="inlineStr">
        <is>
          <t>PRIMARIOS</t>
        </is>
      </c>
      <c r="O971" s="10" t="inlineStr">
        <is>
          <t>DOCUMENTOS TÉCNICOS</t>
        </is>
      </c>
      <c r="P971" s="10" t="inlineStr">
        <is>
          <t>USO INTERNO(2)</t>
        </is>
      </c>
      <c r="Q971" s="10" t="inlineStr">
        <is>
          <t>BAJA(1)</t>
        </is>
      </c>
      <c r="R971" s="10" t="inlineStr">
        <is>
          <t>BAJA(1)</t>
        </is>
      </c>
      <c r="S971" s="10">
        <f>+(IF(P971="PUBLICA(1)",1,IF(P971="USO INTERNO(2)",2,IF(P971="RESTRINGIDO(3)",3,3))))+(IF(Q971="BAJA(1)",1,IF(Q971="MEDIA(2)",2,IF(Q971="ALTA(3)",3,3))))+(IF(R971="BAJA(1)",1,IF(R971="MEDIA(2)",2,IF(R971="ALTA(3)",3,3))))</f>
        <v/>
      </c>
      <c r="T971" s="10">
        <f>+IF(S971&lt;6,"BAJA",IF(S971&lt;8,"MEDIA","ALTA"))</f>
        <v/>
      </c>
      <c r="U971" s="10" t="inlineStr">
        <is>
          <t>-</t>
        </is>
      </c>
      <c r="V971" s="24" t="n">
        <v>45673</v>
      </c>
      <c r="W971" s="19" t="inlineStr">
        <is>
          <t>N/A</t>
        </is>
      </c>
      <c r="X971" s="10">
        <f>+IFERROR(IF(VLOOKUP(Tabla2[[#This Row],[ID]],'EVALUACION DE RIESGO'!A:A,1,FALSE)=Tabla2[[#This Row],[ID]],"SI","NO"),"NO")</f>
        <v/>
      </c>
    </row>
    <row r="972">
      <c r="A972" s="91" t="inlineStr">
        <is>
          <t>50-GFI</t>
        </is>
      </c>
      <c r="B972" s="10" t="inlineStr">
        <is>
          <t>APOYO</t>
        </is>
      </c>
      <c r="C972" s="10" t="inlineStr">
        <is>
          <t>Gestión Financiera</t>
        </is>
      </c>
      <c r="D972" s="10" t="inlineStr">
        <is>
          <t>GFI</t>
        </is>
      </c>
      <c r="E972" s="10" t="inlineStr">
        <is>
          <t>Gestión de Tesorería</t>
        </is>
      </c>
      <c r="F972" s="10" t="inlineStr">
        <is>
          <t>Gestión de Inversiones de Recursos Propios</t>
        </is>
      </c>
      <c r="G972" s="10" t="inlineStr">
        <is>
          <t>Renovación de Inversiones recursos propios</t>
        </is>
      </c>
      <c r="H972" s="10" t="inlineStr">
        <is>
          <t>Propuesta de renovación de inversiones</t>
        </is>
      </c>
      <c r="I972" s="10" t="inlineStr">
        <is>
          <t>Informe de vencimiento de inversiones, se presenta al comité al comité de las inversiones, se toma las decisiones para cancelar renovar inversiones</t>
        </is>
      </c>
      <c r="J972" s="10" t="inlineStr">
        <is>
          <t xml:space="preserve">Tesorero </t>
        </is>
      </c>
      <c r="K972" s="10" t="inlineStr">
        <is>
          <t>Asistente de Tesorería</t>
        </is>
      </c>
      <c r="L972" s="10" t="inlineStr">
        <is>
          <t>UBICACIÓN DIGITAL-EQUIPO DEL CUSTODIO</t>
        </is>
      </c>
      <c r="M972" s="10" t="inlineStr">
        <is>
          <t>DISCOS DUROS, SERVIDORES, DISCOS O MEDIOS PORTÁTILES, CINTAS O MEDIOS DE VIDEO Y AUDIO, ETC.</t>
        </is>
      </c>
      <c r="N972" s="10" t="inlineStr">
        <is>
          <t>PRIMARIOS</t>
        </is>
      </c>
      <c r="O972" s="10" t="inlineStr">
        <is>
          <t>DOCUMENTOS TÉCNICOS</t>
        </is>
      </c>
      <c r="P972" s="10" t="inlineStr">
        <is>
          <t>RESTRINGIDO(3)</t>
        </is>
      </c>
      <c r="Q972" s="10" t="inlineStr">
        <is>
          <t>BAJA(1)</t>
        </is>
      </c>
      <c r="R972" s="10" t="inlineStr">
        <is>
          <t>BAJA(1)</t>
        </is>
      </c>
      <c r="S972" s="10">
        <f>+(IF(P972="PUBLICA(1)",1,IF(P972="USO INTERNO(2)",2,IF(P972="RESTRINGIDO(3)",3,3))))+(IF(Q972="BAJA(1)",1,IF(Q972="MEDIA(2)",2,IF(Q972="ALTA(3)",3,3))))+(IF(R972="BAJA(1)",1,IF(R972="MEDIA(2)",2,IF(R972="ALTA(3)",3,3))))</f>
        <v/>
      </c>
      <c r="T972" s="10">
        <f>+IF(S972&lt;6,"BAJA",IF(S972&lt;8,"MEDIA","ALTA"))</f>
        <v/>
      </c>
      <c r="U972" s="10" t="inlineStr">
        <is>
          <t>-</t>
        </is>
      </c>
      <c r="V972" s="24" t="n">
        <v>45673</v>
      </c>
      <c r="W972" s="19" t="inlineStr">
        <is>
          <t>N/A</t>
        </is>
      </c>
      <c r="X972" s="10">
        <f>+IFERROR(IF(VLOOKUP(Tabla2[[#This Row],[ID]],'EVALUACION DE RIESGO'!A:A,1,FALSE)=Tabla2[[#This Row],[ID]],"SI","NO"),"NO")</f>
        <v/>
      </c>
    </row>
    <row r="973">
      <c r="A973" s="91" t="inlineStr">
        <is>
          <t>51-GFI</t>
        </is>
      </c>
      <c r="B973" s="10" t="inlineStr">
        <is>
          <t>APOYO</t>
        </is>
      </c>
      <c r="C973" s="10" t="inlineStr">
        <is>
          <t>Gestión Financiera</t>
        </is>
      </c>
      <c r="D973" s="10" t="inlineStr">
        <is>
          <t>GFI</t>
        </is>
      </c>
      <c r="E973" s="10" t="inlineStr">
        <is>
          <t>Gestión de Tesorería</t>
        </is>
      </c>
      <c r="F973" s="10" t="inlineStr">
        <is>
          <t>Gestión de Inversiones de Recursos Propios</t>
        </is>
      </c>
      <c r="G973" s="10" t="inlineStr">
        <is>
          <t>Renovación de Inversiones recursos propios</t>
        </is>
      </c>
      <c r="H973" s="10" t="inlineStr">
        <is>
          <t>Resolución del comité ALCO</t>
        </is>
      </c>
      <c r="I973" s="10" t="inlineStr">
        <is>
          <t xml:space="preserve">Sumillas de resoluciones de Comité </t>
        </is>
      </c>
      <c r="J973" s="10" t="inlineStr">
        <is>
          <t xml:space="preserve">Tesorero </t>
        </is>
      </c>
      <c r="K973" s="10" t="inlineStr">
        <is>
          <t>Asistente de Tesorería</t>
        </is>
      </c>
      <c r="L973" s="10" t="inlineStr">
        <is>
          <t>UBICACIÓN DIGITAL-EQUIPO DEL CUSTODIO</t>
        </is>
      </c>
      <c r="M973" s="10" t="inlineStr">
        <is>
          <t>DISCOS DUROS, SERVIDORES, DISCOS O MEDIOS PORTÁTILES, CINTAS O MEDIOS DE VIDEO Y AUDIO, ETC.</t>
        </is>
      </c>
      <c r="N973" s="10" t="inlineStr">
        <is>
          <t>PRIMARIOS</t>
        </is>
      </c>
      <c r="O973" s="10" t="inlineStr">
        <is>
          <t>COMUNICACIÓN INTERNA</t>
        </is>
      </c>
      <c r="P973" s="10" t="inlineStr">
        <is>
          <t>RESTRINGIDO(3)</t>
        </is>
      </c>
      <c r="Q973" s="10" t="inlineStr">
        <is>
          <t>MEDIA(2)</t>
        </is>
      </c>
      <c r="R973" s="10" t="inlineStr">
        <is>
          <t>MEDIA(2)</t>
        </is>
      </c>
      <c r="S973" s="10">
        <f>+(IF(P973="PUBLICA(1)",1,IF(P973="USO INTERNO(2)",2,IF(P973="RESTRINGIDO(3)",3,3))))+(IF(Q973="BAJA(1)",1,IF(Q973="MEDIA(2)",2,IF(Q973="ALTA(3)",3,3))))+(IF(R973="BAJA(1)",1,IF(R973="MEDIA(2)",2,IF(R973="ALTA(3)",3,3))))</f>
        <v/>
      </c>
      <c r="T973" s="10">
        <f>+IF(S973&lt;6,"BAJA",IF(S973&lt;8,"MEDIA","ALTA"))</f>
        <v/>
      </c>
      <c r="U973" s="10" t="inlineStr">
        <is>
          <t>-</t>
        </is>
      </c>
      <c r="V973" s="24" t="n">
        <v>45673</v>
      </c>
      <c r="W973" s="19" t="inlineStr">
        <is>
          <t>N/A</t>
        </is>
      </c>
      <c r="X973" s="10">
        <f>+IFERROR(IF(VLOOKUP(Tabla2[[#This Row],[ID]],'EVALUACION DE RIESGO'!A:A,1,FALSE)=Tabla2[[#This Row],[ID]],"SI","NO"),"NO")</f>
        <v/>
      </c>
    </row>
    <row r="974">
      <c r="A974" s="91" t="inlineStr">
        <is>
          <t>52-GFI</t>
        </is>
      </c>
      <c r="B974" s="10" t="inlineStr">
        <is>
          <t>APOYO</t>
        </is>
      </c>
      <c r="C974" s="10" t="inlineStr">
        <is>
          <t>Gestión Financiera</t>
        </is>
      </c>
      <c r="D974" s="10" t="inlineStr">
        <is>
          <t>GFI</t>
        </is>
      </c>
      <c r="E974" s="10" t="inlineStr">
        <is>
          <t>Gestión de Tesorería</t>
        </is>
      </c>
      <c r="F974" s="10" t="inlineStr">
        <is>
          <t>Gestión de Inversiones de Recursos Propios</t>
        </is>
      </c>
      <c r="G974" s="10" t="inlineStr">
        <is>
          <t>Renovación de Inversiones recursos propios</t>
        </is>
      </c>
      <c r="H974" s="10" t="inlineStr">
        <is>
          <t>Reporte de vencimiento de inversiones</t>
        </is>
      </c>
      <c r="I974" s="10" t="inlineStr">
        <is>
          <t xml:space="preserve">Documento donde se detallan tolas las inversiones del activo que se administran en tesorería </t>
        </is>
      </c>
      <c r="J974" s="10" t="inlineStr">
        <is>
          <t xml:space="preserve">Tesorero </t>
        </is>
      </c>
      <c r="K974" s="10" t="inlineStr">
        <is>
          <t xml:space="preserve">Tesorero </t>
        </is>
      </c>
      <c r="L974" s="10" t="inlineStr">
        <is>
          <t>UBICACIÓN DIGITAL-EQUIPO DEL CUSTODIO</t>
        </is>
      </c>
      <c r="M974" s="10" t="inlineStr">
        <is>
          <t>DISCOS DUROS, SERVIDORES, DISCOS O MEDIOS PORTÁTILES, CINTAS O MEDIOS DE VIDEO Y AUDIO, ETC.</t>
        </is>
      </c>
      <c r="N974" s="10" t="inlineStr">
        <is>
          <t>PRIMARIOS</t>
        </is>
      </c>
      <c r="O974" s="10" t="inlineStr">
        <is>
          <t>DOCUMENTOS TÉCNICOS</t>
        </is>
      </c>
      <c r="P974" s="10" t="inlineStr">
        <is>
          <t>RESTRINGIDO(3)</t>
        </is>
      </c>
      <c r="Q974" s="10" t="inlineStr">
        <is>
          <t>BAJA(1)</t>
        </is>
      </c>
      <c r="R974" s="10" t="inlineStr">
        <is>
          <t>BAJA(1)</t>
        </is>
      </c>
      <c r="S974" s="10">
        <f>+(IF(P974="PUBLICA(1)",1,IF(P974="USO INTERNO(2)",2,IF(P974="RESTRINGIDO(3)",3,3))))+(IF(Q974="BAJA(1)",1,IF(Q974="MEDIA(2)",2,IF(Q974="ALTA(3)",3,3))))+(IF(R974="BAJA(1)",1,IF(R974="MEDIA(2)",2,IF(R974="ALTA(3)",3,3))))</f>
        <v/>
      </c>
      <c r="T974" s="10">
        <f>+IF(S974&lt;6,"BAJA",IF(S974&lt;8,"MEDIA","ALTA"))</f>
        <v/>
      </c>
      <c r="U974" s="10" t="inlineStr">
        <is>
          <t>-</t>
        </is>
      </c>
      <c r="V974" s="24" t="n">
        <v>45673</v>
      </c>
      <c r="W974" s="19" t="inlineStr">
        <is>
          <t>N/A</t>
        </is>
      </c>
      <c r="X974" s="10">
        <f>+IFERROR(IF(VLOOKUP(Tabla2[[#This Row],[ID]],'EVALUACION DE RIESGO'!A:A,1,FALSE)=Tabla2[[#This Row],[ID]],"SI","NO"),"NO")</f>
        <v/>
      </c>
    </row>
    <row r="975">
      <c r="A975" s="91" t="inlineStr">
        <is>
          <t>53-GFI</t>
        </is>
      </c>
      <c r="B975" s="10" t="inlineStr">
        <is>
          <t>APOYO</t>
        </is>
      </c>
      <c r="C975" s="10" t="inlineStr">
        <is>
          <t>Gestión Financiera</t>
        </is>
      </c>
      <c r="D975" s="10" t="inlineStr">
        <is>
          <t>GFI</t>
        </is>
      </c>
      <c r="E975" s="10" t="inlineStr">
        <is>
          <t>Gestión de Tesorería</t>
        </is>
      </c>
      <c r="F975" s="10" t="inlineStr">
        <is>
          <t>Gestión de Inversiones de Recursos Propios</t>
        </is>
      </c>
      <c r="G975" s="10" t="inlineStr">
        <is>
          <t>Renovación de Inversiones recursos propios</t>
        </is>
      </c>
      <c r="H975" s="10" t="inlineStr">
        <is>
          <t>Reporte de portafolio de inversiones</t>
        </is>
      </c>
      <c r="I975" s="10" t="inlineStr">
        <is>
          <t xml:space="preserve">Documento donde se detallan tolas las inversiones del activo que se administran en tesorería </t>
        </is>
      </c>
      <c r="J975" s="10" t="inlineStr">
        <is>
          <t xml:space="preserve">Tesorero </t>
        </is>
      </c>
      <c r="K975" s="10" t="inlineStr">
        <is>
          <t xml:space="preserve">Tesorero </t>
        </is>
      </c>
      <c r="L975" s="10" t="inlineStr">
        <is>
          <t>UBICACIÓN DIGITAL-EQUIPO DEL CUSTODIO</t>
        </is>
      </c>
      <c r="M975" s="10" t="inlineStr">
        <is>
          <t>DISCOS DUROS, SERVIDORES, DISCOS O MEDIOS PORTÁTILES, CINTAS O MEDIOS DE VIDEO Y AUDIO, ETC.</t>
        </is>
      </c>
      <c r="N975" s="10" t="inlineStr">
        <is>
          <t>PRIMARIOS</t>
        </is>
      </c>
      <c r="O975" s="10" t="inlineStr">
        <is>
          <t>DOCUMENTOS TÉCNICOS</t>
        </is>
      </c>
      <c r="P975" s="10" t="inlineStr">
        <is>
          <t>RESTRINGIDO(3)</t>
        </is>
      </c>
      <c r="Q975" s="10" t="inlineStr">
        <is>
          <t>MEDIA(2)</t>
        </is>
      </c>
      <c r="R975" s="10" t="inlineStr">
        <is>
          <t>BAJA(1)</t>
        </is>
      </c>
      <c r="S975" s="10">
        <f>+(IF(P975="PUBLICA(1)",1,IF(P975="USO INTERNO(2)",2,IF(P975="RESTRINGIDO(3)",3,3))))+(IF(Q975="BAJA(1)",1,IF(Q975="MEDIA(2)",2,IF(Q975="ALTA(3)",3,3))))+(IF(R975="BAJA(1)",1,IF(R975="MEDIA(2)",2,IF(R975="ALTA(3)",3,3))))</f>
        <v/>
      </c>
      <c r="T975" s="10">
        <f>+IF(S975&lt;6,"BAJA",IF(S975&lt;8,"MEDIA","ALTA"))</f>
        <v/>
      </c>
      <c r="U975" s="10" t="inlineStr">
        <is>
          <t>-</t>
        </is>
      </c>
      <c r="V975" s="24" t="n">
        <v>45673</v>
      </c>
      <c r="W975" s="19" t="inlineStr">
        <is>
          <t>N/A</t>
        </is>
      </c>
      <c r="X975" s="10">
        <f>+IFERROR(IF(VLOOKUP(Tabla2[[#This Row],[ID]],'EVALUACION DE RIESGO'!A:A,1,FALSE)=Tabla2[[#This Row],[ID]],"SI","NO"),"NO")</f>
        <v/>
      </c>
    </row>
    <row r="976">
      <c r="A976" s="91" t="inlineStr">
        <is>
          <t>54-GFI</t>
        </is>
      </c>
      <c r="B976" s="10" t="inlineStr">
        <is>
          <t>APOYO</t>
        </is>
      </c>
      <c r="C976" s="10" t="inlineStr">
        <is>
          <t>Gestión Financiera</t>
        </is>
      </c>
      <c r="D976" s="10" t="inlineStr">
        <is>
          <t>GFI</t>
        </is>
      </c>
      <c r="E976" s="10" t="inlineStr">
        <is>
          <t>Gestión de Tesorería</t>
        </is>
      </c>
      <c r="F976" s="10" t="inlineStr">
        <is>
          <t>Gestión de Inversiones de Recursos Propios</t>
        </is>
      </c>
      <c r="G976" s="10" t="inlineStr">
        <is>
          <t>Cancelación de inversiones recursos propios</t>
        </is>
      </c>
      <c r="H976" s="10" t="inlineStr">
        <is>
          <t>Resolución Comité alco</t>
        </is>
      </c>
      <c r="I976" s="10" t="inlineStr">
        <is>
          <t xml:space="preserve">Sumillas de resoluciones de Comité </t>
        </is>
      </c>
      <c r="J976" s="10" t="inlineStr">
        <is>
          <t xml:space="preserve">Tesorero </t>
        </is>
      </c>
      <c r="K976" s="10" t="inlineStr">
        <is>
          <t xml:space="preserve">Tesorero </t>
        </is>
      </c>
      <c r="L976" s="10" t="inlineStr">
        <is>
          <t>UBICACIÓN DIGITAL-EQUIPO DEL CUSTODIO</t>
        </is>
      </c>
      <c r="M976" s="10" t="inlineStr">
        <is>
          <t>DISCOS DUROS, SERVIDORES, DISCOS O MEDIOS PORTÁTILES, CINTAS O MEDIOS DE VIDEO Y AUDIO, ETC.</t>
        </is>
      </c>
      <c r="N976" s="10" t="inlineStr">
        <is>
          <t>PRIMARIOS</t>
        </is>
      </c>
      <c r="O976" s="10" t="inlineStr">
        <is>
          <t>COMUNICACIÓN INTERNA</t>
        </is>
      </c>
      <c r="P976" s="10" t="inlineStr">
        <is>
          <t>RESTRINGIDO(3)</t>
        </is>
      </c>
      <c r="Q976" s="10" t="inlineStr">
        <is>
          <t>MEDIA(2)</t>
        </is>
      </c>
      <c r="R976" s="10" t="inlineStr">
        <is>
          <t>MEDIA(2)</t>
        </is>
      </c>
      <c r="S976" s="10">
        <f>+(IF(P976="PUBLICA(1)",1,IF(P976="USO INTERNO(2)",2,IF(P976="RESTRINGIDO(3)",3,3))))+(IF(Q976="BAJA(1)",1,IF(Q976="MEDIA(2)",2,IF(Q976="ALTA(3)",3,3))))+(IF(R976="BAJA(1)",1,IF(R976="MEDIA(2)",2,IF(R976="ALTA(3)",3,3))))</f>
        <v/>
      </c>
      <c r="T976" s="10">
        <f>+IF(S976&lt;6,"BAJA",IF(S976&lt;8,"MEDIA","ALTA"))</f>
        <v/>
      </c>
      <c r="U976" s="10" t="inlineStr">
        <is>
          <t>-</t>
        </is>
      </c>
      <c r="V976" s="24" t="n">
        <v>45673</v>
      </c>
      <c r="W976" s="19" t="inlineStr">
        <is>
          <t>N/A</t>
        </is>
      </c>
      <c r="X976" s="10">
        <f>+IFERROR(IF(VLOOKUP(Tabla2[[#This Row],[ID]],'EVALUACION DE RIESGO'!A:A,1,FALSE)=Tabla2[[#This Row],[ID]],"SI","NO"),"NO")</f>
        <v/>
      </c>
    </row>
    <row r="977">
      <c r="A977" s="91" t="inlineStr">
        <is>
          <t>55-GFI</t>
        </is>
      </c>
      <c r="B977" s="10" t="inlineStr">
        <is>
          <t>APOYO</t>
        </is>
      </c>
      <c r="C977" s="10" t="inlineStr">
        <is>
          <t>Gestión Financiera</t>
        </is>
      </c>
      <c r="D977" s="10" t="inlineStr">
        <is>
          <t>GFI</t>
        </is>
      </c>
      <c r="E977" s="10" t="inlineStr">
        <is>
          <t>Gestión de Tesorería</t>
        </is>
      </c>
      <c r="F977" s="10" t="inlineStr">
        <is>
          <t>Gestión de Fondos Disponibles</t>
        </is>
      </c>
      <c r="G977" s="10" t="inlineStr">
        <is>
          <t>Aporte Fondo de liquidez y encaje bancario</t>
        </is>
      </c>
      <c r="H977" s="10" t="inlineStr">
        <is>
          <t>Reporte de intereses del Fondo de Liquidez</t>
        </is>
      </c>
      <c r="I977" s="10" t="inlineStr">
        <is>
          <t>Reportes recibido de BCE con el detalle de intereses del Fondo</t>
        </is>
      </c>
      <c r="J977" s="10" t="inlineStr">
        <is>
          <t xml:space="preserve">Tesorero </t>
        </is>
      </c>
      <c r="K977" s="10" t="inlineStr">
        <is>
          <t xml:space="preserve">Tesorero </t>
        </is>
      </c>
      <c r="L977" s="10" t="inlineStr">
        <is>
          <t>UBICACIÓN DIGITAL-EQUIPO DEL CUSTODIO</t>
        </is>
      </c>
      <c r="M977" s="10" t="inlineStr">
        <is>
          <t>DISCOS DUROS, SERVIDORES, DISCOS O MEDIOS PORTÁTILES, CINTAS O MEDIOS DE VIDEO Y AUDIO, ETC.</t>
        </is>
      </c>
      <c r="N977" s="10" t="inlineStr">
        <is>
          <t>PRIMARIOS</t>
        </is>
      </c>
      <c r="O977" s="10" t="inlineStr">
        <is>
          <t>COMUNICACIÓN INTERNA</t>
        </is>
      </c>
      <c r="P977" s="10" t="inlineStr">
        <is>
          <t>USO INTERNO(2)</t>
        </is>
      </c>
      <c r="Q977" s="10" t="inlineStr">
        <is>
          <t>MEDIA(2)</t>
        </is>
      </c>
      <c r="R977" s="10" t="inlineStr">
        <is>
          <t>BAJA(1)</t>
        </is>
      </c>
      <c r="S977" s="10">
        <f>+(IF(P977="PUBLICA(1)",1,IF(P977="USO INTERNO(2)",2,IF(P977="RESTRINGIDO(3)",3,3))))+(IF(Q977="BAJA(1)",1,IF(Q977="MEDIA(2)",2,IF(Q977="ALTA(3)",3,3))))+(IF(R977="BAJA(1)",1,IF(R977="MEDIA(2)",2,IF(R977="ALTA(3)",3,3))))</f>
        <v/>
      </c>
      <c r="T977" s="10">
        <f>+IF(S977&lt;6,"BAJA",IF(S977&lt;8,"MEDIA","ALTA"))</f>
        <v/>
      </c>
      <c r="U977" s="10" t="inlineStr">
        <is>
          <t>-</t>
        </is>
      </c>
      <c r="V977" s="24" t="n">
        <v>45673</v>
      </c>
      <c r="W977" s="19" t="inlineStr">
        <is>
          <t>N/A</t>
        </is>
      </c>
      <c r="X977" s="10">
        <f>+IFERROR(IF(VLOOKUP(Tabla2[[#This Row],[ID]],'EVALUACION DE RIESGO'!A:A,1,FALSE)=Tabla2[[#This Row],[ID]],"SI","NO"),"NO")</f>
        <v/>
      </c>
    </row>
    <row r="978">
      <c r="A978" s="91" t="inlineStr">
        <is>
          <t>56-GFI</t>
        </is>
      </c>
      <c r="B978" s="10" t="inlineStr">
        <is>
          <t>APOYO</t>
        </is>
      </c>
      <c r="C978" s="10" t="inlineStr">
        <is>
          <t>Gestión Financiera</t>
        </is>
      </c>
      <c r="D978" s="10" t="inlineStr">
        <is>
          <t>GFI</t>
        </is>
      </c>
      <c r="E978" s="10" t="inlineStr">
        <is>
          <t>Gestión de Tesorería</t>
        </is>
      </c>
      <c r="F978" s="10" t="inlineStr">
        <is>
          <t>Gestión de Fondos Disponibles</t>
        </is>
      </c>
      <c r="G978" s="10" t="inlineStr">
        <is>
          <t>Aporte Fondo de liquidez y encaje bancario</t>
        </is>
      </c>
      <c r="H978" s="10" t="inlineStr">
        <is>
          <t>Reporte de cuadre para el fondo de liquidez /Reporte de cálculo para el requerimiento de encaje bancario</t>
        </is>
      </c>
      <c r="I978" s="10" t="inlineStr">
        <is>
          <t xml:space="preserve">Reporte en Excel realizado con el detalle de las inversiones enviado a Contabilidad </t>
        </is>
      </c>
      <c r="J978" s="10" t="inlineStr">
        <is>
          <t xml:space="preserve">Tesorero </t>
        </is>
      </c>
      <c r="K978" s="10" t="inlineStr">
        <is>
          <t xml:space="preserve">Tesorero </t>
        </is>
      </c>
      <c r="L978" s="10" t="inlineStr">
        <is>
          <t>UBICACIÓN DIGITAL-EQUIPO DEL CUSTODIO</t>
        </is>
      </c>
      <c r="M978" s="10" t="inlineStr">
        <is>
          <t>DISCOS DUROS, SERVIDORES, DISCOS O MEDIOS PORTÁTILES, CINTAS O MEDIOS DE VIDEO Y AUDIO, ETC.</t>
        </is>
      </c>
      <c r="N978" s="10" t="inlineStr">
        <is>
          <t>PRIMARIOS</t>
        </is>
      </c>
      <c r="O978" s="10" t="inlineStr">
        <is>
          <t>DOCUMENTOS TÉCNICOS</t>
        </is>
      </c>
      <c r="P978" s="10" t="inlineStr">
        <is>
          <t>USO INTERNO(2)</t>
        </is>
      </c>
      <c r="Q978" s="10" t="inlineStr">
        <is>
          <t>BAJA(1)</t>
        </is>
      </c>
      <c r="R978" s="10" t="inlineStr">
        <is>
          <t>BAJA(1)</t>
        </is>
      </c>
      <c r="S978" s="10">
        <f>+(IF(P978="PUBLICA(1)",1,IF(P978="USO INTERNO(2)",2,IF(P978="RESTRINGIDO(3)",3,3))))+(IF(Q978="BAJA(1)",1,IF(Q978="MEDIA(2)",2,IF(Q978="ALTA(3)",3,3))))+(IF(R978="BAJA(1)",1,IF(R978="MEDIA(2)",2,IF(R978="ALTA(3)",3,3))))</f>
        <v/>
      </c>
      <c r="T978" s="10">
        <f>+IF(S978&lt;6,"BAJA",IF(S978&lt;8,"MEDIA","ALTA"))</f>
        <v/>
      </c>
      <c r="U978" s="10" t="inlineStr">
        <is>
          <t>-</t>
        </is>
      </c>
      <c r="V978" s="24" t="n">
        <v>45673</v>
      </c>
      <c r="W978" s="19" t="inlineStr">
        <is>
          <t>N/A</t>
        </is>
      </c>
      <c r="X978" s="10">
        <f>+IFERROR(IF(VLOOKUP(Tabla2[[#This Row],[ID]],'EVALUACION DE RIESGO'!A:A,1,FALSE)=Tabla2[[#This Row],[ID]],"SI","NO"),"NO")</f>
        <v/>
      </c>
    </row>
    <row r="979">
      <c r="A979" s="91" t="inlineStr">
        <is>
          <t>57-GFI</t>
        </is>
      </c>
      <c r="B979" s="10" t="inlineStr">
        <is>
          <t>APOYO</t>
        </is>
      </c>
      <c r="C979" s="10" t="inlineStr">
        <is>
          <t>Gestión Financiera</t>
        </is>
      </c>
      <c r="D979" s="10" t="inlineStr">
        <is>
          <t>GFI</t>
        </is>
      </c>
      <c r="E979" s="10" t="inlineStr">
        <is>
          <t>Gestión de Tesorería</t>
        </is>
      </c>
      <c r="F979" s="10" t="inlineStr">
        <is>
          <t>Gestión de Fondos Disponibles</t>
        </is>
      </c>
      <c r="G979" s="10" t="inlineStr">
        <is>
          <t>Aporte Fondo de liquidez y encaje bancario</t>
        </is>
      </c>
      <c r="H979" s="10" t="inlineStr">
        <is>
          <t>Requerimiento de encaje bancario</t>
        </is>
      </c>
      <c r="I979" s="10" t="inlineStr">
        <is>
          <t>Documento externo del BCE donde se detalla el saldo que se debe tener en el Banco como encaje.</t>
        </is>
      </c>
      <c r="J979" s="10" t="inlineStr">
        <is>
          <t xml:space="preserve">Tesorero </t>
        </is>
      </c>
      <c r="K979" s="10" t="inlineStr">
        <is>
          <t xml:space="preserve">Tesorero </t>
        </is>
      </c>
      <c r="L979" s="10" t="inlineStr">
        <is>
          <t>UBICACIÓN DIGITAL-EQUIPO DEL CUSTODIO</t>
        </is>
      </c>
      <c r="M979" s="10" t="inlineStr">
        <is>
          <t>DISCOS DUROS, SERVIDORES, DISCOS O MEDIOS PORTÁTILES, CINTAS O MEDIOS DE VIDEO Y AUDIO, ETC.</t>
        </is>
      </c>
      <c r="N979" s="10" t="inlineStr">
        <is>
          <t>PRIMARIOS</t>
        </is>
      </c>
      <c r="O979" s="10" t="inlineStr">
        <is>
          <t>DOCUMENTOS TÉCNICOS</t>
        </is>
      </c>
      <c r="P979" s="10" t="inlineStr">
        <is>
          <t>RESTRINGIDO(3)</t>
        </is>
      </c>
      <c r="Q979" s="10" t="inlineStr">
        <is>
          <t>MEDIA(2)</t>
        </is>
      </c>
      <c r="R979" s="10" t="inlineStr">
        <is>
          <t>MEDIA(2)</t>
        </is>
      </c>
      <c r="S979" s="10">
        <f>+(IF(P979="PUBLICA(1)",1,IF(P979="USO INTERNO(2)",2,IF(P979="RESTRINGIDO(3)",3,3))))+(IF(Q979="BAJA(1)",1,IF(Q979="MEDIA(2)",2,IF(Q979="ALTA(3)",3,3))))+(IF(R979="BAJA(1)",1,IF(R979="MEDIA(2)",2,IF(R979="ALTA(3)",3,3))))</f>
        <v/>
      </c>
      <c r="T979" s="10">
        <f>+IF(S979&lt;6,"BAJA",IF(S979&lt;8,"MEDIA","ALTA"))</f>
        <v/>
      </c>
      <c r="U979" s="10" t="inlineStr">
        <is>
          <t>-</t>
        </is>
      </c>
      <c r="V979" s="24" t="n">
        <v>45673</v>
      </c>
      <c r="W979" s="19" t="inlineStr">
        <is>
          <t>N/A</t>
        </is>
      </c>
      <c r="X979" s="10">
        <f>+IFERROR(IF(VLOOKUP(Tabla2[[#This Row],[ID]],'EVALUACION DE RIESGO'!A:A,1,FALSE)=Tabla2[[#This Row],[ID]],"SI","NO"),"NO")</f>
        <v/>
      </c>
    </row>
    <row r="980">
      <c r="A980" s="91" t="inlineStr">
        <is>
          <t>58-GFI</t>
        </is>
      </c>
      <c r="B980" s="10" t="inlineStr">
        <is>
          <t>APOYO</t>
        </is>
      </c>
      <c r="C980" s="10" t="inlineStr">
        <is>
          <t>Gestión Financiera</t>
        </is>
      </c>
      <c r="D980" s="10" t="inlineStr">
        <is>
          <t>GFI</t>
        </is>
      </c>
      <c r="E980" s="10" t="inlineStr">
        <is>
          <t>Gestión de Tesorería</t>
        </is>
      </c>
      <c r="F980" s="10" t="inlineStr">
        <is>
          <t>Gestión de Fondos Disponibles</t>
        </is>
      </c>
      <c r="G980" s="10" t="inlineStr">
        <is>
          <t>Aporte Fondo de liquidez y encaje bancario</t>
        </is>
      </c>
      <c r="H980" s="10" t="inlineStr">
        <is>
          <t>Cumplimiento de encaje bancario</t>
        </is>
      </c>
      <c r="I980" s="10" t="inlineStr">
        <is>
          <t>Reporte externo en Excel recibido del BCE donde se detalla el cumplimiento del encaje o su observación</t>
        </is>
      </c>
      <c r="J980" s="10" t="inlineStr">
        <is>
          <t xml:space="preserve">Tesorero </t>
        </is>
      </c>
      <c r="K980" s="10" t="inlineStr">
        <is>
          <t xml:space="preserve">Tesorero </t>
        </is>
      </c>
      <c r="L980" s="10" t="inlineStr">
        <is>
          <t>UBICACIÓN DIGITAL-EQUIPO DEL CUSTODIO</t>
        </is>
      </c>
      <c r="M980" s="10" t="inlineStr">
        <is>
          <t>DISCOS DUROS, SERVIDORES, DISCOS O MEDIOS PORTÁTILES, CINTAS O MEDIOS DE VIDEO Y AUDIO, ETC.</t>
        </is>
      </c>
      <c r="N980" s="10" t="inlineStr">
        <is>
          <t>PRIMARIOS</t>
        </is>
      </c>
      <c r="O980" s="10" t="inlineStr">
        <is>
          <t>DOCUMENTOS TÉCNICOS</t>
        </is>
      </c>
      <c r="P980" s="10" t="inlineStr">
        <is>
          <t>USO INTERNO(2)</t>
        </is>
      </c>
      <c r="Q980" s="10" t="inlineStr">
        <is>
          <t>MEDIA(2)</t>
        </is>
      </c>
      <c r="R980" s="10" t="inlineStr">
        <is>
          <t>MEDIA(2)</t>
        </is>
      </c>
      <c r="S980" s="10">
        <f>+(IF(P980="PUBLICA(1)",1,IF(P980="USO INTERNO(2)",2,IF(P980="RESTRINGIDO(3)",3,3))))+(IF(Q980="BAJA(1)",1,IF(Q980="MEDIA(2)",2,IF(Q980="ALTA(3)",3,3))))+(IF(R980="BAJA(1)",1,IF(R980="MEDIA(2)",2,IF(R980="ALTA(3)",3,3))))</f>
        <v/>
      </c>
      <c r="T980" s="10">
        <f>+IF(S980&lt;6,"BAJA",IF(S980&lt;8,"MEDIA","ALTA"))</f>
        <v/>
      </c>
      <c r="U980" s="10" t="inlineStr">
        <is>
          <t>-</t>
        </is>
      </c>
      <c r="V980" s="24" t="n">
        <v>45673</v>
      </c>
      <c r="W980" s="19" t="inlineStr">
        <is>
          <t>N/A</t>
        </is>
      </c>
      <c r="X980" s="10">
        <f>+IFERROR(IF(VLOOKUP(Tabla2[[#This Row],[ID]],'EVALUACION DE RIESGO'!A:A,1,FALSE)=Tabla2[[#This Row],[ID]],"SI","NO"),"NO")</f>
        <v/>
      </c>
    </row>
    <row r="981">
      <c r="A981" s="91" t="inlineStr">
        <is>
          <t>59-GFI</t>
        </is>
      </c>
      <c r="B981" s="10" t="inlineStr">
        <is>
          <t>APOYO</t>
        </is>
      </c>
      <c r="C981" s="10" t="inlineStr">
        <is>
          <t>Gestión Financiera</t>
        </is>
      </c>
      <c r="D981" s="10" t="inlineStr">
        <is>
          <t>GFI</t>
        </is>
      </c>
      <c r="E981" s="10" t="inlineStr">
        <is>
          <t>Gestión de Tesorería</t>
        </is>
      </c>
      <c r="F981" s="10" t="inlineStr">
        <is>
          <t>Gestión de Fondos Disponibles</t>
        </is>
      </c>
      <c r="G981" s="10" t="inlineStr">
        <is>
          <t>Apertura, manejo y cierre de cuentas en otras entidades financieras</t>
        </is>
      </c>
      <c r="H981" s="10" t="inlineStr">
        <is>
          <t>Registro de firmas</t>
        </is>
      </c>
      <c r="I981" s="10" t="inlineStr">
        <is>
          <t>Carta u oficio enviado al banco donde se solicita y se procede con el registro de las firmas</t>
        </is>
      </c>
      <c r="J981" s="10" t="inlineStr">
        <is>
          <t xml:space="preserve">Tesorero </t>
        </is>
      </c>
      <c r="K981" s="10" t="inlineStr">
        <is>
          <t xml:space="preserve">Tesorero </t>
        </is>
      </c>
      <c r="L981" s="10" t="inlineStr">
        <is>
          <t>UBICACIÓN DIGITAL-EQUIPO DEL CUSTODIO</t>
        </is>
      </c>
      <c r="M981" s="10" t="inlineStr">
        <is>
          <t>DISCOS DUROS, SERVIDORES, DISCOS O MEDIOS PORTÁTILES, CINTAS O MEDIOS DE VIDEO Y AUDIO, ETC.</t>
        </is>
      </c>
      <c r="N981" s="10" t="inlineStr">
        <is>
          <t>PRIMARIOS</t>
        </is>
      </c>
      <c r="O981" s="10" t="inlineStr">
        <is>
          <t>DOCUMENTOS HABILITANTES</t>
        </is>
      </c>
      <c r="P981" s="10" t="inlineStr">
        <is>
          <t>USO INTERNO(2)</t>
        </is>
      </c>
      <c r="Q981" s="10" t="inlineStr">
        <is>
          <t>MEDIA(2)</t>
        </is>
      </c>
      <c r="R981" s="10" t="inlineStr">
        <is>
          <t>MEDIA(2)</t>
        </is>
      </c>
      <c r="S981" s="10">
        <f>+(IF(P981="PUBLICA(1)",1,IF(P981="USO INTERNO(2)",2,IF(P981="RESTRINGIDO(3)",3,3))))+(IF(Q981="BAJA(1)",1,IF(Q981="MEDIA(2)",2,IF(Q981="ALTA(3)",3,3))))+(IF(R981="BAJA(1)",1,IF(R981="MEDIA(2)",2,IF(R981="ALTA(3)",3,3))))</f>
        <v/>
      </c>
      <c r="T981" s="10">
        <f>+IF(S981&lt;6,"BAJA",IF(S981&lt;8,"MEDIA","ALTA"))</f>
        <v/>
      </c>
      <c r="U981" s="10" t="inlineStr">
        <is>
          <t>-</t>
        </is>
      </c>
      <c r="V981" s="24" t="n">
        <v>45673</v>
      </c>
      <c r="W981" s="19" t="inlineStr">
        <is>
          <t>N/A</t>
        </is>
      </c>
      <c r="X981" s="10">
        <f>+IFERROR(IF(VLOOKUP(Tabla2[[#This Row],[ID]],'EVALUACION DE RIESGO'!A:A,1,FALSE)=Tabla2[[#This Row],[ID]],"SI","NO"),"NO")</f>
        <v/>
      </c>
    </row>
    <row r="982">
      <c r="A982" s="91" t="inlineStr">
        <is>
          <t>60-GFI</t>
        </is>
      </c>
      <c r="B982" s="10" t="inlineStr">
        <is>
          <t>APOYO</t>
        </is>
      </c>
      <c r="C982" s="10" t="inlineStr">
        <is>
          <t>Gestión Financiera</t>
        </is>
      </c>
      <c r="D982" s="10" t="inlineStr">
        <is>
          <t>GFI</t>
        </is>
      </c>
      <c r="E982" s="10" t="inlineStr">
        <is>
          <t>Gestión de Tesorería</t>
        </is>
      </c>
      <c r="F982" s="10" t="inlineStr">
        <is>
          <t>Gestión de Fondos Disponibles</t>
        </is>
      </c>
      <c r="G982" s="10" t="inlineStr">
        <is>
          <t xml:space="preserve">Registro y eliminación de firmas autorizadas         </t>
        </is>
      </c>
      <c r="H982" s="10" t="inlineStr">
        <is>
          <t>Documentos de sustento de registro o eliminación de firmas</t>
        </is>
      </c>
      <c r="I982" s="10" t="inlineStr">
        <is>
          <t>Carta u oficio enviado al banco donde se solicita la vinculación o desvinculación de firmas autorizadas</t>
        </is>
      </c>
      <c r="J982" s="10" t="inlineStr">
        <is>
          <t xml:space="preserve">Tesorero </t>
        </is>
      </c>
      <c r="K982" s="10" t="inlineStr">
        <is>
          <t xml:space="preserve">Tesorero </t>
        </is>
      </c>
      <c r="L982" s="10" t="inlineStr">
        <is>
          <t>UBICACIÓN DIGITAL-EQUIPO DEL CUSTODIO</t>
        </is>
      </c>
      <c r="M982" s="10" t="inlineStr">
        <is>
          <t>DISCOS DUROS, SERVIDORES, DISCOS O MEDIOS PORTÁTILES, CINTAS O MEDIOS DE VIDEO Y AUDIO, ETC.</t>
        </is>
      </c>
      <c r="N982" s="10" t="inlineStr">
        <is>
          <t>PRIMARIOS</t>
        </is>
      </c>
      <c r="O982" s="10" t="inlineStr">
        <is>
          <t>DOCUMENTOS HABILITANTES</t>
        </is>
      </c>
      <c r="P982" s="10" t="inlineStr">
        <is>
          <t>USO INTERNO(2)</t>
        </is>
      </c>
      <c r="Q982" s="10" t="inlineStr">
        <is>
          <t>MEDIA(2)</t>
        </is>
      </c>
      <c r="R982" s="10" t="inlineStr">
        <is>
          <t>ALTA(3)</t>
        </is>
      </c>
      <c r="S982" s="10">
        <f>+(IF(P982="PUBLICA(1)",1,IF(P982="USO INTERNO(2)",2,IF(P982="RESTRINGIDO(3)",3,3))))+(IF(Q982="BAJA(1)",1,IF(Q982="MEDIA(2)",2,IF(Q982="ALTA(3)",3,3))))+(IF(R982="BAJA(1)",1,IF(R982="MEDIA(2)",2,IF(R982="ALTA(3)",3,3))))</f>
        <v/>
      </c>
      <c r="T982" s="10">
        <f>+IF(S982&lt;6,"BAJA",IF(S982&lt;8,"MEDIA","ALTA"))</f>
        <v/>
      </c>
      <c r="U982" s="10" t="inlineStr">
        <is>
          <t>-</t>
        </is>
      </c>
      <c r="V982" s="24" t="n">
        <v>45673</v>
      </c>
      <c r="W982" s="19" t="inlineStr">
        <is>
          <t>N/A</t>
        </is>
      </c>
      <c r="X982" s="10">
        <f>+IFERROR(IF(VLOOKUP(Tabla2[[#This Row],[ID]],'EVALUACION DE RIESGO'!A:A,1,FALSE)=Tabla2[[#This Row],[ID]],"SI","NO"),"NO")</f>
        <v/>
      </c>
    </row>
    <row r="983">
      <c r="A983" s="91" t="inlineStr">
        <is>
          <t>61-GFI</t>
        </is>
      </c>
      <c r="B983" s="10" t="inlineStr">
        <is>
          <t>APOYO</t>
        </is>
      </c>
      <c r="C983" s="10" t="inlineStr">
        <is>
          <t>Gestión Financiera</t>
        </is>
      </c>
      <c r="D983" s="10" t="inlineStr">
        <is>
          <t>GFI</t>
        </is>
      </c>
      <c r="E983" s="10" t="inlineStr">
        <is>
          <t>Gestión de Tesorería</t>
        </is>
      </c>
      <c r="F983" s="10" t="inlineStr">
        <is>
          <t>Gestión de Fondos Disponibles</t>
        </is>
      </c>
      <c r="G983" s="10" t="inlineStr">
        <is>
          <t xml:space="preserve">Registro y eliminación de firmas autorizadas         </t>
        </is>
      </c>
      <c r="H983" s="10" t="inlineStr">
        <is>
          <t>Notificación de vinculación, desvinculación o cambio de funciones</t>
        </is>
      </c>
      <c r="I983" s="10" t="inlineStr">
        <is>
          <t>Notificación de desvinculación enviada por GTH para proceder con la eliminación de formas autorizadas.</t>
        </is>
      </c>
      <c r="J983" s="10" t="inlineStr">
        <is>
          <t xml:space="preserve">Tesorero </t>
        </is>
      </c>
      <c r="K983" s="10" t="inlineStr">
        <is>
          <t xml:space="preserve">Tesorero </t>
        </is>
      </c>
      <c r="L983" s="10" t="inlineStr">
        <is>
          <t>UBICACIÓN DIGITAL-EQUIPO DEL CUSTODIO</t>
        </is>
      </c>
      <c r="M983" s="10" t="inlineStr">
        <is>
          <t>DISCOS DUROS, SERVIDORES, DISCOS O MEDIOS PORTÁTILES, CINTAS O MEDIOS DE VIDEO Y AUDIO, ETC.</t>
        </is>
      </c>
      <c r="N983" s="10" t="inlineStr">
        <is>
          <t>PRIMARIOS</t>
        </is>
      </c>
      <c r="O983" s="10" t="inlineStr">
        <is>
          <t>COMUNICACIÓN INTERNA</t>
        </is>
      </c>
      <c r="P983" s="10" t="inlineStr">
        <is>
          <t>USO INTERNO(2)</t>
        </is>
      </c>
      <c r="Q983" s="10" t="inlineStr">
        <is>
          <t>MEDIA(2)</t>
        </is>
      </c>
      <c r="R983" s="10" t="inlineStr">
        <is>
          <t>MEDIA(2)</t>
        </is>
      </c>
      <c r="S983" s="10">
        <f>+(IF(P983="PUBLICA(1)",1,IF(P983="USO INTERNO(2)",2,IF(P983="RESTRINGIDO(3)",3,3))))+(IF(Q983="BAJA(1)",1,IF(Q983="MEDIA(2)",2,IF(Q983="ALTA(3)",3,3))))+(IF(R983="BAJA(1)",1,IF(R983="MEDIA(2)",2,IF(R983="ALTA(3)",3,3))))</f>
        <v/>
      </c>
      <c r="T983" s="10">
        <f>+IF(S983&lt;6,"BAJA",IF(S983&lt;8,"MEDIA","ALTA"))</f>
        <v/>
      </c>
      <c r="U983" s="10" t="inlineStr">
        <is>
          <t>-</t>
        </is>
      </c>
      <c r="V983" s="24" t="n">
        <v>45673</v>
      </c>
      <c r="W983" s="19" t="inlineStr">
        <is>
          <t>N/A</t>
        </is>
      </c>
      <c r="X983" s="10">
        <f>+IFERROR(IF(VLOOKUP(Tabla2[[#This Row],[ID]],'EVALUACION DE RIESGO'!A:A,1,FALSE)=Tabla2[[#This Row],[ID]],"SI","NO"),"NO")</f>
        <v/>
      </c>
    </row>
    <row r="984">
      <c r="A984" s="91" t="inlineStr">
        <is>
          <t>62-GFI</t>
        </is>
      </c>
      <c r="B984" s="10" t="inlineStr">
        <is>
          <t>APOYO</t>
        </is>
      </c>
      <c r="C984" s="10" t="inlineStr">
        <is>
          <t>Gestión Financiera</t>
        </is>
      </c>
      <c r="D984" s="10" t="inlineStr">
        <is>
          <t>GFI</t>
        </is>
      </c>
      <c r="E984" s="10" t="inlineStr">
        <is>
          <t>Gestión de Tesorería</t>
        </is>
      </c>
      <c r="F984" s="10" t="inlineStr">
        <is>
          <t>Gestión de Fondos Disponibles</t>
        </is>
      </c>
      <c r="G984" s="10" t="inlineStr">
        <is>
          <t xml:space="preserve">Administración de chequeras    </t>
        </is>
      </c>
      <c r="H984" s="10" t="inlineStr">
        <is>
          <t>Actas de entrega recepción de chequeras</t>
        </is>
      </c>
      <c r="I984" s="10" t="inlineStr">
        <is>
          <t>Documento que avala la recepción de chequeras que contiene firmas de responsabilidad, y detalle del activo entregado</t>
        </is>
      </c>
      <c r="J984" s="10" t="inlineStr">
        <is>
          <t xml:space="preserve">Tesorero </t>
        </is>
      </c>
      <c r="K984" s="10" t="inlineStr">
        <is>
          <t xml:space="preserve">Tesorero </t>
        </is>
      </c>
      <c r="L984" s="10" t="inlineStr">
        <is>
          <t>UBICACIÓN DIGITAL-EQUIPO DEL CUSTODIO</t>
        </is>
      </c>
      <c r="M984" s="10" t="inlineStr">
        <is>
          <t>DISCOS DUROS, SERVIDORES, DISCOS O MEDIOS PORTÁTILES, CINTAS O MEDIOS DE VIDEO Y AUDIO, ETC.</t>
        </is>
      </c>
      <c r="N984" s="10" t="inlineStr">
        <is>
          <t>PRIMARIOS</t>
        </is>
      </c>
      <c r="O984" s="10" t="inlineStr">
        <is>
          <t>DOCUMENTOS HABILITANTES</t>
        </is>
      </c>
      <c r="P984" s="10" t="inlineStr">
        <is>
          <t>USO INTERNO(2)</t>
        </is>
      </c>
      <c r="Q984" s="10" t="inlineStr">
        <is>
          <t>BAJA(1)</t>
        </is>
      </c>
      <c r="R984" s="10" t="inlineStr">
        <is>
          <t>MEDIA(2)</t>
        </is>
      </c>
      <c r="S984" s="10">
        <f>+(IF(P984="PUBLICA(1)",1,IF(P984="USO INTERNO(2)",2,IF(P984="RESTRINGIDO(3)",3,3))))+(IF(Q984="BAJA(1)",1,IF(Q984="MEDIA(2)",2,IF(Q984="ALTA(3)",3,3))))+(IF(R984="BAJA(1)",1,IF(R984="MEDIA(2)",2,IF(R984="ALTA(3)",3,3))))</f>
        <v/>
      </c>
      <c r="T984" s="10">
        <f>+IF(S984&lt;6,"BAJA",IF(S984&lt;8,"MEDIA","ALTA"))</f>
        <v/>
      </c>
      <c r="U984" s="10" t="inlineStr">
        <is>
          <t>-</t>
        </is>
      </c>
      <c r="V984" s="24" t="n">
        <v>45673</v>
      </c>
      <c r="W984" s="19" t="inlineStr">
        <is>
          <t>N/A</t>
        </is>
      </c>
      <c r="X984" s="10">
        <f>+IFERROR(IF(VLOOKUP(Tabla2[[#This Row],[ID]],'EVALUACION DE RIESGO'!A:A,1,FALSE)=Tabla2[[#This Row],[ID]],"SI","NO"),"NO")</f>
        <v/>
      </c>
    </row>
    <row r="985">
      <c r="A985" s="91" t="inlineStr">
        <is>
          <t>63-GFI</t>
        </is>
      </c>
      <c r="B985" s="10" t="inlineStr">
        <is>
          <t>APOYO</t>
        </is>
      </c>
      <c r="C985" s="10" t="inlineStr">
        <is>
          <t>Gestión Financiera</t>
        </is>
      </c>
      <c r="D985" s="10" t="inlineStr">
        <is>
          <t>GFI</t>
        </is>
      </c>
      <c r="E985" s="10" t="inlineStr">
        <is>
          <t>Gestión de Tesorería</t>
        </is>
      </c>
      <c r="F985" s="10" t="inlineStr">
        <is>
          <t>Gestión de Fondos Disponibles</t>
        </is>
      </c>
      <c r="G985" s="10" t="inlineStr">
        <is>
          <t xml:space="preserve">Administración de chequeras    </t>
        </is>
      </c>
      <c r="H985" s="10" t="inlineStr">
        <is>
          <t>Solicitud de requerimiento de chequera</t>
        </is>
      </c>
      <c r="I985" s="10" t="inlineStr">
        <is>
          <t>Documento o memorando enviado por las oficinas solicitando la chequera, información detalla por medio de un mail</t>
        </is>
      </c>
      <c r="J985" s="10" t="inlineStr">
        <is>
          <t xml:space="preserve">Tesorero </t>
        </is>
      </c>
      <c r="K985" s="10" t="inlineStr">
        <is>
          <t xml:space="preserve">Tesorero </t>
        </is>
      </c>
      <c r="L985" s="10" t="inlineStr">
        <is>
          <t>UBICACIÓN DIGITAL-EQUIPO DEL CUSTODIO</t>
        </is>
      </c>
      <c r="M985" s="10" t="inlineStr">
        <is>
          <t>DISCOS DUROS, SERVIDORES, DISCOS O MEDIOS PORTÁTILES, CINTAS O MEDIOS DE VIDEO Y AUDIO, ETC.</t>
        </is>
      </c>
      <c r="N985" s="10" t="inlineStr">
        <is>
          <t>PRIMARIOS</t>
        </is>
      </c>
      <c r="O985" s="10" t="inlineStr">
        <is>
          <t>COMUNICACIÓN INTERNA</t>
        </is>
      </c>
      <c r="P985" s="10" t="inlineStr">
        <is>
          <t>USO INTERNO(2)</t>
        </is>
      </c>
      <c r="Q985" s="10" t="inlineStr">
        <is>
          <t>BAJA(1)</t>
        </is>
      </c>
      <c r="R985" s="10" t="inlineStr">
        <is>
          <t>MEDIA(2)</t>
        </is>
      </c>
      <c r="S985" s="10">
        <f>+(IF(P985="PUBLICA(1)",1,IF(P985="USO INTERNO(2)",2,IF(P985="RESTRINGIDO(3)",3,3))))+(IF(Q985="BAJA(1)",1,IF(Q985="MEDIA(2)",2,IF(Q985="ALTA(3)",3,3))))+(IF(R985="BAJA(1)",1,IF(R985="MEDIA(2)",2,IF(R985="ALTA(3)",3,3))))</f>
        <v/>
      </c>
      <c r="T985" s="10">
        <f>+IF(S985&lt;6,"BAJA",IF(S985&lt;8,"MEDIA","ALTA"))</f>
        <v/>
      </c>
      <c r="U985" s="10" t="inlineStr">
        <is>
          <t>-</t>
        </is>
      </c>
      <c r="V985" s="24" t="n">
        <v>45673</v>
      </c>
      <c r="W985" s="19" t="inlineStr">
        <is>
          <t>N/A</t>
        </is>
      </c>
      <c r="X985" s="10">
        <f>+IFERROR(IF(VLOOKUP(Tabla2[[#This Row],[ID]],'EVALUACION DE RIESGO'!A:A,1,FALSE)=Tabla2[[#This Row],[ID]],"SI","NO"),"NO")</f>
        <v/>
      </c>
    </row>
    <row r="986">
      <c r="A986" s="91" t="inlineStr">
        <is>
          <t>64-GFI</t>
        </is>
      </c>
      <c r="B986" s="10" t="inlineStr">
        <is>
          <t>APOYO</t>
        </is>
      </c>
      <c r="C986" s="10" t="inlineStr">
        <is>
          <t>Gestión Financiera</t>
        </is>
      </c>
      <c r="D986" s="10" t="inlineStr">
        <is>
          <t>GFI</t>
        </is>
      </c>
      <c r="E986" s="10" t="inlineStr">
        <is>
          <t>Gestión de Tesorería</t>
        </is>
      </c>
      <c r="F986" s="10" t="inlineStr">
        <is>
          <t>Gestión de Fondos Disponibles</t>
        </is>
      </c>
      <c r="G986" s="10" t="inlineStr">
        <is>
          <t xml:space="preserve">Transferencias bancarias    </t>
        </is>
      </c>
      <c r="H986" s="10" t="inlineStr">
        <is>
          <t>Comprobante de transferencia de fondos propios</t>
        </is>
      </c>
      <c r="I986" s="10" t="inlineStr">
        <is>
          <t>Registro de la transferencia realizada con el banco, enviada a contabilidad para su posterior seguimiento</t>
        </is>
      </c>
      <c r="J986" s="10" t="inlineStr">
        <is>
          <t xml:space="preserve">Tesorero </t>
        </is>
      </c>
      <c r="K986" s="10" t="inlineStr">
        <is>
          <t xml:space="preserve">Tesorero </t>
        </is>
      </c>
      <c r="L986" s="10" t="inlineStr">
        <is>
          <t>UBICACIÓN DIGITAL-EQUIPO DEL CUSTODIO</t>
        </is>
      </c>
      <c r="M986" s="10" t="inlineStr">
        <is>
          <t>DISCOS DUROS, SERVIDORES, DISCOS O MEDIOS PORTÁTILES, CINTAS O MEDIOS DE VIDEO Y AUDIO, ETC.</t>
        </is>
      </c>
      <c r="N986" s="10" t="inlineStr">
        <is>
          <t>PRIMARIOS</t>
        </is>
      </c>
      <c r="O986" s="10" t="inlineStr">
        <is>
          <t>DOCUMENTOS HABILITANTES</t>
        </is>
      </c>
      <c r="P986" s="10" t="inlineStr">
        <is>
          <t>USO INTERNO(2)</t>
        </is>
      </c>
      <c r="Q986" s="10" t="inlineStr">
        <is>
          <t>MEDIA(2)</t>
        </is>
      </c>
      <c r="R986" s="10" t="inlineStr">
        <is>
          <t>MEDIA(2)</t>
        </is>
      </c>
      <c r="S986" s="10">
        <f>+(IF(P986="PUBLICA(1)",1,IF(P986="USO INTERNO(2)",2,IF(P986="RESTRINGIDO(3)",3,3))))+(IF(Q986="BAJA(1)",1,IF(Q986="MEDIA(2)",2,IF(Q986="ALTA(3)",3,3))))+(IF(R986="BAJA(1)",1,IF(R986="MEDIA(2)",2,IF(R986="ALTA(3)",3,3))))</f>
        <v/>
      </c>
      <c r="T986" s="10">
        <f>+IF(S986&lt;6,"BAJA",IF(S986&lt;8,"MEDIA","ALTA"))</f>
        <v/>
      </c>
      <c r="U986" s="10" t="inlineStr">
        <is>
          <t>-</t>
        </is>
      </c>
      <c r="V986" s="24" t="n">
        <v>45673</v>
      </c>
      <c r="W986" s="19" t="inlineStr">
        <is>
          <t>N/A</t>
        </is>
      </c>
      <c r="X986" s="10">
        <f>+IFERROR(IF(VLOOKUP(Tabla2[[#This Row],[ID]],'EVALUACION DE RIESGO'!A:A,1,FALSE)=Tabla2[[#This Row],[ID]],"SI","NO"),"NO")</f>
        <v/>
      </c>
    </row>
    <row r="987">
      <c r="A987" s="91" t="inlineStr">
        <is>
          <t>65-GFI</t>
        </is>
      </c>
      <c r="B987" s="10" t="inlineStr">
        <is>
          <t>APOYO</t>
        </is>
      </c>
      <c r="C987" s="10" t="inlineStr">
        <is>
          <t>Gestión Financiera</t>
        </is>
      </c>
      <c r="D987" s="10" t="inlineStr">
        <is>
          <t>GFI</t>
        </is>
      </c>
      <c r="E987" s="10" t="inlineStr">
        <is>
          <t>Gestión de Tesorería</t>
        </is>
      </c>
      <c r="F987" s="10" t="inlineStr">
        <is>
          <t>Gestión de Fondos Disponibles</t>
        </is>
      </c>
      <c r="G987" s="10" t="inlineStr">
        <is>
          <t xml:space="preserve">Transferencias bancarias    </t>
        </is>
      </c>
      <c r="H987" s="10" t="inlineStr">
        <is>
          <t>Comprobante de transferencias cash managment / BCE</t>
        </is>
      </c>
      <c r="I987" s="10" t="inlineStr">
        <is>
          <t>Comprobante de transferencia del sistema de pagos en línea del BCE, detalla n comprobante, fecha, información de la institución ordenante, valor, cuanta, institución beneficiaria</t>
        </is>
      </c>
      <c r="J987" s="10" t="inlineStr">
        <is>
          <t xml:space="preserve">Tesorero </t>
        </is>
      </c>
      <c r="K987" s="10" t="inlineStr">
        <is>
          <t xml:space="preserve">Tesorero </t>
        </is>
      </c>
      <c r="L987" s="10" t="inlineStr">
        <is>
          <t>UBICACIÓN DIGITAL-EQUIPO DEL CUSTODIO</t>
        </is>
      </c>
      <c r="M987" s="10" t="inlineStr">
        <is>
          <t>DISCOS DUROS, SERVIDORES, DISCOS O MEDIOS PORTÁTILES, CINTAS O MEDIOS DE VIDEO Y AUDIO, ETC.</t>
        </is>
      </c>
      <c r="N987" s="10" t="inlineStr">
        <is>
          <t>PRIMARIOS</t>
        </is>
      </c>
      <c r="O987" s="10" t="inlineStr">
        <is>
          <t>DOCUMENTOS HABILITANTES</t>
        </is>
      </c>
      <c r="P987" s="10" t="inlineStr">
        <is>
          <t>USO INTERNO(2)</t>
        </is>
      </c>
      <c r="Q987" s="10" t="inlineStr">
        <is>
          <t>BAJA(1)</t>
        </is>
      </c>
      <c r="R987" s="10" t="inlineStr">
        <is>
          <t>MEDIA(2)</t>
        </is>
      </c>
      <c r="S987" s="10">
        <f>+(IF(P987="PUBLICA(1)",1,IF(P987="USO INTERNO(2)",2,IF(P987="RESTRINGIDO(3)",3,3))))+(IF(Q987="BAJA(1)",1,IF(Q987="MEDIA(2)",2,IF(Q987="ALTA(3)",3,3))))+(IF(R987="BAJA(1)",1,IF(R987="MEDIA(2)",2,IF(R987="ALTA(3)",3,3))))</f>
        <v/>
      </c>
      <c r="T987" s="10">
        <f>+IF(S987&lt;6,"BAJA",IF(S987&lt;8,"MEDIA","ALTA"))</f>
        <v/>
      </c>
      <c r="U987" s="10" t="inlineStr">
        <is>
          <t>-</t>
        </is>
      </c>
      <c r="V987" s="24" t="n">
        <v>45673</v>
      </c>
      <c r="W987" s="19" t="inlineStr">
        <is>
          <t>N/A</t>
        </is>
      </c>
      <c r="X987" s="10">
        <f>+IFERROR(IF(VLOOKUP(Tabla2[[#This Row],[ID]],'EVALUACION DE RIESGO'!A:A,1,FALSE)=Tabla2[[#This Row],[ID]],"SI","NO"),"NO")</f>
        <v/>
      </c>
    </row>
    <row r="988">
      <c r="A988" s="91" t="inlineStr">
        <is>
          <t>66-GFI</t>
        </is>
      </c>
      <c r="B988" s="10" t="inlineStr">
        <is>
          <t>APOYO</t>
        </is>
      </c>
      <c r="C988" s="10" t="inlineStr">
        <is>
          <t>Gestión Financiera</t>
        </is>
      </c>
      <c r="D988" s="10" t="inlineStr">
        <is>
          <t>GFI</t>
        </is>
      </c>
      <c r="E988" s="10" t="inlineStr">
        <is>
          <t>Gestión de Tesorería</t>
        </is>
      </c>
      <c r="F988" s="10" t="inlineStr">
        <is>
          <t>Gestión de Fondos Disponibles</t>
        </is>
      </c>
      <c r="G988" s="10" t="inlineStr">
        <is>
          <t xml:space="preserve">Transferencias bancarias    </t>
        </is>
      </c>
      <c r="H988" s="10" t="inlineStr">
        <is>
          <t>Comprobante de transferencia varias</t>
        </is>
      </c>
      <c r="I988" s="10" t="inlineStr">
        <is>
          <t>Registro de la transferencias que son inusuales, realizada con el banco, enviada a contabilidad para su posterior seguimiento</t>
        </is>
      </c>
      <c r="J988" s="10" t="inlineStr">
        <is>
          <t xml:space="preserve">Tesorero </t>
        </is>
      </c>
      <c r="K988" s="10" t="inlineStr">
        <is>
          <t xml:space="preserve">Tesorero </t>
        </is>
      </c>
      <c r="L988" s="10" t="inlineStr">
        <is>
          <t>UBICACIÓN DIGITAL-EQUIPO DEL CUSTODIO</t>
        </is>
      </c>
      <c r="M988" s="10" t="inlineStr">
        <is>
          <t>DISCOS DUROS, SERVIDORES, DISCOS O MEDIOS PORTÁTILES, CINTAS O MEDIOS DE VIDEO Y AUDIO, ETC.</t>
        </is>
      </c>
      <c r="N988" s="10" t="inlineStr">
        <is>
          <t>PRIMARIOS</t>
        </is>
      </c>
      <c r="O988" s="10" t="inlineStr">
        <is>
          <t>COMUNICACIÓN INTERNA</t>
        </is>
      </c>
      <c r="P988" s="10" t="inlineStr">
        <is>
          <t>USO INTERNO(2)</t>
        </is>
      </c>
      <c r="Q988" s="10" t="inlineStr">
        <is>
          <t>BAJA(1)</t>
        </is>
      </c>
      <c r="R988" s="10" t="inlineStr">
        <is>
          <t>MEDIA(2)</t>
        </is>
      </c>
      <c r="S988" s="10">
        <f>+(IF(P988="PUBLICA(1)",1,IF(P988="USO INTERNO(2)",2,IF(P988="RESTRINGIDO(3)",3,3))))+(IF(Q988="BAJA(1)",1,IF(Q988="MEDIA(2)",2,IF(Q988="ALTA(3)",3,3))))+(IF(R988="BAJA(1)",1,IF(R988="MEDIA(2)",2,IF(R988="ALTA(3)",3,3))))</f>
        <v/>
      </c>
      <c r="T988" s="10">
        <f>+IF(S988&lt;6,"BAJA",IF(S988&lt;8,"MEDIA","ALTA"))</f>
        <v/>
      </c>
      <c r="U988" s="10" t="inlineStr">
        <is>
          <t>-</t>
        </is>
      </c>
      <c r="V988" s="24" t="n">
        <v>45673</v>
      </c>
      <c r="W988" s="19" t="inlineStr">
        <is>
          <t>N/A</t>
        </is>
      </c>
      <c r="X988" s="10">
        <f>+IFERROR(IF(VLOOKUP(Tabla2[[#This Row],[ID]],'EVALUACION DE RIESGO'!A:A,1,FALSE)=Tabla2[[#This Row],[ID]],"SI","NO"),"NO")</f>
        <v/>
      </c>
    </row>
    <row r="989">
      <c r="A989" s="91" t="inlineStr">
        <is>
          <t>67-GFI</t>
        </is>
      </c>
      <c r="B989" s="10" t="inlineStr">
        <is>
          <t>APOYO</t>
        </is>
      </c>
      <c r="C989" s="10" t="inlineStr">
        <is>
          <t>Gestión Financiera</t>
        </is>
      </c>
      <c r="D989" s="10" t="inlineStr">
        <is>
          <t>GFI</t>
        </is>
      </c>
      <c r="E989" s="10" t="inlineStr">
        <is>
          <t>Gestión de Tesorería</t>
        </is>
      </c>
      <c r="F989" s="10" t="inlineStr">
        <is>
          <t>Gestión de Fondos Disponibles</t>
        </is>
      </c>
      <c r="G989" s="10" t="inlineStr">
        <is>
          <t xml:space="preserve">Flujo de caja   </t>
        </is>
      </c>
      <c r="H989" s="10" t="inlineStr">
        <is>
          <t>Archivo de Flujo de caja</t>
        </is>
      </c>
      <c r="I989" s="10" t="inlineStr">
        <is>
          <t>Archivo digital de FIT que contiene el flujo de caja proyectado, ingreso egresos y saldo final de caja</t>
        </is>
      </c>
      <c r="J989" s="10" t="inlineStr">
        <is>
          <t xml:space="preserve">Tesorero </t>
        </is>
      </c>
      <c r="K989" s="10" t="inlineStr">
        <is>
          <t xml:space="preserve">Tesorero </t>
        </is>
      </c>
      <c r="L989" s="10" t="inlineStr">
        <is>
          <t>UBICACIÓN DIGITAL-EQUIPO DEL CUSTODIO</t>
        </is>
      </c>
      <c r="M989" s="10" t="inlineStr">
        <is>
          <t>DISCOS DUROS, SERVIDORES, DISCOS O MEDIOS PORTÁTILES, CINTAS O MEDIOS DE VIDEO Y AUDIO, ETC.</t>
        </is>
      </c>
      <c r="N989" s="10" t="inlineStr">
        <is>
          <t>PRIMARIOS</t>
        </is>
      </c>
      <c r="O989" s="10" t="inlineStr">
        <is>
          <t>DOCUMENTOS TÉCNICOS</t>
        </is>
      </c>
      <c r="P989" s="10" t="inlineStr">
        <is>
          <t>USO INTERNO(2)</t>
        </is>
      </c>
      <c r="Q989" s="10" t="inlineStr">
        <is>
          <t>BAJA(1)</t>
        </is>
      </c>
      <c r="R989" s="10" t="inlineStr">
        <is>
          <t>MEDIA(2)</t>
        </is>
      </c>
      <c r="S989" s="10">
        <f>+(IF(P989="PUBLICA(1)",1,IF(P989="USO INTERNO(2)",2,IF(P989="RESTRINGIDO(3)",3,3))))+(IF(Q989="BAJA(1)",1,IF(Q989="MEDIA(2)",2,IF(Q989="ALTA(3)",3,3))))+(IF(R989="BAJA(1)",1,IF(R989="MEDIA(2)",2,IF(R989="ALTA(3)",3,3))))</f>
        <v/>
      </c>
      <c r="T989" s="10">
        <f>+IF(S989&lt;6,"BAJA",IF(S989&lt;8,"MEDIA","ALTA"))</f>
        <v/>
      </c>
      <c r="U989" s="10" t="inlineStr">
        <is>
          <t>-</t>
        </is>
      </c>
      <c r="V989" s="24" t="n">
        <v>45673</v>
      </c>
      <c r="W989" s="19" t="inlineStr">
        <is>
          <t>N/A</t>
        </is>
      </c>
      <c r="X989" s="10">
        <f>+IFERROR(IF(VLOOKUP(Tabla2[[#This Row],[ID]],'EVALUACION DE RIESGO'!A:A,1,FALSE)=Tabla2[[#This Row],[ID]],"SI","NO"),"NO")</f>
        <v/>
      </c>
    </row>
    <row r="990">
      <c r="A990" s="91" t="inlineStr">
        <is>
          <t>68-GFI</t>
        </is>
      </c>
      <c r="B990" s="10" t="inlineStr">
        <is>
          <t>APOYO</t>
        </is>
      </c>
      <c r="C990" s="10" t="inlineStr">
        <is>
          <t>Gestión Financiera</t>
        </is>
      </c>
      <c r="D990" s="10" t="inlineStr">
        <is>
          <t>GFI</t>
        </is>
      </c>
      <c r="E990" s="10" t="inlineStr">
        <is>
          <t>Gestión de Tesorería</t>
        </is>
      </c>
      <c r="F990" s="10" t="inlineStr">
        <is>
          <t>Gestión de Fondos Disponibles</t>
        </is>
      </c>
      <c r="G990" s="10" t="inlineStr">
        <is>
          <t xml:space="preserve">Fondeo de bóveda y depósitos de excedentes </t>
        </is>
      </c>
      <c r="H990" s="10" t="inlineStr">
        <is>
          <t>Oficio para requerir fondos al banco</t>
        </is>
      </c>
      <c r="I990" s="10" t="inlineStr">
        <is>
          <t>Oficio a la institución financiera para requerir fondos al banco</t>
        </is>
      </c>
      <c r="J990" s="10" t="inlineStr">
        <is>
          <t xml:space="preserve">Tesorero </t>
        </is>
      </c>
      <c r="K990" s="10" t="inlineStr">
        <is>
          <t xml:space="preserve">Tesorero </t>
        </is>
      </c>
      <c r="L990" s="10" t="inlineStr">
        <is>
          <t>UBICACIÓN DIGITAL-EQUIPO DEL CUSTODIO</t>
        </is>
      </c>
      <c r="M990" s="10" t="inlineStr">
        <is>
          <t>DISCOS DUROS, SERVIDORES, DISCOS O MEDIOS PORTÁTILES, CINTAS O MEDIOS DE VIDEO Y AUDIO, ETC.</t>
        </is>
      </c>
      <c r="N990" s="10" t="inlineStr">
        <is>
          <t>PRIMARIOS</t>
        </is>
      </c>
      <c r="O990" s="10" t="inlineStr">
        <is>
          <t>DOCUMENTOS HABILITANTES</t>
        </is>
      </c>
      <c r="P990" s="10" t="inlineStr">
        <is>
          <t>USO INTERNO(2)</t>
        </is>
      </c>
      <c r="Q990" s="10" t="inlineStr">
        <is>
          <t>MEDIA(2)</t>
        </is>
      </c>
      <c r="R990" s="10" t="inlineStr">
        <is>
          <t>MEDIA(2)</t>
        </is>
      </c>
      <c r="S990" s="10">
        <f>+(IF(P990="PUBLICA(1)",1,IF(P990="USO INTERNO(2)",2,IF(P990="RESTRINGIDO(3)",3,3))))+(IF(Q990="BAJA(1)",1,IF(Q990="MEDIA(2)",2,IF(Q990="ALTA(3)",3,3))))+(IF(R990="BAJA(1)",1,IF(R990="MEDIA(2)",2,IF(R990="ALTA(3)",3,3))))</f>
        <v/>
      </c>
      <c r="T990" s="10">
        <f>+IF(S990&lt;6,"BAJA",IF(S990&lt;8,"MEDIA","ALTA"))</f>
        <v/>
      </c>
      <c r="U990" s="10" t="inlineStr">
        <is>
          <t>-</t>
        </is>
      </c>
      <c r="V990" s="24" t="n">
        <v>45673</v>
      </c>
      <c r="W990" s="19" t="inlineStr">
        <is>
          <t>N/A</t>
        </is>
      </c>
      <c r="X990" s="10">
        <f>+IFERROR(IF(VLOOKUP(Tabla2[[#This Row],[ID]],'EVALUACION DE RIESGO'!A:A,1,FALSE)=Tabla2[[#This Row],[ID]],"SI","NO"),"NO")</f>
        <v/>
      </c>
    </row>
    <row r="991">
      <c r="A991" s="91" t="inlineStr">
        <is>
          <t>69-GFI</t>
        </is>
      </c>
      <c r="B991" s="10" t="inlineStr">
        <is>
          <t>APOYO</t>
        </is>
      </c>
      <c r="C991" s="10" t="inlineStr">
        <is>
          <t>Gestión Financiera</t>
        </is>
      </c>
      <c r="D991" s="10" t="inlineStr">
        <is>
          <t>GFI</t>
        </is>
      </c>
      <c r="E991" s="10" t="inlineStr">
        <is>
          <t>Gestión de Tesorería</t>
        </is>
      </c>
      <c r="F991" s="10" t="inlineStr">
        <is>
          <t>Gestión de Fondos Disponibles</t>
        </is>
      </c>
      <c r="G991" s="10" t="inlineStr">
        <is>
          <t xml:space="preserve">Fondeo de bóveda y depósitos de excedentes </t>
        </is>
      </c>
      <c r="H991" s="10" t="inlineStr">
        <is>
          <t>Solicitud de fondeo y depósitos de excedente</t>
        </is>
      </c>
      <c r="I991" s="10" t="inlineStr">
        <is>
          <t>Documento Solicitud de la cantidad la cual va ser fondeada a la bóveda</t>
        </is>
      </c>
      <c r="J991" s="10" t="inlineStr">
        <is>
          <t xml:space="preserve">Tesorero </t>
        </is>
      </c>
      <c r="K991" s="10" t="inlineStr">
        <is>
          <t xml:space="preserve">Tesorero </t>
        </is>
      </c>
      <c r="L991" s="10" t="inlineStr">
        <is>
          <t>UBICACIÓN DIGITAL-EQUIPO DEL CUSTODIO</t>
        </is>
      </c>
      <c r="M991" s="10" t="inlineStr">
        <is>
          <t>DISCOS DUROS, SERVIDORES, DISCOS O MEDIOS PORTÁTILES, CINTAS O MEDIOS DE VIDEO Y AUDIO, ETC.</t>
        </is>
      </c>
      <c r="N991" s="10" t="inlineStr">
        <is>
          <t>PRIMARIOS</t>
        </is>
      </c>
      <c r="O991" s="10" t="inlineStr">
        <is>
          <t>COMUNICACIÓN INTERNA</t>
        </is>
      </c>
      <c r="P991" s="10" t="inlineStr">
        <is>
          <t>USO INTERNO(2)</t>
        </is>
      </c>
      <c r="Q991" s="10" t="inlineStr">
        <is>
          <t>MEDIA(2)</t>
        </is>
      </c>
      <c r="R991" s="10" t="inlineStr">
        <is>
          <t>MEDIA(2)</t>
        </is>
      </c>
      <c r="S991" s="10">
        <f>+(IF(P991="PUBLICA(1)",1,IF(P991="USO INTERNO(2)",2,IF(P991="RESTRINGIDO(3)",3,3))))+(IF(Q991="BAJA(1)",1,IF(Q991="MEDIA(2)",2,IF(Q991="ALTA(3)",3,3))))+(IF(R991="BAJA(1)",1,IF(R991="MEDIA(2)",2,IF(R991="ALTA(3)",3,3))))</f>
        <v/>
      </c>
      <c r="T991" s="10">
        <f>+IF(S991&lt;6,"BAJA",IF(S991&lt;8,"MEDIA","ALTA"))</f>
        <v/>
      </c>
      <c r="U991" s="10" t="inlineStr">
        <is>
          <t>-</t>
        </is>
      </c>
      <c r="V991" s="24" t="n">
        <v>45673</v>
      </c>
      <c r="W991" s="19" t="inlineStr">
        <is>
          <t>N/A</t>
        </is>
      </c>
      <c r="X991" s="10">
        <f>+IFERROR(IF(VLOOKUP(Tabla2[[#This Row],[ID]],'EVALUACION DE RIESGO'!A:A,1,FALSE)=Tabla2[[#This Row],[ID]],"SI","NO"),"NO")</f>
        <v/>
      </c>
    </row>
    <row r="992">
      <c r="A992" s="91" t="inlineStr">
        <is>
          <t>70-GFI</t>
        </is>
      </c>
      <c r="B992" s="10" t="inlineStr">
        <is>
          <t>APOYO</t>
        </is>
      </c>
      <c r="C992" s="10" t="inlineStr">
        <is>
          <t>Gestión Financiera</t>
        </is>
      </c>
      <c r="D992" s="10" t="inlineStr">
        <is>
          <t>GFI</t>
        </is>
      </c>
      <c r="E992" s="10" t="inlineStr">
        <is>
          <t>Gestión de Tesorería</t>
        </is>
      </c>
      <c r="F992" s="10" t="inlineStr">
        <is>
          <t>Gestión de Fondos Disponibles</t>
        </is>
      </c>
      <c r="G992" s="10" t="inlineStr">
        <is>
          <t xml:space="preserve">Fondeo de bóveda y depósitos de excedentes </t>
        </is>
      </c>
      <c r="H992" s="10" t="inlineStr">
        <is>
          <t>Papeleta de depósito/Guía de remisión</t>
        </is>
      </c>
      <c r="I992" s="10" t="inlineStr">
        <is>
          <t>Documentos de respaldo de la entrega de efectivo a la empresa transportadora de valores</t>
        </is>
      </c>
      <c r="J992" s="10" t="inlineStr">
        <is>
          <t xml:space="preserve">Tesorero </t>
        </is>
      </c>
      <c r="K992" s="10" t="inlineStr">
        <is>
          <t>Supervisor Operativo</t>
        </is>
      </c>
      <c r="L992" s="10" t="inlineStr">
        <is>
          <t>DOCUMENTOS FISICOS-ARCHIVOS DE LA OFICINA</t>
        </is>
      </c>
      <c r="M992" s="10" t="inlineStr">
        <is>
          <t>DOCUMENTO DE ARCHIVO-FÍSICO</t>
        </is>
      </c>
      <c r="N992" s="10" t="inlineStr">
        <is>
          <t>PRIMARIOS</t>
        </is>
      </c>
      <c r="O992" s="10" t="inlineStr">
        <is>
          <t>DOCUMENTOS HABILITANTES</t>
        </is>
      </c>
      <c r="P992" s="10" t="inlineStr">
        <is>
          <t>USO INTERNO(2)</t>
        </is>
      </c>
      <c r="Q992" s="10" t="inlineStr">
        <is>
          <t>MEDIA(2)</t>
        </is>
      </c>
      <c r="R992" s="10" t="inlineStr">
        <is>
          <t>BAJA(1)</t>
        </is>
      </c>
      <c r="S992" s="10">
        <f>+(IF(P992="PUBLICA(1)",1,IF(P992="USO INTERNO(2)",2,IF(P992="RESTRINGIDO(3)",3,3))))+(IF(Q992="BAJA(1)",1,IF(Q992="MEDIA(2)",2,IF(Q992="ALTA(3)",3,3))))+(IF(R992="BAJA(1)",1,IF(R992="MEDIA(2)",2,IF(R992="ALTA(3)",3,3))))</f>
        <v/>
      </c>
      <c r="T992" s="10">
        <f>+IF(S992&lt;6,"BAJA",IF(S992&lt;8,"MEDIA","ALTA"))</f>
        <v/>
      </c>
      <c r="U992" s="10" t="inlineStr">
        <is>
          <t>-</t>
        </is>
      </c>
      <c r="V992" s="24" t="n">
        <v>45673</v>
      </c>
      <c r="W992" s="19" t="inlineStr">
        <is>
          <t>N/A</t>
        </is>
      </c>
      <c r="X992" s="10">
        <f>+IFERROR(IF(VLOOKUP(Tabla2[[#This Row],[ID]],'EVALUACION DE RIESGO'!A:A,1,FALSE)=Tabla2[[#This Row],[ID]],"SI","NO"),"NO")</f>
        <v/>
      </c>
    </row>
    <row r="993">
      <c r="A993" s="91" t="inlineStr">
        <is>
          <t>71-GFI</t>
        </is>
      </c>
      <c r="B993" s="10" t="inlineStr">
        <is>
          <t>APOYO</t>
        </is>
      </c>
      <c r="C993" s="10" t="inlineStr">
        <is>
          <t>Gestión Financiera</t>
        </is>
      </c>
      <c r="D993" s="10" t="inlineStr">
        <is>
          <t>GFI</t>
        </is>
      </c>
      <c r="E993" s="10" t="inlineStr">
        <is>
          <t>Gestión de Tesorería</t>
        </is>
      </c>
      <c r="F993" s="10" t="inlineStr">
        <is>
          <t>Gestión de Fondos Disponibles</t>
        </is>
      </c>
      <c r="G993" s="10" t="inlineStr">
        <is>
          <t xml:space="preserve">Fondeo de bóveda y depósitos de excedentes </t>
        </is>
      </c>
      <c r="H993" s="10" t="inlineStr">
        <is>
          <t>Factura del servicio de transporte de valores</t>
        </is>
      </c>
      <c r="I993" s="10" t="inlineStr">
        <is>
          <t>Factura del servicio de trasporte por movilización de los recursos</t>
        </is>
      </c>
      <c r="J993" s="10" t="inlineStr">
        <is>
          <t xml:space="preserve">Tesorero </t>
        </is>
      </c>
      <c r="K993" s="10" t="inlineStr">
        <is>
          <t>Contador General</t>
        </is>
      </c>
      <c r="L993" s="10" t="inlineStr">
        <is>
          <t>DOCUMENTOS FISICOS-ARCHIVOS DE LA OFICINA</t>
        </is>
      </c>
      <c r="M993" s="10" t="inlineStr">
        <is>
          <t>DOCUMENTO DE ARCHIVO-FÍSICO</t>
        </is>
      </c>
      <c r="N993" s="10" t="inlineStr">
        <is>
          <t>PRIMARIOS</t>
        </is>
      </c>
      <c r="O993" s="10" t="inlineStr">
        <is>
          <t>DOCUMENTOS HABILITANTES</t>
        </is>
      </c>
      <c r="P993" s="10" t="inlineStr">
        <is>
          <t>RESTRINGIDO(3)</t>
        </is>
      </c>
      <c r="Q993" s="10" t="inlineStr">
        <is>
          <t>MEDIA(2)</t>
        </is>
      </c>
      <c r="R993" s="10" t="inlineStr">
        <is>
          <t>MEDIA(2)</t>
        </is>
      </c>
      <c r="S993" s="10">
        <f>+(IF(P993="PUBLICA(1)",1,IF(P993="USO INTERNO(2)",2,IF(P993="RESTRINGIDO(3)",3,3))))+(IF(Q993="BAJA(1)",1,IF(Q993="MEDIA(2)",2,IF(Q993="ALTA(3)",3,3))))+(IF(R993="BAJA(1)",1,IF(R993="MEDIA(2)",2,IF(R993="ALTA(3)",3,3))))</f>
        <v/>
      </c>
      <c r="T993" s="10">
        <f>+IF(S993&lt;6,"BAJA",IF(S993&lt;8,"MEDIA","ALTA"))</f>
        <v/>
      </c>
      <c r="U993" s="10" t="inlineStr">
        <is>
          <t>-</t>
        </is>
      </c>
      <c r="V993" s="24" t="n">
        <v>45673</v>
      </c>
      <c r="W993" s="19" t="inlineStr">
        <is>
          <t>N/A</t>
        </is>
      </c>
      <c r="X993" s="10">
        <f>+IFERROR(IF(VLOOKUP(Tabla2[[#This Row],[ID]],'EVALUACION DE RIESGO'!A:A,1,FALSE)=Tabla2[[#This Row],[ID]],"SI","NO"),"NO")</f>
        <v/>
      </c>
    </row>
    <row r="994">
      <c r="A994" s="91" t="inlineStr">
        <is>
          <t>72-GFI</t>
        </is>
      </c>
      <c r="B994" s="10" t="inlineStr">
        <is>
          <t>APOYO</t>
        </is>
      </c>
      <c r="C994" s="10" t="inlineStr">
        <is>
          <t>Gestión Financiera</t>
        </is>
      </c>
      <c r="D994" s="10" t="inlineStr">
        <is>
          <t>GFI</t>
        </is>
      </c>
      <c r="E994" s="10" t="inlineStr">
        <is>
          <t>Gestión de Tesorería</t>
        </is>
      </c>
      <c r="F994" s="10" t="inlineStr">
        <is>
          <t>Gestión de Fondos Disponibles</t>
        </is>
      </c>
      <c r="G994" s="10" t="inlineStr">
        <is>
          <t xml:space="preserve">Fondeo de bóveda y depósitos de excedentes </t>
        </is>
      </c>
      <c r="H994" s="10" t="inlineStr">
        <is>
          <t>Reporte de cuadre de transporte de valores</t>
        </is>
      </c>
      <c r="I994" s="10" t="inlineStr">
        <is>
          <t>Reporte de movimientos entre bóveda y bancos</t>
        </is>
      </c>
      <c r="J994" s="10" t="inlineStr">
        <is>
          <t xml:space="preserve">Tesorero </t>
        </is>
      </c>
      <c r="K994" s="10" t="inlineStr">
        <is>
          <t xml:space="preserve">Tesorero </t>
        </is>
      </c>
      <c r="L994" s="10" t="inlineStr">
        <is>
          <t>UBICACIÓN DIGITAL-EQUIPO DEL CUSTODIO</t>
        </is>
      </c>
      <c r="M994" s="10" t="inlineStr">
        <is>
          <t>DISCOS DUROS, SERVIDORES, DISCOS O MEDIOS PORTÁTILES, CINTAS O MEDIOS DE VIDEO Y AUDIO, ETC.</t>
        </is>
      </c>
      <c r="N994" s="10" t="inlineStr">
        <is>
          <t>PRIMARIOS</t>
        </is>
      </c>
      <c r="O994" s="10" t="inlineStr">
        <is>
          <t>DOCUMENTOS TÉCNICOS</t>
        </is>
      </c>
      <c r="P994" s="10" t="inlineStr">
        <is>
          <t>USO INTERNO(2)</t>
        </is>
      </c>
      <c r="Q994" s="10" t="inlineStr">
        <is>
          <t>BAJA(1)</t>
        </is>
      </c>
      <c r="R994" s="10" t="inlineStr">
        <is>
          <t>BAJA(1)</t>
        </is>
      </c>
      <c r="S994" s="10">
        <f>+(IF(P994="PUBLICA(1)",1,IF(P994="USO INTERNO(2)",2,IF(P994="RESTRINGIDO(3)",3,3))))+(IF(Q994="BAJA(1)",1,IF(Q994="MEDIA(2)",2,IF(Q994="ALTA(3)",3,3))))+(IF(R994="BAJA(1)",1,IF(R994="MEDIA(2)",2,IF(R994="ALTA(3)",3,3))))</f>
        <v/>
      </c>
      <c r="T994" s="10">
        <f>+IF(S994&lt;6,"BAJA",IF(S994&lt;8,"MEDIA","ALTA"))</f>
        <v/>
      </c>
      <c r="U994" s="10" t="inlineStr">
        <is>
          <t>-</t>
        </is>
      </c>
      <c r="V994" s="24" t="n">
        <v>45673</v>
      </c>
      <c r="W994" s="19" t="inlineStr">
        <is>
          <t>N/A</t>
        </is>
      </c>
      <c r="X994" s="10">
        <f>+IFERROR(IF(VLOOKUP(Tabla2[[#This Row],[ID]],'EVALUACION DE RIESGO'!A:A,1,FALSE)=Tabla2[[#This Row],[ID]],"SI","NO"),"NO")</f>
        <v/>
      </c>
    </row>
    <row r="995">
      <c r="A995" s="91" t="inlineStr">
        <is>
          <t>73-GFI</t>
        </is>
      </c>
      <c r="B995" s="10" t="inlineStr">
        <is>
          <t>APOYO</t>
        </is>
      </c>
      <c r="C995" s="10" t="inlineStr">
        <is>
          <t>Gestión Financiera</t>
        </is>
      </c>
      <c r="D995" s="10" t="inlineStr">
        <is>
          <t>GFI</t>
        </is>
      </c>
      <c r="E995" s="10" t="inlineStr">
        <is>
          <t>Gestión de Tesorería</t>
        </is>
      </c>
      <c r="F995" s="10" t="inlineStr">
        <is>
          <t>Procedimientos  complementarios de Tesorería</t>
        </is>
      </c>
      <c r="G995" s="10" t="inlineStr">
        <is>
          <t xml:space="preserve">Custodia de documentos de valor </t>
        </is>
      </c>
      <c r="H995" s="10" t="inlineStr">
        <is>
          <t>Reporte de contratos vencidos</t>
        </is>
      </c>
      <c r="I995" s="10" t="inlineStr">
        <is>
          <t>Reporte interno de ingresos y salidas de custodia de contratos</t>
        </is>
      </c>
      <c r="J995" s="10" t="inlineStr">
        <is>
          <t xml:space="preserve">Tesorero </t>
        </is>
      </c>
      <c r="K995" s="10" t="inlineStr">
        <is>
          <t xml:space="preserve">Tesorero </t>
        </is>
      </c>
      <c r="L995" s="10" t="inlineStr">
        <is>
          <t>UBICACIÓN DIGITAL-EQUIPO DEL CUSTODIO</t>
        </is>
      </c>
      <c r="M995" s="10" t="inlineStr">
        <is>
          <t>DISCOS DUROS, SERVIDORES, DISCOS O MEDIOS PORTÁTILES, CINTAS O MEDIOS DE VIDEO Y AUDIO, ETC.</t>
        </is>
      </c>
      <c r="N995" s="10" t="inlineStr">
        <is>
          <t>PRIMARIOS</t>
        </is>
      </c>
      <c r="O995" s="10" t="inlineStr">
        <is>
          <t>DOCUMENTOS TÉCNICOS</t>
        </is>
      </c>
      <c r="P995" s="10" t="inlineStr">
        <is>
          <t>RESTRINGIDO(3)</t>
        </is>
      </c>
      <c r="Q995" s="10" t="inlineStr">
        <is>
          <t>MEDIA(2)</t>
        </is>
      </c>
      <c r="R995" s="10" t="inlineStr">
        <is>
          <t>BAJA(1)</t>
        </is>
      </c>
      <c r="S995" s="10">
        <f>+(IF(P995="PUBLICA(1)",1,IF(P995="USO INTERNO(2)",2,IF(P995="RESTRINGIDO(3)",3,3))))+(IF(Q995="BAJA(1)",1,IF(Q995="MEDIA(2)",2,IF(Q995="ALTA(3)",3,3))))+(IF(R995="BAJA(1)",1,IF(R995="MEDIA(2)",2,IF(R995="ALTA(3)",3,3))))</f>
        <v/>
      </c>
      <c r="T995" s="10">
        <f>+IF(S995&lt;6,"BAJA",IF(S995&lt;8,"MEDIA","ALTA"))</f>
        <v/>
      </c>
      <c r="U995" s="10" t="inlineStr">
        <is>
          <t>-</t>
        </is>
      </c>
      <c r="V995" s="24" t="n">
        <v>45673</v>
      </c>
      <c r="W995" s="19" t="inlineStr">
        <is>
          <t>N/A</t>
        </is>
      </c>
      <c r="X995" s="10">
        <f>+IFERROR(IF(VLOOKUP(Tabla2[[#This Row],[ID]],'EVALUACION DE RIESGO'!A:A,1,FALSE)=Tabla2[[#This Row],[ID]],"SI","NO"),"NO")</f>
        <v/>
      </c>
    </row>
    <row r="996">
      <c r="A996" s="91" t="inlineStr">
        <is>
          <t>74-GFI</t>
        </is>
      </c>
      <c r="B996" s="10" t="inlineStr">
        <is>
          <t>APOYO</t>
        </is>
      </c>
      <c r="C996" s="10" t="inlineStr">
        <is>
          <t>Gestión Financiera</t>
        </is>
      </c>
      <c r="D996" s="10" t="inlineStr">
        <is>
          <t>GFI</t>
        </is>
      </c>
      <c r="E996" s="10" t="inlineStr">
        <is>
          <t>Gestión de Tesorería</t>
        </is>
      </c>
      <c r="F996" s="10" t="inlineStr">
        <is>
          <t>Procedimientos  complementarios de Tesorería</t>
        </is>
      </c>
      <c r="G996" s="10" t="inlineStr">
        <is>
          <t xml:space="preserve">Custodia de documentos de valor </t>
        </is>
      </c>
      <c r="H996" s="10" t="inlineStr">
        <is>
          <t>Registro de garantías recibidas</t>
        </is>
      </c>
      <c r="I996" s="10" t="inlineStr">
        <is>
          <t>Oficio con el detalle de las garantías que se reciben, pueden ser pólizas, o letras de cambio</t>
        </is>
      </c>
      <c r="J996" s="10" t="inlineStr">
        <is>
          <t xml:space="preserve">Tesorero </t>
        </is>
      </c>
      <c r="K996" s="10" t="inlineStr">
        <is>
          <t xml:space="preserve">Tesorero </t>
        </is>
      </c>
      <c r="L996" s="10" t="inlineStr">
        <is>
          <t>UBICACIÓN DIGITAL-EQUIPO DEL CUSTODIO</t>
        </is>
      </c>
      <c r="M996" s="10" t="inlineStr">
        <is>
          <t>DISCOS DUROS, SERVIDORES, DISCOS O MEDIOS PORTÁTILES, CINTAS O MEDIOS DE VIDEO Y AUDIO, ETC.</t>
        </is>
      </c>
      <c r="N996" s="10" t="inlineStr">
        <is>
          <t>PRIMARIOS</t>
        </is>
      </c>
      <c r="O996" s="10" t="inlineStr">
        <is>
          <t>DOCUMENTOS TÉCNICOS</t>
        </is>
      </c>
      <c r="P996" s="10" t="inlineStr">
        <is>
          <t>USO INTERNO(2)</t>
        </is>
      </c>
      <c r="Q996" s="10" t="inlineStr">
        <is>
          <t>MEDIA(2)</t>
        </is>
      </c>
      <c r="R996" s="10" t="inlineStr">
        <is>
          <t>MEDIA(2)</t>
        </is>
      </c>
      <c r="S996" s="10">
        <f>+(IF(P996="PUBLICA(1)",1,IF(P996="USO INTERNO(2)",2,IF(P996="RESTRINGIDO(3)",3,3))))+(IF(Q996="BAJA(1)",1,IF(Q996="MEDIA(2)",2,IF(Q996="ALTA(3)",3,3))))+(IF(R996="BAJA(1)",1,IF(R996="MEDIA(2)",2,IF(R996="ALTA(3)",3,3))))</f>
        <v/>
      </c>
      <c r="T996" s="10">
        <f>+IF(S996&lt;6,"BAJA",IF(S996&lt;8,"MEDIA","ALTA"))</f>
        <v/>
      </c>
      <c r="U996" s="10" t="inlineStr">
        <is>
          <t>-</t>
        </is>
      </c>
      <c r="V996" s="24" t="n">
        <v>45673</v>
      </c>
      <c r="W996" s="19" t="inlineStr">
        <is>
          <t>N/A</t>
        </is>
      </c>
      <c r="X996" s="10">
        <f>+IFERROR(IF(VLOOKUP(Tabla2[[#This Row],[ID]],'EVALUACION DE RIESGO'!A:A,1,FALSE)=Tabla2[[#This Row],[ID]],"SI","NO"),"NO")</f>
        <v/>
      </c>
    </row>
    <row r="997">
      <c r="A997" s="91" t="inlineStr">
        <is>
          <t>75-GFI</t>
        </is>
      </c>
      <c r="B997" s="10" t="inlineStr">
        <is>
          <t>APOYO</t>
        </is>
      </c>
      <c r="C997" s="10" t="inlineStr">
        <is>
          <t>Gestión Financiera</t>
        </is>
      </c>
      <c r="D997" s="10" t="inlineStr">
        <is>
          <t>GFI</t>
        </is>
      </c>
      <c r="E997" s="10" t="inlineStr">
        <is>
          <t>Gestión de Tesorería</t>
        </is>
      </c>
      <c r="F997" s="10" t="inlineStr">
        <is>
          <t>Procedimientos  complementarios de Tesorería</t>
        </is>
      </c>
      <c r="G997" s="10" t="inlineStr">
        <is>
          <t xml:space="preserve">Custodia de documentos de valor </t>
        </is>
      </c>
      <c r="H997" s="10" t="inlineStr">
        <is>
          <t>Acta entrega recepción</t>
        </is>
      </c>
      <c r="I997" s="10" t="inlineStr">
        <is>
          <t>Acta de responsabilidad del recepción con firmas de responsabilidad</t>
        </is>
      </c>
      <c r="J997" s="10" t="inlineStr">
        <is>
          <t xml:space="preserve">Tesorero </t>
        </is>
      </c>
      <c r="K997" s="10" t="inlineStr">
        <is>
          <t xml:space="preserve">Tesorero </t>
        </is>
      </c>
      <c r="L997" s="10" t="inlineStr">
        <is>
          <t>DOCUMENTOS FISICOS-ARCHIVOS DE LA OFICINA</t>
        </is>
      </c>
      <c r="M997" s="10" t="inlineStr">
        <is>
          <t>DOCUMENTO DE ARCHIVO-FÍSICO</t>
        </is>
      </c>
      <c r="N997" s="10" t="inlineStr">
        <is>
          <t>PRIMARIOS</t>
        </is>
      </c>
      <c r="O997" s="10" t="inlineStr">
        <is>
          <t>DOCUMENTOS HABILITANTES</t>
        </is>
      </c>
      <c r="P997" s="10" t="inlineStr">
        <is>
          <t>USO INTERNO(2)</t>
        </is>
      </c>
      <c r="Q997" s="10" t="inlineStr">
        <is>
          <t>MEDIA(2)</t>
        </is>
      </c>
      <c r="R997" s="10" t="inlineStr">
        <is>
          <t>ALTA(3)</t>
        </is>
      </c>
      <c r="S997" s="10">
        <f>+(IF(P997="PUBLICA(1)",1,IF(P997="USO INTERNO(2)",2,IF(P997="RESTRINGIDO(3)",3,3))))+(IF(Q997="BAJA(1)",1,IF(Q997="MEDIA(2)",2,IF(Q997="ALTA(3)",3,3))))+(IF(R997="BAJA(1)",1,IF(R997="MEDIA(2)",2,IF(R997="ALTA(3)",3,3))))</f>
        <v/>
      </c>
      <c r="T997" s="10">
        <f>+IF(S997&lt;6,"BAJA",IF(S997&lt;8,"MEDIA","ALTA"))</f>
        <v/>
      </c>
      <c r="U997" s="10" t="inlineStr">
        <is>
          <t>-</t>
        </is>
      </c>
      <c r="V997" s="24" t="n">
        <v>45673</v>
      </c>
      <c r="W997" s="19" t="inlineStr">
        <is>
          <t>N/A</t>
        </is>
      </c>
      <c r="X997" s="10">
        <f>+IFERROR(IF(VLOOKUP(Tabla2[[#This Row],[ID]],'EVALUACION DE RIESGO'!A:A,1,FALSE)=Tabla2[[#This Row],[ID]],"SI","NO"),"NO")</f>
        <v/>
      </c>
    </row>
    <row r="998">
      <c r="A998" s="91" t="inlineStr">
        <is>
          <t>76-GFI</t>
        </is>
      </c>
      <c r="B998" s="10" t="inlineStr">
        <is>
          <t>APOYO</t>
        </is>
      </c>
      <c r="C998" s="10" t="inlineStr">
        <is>
          <t>Gestión Financiera</t>
        </is>
      </c>
      <c r="D998" s="10" t="inlineStr">
        <is>
          <t>GFI</t>
        </is>
      </c>
      <c r="E998" s="10" t="inlineStr">
        <is>
          <t>Gestión de Tesorería</t>
        </is>
      </c>
      <c r="F998" s="10" t="inlineStr">
        <is>
          <t>Procedimientos  complementarios de Tesorería</t>
        </is>
      </c>
      <c r="G998" s="10" t="inlineStr">
        <is>
          <t>Estructuras</t>
        </is>
      </c>
      <c r="H998" s="10" t="inlineStr">
        <is>
          <t>Estructura RML. I01, I02</t>
        </is>
      </c>
      <c r="I998" s="10" t="inlineStr">
        <is>
          <t>Estructuras generadas del sistema que tiene el detalle diario de 14 días del portafolio de inversiones, Io1 detalle de inversiones nuevas que ingresaron al portafolio en el mes, Io2 es igual a la consolidación de las estructuras RML, Io1</t>
        </is>
      </c>
      <c r="J998" s="10" t="inlineStr">
        <is>
          <t xml:space="preserve">Tesorero </t>
        </is>
      </c>
      <c r="K998" s="10" t="inlineStr">
        <is>
          <t xml:space="preserve">Tesorero </t>
        </is>
      </c>
      <c r="L998" s="10" t="inlineStr">
        <is>
          <t>UBICACIÓN DIGITAL-EQUIPO DEL CUSTODIO</t>
        </is>
      </c>
      <c r="M998" s="10" t="inlineStr">
        <is>
          <t>DISCOS DUROS, SERVIDORES, DISCOS O MEDIOS PORTÁTILES, CINTAS O MEDIOS DE VIDEO Y AUDIO, ETC.</t>
        </is>
      </c>
      <c r="N998" s="10" t="inlineStr">
        <is>
          <t>PRIMARIOS</t>
        </is>
      </c>
      <c r="O998" s="10" t="inlineStr">
        <is>
          <t>DOCUMENTOS TÉCNICOS</t>
        </is>
      </c>
      <c r="P998" s="10" t="inlineStr">
        <is>
          <t>USO INTERNO(2)</t>
        </is>
      </c>
      <c r="Q998" s="10" t="inlineStr">
        <is>
          <t>MEDIA(2)</t>
        </is>
      </c>
      <c r="R998" s="10" t="inlineStr">
        <is>
          <t>MEDIA(2)</t>
        </is>
      </c>
      <c r="S998" s="10">
        <f>+(IF(P998="PUBLICA(1)",1,IF(P998="USO INTERNO(2)",2,IF(P998="RESTRINGIDO(3)",3,3))))+(IF(Q998="BAJA(1)",1,IF(Q998="MEDIA(2)",2,IF(Q998="ALTA(3)",3,3))))+(IF(R998="BAJA(1)",1,IF(R998="MEDIA(2)",2,IF(R998="ALTA(3)",3,3))))</f>
        <v/>
      </c>
      <c r="T998" s="10">
        <f>+IF(S998&lt;6,"BAJA",IF(S998&lt;8,"MEDIA","ALTA"))</f>
        <v/>
      </c>
      <c r="U998" s="10" t="inlineStr">
        <is>
          <t>-</t>
        </is>
      </c>
      <c r="V998" s="24" t="n">
        <v>45673</v>
      </c>
      <c r="W998" s="19" t="inlineStr">
        <is>
          <t>N/A</t>
        </is>
      </c>
      <c r="X998" s="10">
        <f>+IFERROR(IF(VLOOKUP(Tabla2[[#This Row],[ID]],'EVALUACION DE RIESGO'!A:A,1,FALSE)=Tabla2[[#This Row],[ID]],"SI","NO"),"NO")</f>
        <v/>
      </c>
    </row>
    <row r="999">
      <c r="A999" s="91" t="inlineStr">
        <is>
          <t>77-GFI</t>
        </is>
      </c>
      <c r="B999" s="10" t="inlineStr">
        <is>
          <t>APOYO</t>
        </is>
      </c>
      <c r="C999" s="10" t="inlineStr">
        <is>
          <t>Gestión Financiera</t>
        </is>
      </c>
      <c r="D999" s="10" t="inlineStr">
        <is>
          <t>GFI</t>
        </is>
      </c>
      <c r="E999" s="10" t="inlineStr">
        <is>
          <t>Gestión de Tesorería</t>
        </is>
      </c>
      <c r="F999" s="10" t="inlineStr">
        <is>
          <t>-</t>
        </is>
      </c>
      <c r="G999" s="10" t="inlineStr">
        <is>
          <t>N/A</t>
        </is>
      </c>
      <c r="H999" s="10" t="inlineStr">
        <is>
          <t xml:space="preserve">Equipos de computación </t>
        </is>
      </c>
      <c r="I999" s="10" t="inlineStr">
        <is>
          <t>Equipos de computación donde se realiza la gestión del área</t>
        </is>
      </c>
      <c r="J999" s="10" t="inlineStr">
        <is>
          <t xml:space="preserve">Tesorero </t>
        </is>
      </c>
      <c r="K999" s="10" t="inlineStr">
        <is>
          <t xml:space="preserve">Tesorero </t>
        </is>
      </c>
      <c r="L999" s="10" t="inlineStr">
        <is>
          <t>UBICACIÓN FISICA-MATRIZ ATUNTAQUI</t>
        </is>
      </c>
      <c r="M999" s="10" t="inlineStr">
        <is>
          <t>DISCOS DUROS, SERVIDORES, DISCOS O MEDIOS PORTÁTILES, CINTAS O MEDIOS DE VIDEO Y AUDIO, ETC.</t>
        </is>
      </c>
      <c r="N999" s="10" t="inlineStr">
        <is>
          <t>APOYO</t>
        </is>
      </c>
      <c r="O999" s="10" t="inlineStr">
        <is>
          <t>HARDWARE</t>
        </is>
      </c>
      <c r="P999" s="10" t="inlineStr">
        <is>
          <t>RESTRINGIDO(3)</t>
        </is>
      </c>
      <c r="Q999" s="10" t="inlineStr">
        <is>
          <t>MEDIA(2)</t>
        </is>
      </c>
      <c r="R999" s="10" t="inlineStr">
        <is>
          <t>MEDIA(2)</t>
        </is>
      </c>
      <c r="S999" s="10">
        <f>+(IF(P999="PUBLICA(1)",1,IF(P999="USO INTERNO(2)",2,IF(P999="RESTRINGIDO(3)",3,3))))+(IF(Q999="BAJA(1)",1,IF(Q999="MEDIA(2)",2,IF(Q999="ALTA(3)",3,3))))+(IF(R999="BAJA(1)",1,IF(R999="MEDIA(2)",2,IF(R999="ALTA(3)",3,3))))</f>
        <v/>
      </c>
      <c r="T999" s="10">
        <f>+IF(S999&lt;6,"BAJA",IF(S999&lt;8,"MEDIA","ALTA"))</f>
        <v/>
      </c>
      <c r="U999" s="10" t="inlineStr">
        <is>
          <t>-</t>
        </is>
      </c>
      <c r="V999" s="24" t="n">
        <v>45673</v>
      </c>
      <c r="W999" s="19" t="inlineStr">
        <is>
          <t>N/A</t>
        </is>
      </c>
      <c r="X999" s="10">
        <f>+IFERROR(IF(VLOOKUP(Tabla2[[#This Row],[ID]],'EVALUACION DE RIESGO'!A:A,1,FALSE)=Tabla2[[#This Row],[ID]],"SI","NO"),"NO")</f>
        <v/>
      </c>
    </row>
    <row r="1000">
      <c r="A1000" s="91" t="inlineStr">
        <is>
          <t>78-GFI</t>
        </is>
      </c>
      <c r="B1000" s="10" t="inlineStr">
        <is>
          <t>APOYO</t>
        </is>
      </c>
      <c r="C1000" s="10" t="inlineStr">
        <is>
          <t>Gestión Financiera</t>
        </is>
      </c>
      <c r="D1000" s="10" t="inlineStr">
        <is>
          <t>GFI</t>
        </is>
      </c>
      <c r="E1000" s="10" t="inlineStr">
        <is>
          <t>Gestión de Tesorería</t>
        </is>
      </c>
      <c r="F1000" s="10" t="inlineStr">
        <is>
          <t>-</t>
        </is>
      </c>
      <c r="G1000" s="10" t="inlineStr">
        <is>
          <t>N/A</t>
        </is>
      </c>
      <c r="H1000" s="10" t="inlineStr">
        <is>
          <t>Tesorero</t>
        </is>
      </c>
      <c r="I1000" s="10" t="inlineStr">
        <is>
          <t>N/A</t>
        </is>
      </c>
      <c r="J1000" s="10" t="inlineStr">
        <is>
          <t xml:space="preserve">Tesorero </t>
        </is>
      </c>
      <c r="K1000" s="10" t="inlineStr">
        <is>
          <t>N/A</t>
        </is>
      </c>
      <c r="L1000" s="10" t="inlineStr">
        <is>
          <t>N/A</t>
        </is>
      </c>
      <c r="M1000" s="10" t="inlineStr">
        <is>
          <t>N/A</t>
        </is>
      </c>
      <c r="N1000" s="10" t="inlineStr">
        <is>
          <t>APOYO</t>
        </is>
      </c>
      <c r="O1000" s="10" t="inlineStr">
        <is>
          <t>RECURSO HUMANO</t>
        </is>
      </c>
      <c r="P1000" s="10" t="inlineStr">
        <is>
          <t>USO INTERNO(2)</t>
        </is>
      </c>
      <c r="Q1000" s="10" t="inlineStr">
        <is>
          <t>MEDIA(2)</t>
        </is>
      </c>
      <c r="R1000" s="10" t="inlineStr">
        <is>
          <t>MEDIA(2)</t>
        </is>
      </c>
      <c r="S1000" s="10">
        <f>+(IF(P1000="PUBLICA(1)",1,IF(P1000="USO INTERNO(2)",2,IF(P1000="RESTRINGIDO(3)",3,3))))+(IF(Q1000="BAJA(1)",1,IF(Q1000="MEDIA(2)",2,IF(Q1000="ALTA(3)",3,3))))+(IF(R1000="BAJA(1)",1,IF(R1000="MEDIA(2)",2,IF(R1000="ALTA(3)",3,3))))</f>
        <v/>
      </c>
      <c r="T1000" s="10">
        <f>+IF(S1000&lt;6,"BAJA",IF(S1000&lt;8,"MEDIA","ALTA"))</f>
        <v/>
      </c>
      <c r="U1000" s="10" t="inlineStr">
        <is>
          <t>-</t>
        </is>
      </c>
      <c r="V1000" s="24" t="n">
        <v>45673</v>
      </c>
      <c r="W1000" s="19" t="inlineStr">
        <is>
          <t>N/A</t>
        </is>
      </c>
      <c r="X1000" s="10">
        <f>+IFERROR(IF(VLOOKUP(Tabla2[[#This Row],[ID]],'EVALUACION DE RIESGO'!A:A,1,FALSE)=Tabla2[[#This Row],[ID]],"SI","NO"),"NO")</f>
        <v/>
      </c>
    </row>
    <row r="1001">
      <c r="A1001" s="91" t="inlineStr">
        <is>
          <t>1-GJU</t>
        </is>
      </c>
      <c r="B1001" s="10" t="inlineStr">
        <is>
          <t>APOYO</t>
        </is>
      </c>
      <c r="C1001" s="10" t="inlineStr">
        <is>
          <t xml:space="preserve">Gestión Jurídica </t>
        </is>
      </c>
      <c r="D1001" s="10" t="inlineStr">
        <is>
          <t>GJU</t>
        </is>
      </c>
      <c r="E1001" s="10" t="inlineStr">
        <is>
          <t xml:space="preserve"> Gestión Administración Legal</t>
        </is>
      </c>
      <c r="F1001" s="10" t="inlineStr">
        <is>
          <t>-</t>
        </is>
      </c>
      <c r="G1001" s="10" t="inlineStr">
        <is>
          <t>Elaboración de documentos contractuales con proveedores</t>
        </is>
      </c>
      <c r="H1001" s="10" t="inlineStr">
        <is>
          <t>Contrato</t>
        </is>
      </c>
      <c r="I1001" s="10" t="inlineStr">
        <is>
          <t>Documentación original del contrato.</t>
        </is>
      </c>
      <c r="J1001" s="10" t="inlineStr">
        <is>
          <t xml:space="preserve">Gerente Jurídico </t>
        </is>
      </c>
      <c r="K1001" s="10" t="inlineStr">
        <is>
          <t>Analista Juridico</t>
        </is>
      </c>
      <c r="L1001" s="10" t="inlineStr">
        <is>
          <t>DOCUMENTOS FISICOS-ARCHIVOS DE LA OFICINA</t>
        </is>
      </c>
      <c r="M1001" s="10" t="inlineStr">
        <is>
          <t>DOCUMENTO DE ARCHIVO-FÍSICO</t>
        </is>
      </c>
      <c r="N1001" s="10" t="inlineStr">
        <is>
          <t>PRIMARIOS</t>
        </is>
      </c>
      <c r="O1001" s="10" t="inlineStr">
        <is>
          <t>DOCUMENTOS TÉCNICOS</t>
        </is>
      </c>
      <c r="P1001" s="10" t="inlineStr">
        <is>
          <t>RESTRINGIDO(3)</t>
        </is>
      </c>
      <c r="Q1001" s="10" t="inlineStr">
        <is>
          <t>BAJA(1)</t>
        </is>
      </c>
      <c r="R1001" s="10" t="inlineStr">
        <is>
          <t>ALTA(3)</t>
        </is>
      </c>
      <c r="S1001" s="10">
        <f>+(IF(P1001="PUBLICA(1)",1,IF(P1001="USO INTERNO(2)",2,IF(P1001="RESTRINGIDO(3)",3,3))))+(IF(Q1001="BAJA(1)",1,IF(Q1001="MEDIA(2)",2,IF(Q1001="ALTA(3)",3,3))))+(IF(R1001="BAJA(1)",1,IF(R1001="MEDIA(2)",2,IF(R1001="ALTA(3)",3,3))))</f>
        <v/>
      </c>
      <c r="T1001" s="10">
        <f>+IF(S1001&lt;6,"BAJA",IF(S1001&lt;8,"MEDIA","ALTA"))</f>
        <v/>
      </c>
      <c r="U1001" s="10" t="inlineStr">
        <is>
          <t>-</t>
        </is>
      </c>
      <c r="V1001" s="24" t="n">
        <v>45697</v>
      </c>
      <c r="W1001" s="19" t="inlineStr">
        <is>
          <t>N/A</t>
        </is>
      </c>
      <c r="X1001" s="10">
        <f>+IFERROR(IF(VLOOKUP(Tabla2[[#This Row],[ID]],'EVALUACION DE RIESGO'!A:A,1,FALSE)=Tabla2[[#This Row],[ID]],"SI","NO"),"NO")</f>
        <v/>
      </c>
    </row>
    <row r="1002">
      <c r="A1002" s="91" t="inlineStr">
        <is>
          <t>2-GJU</t>
        </is>
      </c>
      <c r="B1002" s="10" t="inlineStr">
        <is>
          <t>APOYO</t>
        </is>
      </c>
      <c r="C1002" s="10" t="inlineStr">
        <is>
          <t xml:space="preserve">Gestión Jurídica </t>
        </is>
      </c>
      <c r="D1002" s="10" t="inlineStr">
        <is>
          <t>GJU</t>
        </is>
      </c>
      <c r="E1002" s="10" t="inlineStr">
        <is>
          <t xml:space="preserve"> Gestión Administración Legal</t>
        </is>
      </c>
      <c r="F1002" s="10" t="inlineStr">
        <is>
          <t>-</t>
        </is>
      </c>
      <c r="G1002" s="10" t="inlineStr">
        <is>
          <t>Elaboración de documentos contractuales con proveedores</t>
        </is>
      </c>
      <c r="H1002" s="10" t="inlineStr">
        <is>
          <t>Inventario de contratos</t>
        </is>
      </c>
      <c r="I1002" s="10" t="inlineStr">
        <is>
          <t>Archivo digital del departamento donde se registran los contratos legalizados y recepción de documentos habilitantes originales</t>
        </is>
      </c>
      <c r="J1002" s="10" t="inlineStr">
        <is>
          <t xml:space="preserve">Gerente Jurídico </t>
        </is>
      </c>
      <c r="K1002" s="10" t="inlineStr">
        <is>
          <t>Analista Juridico</t>
        </is>
      </c>
      <c r="L1002" s="10" t="inlineStr">
        <is>
          <t>UBICACIÓN DIGITAL-EQUIPO DEL CUSTODIO</t>
        </is>
      </c>
      <c r="M1002" s="10" t="inlineStr">
        <is>
          <t>DOCUMENTO DE ARCHIVO-ELECTRÓNICO</t>
        </is>
      </c>
      <c r="N1002" s="10" t="inlineStr">
        <is>
          <t>PRIMARIOS</t>
        </is>
      </c>
      <c r="O1002" s="10" t="inlineStr">
        <is>
          <t>DOCUMENTOS TÉCNICOS</t>
        </is>
      </c>
      <c r="P1002" s="10" t="inlineStr">
        <is>
          <t>RESTRINGIDO(3)</t>
        </is>
      </c>
      <c r="Q1002" s="10" t="inlineStr">
        <is>
          <t>BAJA(1)</t>
        </is>
      </c>
      <c r="R1002" s="10" t="inlineStr">
        <is>
          <t>ALTA(3)</t>
        </is>
      </c>
      <c r="S1002" s="10">
        <f>+(IF(P1002="PUBLICA(1)",1,IF(P1002="USO INTERNO(2)",2,IF(P1002="RESTRINGIDO(3)",3,3))))+(IF(Q1002="BAJA(1)",1,IF(Q1002="MEDIA(2)",2,IF(Q1002="ALTA(3)",3,3))))+(IF(R1002="BAJA(1)",1,IF(R1002="MEDIA(2)",2,IF(R1002="ALTA(3)",3,3))))</f>
        <v/>
      </c>
      <c r="T1002" s="10">
        <f>+IF(S1002&lt;6,"BAJA",IF(S1002&lt;8,"MEDIA","ALTA"))</f>
        <v/>
      </c>
      <c r="U1002" s="10" t="inlineStr">
        <is>
          <t>-</t>
        </is>
      </c>
      <c r="V1002" s="24" t="n">
        <v>45697</v>
      </c>
      <c r="W1002" s="19" t="inlineStr">
        <is>
          <t>N/A</t>
        </is>
      </c>
      <c r="X1002" s="10">
        <f>+IFERROR(IF(VLOOKUP(Tabla2[[#This Row],[ID]],'EVALUACION DE RIESGO'!A:A,1,FALSE)=Tabla2[[#This Row],[ID]],"SI","NO"),"NO")</f>
        <v/>
      </c>
    </row>
    <row r="1003">
      <c r="A1003" s="91" t="inlineStr">
        <is>
          <t>3-GJU</t>
        </is>
      </c>
      <c r="B1003" s="10" t="inlineStr">
        <is>
          <t>APOYO</t>
        </is>
      </c>
      <c r="C1003" s="10" t="inlineStr">
        <is>
          <t xml:space="preserve">Gestión Jurídica </t>
        </is>
      </c>
      <c r="D1003" s="10" t="inlineStr">
        <is>
          <t>GJU</t>
        </is>
      </c>
      <c r="E1003" s="10" t="inlineStr">
        <is>
          <t xml:space="preserve"> Gestión Administración Legal</t>
        </is>
      </c>
      <c r="F1003" s="10" t="inlineStr">
        <is>
          <t>-</t>
        </is>
      </c>
      <c r="G1003" s="10" t="inlineStr">
        <is>
          <t>Elaboración de documentos contractuales con proveedores</t>
        </is>
      </c>
      <c r="H1003" s="10" t="inlineStr">
        <is>
          <t>Control de entrega de documentos contractuales</t>
        </is>
      </c>
      <c r="I1003" s="10" t="inlineStr">
        <is>
          <t>Folleto que contiene el detalle de todos los docuemntos entregados, responsable del area, hora fecha, firma de recepción hora de ingreso, fecha de ingreso firma de ingreso</t>
        </is>
      </c>
      <c r="J1003" s="10" t="inlineStr">
        <is>
          <t xml:space="preserve">Gerente Jurídico </t>
        </is>
      </c>
      <c r="K1003" s="10" t="inlineStr">
        <is>
          <t>Analista Juridico</t>
        </is>
      </c>
      <c r="L1003" s="10" t="inlineStr">
        <is>
          <t>DOCUMENTOS FISICOS-ARCHIVOS DE LA OFICINA</t>
        </is>
      </c>
      <c r="M1003" s="10" t="inlineStr">
        <is>
          <t>DOCUMENTO DE ARCHIVO-FÍSICO</t>
        </is>
      </c>
      <c r="N1003" s="10" t="inlineStr">
        <is>
          <t>PRIMARIOS</t>
        </is>
      </c>
      <c r="O1003" s="10" t="inlineStr">
        <is>
          <t>COMUNICACIÓN INTERNA</t>
        </is>
      </c>
      <c r="P1003" s="10" t="inlineStr">
        <is>
          <t>USO INTERNO(2)</t>
        </is>
      </c>
      <c r="Q1003" s="10" t="inlineStr">
        <is>
          <t>BAJA(1)</t>
        </is>
      </c>
      <c r="R1003" s="10" t="inlineStr">
        <is>
          <t>MEDIA(2)</t>
        </is>
      </c>
      <c r="S1003" s="10">
        <f>+(IF(P1003="PUBLICA(1)",1,IF(P1003="USO INTERNO(2)",2,IF(P1003="RESTRINGIDO(3)",3,3))))+(IF(Q1003="BAJA(1)",1,IF(Q1003="MEDIA(2)",2,IF(Q1003="ALTA(3)",3,3))))+(IF(R1003="BAJA(1)",1,IF(R1003="MEDIA(2)",2,IF(R1003="ALTA(3)",3,3))))</f>
        <v/>
      </c>
      <c r="T1003" s="10">
        <f>+IF(S1003&lt;6,"BAJA",IF(S1003&lt;8,"MEDIA","ALTA"))</f>
        <v/>
      </c>
      <c r="U1003" s="10" t="inlineStr">
        <is>
          <t>-</t>
        </is>
      </c>
      <c r="V1003" s="24" t="n">
        <v>45697</v>
      </c>
      <c r="W1003" s="19" t="inlineStr">
        <is>
          <t>N/A</t>
        </is>
      </c>
      <c r="X1003" s="10">
        <f>+IFERROR(IF(VLOOKUP(Tabla2[[#This Row],[ID]],'EVALUACION DE RIESGO'!A:A,1,FALSE)=Tabla2[[#This Row],[ID]],"SI","NO"),"NO")</f>
        <v/>
      </c>
    </row>
    <row r="1004">
      <c r="A1004" s="91" t="inlineStr">
        <is>
          <t>4-GJU</t>
        </is>
      </c>
      <c r="B1004" s="10" t="inlineStr">
        <is>
          <t>APOYO</t>
        </is>
      </c>
      <c r="C1004" s="10" t="inlineStr">
        <is>
          <t xml:space="preserve">Gestión Jurídica </t>
        </is>
      </c>
      <c r="D1004" s="10" t="inlineStr">
        <is>
          <t>GJU</t>
        </is>
      </c>
      <c r="E1004" s="10" t="inlineStr">
        <is>
          <t xml:space="preserve"> Gestión Administración Legal</t>
        </is>
      </c>
      <c r="F1004" s="10" t="inlineStr">
        <is>
          <t>-</t>
        </is>
      </c>
      <c r="G1004" s="10" t="inlineStr">
        <is>
          <t>Elaboración de adendum contractual</t>
        </is>
      </c>
      <c r="H1004" s="10" t="inlineStr">
        <is>
          <t>Adendum</t>
        </is>
      </c>
      <c r="I1004" s="10" t="inlineStr">
        <is>
          <t>Copia exacta del contrato donde se agrega un modificación o ampliación al contrato original</t>
        </is>
      </c>
      <c r="J1004" s="10" t="inlineStr">
        <is>
          <t xml:space="preserve">Gerente Jurídico </t>
        </is>
      </c>
      <c r="K1004" s="10" t="inlineStr">
        <is>
          <t>Analista Juridico</t>
        </is>
      </c>
      <c r="L1004" s="10" t="inlineStr">
        <is>
          <t>DOCUMENTOS FISICOS-ARCHIVOS DE LA OFICINA</t>
        </is>
      </c>
      <c r="M1004" s="10" t="inlineStr">
        <is>
          <t>DOCUMENTO DE ARCHIVO-FÍSICO</t>
        </is>
      </c>
      <c r="N1004" s="10" t="inlineStr">
        <is>
          <t>PRIMARIOS</t>
        </is>
      </c>
      <c r="O1004" s="10" t="inlineStr">
        <is>
          <t>DOCUMENTOS HABILITANTES</t>
        </is>
      </c>
      <c r="P1004" s="10" t="inlineStr">
        <is>
          <t>RESTRINGIDO(3)</t>
        </is>
      </c>
      <c r="Q1004" s="10" t="inlineStr">
        <is>
          <t>BAJA(1)</t>
        </is>
      </c>
      <c r="R1004" s="10" t="inlineStr">
        <is>
          <t>ALTA(3)</t>
        </is>
      </c>
      <c r="S1004" s="10">
        <f>+(IF(P1004="PUBLICA(1)",1,IF(P1004="USO INTERNO(2)",2,IF(P1004="RESTRINGIDO(3)",3,3))))+(IF(Q1004="BAJA(1)",1,IF(Q1004="MEDIA(2)",2,IF(Q1004="ALTA(3)",3,3))))+(IF(R1004="BAJA(1)",1,IF(R1004="MEDIA(2)",2,IF(R1004="ALTA(3)",3,3))))</f>
        <v/>
      </c>
      <c r="T1004" s="10">
        <f>+IF(S1004&lt;6,"BAJA",IF(S1004&lt;8,"MEDIA","ALTA"))</f>
        <v/>
      </c>
      <c r="U1004" s="10" t="inlineStr">
        <is>
          <t>-</t>
        </is>
      </c>
      <c r="V1004" s="24" t="n">
        <v>45698</v>
      </c>
      <c r="W1004" s="19" t="inlineStr">
        <is>
          <t>N/A</t>
        </is>
      </c>
      <c r="X1004" s="10">
        <f>+IFERROR(IF(VLOOKUP(Tabla2[[#This Row],[ID]],'EVALUACION DE RIESGO'!A:A,1,FALSE)=Tabla2[[#This Row],[ID]],"SI","NO"),"NO")</f>
        <v/>
      </c>
    </row>
    <row r="1005">
      <c r="A1005" s="91" t="inlineStr">
        <is>
          <t>5-GJU</t>
        </is>
      </c>
      <c r="B1005" s="10" t="inlineStr">
        <is>
          <t>APOYO</t>
        </is>
      </c>
      <c r="C1005" s="10" t="inlineStr">
        <is>
          <t xml:space="preserve">Gestión Jurídica </t>
        </is>
      </c>
      <c r="D1005" s="10" t="inlineStr">
        <is>
          <t>GJU</t>
        </is>
      </c>
      <c r="E1005" s="10" t="inlineStr">
        <is>
          <t xml:space="preserve"> Gestión Administración Legal</t>
        </is>
      </c>
      <c r="F1005" s="10" t="inlineStr">
        <is>
          <t>-</t>
        </is>
      </c>
      <c r="G1005" s="10" t="inlineStr">
        <is>
          <t>Elaboración de convenios</t>
        </is>
      </c>
      <c r="H1005" s="10" t="inlineStr">
        <is>
          <t>Convenio</t>
        </is>
      </c>
      <c r="I1005" s="10" t="inlineStr">
        <is>
          <t>Establece relaciones comerciales que no implique intercambio de dinero, firmas de responsabilidad, objeto del convenio, y fechas del convenio</t>
        </is>
      </c>
      <c r="J1005" s="10" t="inlineStr">
        <is>
          <t xml:space="preserve">Gerente Jurídico </t>
        </is>
      </c>
      <c r="K1005" s="10" t="inlineStr">
        <is>
          <t>Analista Juridico</t>
        </is>
      </c>
      <c r="L1005" s="10" t="inlineStr">
        <is>
          <t>DOCUMENTOS FISICOS-ARCHIVOS DE LA OFICINA</t>
        </is>
      </c>
      <c r="M1005" s="10" t="inlineStr">
        <is>
          <t>DOCUMENTO DE ARCHIVO-FÍSICO</t>
        </is>
      </c>
      <c r="N1005" s="10" t="inlineStr">
        <is>
          <t>PRIMARIOS</t>
        </is>
      </c>
      <c r="O1005" s="10" t="inlineStr">
        <is>
          <t>DOCUMENTOS HABILITANTES</t>
        </is>
      </c>
      <c r="P1005" s="10" t="inlineStr">
        <is>
          <t>RESTRINGIDO(3)</t>
        </is>
      </c>
      <c r="Q1005" s="10" t="inlineStr">
        <is>
          <t>BAJA(1)</t>
        </is>
      </c>
      <c r="R1005" s="10" t="inlineStr">
        <is>
          <t>ALTA(3)</t>
        </is>
      </c>
      <c r="S1005" s="10">
        <f>+(IF(P1005="PUBLICA(1)",1,IF(P1005="USO INTERNO(2)",2,IF(P1005="RESTRINGIDO(3)",3,3))))+(IF(Q1005="BAJA(1)",1,IF(Q1005="MEDIA(2)",2,IF(Q1005="ALTA(3)",3,3))))+(IF(R1005="BAJA(1)",1,IF(R1005="MEDIA(2)",2,IF(R1005="ALTA(3)",3,3))))</f>
        <v/>
      </c>
      <c r="T1005" s="10">
        <f>+IF(S1005&lt;6,"BAJA",IF(S1005&lt;8,"MEDIA","ALTA"))</f>
        <v/>
      </c>
      <c r="U1005" s="10" t="inlineStr">
        <is>
          <t>-</t>
        </is>
      </c>
      <c r="V1005" s="24" t="n">
        <v>45700</v>
      </c>
      <c r="W1005" s="19" t="inlineStr">
        <is>
          <t>N/A</t>
        </is>
      </c>
      <c r="X1005" s="10">
        <f>+IFERROR(IF(VLOOKUP(Tabla2[[#This Row],[ID]],'EVALUACION DE RIESGO'!A:A,1,FALSE)=Tabla2[[#This Row],[ID]],"SI","NO"),"NO")</f>
        <v/>
      </c>
    </row>
    <row r="1006">
      <c r="A1006" s="91" t="inlineStr">
        <is>
          <t>6-GJU</t>
        </is>
      </c>
      <c r="B1006" s="10" t="inlineStr">
        <is>
          <t>APOYO</t>
        </is>
      </c>
      <c r="C1006" s="10" t="inlineStr">
        <is>
          <t xml:space="preserve">Gestión Jurídica </t>
        </is>
      </c>
      <c r="D1006" s="10" t="inlineStr">
        <is>
          <t>GJU</t>
        </is>
      </c>
      <c r="E1006" s="10" t="inlineStr">
        <is>
          <t xml:space="preserve"> Gestión Administración Legal</t>
        </is>
      </c>
      <c r="F1006" s="10" t="inlineStr">
        <is>
          <t>-</t>
        </is>
      </c>
      <c r="G1006" s="10" t="inlineStr">
        <is>
          <t>Contratación de Abogados Externos</t>
        </is>
      </c>
      <c r="H1006" s="10" t="inlineStr">
        <is>
          <t>Requerimiento de contratación</t>
        </is>
      </c>
      <c r="I1006" s="10" t="inlineStr">
        <is>
          <t>Documento técnico que detalla las actividades, requisitos que debe cumplir un abogado externo</t>
        </is>
      </c>
      <c r="J1006" s="10" t="inlineStr">
        <is>
          <t xml:space="preserve">Gerente Jurídico </t>
        </is>
      </c>
      <c r="K1006" s="10" t="inlineStr">
        <is>
          <t>Analista Juridico</t>
        </is>
      </c>
      <c r="L1006" s="10" t="inlineStr">
        <is>
          <t>UBICACIÓN DIGITAL-EQUIPO DEL CUSTODIO</t>
        </is>
      </c>
      <c r="M1006" s="10" t="inlineStr">
        <is>
          <t>DOCUMENTO DE ARCHIVO-ELECTRÓNICO</t>
        </is>
      </c>
      <c r="N1006" s="10" t="inlineStr">
        <is>
          <t>PRIMARIOS</t>
        </is>
      </c>
      <c r="O1006" s="10" t="inlineStr">
        <is>
          <t>DOCUMENTOS TÉCNICOS</t>
        </is>
      </c>
      <c r="P1006" s="10" t="inlineStr">
        <is>
          <t>USO INTERNO(2)</t>
        </is>
      </c>
      <c r="Q1006" s="10" t="inlineStr">
        <is>
          <t>BAJA(1)</t>
        </is>
      </c>
      <c r="R1006" s="10" t="inlineStr">
        <is>
          <t>MEDIA(2)</t>
        </is>
      </c>
      <c r="S1006" s="10">
        <f>+(IF(P1006="PUBLICA(1)",1,IF(P1006="USO INTERNO(2)",2,IF(P1006="RESTRINGIDO(3)",3,3))))+(IF(Q1006="BAJA(1)",1,IF(Q1006="MEDIA(2)",2,IF(Q1006="ALTA(3)",3,3))))+(IF(R1006="BAJA(1)",1,IF(R1006="MEDIA(2)",2,IF(R1006="ALTA(3)",3,3))))</f>
        <v/>
      </c>
      <c r="T1006" s="10">
        <f>+IF(S1006&lt;6,"BAJA",IF(S1006&lt;8,"MEDIA","ALTA"))</f>
        <v/>
      </c>
      <c r="U1006" s="10" t="inlineStr">
        <is>
          <t>-</t>
        </is>
      </c>
      <c r="V1006" s="24" t="n">
        <v>45701</v>
      </c>
      <c r="W1006" s="19" t="inlineStr">
        <is>
          <t>N/A</t>
        </is>
      </c>
      <c r="X1006" s="10">
        <f>+IFERROR(IF(VLOOKUP(Tabla2[[#This Row],[ID]],'EVALUACION DE RIESGO'!A:A,1,FALSE)=Tabla2[[#This Row],[ID]],"SI","NO"),"NO")</f>
        <v/>
      </c>
    </row>
    <row r="1007">
      <c r="A1007" s="91" t="inlineStr">
        <is>
          <t>7-GJU</t>
        </is>
      </c>
      <c r="B1007" s="10" t="inlineStr">
        <is>
          <t>APOYO</t>
        </is>
      </c>
      <c r="C1007" s="10" t="inlineStr">
        <is>
          <t xml:space="preserve">Gestión Jurídica </t>
        </is>
      </c>
      <c r="D1007" s="10" t="inlineStr">
        <is>
          <t>GJU</t>
        </is>
      </c>
      <c r="E1007" s="10" t="inlineStr">
        <is>
          <t xml:space="preserve"> Gestión Administración Legal</t>
        </is>
      </c>
      <c r="F1007" s="10" t="inlineStr">
        <is>
          <t>-</t>
        </is>
      </c>
      <c r="G1007" s="10" t="inlineStr">
        <is>
          <t>Otorgamiento de poderes especiales y procuraciones judiciales</t>
        </is>
      </c>
      <c r="H1007" s="10" t="inlineStr">
        <is>
          <t>Certificación de Consejo de Administración</t>
        </is>
      </c>
      <c r="I1007" s="10" t="inlineStr">
        <is>
          <t>Documento de certificación que contiene número de documento, certificación, resolución,empresa externa y firma de la secretaria delconsejo de administración.</t>
        </is>
      </c>
      <c r="J1007" s="10" t="inlineStr">
        <is>
          <t xml:space="preserve">Gerente Jurídico </t>
        </is>
      </c>
      <c r="K1007" s="10" t="inlineStr">
        <is>
          <t xml:space="preserve">Gerente Jurídico </t>
        </is>
      </c>
      <c r="L1007" s="10" t="inlineStr">
        <is>
          <t>UBICACIÓN DIGITAL-EQUIPO DEL CUSTODIO</t>
        </is>
      </c>
      <c r="M1007" s="10" t="inlineStr">
        <is>
          <t>DOCUMENTO DE ARCHIVO-ELECTRÓNICO</t>
        </is>
      </c>
      <c r="N1007" s="10" t="inlineStr">
        <is>
          <t>PRIMARIOS</t>
        </is>
      </c>
      <c r="O1007" s="10" t="inlineStr">
        <is>
          <t>COMUNICACIÓN INTERNA</t>
        </is>
      </c>
      <c r="P1007" s="10" t="inlineStr">
        <is>
          <t>USO INTERNO(2)</t>
        </is>
      </c>
      <c r="Q1007" s="10" t="inlineStr">
        <is>
          <t>BAJA(1)</t>
        </is>
      </c>
      <c r="R1007" s="10" t="inlineStr">
        <is>
          <t>MEDIA(2)</t>
        </is>
      </c>
      <c r="S1007" s="10">
        <f>+(IF(P1007="PUBLICA(1)",1,IF(P1007="USO INTERNO(2)",2,IF(P1007="RESTRINGIDO(3)",3,3))))+(IF(Q1007="BAJA(1)",1,IF(Q1007="MEDIA(2)",2,IF(Q1007="ALTA(3)",3,3))))+(IF(R1007="BAJA(1)",1,IF(R1007="MEDIA(2)",2,IF(R1007="ALTA(3)",3,3))))</f>
        <v/>
      </c>
      <c r="T1007" s="10">
        <f>+IF(S1007&lt;6,"BAJA",IF(S1007&lt;8,"MEDIA","ALTA"))</f>
        <v/>
      </c>
      <c r="U1007" s="10" t="inlineStr">
        <is>
          <t>-</t>
        </is>
      </c>
      <c r="V1007" s="24" t="n">
        <v>45701</v>
      </c>
      <c r="W1007" s="19" t="inlineStr">
        <is>
          <t>N/A</t>
        </is>
      </c>
      <c r="X1007" s="10">
        <f>+IFERROR(IF(VLOOKUP(Tabla2[[#This Row],[ID]],'EVALUACION DE RIESGO'!A:A,1,FALSE)=Tabla2[[#This Row],[ID]],"SI","NO"),"NO")</f>
        <v/>
      </c>
    </row>
    <row r="1008">
      <c r="A1008" s="91" t="inlineStr">
        <is>
          <t>8-GJU</t>
        </is>
      </c>
      <c r="B1008" s="10" t="inlineStr">
        <is>
          <t>APOYO</t>
        </is>
      </c>
      <c r="C1008" s="10" t="inlineStr">
        <is>
          <t xml:space="preserve">Gestión Jurídica </t>
        </is>
      </c>
      <c r="D1008" s="10" t="inlineStr">
        <is>
          <t>GJU</t>
        </is>
      </c>
      <c r="E1008" s="10" t="inlineStr">
        <is>
          <t xml:space="preserve"> Gestión Administración Legal</t>
        </is>
      </c>
      <c r="F1008" s="10" t="inlineStr">
        <is>
          <t>-</t>
        </is>
      </c>
      <c r="G1008" s="10" t="inlineStr">
        <is>
          <t>Otorgamiento de poderes especiales y procuraciones judiciales</t>
        </is>
      </c>
      <c r="H1008" s="10" t="inlineStr">
        <is>
          <t>Escritura Notariada de Otorgamiento de Poderes o Procuración Judicial</t>
        </is>
      </c>
      <c r="I1008" s="10" t="inlineStr">
        <is>
          <t xml:space="preserve">Registro notariado de Poder Especial Persona Judicial, documentación de escritura </t>
        </is>
      </c>
      <c r="J1008" s="10" t="inlineStr">
        <is>
          <t xml:space="preserve">Gerente Jurídico </t>
        </is>
      </c>
      <c r="K1008" s="10" t="inlineStr">
        <is>
          <t>Analista Juridico</t>
        </is>
      </c>
      <c r="L1008" s="10" t="inlineStr">
        <is>
          <t>DOCUMENTOS FISICOS-ARCHIVOS DE LA OFICINA</t>
        </is>
      </c>
      <c r="M1008" s="10" t="inlineStr">
        <is>
          <t>DOCUMENTO DE ARCHIVO-FÍSICO</t>
        </is>
      </c>
      <c r="N1008" s="10" t="inlineStr">
        <is>
          <t>PRIMARIOS</t>
        </is>
      </c>
      <c r="O1008" s="10" t="inlineStr">
        <is>
          <t>DOCUMENTOS HABILITANTES</t>
        </is>
      </c>
      <c r="P1008" s="10" t="inlineStr">
        <is>
          <t>RESTRINGIDO(3)</t>
        </is>
      </c>
      <c r="Q1008" s="10" t="inlineStr">
        <is>
          <t>BAJA(1)</t>
        </is>
      </c>
      <c r="R1008" s="10" t="inlineStr">
        <is>
          <t>ALTA(3)</t>
        </is>
      </c>
      <c r="S1008" s="10">
        <f>+(IF(P1008="PUBLICA(1)",1,IF(P1008="USO INTERNO(2)",2,IF(P1008="RESTRINGIDO(3)",3,3))))+(IF(Q1008="BAJA(1)",1,IF(Q1008="MEDIA(2)",2,IF(Q1008="ALTA(3)",3,3))))+(IF(R1008="BAJA(1)",1,IF(R1008="MEDIA(2)",2,IF(R1008="ALTA(3)",3,3))))</f>
        <v/>
      </c>
      <c r="T1008" s="10">
        <f>+IF(S1008&lt;6,"BAJA",IF(S1008&lt;8,"MEDIA","ALTA"))</f>
        <v/>
      </c>
      <c r="U1008" s="10" t="inlineStr">
        <is>
          <t>-</t>
        </is>
      </c>
      <c r="V1008" s="24" t="n">
        <v>45702</v>
      </c>
      <c r="W1008" s="19" t="inlineStr">
        <is>
          <t>N/A</t>
        </is>
      </c>
      <c r="X1008" s="10">
        <f>+IFERROR(IF(VLOOKUP(Tabla2[[#This Row],[ID]],'EVALUACION DE RIESGO'!A:A,1,FALSE)=Tabla2[[#This Row],[ID]],"SI","NO"),"NO")</f>
        <v/>
      </c>
    </row>
    <row r="1009">
      <c r="A1009" s="91" t="inlineStr">
        <is>
          <t>9-GJU</t>
        </is>
      </c>
      <c r="B1009" s="10" t="inlineStr">
        <is>
          <t>APOYO</t>
        </is>
      </c>
      <c r="C1009" s="10" t="inlineStr">
        <is>
          <t xml:space="preserve">Gestión Jurídica </t>
        </is>
      </c>
      <c r="D1009" s="10" t="inlineStr">
        <is>
          <t>GJU</t>
        </is>
      </c>
      <c r="E1009" s="10" t="inlineStr">
        <is>
          <t xml:space="preserve"> Gestión Administración Legal</t>
        </is>
      </c>
      <c r="F1009" s="10" t="inlineStr">
        <is>
          <t>-</t>
        </is>
      </c>
      <c r="G1009" s="10" t="inlineStr">
        <is>
          <t>Revocatoria de Poderes Especiales y Procuración Judicial</t>
        </is>
      </c>
      <c r="H1009" s="10" t="inlineStr">
        <is>
          <t>Escritura Notariada de Revocatoria de Poderes</t>
        </is>
      </c>
      <c r="I1009" s="10" t="inlineStr">
        <is>
          <t>Registro notariado de Poder Especial Persona Judicial, documentación de escritura</t>
        </is>
      </c>
      <c r="J1009" s="10" t="inlineStr">
        <is>
          <t xml:space="preserve">Gerente Jurídico </t>
        </is>
      </c>
      <c r="K1009" s="10" t="inlineStr">
        <is>
          <t>Analista Juridico</t>
        </is>
      </c>
      <c r="L1009" s="10" t="inlineStr">
        <is>
          <t>DOCUMENTOS FISICOS-ARCHIVOS DE LA OFICINA</t>
        </is>
      </c>
      <c r="M1009" s="10" t="inlineStr">
        <is>
          <t>DOCUMENTO DE ARCHIVO-FÍSICO</t>
        </is>
      </c>
      <c r="N1009" s="10" t="inlineStr">
        <is>
          <t>PRIMARIOS</t>
        </is>
      </c>
      <c r="O1009" s="10" t="inlineStr">
        <is>
          <t>DOCUMENTOS HABILITANTES</t>
        </is>
      </c>
      <c r="P1009" s="10" t="inlineStr">
        <is>
          <t>RESTRINGIDO(3)</t>
        </is>
      </c>
      <c r="Q1009" s="10" t="inlineStr">
        <is>
          <t>BAJA(1)</t>
        </is>
      </c>
      <c r="R1009" s="10" t="inlineStr">
        <is>
          <t>ALTA(3)</t>
        </is>
      </c>
      <c r="S1009" s="10">
        <f>+(IF(P1009="PUBLICA(1)",1,IF(P1009="USO INTERNO(2)",2,IF(P1009="RESTRINGIDO(3)",3,3))))+(IF(Q1009="BAJA(1)",1,IF(Q1009="MEDIA(2)",2,IF(Q1009="ALTA(3)",3,3))))+(IF(R1009="BAJA(1)",1,IF(R1009="MEDIA(2)",2,IF(R1009="ALTA(3)",3,3))))</f>
        <v/>
      </c>
      <c r="T1009" s="10">
        <f>+IF(S1009&lt;6,"BAJA",IF(S1009&lt;8,"MEDIA","ALTA"))</f>
        <v/>
      </c>
      <c r="U1009" s="10" t="inlineStr">
        <is>
          <t>-</t>
        </is>
      </c>
      <c r="V1009" s="24" t="n">
        <v>45703</v>
      </c>
      <c r="W1009" s="19" t="inlineStr">
        <is>
          <t>N/A</t>
        </is>
      </c>
      <c r="X1009" s="10">
        <f>+IFERROR(IF(VLOOKUP(Tabla2[[#This Row],[ID]],'EVALUACION DE RIESGO'!A:A,1,FALSE)=Tabla2[[#This Row],[ID]],"SI","NO"),"NO")</f>
        <v/>
      </c>
    </row>
    <row r="1010">
      <c r="A1010" s="91" t="inlineStr">
        <is>
          <t>10-GJU</t>
        </is>
      </c>
      <c r="B1010" s="10" t="inlineStr">
        <is>
          <t>APOYO</t>
        </is>
      </c>
      <c r="C1010" s="10" t="inlineStr">
        <is>
          <t xml:space="preserve">Gestión Jurídica </t>
        </is>
      </c>
      <c r="D1010" s="10" t="inlineStr">
        <is>
          <t>GJU</t>
        </is>
      </c>
      <c r="E1010" s="10" t="inlineStr">
        <is>
          <t xml:space="preserve"> Gestión Administración Legal</t>
        </is>
      </c>
      <c r="F1010" s="10" t="inlineStr">
        <is>
          <t>-</t>
        </is>
      </c>
      <c r="G1010" s="10" t="inlineStr">
        <is>
          <t>Ingreso de oficios o requerimientos de entidades públicas, privadas o personas naturales</t>
        </is>
      </c>
      <c r="H1010" s="10" t="inlineStr">
        <is>
          <t>Oficio de respuesta</t>
        </is>
      </c>
      <c r="I1010" s="10" t="inlineStr">
        <is>
          <t>Oficio que se contiene la información de la entidad, dondo contestación al requerimiento realizado mismo que es firmado por el Gerente Jurídico</t>
        </is>
      </c>
      <c r="J1010" s="10" t="inlineStr">
        <is>
          <t xml:space="preserve">Gerente Jurídico </t>
        </is>
      </c>
      <c r="K1010" s="10" t="inlineStr">
        <is>
          <t>Analista Juridico</t>
        </is>
      </c>
      <c r="L1010" s="10" t="inlineStr">
        <is>
          <t>DOCUMENTOS FISICOS-ARCHIVOS DE LA OFICINA</t>
        </is>
      </c>
      <c r="M1010" s="10" t="inlineStr">
        <is>
          <t>DOCUMENTO DE ARCHIVO-FÍSICO</t>
        </is>
      </c>
      <c r="N1010" s="10" t="inlineStr">
        <is>
          <t>PRIMARIOS</t>
        </is>
      </c>
      <c r="O1010" s="10" t="inlineStr">
        <is>
          <t>DOCUMENTOS HABILITANTES</t>
        </is>
      </c>
      <c r="P1010" s="10" t="inlineStr">
        <is>
          <t>USO INTERNO(2)</t>
        </is>
      </c>
      <c r="Q1010" s="10" t="inlineStr">
        <is>
          <t>BAJA(1)</t>
        </is>
      </c>
      <c r="R1010" s="10" t="inlineStr">
        <is>
          <t>MEDIA(2)</t>
        </is>
      </c>
      <c r="S1010" s="10">
        <f>+(IF(P1010="PUBLICA(1)",1,IF(P1010="USO INTERNO(2)",2,IF(P1010="RESTRINGIDO(3)",3,3))))+(IF(Q1010="BAJA(1)",1,IF(Q1010="MEDIA(2)",2,IF(Q1010="ALTA(3)",3,3))))+(IF(R1010="BAJA(1)",1,IF(R1010="MEDIA(2)",2,IF(R1010="ALTA(3)",3,3))))</f>
        <v/>
      </c>
      <c r="T1010" s="10">
        <f>+IF(S1010&lt;6,"BAJA",IF(S1010&lt;8,"MEDIA","ALTA"))</f>
        <v/>
      </c>
      <c r="U1010" s="10" t="inlineStr">
        <is>
          <t>-</t>
        </is>
      </c>
      <c r="V1010" s="24" t="n">
        <v>45704</v>
      </c>
      <c r="W1010" s="19" t="inlineStr">
        <is>
          <t>N/A</t>
        </is>
      </c>
      <c r="X1010" s="10">
        <f>+IFERROR(IF(VLOOKUP(Tabla2[[#This Row],[ID]],'EVALUACION DE RIESGO'!A:A,1,FALSE)=Tabla2[[#This Row],[ID]],"SI","NO"),"NO")</f>
        <v/>
      </c>
    </row>
    <row r="1011">
      <c r="A1011" s="91" t="inlineStr">
        <is>
          <t>11-GJU</t>
        </is>
      </c>
      <c r="B1011" s="10" t="inlineStr">
        <is>
          <t>APOYO</t>
        </is>
      </c>
      <c r="C1011" s="10" t="inlineStr">
        <is>
          <t xml:space="preserve">Gestión Jurídica </t>
        </is>
      </c>
      <c r="D1011" s="10" t="inlineStr">
        <is>
          <t>GJU</t>
        </is>
      </c>
      <c r="E1011" s="10" t="inlineStr">
        <is>
          <t xml:space="preserve"> Gestión Administración Legal</t>
        </is>
      </c>
      <c r="F1011" s="10" t="inlineStr">
        <is>
          <t>-</t>
        </is>
      </c>
      <c r="G1011" s="10" t="inlineStr">
        <is>
          <t>Revisión y validación de Instrumentos legales</t>
        </is>
      </c>
      <c r="H1011" s="10" t="inlineStr">
        <is>
          <t>Sumilla de viabilidad legal</t>
        </is>
      </c>
      <c r="I1011" s="10" t="inlineStr">
        <is>
          <t>Respuesta de validación enviada por correo electrónico al requerimiento recibido.</t>
        </is>
      </c>
      <c r="J1011" s="10" t="inlineStr">
        <is>
          <t xml:space="preserve">Gerente Jurídico </t>
        </is>
      </c>
      <c r="K1011" s="10" t="inlineStr">
        <is>
          <t>Asistente Juridico</t>
        </is>
      </c>
      <c r="L1011" s="10" t="inlineStr">
        <is>
          <t>UBICACIÓN DIGITAL-EQUIPO DEL CUSTODIO</t>
        </is>
      </c>
      <c r="M1011" s="10" t="inlineStr">
        <is>
          <t>DOCUMENTO DE ARCHIVO-ELECTRÓNICO</t>
        </is>
      </c>
      <c r="N1011" s="10" t="inlineStr">
        <is>
          <t>PRIMARIOS</t>
        </is>
      </c>
      <c r="O1011" s="10" t="inlineStr">
        <is>
          <t>DOCUMENTOS HABILITANTES</t>
        </is>
      </c>
      <c r="P1011" s="10" t="inlineStr">
        <is>
          <t>USO INTERNO(2)</t>
        </is>
      </c>
      <c r="Q1011" s="10" t="inlineStr">
        <is>
          <t>BAJA(1)</t>
        </is>
      </c>
      <c r="R1011" s="10" t="inlineStr">
        <is>
          <t>MEDIA(2)</t>
        </is>
      </c>
      <c r="S1011" s="10">
        <f>+(IF(P1011="PUBLICA(1)",1,IF(P1011="USO INTERNO(2)",2,IF(P1011="RESTRINGIDO(3)",3,3))))+(IF(Q1011="BAJA(1)",1,IF(Q1011="MEDIA(2)",2,IF(Q1011="ALTA(3)",3,3))))+(IF(R1011="BAJA(1)",1,IF(R1011="MEDIA(2)",2,IF(R1011="ALTA(3)",3,3))))</f>
        <v/>
      </c>
      <c r="T1011" s="10">
        <f>+IF(S1011&lt;6,"BAJA",IF(S1011&lt;8,"MEDIA","ALTA"))</f>
        <v/>
      </c>
      <c r="U1011" s="10" t="inlineStr">
        <is>
          <t>-</t>
        </is>
      </c>
      <c r="V1011" s="24" t="n">
        <v>45705</v>
      </c>
      <c r="W1011" s="19" t="inlineStr">
        <is>
          <t>N/A</t>
        </is>
      </c>
      <c r="X1011" s="10">
        <f>+IFERROR(IF(VLOOKUP(Tabla2[[#This Row],[ID]],'EVALUACION DE RIESGO'!A:A,1,FALSE)=Tabla2[[#This Row],[ID]],"SI","NO"),"NO")</f>
        <v/>
      </c>
    </row>
    <row r="1012">
      <c r="A1012" s="91" t="inlineStr">
        <is>
          <t>12-GJU</t>
        </is>
      </c>
      <c r="B1012" s="10" t="inlineStr">
        <is>
          <t>APOYO</t>
        </is>
      </c>
      <c r="C1012" s="10" t="inlineStr">
        <is>
          <t xml:space="preserve">Gestión Jurídica </t>
        </is>
      </c>
      <c r="D1012" s="10" t="inlineStr">
        <is>
          <t>GJU</t>
        </is>
      </c>
      <c r="E1012" s="10" t="inlineStr">
        <is>
          <t xml:space="preserve"> Gestión Administración Legal</t>
        </is>
      </c>
      <c r="F1012" s="10" t="inlineStr">
        <is>
          <t>-</t>
        </is>
      </c>
      <c r="G1012" s="10" t="inlineStr">
        <is>
          <t>Control y Gestión de Providencias Judiciales y Coactivas</t>
        </is>
      </c>
      <c r="H1012" s="10" t="inlineStr">
        <is>
          <t>Informe de control de providencias judiciales y coactivas</t>
        </is>
      </c>
      <c r="I1012" s="10" t="inlineStr">
        <is>
          <t>Anexo de control de providencias que se agrega al informe mensual, contiene numero de circular de la SEPS, expediente, fecha oficio, tiempo de respuesta, ente emisor, ciudad, remitente, juicio, nombre del cliente, valor, saldo de la cuenta.</t>
        </is>
      </c>
      <c r="J1012" s="10" t="inlineStr">
        <is>
          <t xml:space="preserve">Gerente Jurídico </t>
        </is>
      </c>
      <c r="K1012" s="10" t="inlineStr">
        <is>
          <t>Asistente Juridico</t>
        </is>
      </c>
      <c r="L1012" s="10" t="inlineStr">
        <is>
          <t>UBICACIÓN DIGITAL-EQUIPO DEL CUSTODIO</t>
        </is>
      </c>
      <c r="M1012" s="10" t="inlineStr">
        <is>
          <t>DOCUMENTO DE ARCHIVO-ELECTRÓNICO</t>
        </is>
      </c>
      <c r="N1012" s="10" t="inlineStr">
        <is>
          <t>PRIMARIOS</t>
        </is>
      </c>
      <c r="O1012" s="10" t="inlineStr">
        <is>
          <t>DOCUMENTOS TÉCNICOS</t>
        </is>
      </c>
      <c r="P1012" s="10" t="inlineStr">
        <is>
          <t>RESTRINGIDO(3)</t>
        </is>
      </c>
      <c r="Q1012" s="10" t="inlineStr">
        <is>
          <t>MEDIA(2)</t>
        </is>
      </c>
      <c r="R1012" s="10" t="inlineStr">
        <is>
          <t>MEDIA(2)</t>
        </is>
      </c>
      <c r="S1012" s="10">
        <f>+(IF(P1012="PUBLICA(1)",1,IF(P1012="USO INTERNO(2)",2,IF(P1012="RESTRINGIDO(3)",3,3))))+(IF(Q1012="BAJA(1)",1,IF(Q1012="MEDIA(2)",2,IF(Q1012="ALTA(3)",3,3))))+(IF(R1012="BAJA(1)",1,IF(R1012="MEDIA(2)",2,IF(R1012="ALTA(3)",3,3))))</f>
        <v/>
      </c>
      <c r="T1012" s="10">
        <f>+IF(S1012&lt;6,"BAJA",IF(S1012&lt;8,"MEDIA","ALTA"))</f>
        <v/>
      </c>
      <c r="U1012" s="10" t="inlineStr">
        <is>
          <t>-</t>
        </is>
      </c>
      <c r="V1012" s="24" t="n">
        <v>45706</v>
      </c>
      <c r="W1012" s="19" t="inlineStr">
        <is>
          <t>N/A</t>
        </is>
      </c>
      <c r="X1012" s="10">
        <f>+IFERROR(IF(VLOOKUP(Tabla2[[#This Row],[ID]],'EVALUACION DE RIESGO'!A:A,1,FALSE)=Tabla2[[#This Row],[ID]],"SI","NO"),"NO")</f>
        <v/>
      </c>
    </row>
    <row r="1013">
      <c r="A1013" s="91" t="inlineStr">
        <is>
          <t>13-GJU</t>
        </is>
      </c>
      <c r="B1013" s="10" t="inlineStr">
        <is>
          <t>APOYO</t>
        </is>
      </c>
      <c r="C1013" s="10" t="inlineStr">
        <is>
          <t xml:space="preserve">Gestión Jurídica </t>
        </is>
      </c>
      <c r="D1013" s="10" t="inlineStr">
        <is>
          <t>GJU</t>
        </is>
      </c>
      <c r="E1013" s="10" t="inlineStr">
        <is>
          <t xml:space="preserve"> Gestión Administración Legal</t>
        </is>
      </c>
      <c r="F1013" s="10" t="inlineStr">
        <is>
          <t>-</t>
        </is>
      </c>
      <c r="G1013" s="10" t="inlineStr">
        <is>
          <t>Reporte de Bitácora Normativa</t>
        </is>
      </c>
      <c r="H1013" s="10" t="inlineStr">
        <is>
          <t>Bitácora de normativa</t>
        </is>
      </c>
      <c r="I1013" s="10" t="inlineStr">
        <is>
          <t>Correo enviado de normas actualizadas donde se detalla la normativa se adjunta el documento de la SEPS</t>
        </is>
      </c>
      <c r="J1013" s="10" t="inlineStr">
        <is>
          <t xml:space="preserve">Gerente Jurídico </t>
        </is>
      </c>
      <c r="K1013" s="10" t="inlineStr">
        <is>
          <t>Asistente Juridico</t>
        </is>
      </c>
      <c r="L1013" s="10" t="inlineStr">
        <is>
          <t>UBICACIÓN DIGITAL-EQUIPO DEL CUSTODIO</t>
        </is>
      </c>
      <c r="M1013" s="10" t="inlineStr">
        <is>
          <t>DOCUMENTO DE ARCHIVO-ELECTRÓNICO</t>
        </is>
      </c>
      <c r="N1013" s="10" t="inlineStr">
        <is>
          <t>PRIMARIOS</t>
        </is>
      </c>
      <c r="O1013" s="10" t="inlineStr">
        <is>
          <t>DOCUMENTOS TÉCNICOS</t>
        </is>
      </c>
      <c r="P1013" s="10" t="inlineStr">
        <is>
          <t>USO INTERNO(2)</t>
        </is>
      </c>
      <c r="Q1013" s="10" t="inlineStr">
        <is>
          <t>BAJA(1)</t>
        </is>
      </c>
      <c r="R1013" s="10" t="inlineStr">
        <is>
          <t>MEDIA(2)</t>
        </is>
      </c>
      <c r="S1013" s="10">
        <f>+(IF(P1013="PUBLICA(1)",1,IF(P1013="USO INTERNO(2)",2,IF(P1013="RESTRINGIDO(3)",3,3))))+(IF(Q1013="BAJA(1)",1,IF(Q1013="MEDIA(2)",2,IF(Q1013="ALTA(3)",3,3))))+(IF(R1013="BAJA(1)",1,IF(R1013="MEDIA(2)",2,IF(R1013="ALTA(3)",3,3))))</f>
        <v/>
      </c>
      <c r="T1013" s="10">
        <f>+IF(S1013&lt;6,"BAJA",IF(S1013&lt;8,"MEDIA","ALTA"))</f>
        <v/>
      </c>
      <c r="U1013" s="10" t="inlineStr">
        <is>
          <t>-</t>
        </is>
      </c>
      <c r="V1013" s="24" t="n">
        <v>45708</v>
      </c>
      <c r="W1013" s="19" t="inlineStr">
        <is>
          <t>N/A</t>
        </is>
      </c>
      <c r="X1013" s="10">
        <f>+IFERROR(IF(VLOOKUP(Tabla2[[#This Row],[ID]],'EVALUACION DE RIESGO'!A:A,1,FALSE)=Tabla2[[#This Row],[ID]],"SI","NO"),"NO")</f>
        <v/>
      </c>
    </row>
    <row r="1014">
      <c r="A1014" s="91" t="inlineStr">
        <is>
          <t>14-GJU</t>
        </is>
      </c>
      <c r="B1014" s="10" t="inlineStr">
        <is>
          <t>APOYO</t>
        </is>
      </c>
      <c r="C1014" s="10" t="inlineStr">
        <is>
          <t xml:space="preserve">Gestión Jurídica </t>
        </is>
      </c>
      <c r="D1014" s="10" t="inlineStr">
        <is>
          <t>GJU</t>
        </is>
      </c>
      <c r="E1014" s="10" t="inlineStr">
        <is>
          <t xml:space="preserve"> Gestión Administración Legal</t>
        </is>
      </c>
      <c r="F1014" s="10" t="inlineStr">
        <is>
          <t>-</t>
        </is>
      </c>
      <c r="G1014" s="10" t="inlineStr">
        <is>
          <t>Legalización de Cesión de Derechos</t>
        </is>
      </c>
      <c r="H1014" s="10" t="inlineStr">
        <is>
          <t>Cesión de derechos</t>
        </is>
      </c>
      <c r="I1014" s="10" t="inlineStr">
        <is>
          <t>Anexo a una escritura donde se dictamina la sesion del derecho.</t>
        </is>
      </c>
      <c r="J1014" s="10" t="inlineStr">
        <is>
          <t xml:space="preserve">Gerente Jurídico </t>
        </is>
      </c>
      <c r="K1014" s="10" t="inlineStr">
        <is>
          <t>Asistente Juridico</t>
        </is>
      </c>
      <c r="L1014" s="10" t="inlineStr">
        <is>
          <t>DOCUMENTOS FISICOS-ARCHIVOS DE LA OFICINA</t>
        </is>
      </c>
      <c r="M1014" s="10" t="inlineStr">
        <is>
          <t>DOCUMENTO DE ARCHIVO-FÍSICO</t>
        </is>
      </c>
      <c r="N1014" s="10" t="inlineStr">
        <is>
          <t>PRIMARIOS</t>
        </is>
      </c>
      <c r="O1014" s="10" t="inlineStr">
        <is>
          <t>DOCUMENTOS HABILITANTES</t>
        </is>
      </c>
      <c r="P1014" s="10" t="inlineStr">
        <is>
          <t>RESTRINGIDO(3)</t>
        </is>
      </c>
      <c r="Q1014" s="10" t="inlineStr">
        <is>
          <t>BAJA(1)</t>
        </is>
      </c>
      <c r="R1014" s="10" t="inlineStr">
        <is>
          <t>ALTA(3)</t>
        </is>
      </c>
      <c r="S1014" s="10">
        <f>+(IF(P1014="PUBLICA(1)",1,IF(P1014="USO INTERNO(2)",2,IF(P1014="RESTRINGIDO(3)",3,3))))+(IF(Q1014="BAJA(1)",1,IF(Q1014="MEDIA(2)",2,IF(Q1014="ALTA(3)",3,3))))+(IF(R1014="BAJA(1)",1,IF(R1014="MEDIA(2)",2,IF(R1014="ALTA(3)",3,3))))</f>
        <v/>
      </c>
      <c r="T1014" s="10">
        <f>+IF(S1014&lt;6,"BAJA",IF(S1014&lt;8,"MEDIA","ALTA"))</f>
        <v/>
      </c>
      <c r="U1014" s="10" t="inlineStr">
        <is>
          <t>-</t>
        </is>
      </c>
      <c r="V1014" s="24" t="n">
        <v>45709</v>
      </c>
      <c r="W1014" s="19" t="inlineStr">
        <is>
          <t>N/A</t>
        </is>
      </c>
      <c r="X1014" s="10">
        <f>+IFERROR(IF(VLOOKUP(Tabla2[[#This Row],[ID]],'EVALUACION DE RIESGO'!A:A,1,FALSE)=Tabla2[[#This Row],[ID]],"SI","NO"),"NO")</f>
        <v/>
      </c>
    </row>
    <row r="1015">
      <c r="A1015" s="91" t="inlineStr">
        <is>
          <t>15-GJU</t>
        </is>
      </c>
      <c r="B1015" s="10" t="inlineStr">
        <is>
          <t>APOYO</t>
        </is>
      </c>
      <c r="C1015" s="10" t="inlineStr">
        <is>
          <t xml:space="preserve">Gestión Jurídica </t>
        </is>
      </c>
      <c r="D1015" s="10" t="inlineStr">
        <is>
          <t>GJU</t>
        </is>
      </c>
      <c r="E1015" s="10" t="inlineStr">
        <is>
          <t xml:space="preserve"> Gestión Administración Legal</t>
        </is>
      </c>
      <c r="F1015" s="10" t="inlineStr">
        <is>
          <t>-</t>
        </is>
      </c>
      <c r="G1015" s="10" t="inlineStr">
        <is>
          <t xml:space="preserve">Elaboración de informes mensuales        </t>
        </is>
      </c>
      <c r="H1015" s="10" t="inlineStr">
        <is>
          <t>Informes mensuales</t>
        </is>
      </c>
      <c r="I1015" s="10" t="inlineStr">
        <is>
          <t>Documentación de gestión del area, alcance, gestion del dep jurdico, gestion de cartera, creditos vinculados, creditos condonados, gestion administartiva, procesos judiciales de riesgo elgal y coactivas de la SEPS y anexos</t>
        </is>
      </c>
      <c r="J1015" s="10" t="inlineStr">
        <is>
          <t xml:space="preserve">Gerente Jurídico </t>
        </is>
      </c>
      <c r="K1015" s="10" t="inlineStr">
        <is>
          <t>Asistente Juridico</t>
        </is>
      </c>
      <c r="L1015" s="10" t="inlineStr">
        <is>
          <t>UBICACIÓN DIGITAL-EQUIPO DEL CUSTODIO</t>
        </is>
      </c>
      <c r="M1015" s="10" t="inlineStr">
        <is>
          <t>DOCUMENTO DE ARCHIVO-ELECTRÓNICO</t>
        </is>
      </c>
      <c r="N1015" s="10" t="inlineStr">
        <is>
          <t>PRIMARIOS</t>
        </is>
      </c>
      <c r="O1015" s="10" t="inlineStr">
        <is>
          <t>DOCUMENTOS TÉCNICOS</t>
        </is>
      </c>
      <c r="P1015" s="10" t="inlineStr">
        <is>
          <t>USO INTERNO(2)</t>
        </is>
      </c>
      <c r="Q1015" s="10" t="inlineStr">
        <is>
          <t>BAJA(1)</t>
        </is>
      </c>
      <c r="R1015" s="10" t="inlineStr">
        <is>
          <t>MEDIA(2)</t>
        </is>
      </c>
      <c r="S1015" s="10">
        <f>+(IF(P1015="PUBLICA(1)",1,IF(P1015="USO INTERNO(2)",2,IF(P1015="RESTRINGIDO(3)",3,3))))+(IF(Q1015="BAJA(1)",1,IF(Q1015="MEDIA(2)",2,IF(Q1015="ALTA(3)",3,3))))+(IF(R1015="BAJA(1)",1,IF(R1015="MEDIA(2)",2,IF(R1015="ALTA(3)",3,3))))</f>
        <v/>
      </c>
      <c r="T1015" s="10">
        <f>+IF(S1015&lt;6,"BAJA",IF(S1015&lt;8,"MEDIA","ALTA"))</f>
        <v/>
      </c>
      <c r="U1015" s="10" t="inlineStr">
        <is>
          <t>-</t>
        </is>
      </c>
      <c r="V1015" s="24" t="n">
        <v>45710</v>
      </c>
      <c r="W1015" s="19" t="inlineStr">
        <is>
          <t>N/A</t>
        </is>
      </c>
      <c r="X1015" s="10">
        <f>+IFERROR(IF(VLOOKUP(Tabla2[[#This Row],[ID]],'EVALUACION DE RIESGO'!A:A,1,FALSE)=Tabla2[[#This Row],[ID]],"SI","NO"),"NO")</f>
        <v/>
      </c>
    </row>
    <row r="1016">
      <c r="A1016" s="91" t="inlineStr">
        <is>
          <t>16-GJU</t>
        </is>
      </c>
      <c r="B1016" s="10" t="inlineStr">
        <is>
          <t>APOYO</t>
        </is>
      </c>
      <c r="C1016" s="10" t="inlineStr">
        <is>
          <t xml:space="preserve">Gestión Jurídica </t>
        </is>
      </c>
      <c r="D1016" s="10" t="inlineStr">
        <is>
          <t>GJU</t>
        </is>
      </c>
      <c r="E1016" s="10" t="inlineStr">
        <is>
          <t xml:space="preserve"> Gestión Administración Legal</t>
        </is>
      </c>
      <c r="F1016" s="10" t="inlineStr">
        <is>
          <t>-</t>
        </is>
      </c>
      <c r="G1016" s="10" t="inlineStr">
        <is>
          <t>Solicitudes, autorizaciones y consultas a los organismos de control</t>
        </is>
      </c>
      <c r="H1016" s="10" t="inlineStr">
        <is>
          <t>Oficio de contestación</t>
        </is>
      </c>
      <c r="I1016" s="10" t="inlineStr">
        <is>
          <t>Oficio de requerimiento gestionado con los entes externos donde se indica la resolución y las consultas realizadas de acuerdo a la norma establecida, en el caso que sea una queja se desarrolla todo el detalle de la queja y respaldos necesarios</t>
        </is>
      </c>
      <c r="J1016" s="10" t="inlineStr">
        <is>
          <t xml:space="preserve">Gerente Jurídico </t>
        </is>
      </c>
      <c r="K1016" s="10" t="inlineStr">
        <is>
          <t>Asistente Juridico</t>
        </is>
      </c>
      <c r="L1016" s="10" t="inlineStr">
        <is>
          <t>UBICACIÓN DIGITAL-EQUIPO DEL CUSTODIO</t>
        </is>
      </c>
      <c r="M1016" s="10" t="inlineStr">
        <is>
          <t>DOCUMENTO DE ARCHIVO-ELECTRÓNICO</t>
        </is>
      </c>
      <c r="N1016" s="10" t="inlineStr">
        <is>
          <t>PRIMARIOS</t>
        </is>
      </c>
      <c r="O1016" s="10" t="inlineStr">
        <is>
          <t>DOCUMENTOS HABILITANTES</t>
        </is>
      </c>
      <c r="P1016" s="10" t="inlineStr">
        <is>
          <t>USO INTERNO(2)</t>
        </is>
      </c>
      <c r="Q1016" s="10" t="inlineStr">
        <is>
          <t>BAJA(1)</t>
        </is>
      </c>
      <c r="R1016" s="10" t="inlineStr">
        <is>
          <t>MEDIA(2)</t>
        </is>
      </c>
      <c r="S1016" s="10">
        <f>+(IF(P1016="PUBLICA(1)",1,IF(P1016="USO INTERNO(2)",2,IF(P1016="RESTRINGIDO(3)",3,3))))+(IF(Q1016="BAJA(1)",1,IF(Q1016="MEDIA(2)",2,IF(Q1016="ALTA(3)",3,3))))+(IF(R1016="BAJA(1)",1,IF(R1016="MEDIA(2)",2,IF(R1016="ALTA(3)",3,3))))</f>
        <v/>
      </c>
      <c r="T1016" s="10">
        <f>+IF(S1016&lt;6,"BAJA",IF(S1016&lt;8,"MEDIA","ALTA"))</f>
        <v/>
      </c>
      <c r="U1016" s="10" t="inlineStr">
        <is>
          <t>-</t>
        </is>
      </c>
      <c r="V1016" s="24" t="n">
        <v>45711</v>
      </c>
      <c r="W1016" s="19" t="inlineStr">
        <is>
          <t>N/A</t>
        </is>
      </c>
      <c r="X1016" s="10">
        <f>+IFERROR(IF(VLOOKUP(Tabla2[[#This Row],[ID]],'EVALUACION DE RIESGO'!A:A,1,FALSE)=Tabla2[[#This Row],[ID]],"SI","NO"),"NO")</f>
        <v/>
      </c>
    </row>
    <row r="1017">
      <c r="A1017" s="91" t="inlineStr">
        <is>
          <t>17-GJU</t>
        </is>
      </c>
      <c r="B1017" s="10" t="inlineStr">
        <is>
          <t>APOYO</t>
        </is>
      </c>
      <c r="C1017" s="10" t="inlineStr">
        <is>
          <t xml:space="preserve">Gestión Jurídica </t>
        </is>
      </c>
      <c r="D1017" s="10" t="inlineStr">
        <is>
          <t>GJU</t>
        </is>
      </c>
      <c r="E1017" s="10" t="inlineStr">
        <is>
          <t xml:space="preserve"> Gestión Administración Legal</t>
        </is>
      </c>
      <c r="F1017" s="10" t="inlineStr">
        <is>
          <t>-</t>
        </is>
      </c>
      <c r="G1017" s="10" t="inlineStr">
        <is>
          <t>Revisión de polizas de seguros</t>
        </is>
      </c>
      <c r="H1017" s="10" t="inlineStr">
        <is>
          <t>Póliza de Seguros revisada</t>
        </is>
      </c>
      <c r="I1017" s="10" t="inlineStr">
        <is>
          <t>Documento validado de las contrataciones de seguros, valores de las primas, bien al que cubre, comparación de TDR propuesta del proveedor y las condiciones no hayan variado</t>
        </is>
      </c>
      <c r="J1017" s="10" t="inlineStr">
        <is>
          <t xml:space="preserve">Gerente Jurídico </t>
        </is>
      </c>
      <c r="K1017" s="10" t="inlineStr">
        <is>
          <t>Asistente Juridico</t>
        </is>
      </c>
      <c r="L1017" s="10" t="inlineStr">
        <is>
          <t>DOCUMENTOS FISICOS-ARCHIVOS DE LA OFICINA</t>
        </is>
      </c>
      <c r="M1017" s="10" t="inlineStr">
        <is>
          <t>DOCUMENTO DE ARCHIVO-FÍSICO</t>
        </is>
      </c>
      <c r="N1017" s="10" t="inlineStr">
        <is>
          <t>PRIMARIOS</t>
        </is>
      </c>
      <c r="O1017" s="10" t="inlineStr">
        <is>
          <t>DOCUMENTOS HABILITANTES</t>
        </is>
      </c>
      <c r="P1017" s="10" t="inlineStr">
        <is>
          <t>USO INTERNO(2)</t>
        </is>
      </c>
      <c r="Q1017" s="10" t="inlineStr">
        <is>
          <t>BAJA(1)</t>
        </is>
      </c>
      <c r="R1017" s="10" t="inlineStr">
        <is>
          <t>ALTA(3)</t>
        </is>
      </c>
      <c r="S1017" s="10">
        <f>+(IF(P1017="PUBLICA(1)",1,IF(P1017="USO INTERNO(2)",2,IF(P1017="RESTRINGIDO(3)",3,3))))+(IF(Q1017="BAJA(1)",1,IF(Q1017="MEDIA(2)",2,IF(Q1017="ALTA(3)",3,3))))+(IF(R1017="BAJA(1)",1,IF(R1017="MEDIA(2)",2,IF(R1017="ALTA(3)",3,3))))</f>
        <v/>
      </c>
      <c r="T1017" s="10">
        <f>+IF(S1017&lt;6,"BAJA",IF(S1017&lt;8,"MEDIA","ALTA"))</f>
        <v/>
      </c>
      <c r="U1017" s="10" t="inlineStr">
        <is>
          <t>-</t>
        </is>
      </c>
      <c r="V1017" s="24" t="n">
        <v>45712</v>
      </c>
      <c r="W1017" s="19" t="inlineStr">
        <is>
          <t>N/A</t>
        </is>
      </c>
      <c r="X1017" s="10">
        <f>+IFERROR(IF(VLOOKUP(Tabla2[[#This Row],[ID]],'EVALUACION DE RIESGO'!A:A,1,FALSE)=Tabla2[[#This Row],[ID]],"SI","NO"),"NO")</f>
        <v/>
      </c>
    </row>
    <row r="1018">
      <c r="A1018" s="91" t="inlineStr">
        <is>
          <t>18-GJU</t>
        </is>
      </c>
      <c r="B1018" s="10" t="inlineStr">
        <is>
          <t>APOYO</t>
        </is>
      </c>
      <c r="C1018" s="10" t="inlineStr">
        <is>
          <t xml:space="preserve">Gestión Jurídica </t>
        </is>
      </c>
      <c r="D1018" s="10" t="inlineStr">
        <is>
          <t>GJU</t>
        </is>
      </c>
      <c r="E1018" s="10" t="inlineStr">
        <is>
          <t xml:space="preserve"> Gestión Administración Legal</t>
        </is>
      </c>
      <c r="F1018" s="10" t="inlineStr">
        <is>
          <t>-</t>
        </is>
      </c>
      <c r="G1018" s="10" t="inlineStr">
        <is>
          <t>Elaboración de contratos y adendas laborales</t>
        </is>
      </c>
      <c r="H1018" s="10" t="inlineStr">
        <is>
          <t>Contrato o adenda</t>
        </is>
      </c>
      <c r="I1018" s="10" t="inlineStr">
        <is>
          <t>Documento de contrato realizo por el área Juridica con el detalle del empleado y tipo de contrato, el documento se entrega al área de Talento Humano</t>
        </is>
      </c>
      <c r="J1018" s="10" t="inlineStr">
        <is>
          <t xml:space="preserve">Gerente Jurídico </t>
        </is>
      </c>
      <c r="K1018" s="10" t="inlineStr">
        <is>
          <t>Talento Humano</t>
        </is>
      </c>
      <c r="L1018" s="10" t="inlineStr">
        <is>
          <t>DOCUMENTOS FISICOS-ARCHIVOS DE LA OFICINA</t>
        </is>
      </c>
      <c r="M1018" s="10" t="inlineStr">
        <is>
          <t>DOCUMENTO DE ARCHIVO-FÍSICO</t>
        </is>
      </c>
      <c r="N1018" s="10" t="inlineStr">
        <is>
          <t>PRIMARIOS</t>
        </is>
      </c>
      <c r="O1018" s="10" t="inlineStr">
        <is>
          <t>DOCUMENTOS HABILITANTES</t>
        </is>
      </c>
      <c r="P1018" s="10" t="inlineStr">
        <is>
          <t>RESTRINGIDO(3)</t>
        </is>
      </c>
      <c r="Q1018" s="10" t="inlineStr">
        <is>
          <t>BAJA(1)</t>
        </is>
      </c>
      <c r="R1018" s="10" t="inlineStr">
        <is>
          <t>ALTA(3)</t>
        </is>
      </c>
      <c r="S1018" s="10">
        <f>+(IF(P1018="PUBLICA(1)",1,IF(P1018="USO INTERNO(2)",2,IF(P1018="RESTRINGIDO(3)",3,3))))+(IF(Q1018="BAJA(1)",1,IF(Q1018="MEDIA(2)",2,IF(Q1018="ALTA(3)",3,3))))+(IF(R1018="BAJA(1)",1,IF(R1018="MEDIA(2)",2,IF(R1018="ALTA(3)",3,3))))</f>
        <v/>
      </c>
      <c r="T1018" s="10">
        <f>+IF(S1018&lt;6,"BAJA",IF(S1018&lt;8,"MEDIA","ALTA"))</f>
        <v/>
      </c>
      <c r="U1018" s="10" t="inlineStr">
        <is>
          <t>-</t>
        </is>
      </c>
      <c r="V1018" s="24" t="n">
        <v>45713</v>
      </c>
      <c r="W1018" s="19" t="inlineStr">
        <is>
          <t>N/A</t>
        </is>
      </c>
      <c r="X1018" s="10">
        <f>+IFERROR(IF(VLOOKUP(Tabla2[[#This Row],[ID]],'EVALUACION DE RIESGO'!A:A,1,FALSE)=Tabla2[[#This Row],[ID]],"SI","NO"),"NO")</f>
        <v/>
      </c>
    </row>
    <row r="1019">
      <c r="A1019" s="91" t="inlineStr">
        <is>
          <t>19-GJU</t>
        </is>
      </c>
      <c r="B1019" s="10" t="inlineStr">
        <is>
          <t>APOYO</t>
        </is>
      </c>
      <c r="C1019" s="10" t="inlineStr">
        <is>
          <t xml:space="preserve">Gestión Jurídica </t>
        </is>
      </c>
      <c r="D1019" s="10" t="inlineStr">
        <is>
          <t>GJU</t>
        </is>
      </c>
      <c r="E1019" s="10" t="inlineStr">
        <is>
          <t>Administración del Fondo Judicial</t>
        </is>
      </c>
      <c r="F1019" s="10" t="inlineStr">
        <is>
          <t>-</t>
        </is>
      </c>
      <c r="G1019" s="10" t="inlineStr">
        <is>
          <t>Designación de responsables del fondo judicial</t>
        </is>
      </c>
      <c r="H1019" s="10" t="inlineStr">
        <is>
          <t>Solicitud de acreditación del fondo judicial/registro contrable</t>
        </is>
      </c>
      <c r="I1019" s="10" t="inlineStr">
        <is>
          <t>Solcitud del fondo judicial realizada por correo electrónico indicando el valor de la acreditación</t>
        </is>
      </c>
      <c r="J1019" s="10" t="inlineStr">
        <is>
          <t xml:space="preserve">Gerente Jurídico </t>
        </is>
      </c>
      <c r="K1019" s="10" t="inlineStr">
        <is>
          <t>Analista Juridico</t>
        </is>
      </c>
      <c r="L1019" s="10" t="inlineStr">
        <is>
          <t>UBICACIÓN DIGITAL-EQUIPO DEL CUSTODIO</t>
        </is>
      </c>
      <c r="M1019" s="10" t="inlineStr">
        <is>
          <t>DOCUMENTO DE ARCHIVO-ELECTRÓNICO</t>
        </is>
      </c>
      <c r="N1019" s="10" t="inlineStr">
        <is>
          <t>PRIMARIOS</t>
        </is>
      </c>
      <c r="O1019" s="10" t="inlineStr">
        <is>
          <t>COMUNICACIÓN INTERNA</t>
        </is>
      </c>
      <c r="P1019" s="10" t="inlineStr">
        <is>
          <t>USO INTERNO(2)</t>
        </is>
      </c>
      <c r="Q1019" s="10" t="inlineStr">
        <is>
          <t>BAJA(1)</t>
        </is>
      </c>
      <c r="R1019" s="10" t="inlineStr">
        <is>
          <t>MEDIA(2)</t>
        </is>
      </c>
      <c r="S1019" s="10">
        <f>+(IF(P1019="PUBLICA(1)",1,IF(P1019="USO INTERNO(2)",2,IF(P1019="RESTRINGIDO(3)",3,3))))+(IF(Q1019="BAJA(1)",1,IF(Q1019="MEDIA(2)",2,IF(Q1019="ALTA(3)",3,3))))+(IF(R1019="BAJA(1)",1,IF(R1019="MEDIA(2)",2,IF(R1019="ALTA(3)",3,3))))</f>
        <v/>
      </c>
      <c r="T1019" s="10">
        <f>+IF(S1019&lt;6,"BAJA",IF(S1019&lt;8,"MEDIA","ALTA"))</f>
        <v/>
      </c>
      <c r="U1019" s="10" t="inlineStr">
        <is>
          <t>-</t>
        </is>
      </c>
      <c r="V1019" s="24" t="n">
        <v>45714</v>
      </c>
      <c r="W1019" s="19" t="inlineStr">
        <is>
          <t>N/A</t>
        </is>
      </c>
      <c r="X1019" s="10">
        <f>+IFERROR(IF(VLOOKUP(Tabla2[[#This Row],[ID]],'EVALUACION DE RIESGO'!A:A,1,FALSE)=Tabla2[[#This Row],[ID]],"SI","NO"),"NO")</f>
        <v/>
      </c>
    </row>
    <row r="1020">
      <c r="A1020" s="91" t="inlineStr">
        <is>
          <t>20-GJU</t>
        </is>
      </c>
      <c r="B1020" s="10" t="inlineStr">
        <is>
          <t>APOYO</t>
        </is>
      </c>
      <c r="C1020" s="10" t="inlineStr">
        <is>
          <t xml:space="preserve">Gestión Jurídica </t>
        </is>
      </c>
      <c r="D1020" s="10" t="inlineStr">
        <is>
          <t>GJU</t>
        </is>
      </c>
      <c r="E1020" s="10" t="inlineStr">
        <is>
          <t>Administración del Fondo Judicial</t>
        </is>
      </c>
      <c r="F1020" s="10" t="inlineStr">
        <is>
          <t>-</t>
        </is>
      </c>
      <c r="G1020" s="10" t="inlineStr">
        <is>
          <t>Salida de dinero del fondo judicial</t>
        </is>
      </c>
      <c r="H1020" s="10" t="inlineStr">
        <is>
          <t>Recibos del fondo judicial / Facturas de diligencias judiciales</t>
        </is>
      </c>
      <c r="I1020" s="10" t="inlineStr">
        <is>
          <t>Documentos de recibidos y facturas que respaldan los valores de salida</t>
        </is>
      </c>
      <c r="J1020" s="10" t="inlineStr">
        <is>
          <t xml:space="preserve">Gerente Jurídico </t>
        </is>
      </c>
      <c r="K1020" s="10" t="inlineStr">
        <is>
          <t>Analista Juridico</t>
        </is>
      </c>
      <c r="L1020" s="10" t="inlineStr">
        <is>
          <t>DOCUMENTOS FISICOS-ARCHIVOS DE LA OFICINA</t>
        </is>
      </c>
      <c r="M1020" s="10" t="inlineStr">
        <is>
          <t>DOCUMENTO DE ARCHIVO-FÍSICO</t>
        </is>
      </c>
      <c r="N1020" s="10" t="inlineStr">
        <is>
          <t>PRIMARIOS</t>
        </is>
      </c>
      <c r="O1020" s="10" t="inlineStr">
        <is>
          <t>DOCUMENTOS HABILITANTES</t>
        </is>
      </c>
      <c r="P1020" s="10" t="inlineStr">
        <is>
          <t>USO INTERNO(2)</t>
        </is>
      </c>
      <c r="Q1020" s="10" t="inlineStr">
        <is>
          <t>BAJA(1)</t>
        </is>
      </c>
      <c r="R1020" s="10" t="inlineStr">
        <is>
          <t>MEDIA(2)</t>
        </is>
      </c>
      <c r="S1020" s="10">
        <f>+(IF(P1020="PUBLICA(1)",1,IF(P1020="USO INTERNO(2)",2,IF(P1020="RESTRINGIDO(3)",3,3))))+(IF(Q1020="BAJA(1)",1,IF(Q1020="MEDIA(2)",2,IF(Q1020="ALTA(3)",3,3))))+(IF(R1020="BAJA(1)",1,IF(R1020="MEDIA(2)",2,IF(R1020="ALTA(3)",3,3))))</f>
        <v/>
      </c>
      <c r="T1020" s="10">
        <f>+IF(S1020&lt;6,"BAJA",IF(S1020&lt;8,"MEDIA","ALTA"))</f>
        <v/>
      </c>
      <c r="U1020" s="10" t="inlineStr">
        <is>
          <t>-</t>
        </is>
      </c>
      <c r="V1020" s="24" t="n">
        <v>45714</v>
      </c>
      <c r="W1020" s="19" t="inlineStr">
        <is>
          <t>N/A</t>
        </is>
      </c>
      <c r="X1020" s="10">
        <f>+IFERROR(IF(VLOOKUP(Tabla2[[#This Row],[ID]],'EVALUACION DE RIESGO'!A:A,1,FALSE)=Tabla2[[#This Row],[ID]],"SI","NO"),"NO")</f>
        <v/>
      </c>
    </row>
    <row r="1021">
      <c r="A1021" s="91" t="inlineStr">
        <is>
          <t>21-GJU</t>
        </is>
      </c>
      <c r="B1021" s="10" t="inlineStr">
        <is>
          <t>APOYO</t>
        </is>
      </c>
      <c r="C1021" s="10" t="inlineStr">
        <is>
          <t xml:space="preserve">Gestión Jurídica </t>
        </is>
      </c>
      <c r="D1021" s="10" t="inlineStr">
        <is>
          <t>GJU</t>
        </is>
      </c>
      <c r="E1021" s="10" t="inlineStr">
        <is>
          <t>Administración del Fondo Judicial</t>
        </is>
      </c>
      <c r="F1021" s="10" t="inlineStr">
        <is>
          <t>-</t>
        </is>
      </c>
      <c r="G1021" s="10" t="inlineStr">
        <is>
          <t>Reposición del fondo judicial</t>
        </is>
      </c>
      <c r="H1021" s="10" t="inlineStr">
        <is>
          <t>Reporte de ingreso de cuentas por cobrar</t>
        </is>
      </c>
      <c r="I1021" s="10" t="inlineStr">
        <is>
          <t>Reporte del sistema donde se indica a que socio, valor y concepto de carga el recargo</t>
        </is>
      </c>
      <c r="J1021" s="10" t="inlineStr">
        <is>
          <t xml:space="preserve">Gerente Jurídico </t>
        </is>
      </c>
      <c r="K1021" s="10" t="inlineStr">
        <is>
          <t>Analista Juridico</t>
        </is>
      </c>
      <c r="L1021" s="10" t="inlineStr">
        <is>
          <t>UBICACIÓN DIGITAL-EQUIPO DEL CUSTODIO</t>
        </is>
      </c>
      <c r="M1021" s="10" t="inlineStr">
        <is>
          <t>DOCUMENTO DE ARCHIVO-ELECTRÓNICO</t>
        </is>
      </c>
      <c r="N1021" s="10" t="inlineStr">
        <is>
          <t>PRIMARIOS</t>
        </is>
      </c>
      <c r="O1021" s="10" t="inlineStr">
        <is>
          <t>DOCUMENTOS TÉCNICOS</t>
        </is>
      </c>
      <c r="P1021" s="10" t="inlineStr">
        <is>
          <t>USO INTERNO(2)</t>
        </is>
      </c>
      <c r="Q1021" s="10" t="inlineStr">
        <is>
          <t>MEDIA(2)</t>
        </is>
      </c>
      <c r="R1021" s="10" t="inlineStr">
        <is>
          <t>MEDIA(2)</t>
        </is>
      </c>
      <c r="S1021" s="10">
        <f>+(IF(P1021="PUBLICA(1)",1,IF(P1021="USO INTERNO(2)",2,IF(P1021="RESTRINGIDO(3)",3,3))))+(IF(Q1021="BAJA(1)",1,IF(Q1021="MEDIA(2)",2,IF(Q1021="ALTA(3)",3,3))))+(IF(R1021="BAJA(1)",1,IF(R1021="MEDIA(2)",2,IF(R1021="ALTA(3)",3,3))))</f>
        <v/>
      </c>
      <c r="T1021" s="10">
        <f>+IF(S1021&lt;6,"BAJA",IF(S1021&lt;8,"MEDIA","ALTA"))</f>
        <v/>
      </c>
      <c r="U1021" s="10" t="inlineStr">
        <is>
          <t>-</t>
        </is>
      </c>
      <c r="V1021" s="24" t="n">
        <v>45714</v>
      </c>
      <c r="W1021" s="19" t="inlineStr">
        <is>
          <t>N/A</t>
        </is>
      </c>
      <c r="X1021" s="10">
        <f>+IFERROR(IF(VLOOKUP(Tabla2[[#This Row],[ID]],'EVALUACION DE RIESGO'!A:A,1,FALSE)=Tabla2[[#This Row],[ID]],"SI","NO"),"NO")</f>
        <v/>
      </c>
    </row>
    <row r="1022">
      <c r="A1022" s="91" t="inlineStr">
        <is>
          <t>22-GJU</t>
        </is>
      </c>
      <c r="B1022" s="10" t="inlineStr">
        <is>
          <t>APOYO</t>
        </is>
      </c>
      <c r="C1022" s="10" t="inlineStr">
        <is>
          <t xml:space="preserve">Gestión Jurídica </t>
        </is>
      </c>
      <c r="D1022" s="10" t="inlineStr">
        <is>
          <t>GJU</t>
        </is>
      </c>
      <c r="E1022" s="10" t="inlineStr">
        <is>
          <t>Administración del Fondo Judicial</t>
        </is>
      </c>
      <c r="F1022" s="10" t="inlineStr">
        <is>
          <t>-</t>
        </is>
      </c>
      <c r="G1022" s="10" t="inlineStr">
        <is>
          <t>Reposición del fondo judicial</t>
        </is>
      </c>
      <c r="H1022" s="10" t="inlineStr">
        <is>
          <t>Cuadre del fondo judicial /Solicitud de reposición del fondo / Registro contable de reposición del fondo</t>
        </is>
      </c>
      <c r="I1022" s="10" t="inlineStr">
        <is>
          <t>Adjunto y detalle de gastos judiciales, con facturas y recibos realizados, se carga y valida con Cantabilidad</t>
        </is>
      </c>
      <c r="J1022" s="10" t="inlineStr">
        <is>
          <t xml:space="preserve">Gerente Jurídico </t>
        </is>
      </c>
      <c r="K1022" s="10" t="inlineStr">
        <is>
          <t>Analista Juridico</t>
        </is>
      </c>
      <c r="L1022" s="10" t="inlineStr">
        <is>
          <t>DOCUMENTOS FISICOS-ARCHIVOS DE LA OFICINA</t>
        </is>
      </c>
      <c r="M1022" s="10" t="inlineStr">
        <is>
          <t>DOCUMENTO DE ARCHIVO-FÍSICO</t>
        </is>
      </c>
      <c r="N1022" s="10" t="inlineStr">
        <is>
          <t>PRIMARIOS</t>
        </is>
      </c>
      <c r="O1022" s="10" t="inlineStr">
        <is>
          <t>DOCUMENTOS TÉCNICOS</t>
        </is>
      </c>
      <c r="P1022" s="10" t="inlineStr">
        <is>
          <t>USO INTERNO(2)</t>
        </is>
      </c>
      <c r="Q1022" s="10" t="inlineStr">
        <is>
          <t>BAJA(1)</t>
        </is>
      </c>
      <c r="R1022" s="10" t="inlineStr">
        <is>
          <t>MEDIA(2)</t>
        </is>
      </c>
      <c r="S1022" s="10">
        <f>+(IF(P1022="PUBLICA(1)",1,IF(P1022="USO INTERNO(2)",2,IF(P1022="RESTRINGIDO(3)",3,3))))+(IF(Q1022="BAJA(1)",1,IF(Q1022="MEDIA(2)",2,IF(Q1022="ALTA(3)",3,3))))+(IF(R1022="BAJA(1)",1,IF(R1022="MEDIA(2)",2,IF(R1022="ALTA(3)",3,3))))</f>
        <v/>
      </c>
      <c r="T1022" s="10">
        <f>+IF(S1022&lt;6,"BAJA",IF(S1022&lt;8,"MEDIA","ALTA"))</f>
        <v/>
      </c>
      <c r="U1022" s="10" t="inlineStr">
        <is>
          <t>-</t>
        </is>
      </c>
      <c r="V1022" s="24" t="n">
        <v>45714</v>
      </c>
      <c r="W1022" s="19" t="inlineStr">
        <is>
          <t>N/A</t>
        </is>
      </c>
      <c r="X1022" s="10">
        <f>+IFERROR(IF(VLOOKUP(Tabla2[[#This Row],[ID]],'EVALUACION DE RIESGO'!A:A,1,FALSE)=Tabla2[[#This Row],[ID]],"SI","NO"),"NO")</f>
        <v/>
      </c>
    </row>
    <row r="1023">
      <c r="A1023" s="91" t="inlineStr">
        <is>
          <t>23-GJU</t>
        </is>
      </c>
      <c r="B1023" s="10" t="inlineStr">
        <is>
          <t>APOYO</t>
        </is>
      </c>
      <c r="C1023" s="10" t="inlineStr">
        <is>
          <t xml:space="preserve">Gestión Jurídica </t>
        </is>
      </c>
      <c r="D1023" s="10" t="inlineStr">
        <is>
          <t>GJU</t>
        </is>
      </c>
      <c r="E1023" s="10" t="inlineStr">
        <is>
          <t>Administración del Fondo Judicial</t>
        </is>
      </c>
      <c r="F1023" s="10" t="inlineStr">
        <is>
          <t>-</t>
        </is>
      </c>
      <c r="G1023" s="10" t="inlineStr">
        <is>
          <t>N/A</t>
        </is>
      </c>
      <c r="H1023" s="10" t="inlineStr">
        <is>
          <t xml:space="preserve">Equipos de computación </t>
        </is>
      </c>
      <c r="I1023" s="10" t="inlineStr">
        <is>
          <t>Equipos de computación donde se realiza la gestión del área</t>
        </is>
      </c>
      <c r="J1023" s="10" t="inlineStr">
        <is>
          <t xml:space="preserve">Gerente Jurídico </t>
        </is>
      </c>
      <c r="K1023" s="10" t="inlineStr">
        <is>
          <t xml:space="preserve">Gerente Jurídico </t>
        </is>
      </c>
      <c r="L1023" s="10" t="inlineStr">
        <is>
          <t>UBICACIÓN FISICA-MATRIZ ATUNTAQUI</t>
        </is>
      </c>
      <c r="M1023" s="10" t="inlineStr">
        <is>
          <t>DISCOS DUROS, SERVIDORES, DISCOS O MEDIOS PORTÁTILES, CINTAS O MEDIOS DE VIDEO Y AUDIO, ETC.</t>
        </is>
      </c>
      <c r="N1023" s="10" t="inlineStr">
        <is>
          <t>APOYO</t>
        </is>
      </c>
      <c r="O1023" s="10" t="inlineStr">
        <is>
          <t>HARDWARE</t>
        </is>
      </c>
      <c r="P1023" s="10" t="inlineStr">
        <is>
          <t>USO INTERNO(2)</t>
        </is>
      </c>
      <c r="Q1023" s="10" t="inlineStr">
        <is>
          <t>MEDIA(2)</t>
        </is>
      </c>
      <c r="R1023" s="10" t="inlineStr">
        <is>
          <t>MEDIA(2)</t>
        </is>
      </c>
      <c r="S1023" s="10">
        <f>+(IF(P1023="PUBLICA(1)",1,IF(P1023="USO INTERNO(2)",2,IF(P1023="RESTRINGIDO(3)",3,3))))+(IF(Q1023="BAJA(1)",1,IF(Q1023="MEDIA(2)",2,IF(Q1023="ALTA(3)",3,3))))+(IF(R1023="BAJA(1)",1,IF(R1023="MEDIA(2)",2,IF(R1023="ALTA(3)",3,3))))</f>
        <v/>
      </c>
      <c r="T1023" s="10">
        <f>+IF(S1023&lt;6,"BAJA",IF(S1023&lt;8,"MEDIA","ALTA"))</f>
        <v/>
      </c>
      <c r="U1023" s="10" t="inlineStr">
        <is>
          <t>-</t>
        </is>
      </c>
      <c r="V1023" s="24" t="n">
        <v>45714</v>
      </c>
      <c r="W1023" s="19" t="inlineStr">
        <is>
          <t>N/A</t>
        </is>
      </c>
      <c r="X1023" s="10">
        <f>+IFERROR(IF(VLOOKUP(Tabla2[[#This Row],[ID]],'EVALUACION DE RIESGO'!A:A,1,FALSE)=Tabla2[[#This Row],[ID]],"SI","NO"),"NO")</f>
        <v/>
      </c>
    </row>
    <row r="1024">
      <c r="A1024" s="91" t="inlineStr">
        <is>
          <t>24-GJU</t>
        </is>
      </c>
      <c r="B1024" s="10" t="inlineStr">
        <is>
          <t>APOYO</t>
        </is>
      </c>
      <c r="C1024" s="10" t="inlineStr">
        <is>
          <t xml:space="preserve">Gestión Jurídica </t>
        </is>
      </c>
      <c r="D1024" s="10" t="inlineStr">
        <is>
          <t>GJU</t>
        </is>
      </c>
      <c r="E1024" s="10" t="inlineStr">
        <is>
          <t>Administración del Fondo Judicial</t>
        </is>
      </c>
      <c r="F1024" s="10" t="inlineStr">
        <is>
          <t>-</t>
        </is>
      </c>
      <c r="G1024" s="10" t="inlineStr">
        <is>
          <t>N/A</t>
        </is>
      </c>
      <c r="H1024" s="10" t="inlineStr">
        <is>
          <t>Gerente Jurídico</t>
        </is>
      </c>
      <c r="I1024" s="10" t="inlineStr">
        <is>
          <t>N/A</t>
        </is>
      </c>
      <c r="J1024" s="10" t="inlineStr">
        <is>
          <t xml:space="preserve">Gerente Jurídico </t>
        </is>
      </c>
      <c r="K1024" s="10" t="inlineStr">
        <is>
          <t>N/A</t>
        </is>
      </c>
      <c r="L1024" s="10" t="inlineStr">
        <is>
          <t>N/A</t>
        </is>
      </c>
      <c r="M1024" s="10" t="inlineStr">
        <is>
          <t>N/A</t>
        </is>
      </c>
      <c r="N1024" s="10" t="inlineStr">
        <is>
          <t>APOYO</t>
        </is>
      </c>
      <c r="O1024" s="10" t="inlineStr">
        <is>
          <t>RECURSO HUMANO</t>
        </is>
      </c>
      <c r="P1024" s="10" t="inlineStr">
        <is>
          <t>USO INTERNO(2)</t>
        </is>
      </c>
      <c r="Q1024" s="10" t="inlineStr">
        <is>
          <t>BAJA(1)</t>
        </is>
      </c>
      <c r="R1024" s="10" t="inlineStr">
        <is>
          <t>MEDIA(2)</t>
        </is>
      </c>
      <c r="S1024" s="10">
        <f>+(IF(P1024="PUBLICA(1)",1,IF(P1024="USO INTERNO(2)",2,IF(P1024="RESTRINGIDO(3)",3,3))))+(IF(Q1024="BAJA(1)",1,IF(Q1024="MEDIA(2)",2,IF(Q1024="ALTA(3)",3,3))))+(IF(R1024="BAJA(1)",1,IF(R1024="MEDIA(2)",2,IF(R1024="ALTA(3)",3,3))))</f>
        <v/>
      </c>
      <c r="T1024" s="10">
        <f>+IF(S1024&lt;6,"BAJA",IF(S1024&lt;8,"MEDIA","ALTA"))</f>
        <v/>
      </c>
      <c r="U1024" s="10" t="inlineStr">
        <is>
          <t>-</t>
        </is>
      </c>
      <c r="V1024" s="24" t="n">
        <v>45714</v>
      </c>
      <c r="W1024" s="19" t="inlineStr">
        <is>
          <t>N/A</t>
        </is>
      </c>
      <c r="X1024" s="10">
        <f>+IFERROR(IF(VLOOKUP(Tabla2[[#This Row],[ID]],'EVALUACION DE RIESGO'!A:A,1,FALSE)=Tabla2[[#This Row],[ID]],"SI","NO"),"NO")</f>
        <v/>
      </c>
    </row>
    <row r="1025">
      <c r="A1025" s="91" t="inlineStr">
        <is>
          <t>1-GRI</t>
        </is>
      </c>
      <c r="B1025" s="10" t="inlineStr">
        <is>
          <t>ESTRATÉGICO</t>
        </is>
      </c>
      <c r="C1025" s="10" t="inlineStr">
        <is>
          <t>Gestión de Riesgos</t>
        </is>
      </c>
      <c r="D1025" s="10" t="inlineStr">
        <is>
          <t>GRI</t>
        </is>
      </c>
      <c r="E1025" s="10" t="inlineStr">
        <is>
          <t>Gestión de Riesgo de Liquidez</t>
        </is>
      </c>
      <c r="F1025" s="10" t="inlineStr">
        <is>
          <t>-</t>
        </is>
      </c>
      <c r="G1025" s="10" t="inlineStr">
        <is>
          <t>Análisis de la liquidez estructural</t>
        </is>
      </c>
      <c r="H1025" s="10" t="inlineStr">
        <is>
          <t>Normas para Administración Integral de Riesgos.</t>
        </is>
      </c>
      <c r="I1025" s="10" t="inlineStr">
        <is>
          <t>Normativa de Riesgos de Liquidez</t>
        </is>
      </c>
      <c r="J1025" s="10" t="inlineStr">
        <is>
          <t>GERENTE DE RIESGOS</t>
        </is>
      </c>
      <c r="K1025" s="10" t="inlineStr">
        <is>
          <t>ANALISTA DE RIESGO DE LIQUIDEZ Y MERCADO</t>
        </is>
      </c>
      <c r="L1025" s="10" t="inlineStr">
        <is>
          <t>UBICACIÓN DIGITAL-EQUIPO DEL RESPONSABLE</t>
        </is>
      </c>
      <c r="M1025" s="10" t="inlineStr">
        <is>
          <t>DOCUMENTO DE ARCHIVO-ELECTRÓNICO</t>
        </is>
      </c>
      <c r="N1025" s="10" t="inlineStr">
        <is>
          <t>PRIMARIOS</t>
        </is>
      </c>
      <c r="O1025" s="10" t="inlineStr">
        <is>
          <t>OTROS</t>
        </is>
      </c>
      <c r="P1025" s="10" t="inlineStr">
        <is>
          <t>PUBLICA(1)</t>
        </is>
      </c>
      <c r="Q1025" s="10" t="inlineStr">
        <is>
          <t>BAJA(1)</t>
        </is>
      </c>
      <c r="R1025" s="10" t="inlineStr">
        <is>
          <t>BAJA(1)</t>
        </is>
      </c>
      <c r="S1025" s="10">
        <f>+(IF(P1025="PUBLICA(1)",1,IF(P1025="USO INTERNO(2)",2,IF(P1025="RESTRINGIDO(3)",3,3))))+(IF(Q1025="BAJA(1)",1,IF(Q1025="MEDIA(2)",2,IF(Q1025="ALTA(3)",3,3))))+(IF(R1025="BAJA(1)",1,IF(R1025="MEDIA(2)",2,IF(R1025="ALTA(3)",3,3))))</f>
        <v/>
      </c>
      <c r="T1025" s="10">
        <f>+IF(S1025&lt;6,"BAJA",IF(S1025&lt;8,"MEDIA","ALTA"))</f>
        <v/>
      </c>
      <c r="U1025" s="10" t="inlineStr">
        <is>
          <t>-</t>
        </is>
      </c>
      <c r="V1025" s="24" t="n">
        <v>45567</v>
      </c>
      <c r="W1025" s="19" t="inlineStr">
        <is>
          <t>N/A</t>
        </is>
      </c>
      <c r="X1025" s="10">
        <f>+IFERROR(IF(VLOOKUP(Tabla2[[#This Row],[ID]],'EVALUACION DE RIESGO'!A:A,1,FALSE)=Tabla2[[#This Row],[ID]],"SI","NO"),"NO")</f>
        <v/>
      </c>
    </row>
    <row r="1026">
      <c r="A1026" s="91" t="inlineStr">
        <is>
          <t>2-GRI</t>
        </is>
      </c>
      <c r="B1026" s="10" t="inlineStr">
        <is>
          <t>ESTRATÉGICO</t>
        </is>
      </c>
      <c r="C1026" s="10" t="inlineStr">
        <is>
          <t>Gestión de Riesgos</t>
        </is>
      </c>
      <c r="D1026" s="10" t="inlineStr">
        <is>
          <t>GRI</t>
        </is>
      </c>
      <c r="E1026" s="10" t="inlineStr">
        <is>
          <t>Gestión de Riesgo de Liquidez</t>
        </is>
      </c>
      <c r="F1026" s="10" t="inlineStr">
        <is>
          <t>-</t>
        </is>
      </c>
      <c r="G1026" s="10" t="inlineStr">
        <is>
          <t>Análisis de la liquidez estructural</t>
        </is>
      </c>
      <c r="H1026" s="10" t="inlineStr">
        <is>
          <t>Balances diarios</t>
        </is>
      </c>
      <c r="I1026" s="10" t="inlineStr">
        <is>
          <t>Obtengo el balance del sistema</t>
        </is>
      </c>
      <c r="J1026" s="10" t="inlineStr">
        <is>
          <t>GERENTE DE RIESGOS</t>
        </is>
      </c>
      <c r="K1026" s="10" t="inlineStr">
        <is>
          <t>ANALISTA DE RIESGO DE LIQUIDEZ Y MERCADO</t>
        </is>
      </c>
      <c r="L1026" s="10" t="inlineStr">
        <is>
          <t>UBICACIÓN DIGITAL-EQUIPO DEL RESPONSABLE</t>
        </is>
      </c>
      <c r="M1026" s="10" t="inlineStr">
        <is>
          <t>DOCUMENTO DE ARCHIVO-ELECTRÓNICO</t>
        </is>
      </c>
      <c r="N1026" s="10" t="inlineStr">
        <is>
          <t>PRIMARIOS</t>
        </is>
      </c>
      <c r="O1026" s="10" t="inlineStr">
        <is>
          <t>DOCUMENTOS TÉCNICOS</t>
        </is>
      </c>
      <c r="P1026" s="10" t="inlineStr">
        <is>
          <t>USO INTERNO(2)</t>
        </is>
      </c>
      <c r="Q1026" s="10" t="inlineStr">
        <is>
          <t>ALTA(3)</t>
        </is>
      </c>
      <c r="R1026" s="10" t="inlineStr">
        <is>
          <t>MEDIA(2)</t>
        </is>
      </c>
      <c r="S1026" s="10">
        <f>+(IF(P1026="PUBLICA(1)",1,IF(P1026="USO INTERNO(2)",2,IF(P1026="RESTRINGIDO(3)",3,3))))+(IF(Q1026="BAJA(1)",1,IF(Q1026="MEDIA(2)",2,IF(Q1026="ALTA(3)",3,3))))+(IF(R1026="BAJA(1)",1,IF(R1026="MEDIA(2)",2,IF(R1026="ALTA(3)",3,3))))</f>
        <v/>
      </c>
      <c r="T1026" s="10">
        <f>+IF(S1026&lt;6,"BAJA",IF(S1026&lt;8,"MEDIA","ALTA"))</f>
        <v/>
      </c>
      <c r="U1026" s="10" t="inlineStr">
        <is>
          <t>-</t>
        </is>
      </c>
      <c r="V1026" s="24" t="n">
        <v>45567</v>
      </c>
      <c r="W1026" s="19" t="inlineStr">
        <is>
          <t>N/A</t>
        </is>
      </c>
      <c r="X1026" s="10">
        <f>+IFERROR(IF(VLOOKUP(Tabla2[[#This Row],[ID]],'EVALUACION DE RIESGO'!A:A,1,FALSE)=Tabla2[[#This Row],[ID]],"SI","NO"),"NO")</f>
        <v/>
      </c>
    </row>
    <row r="1027">
      <c r="A1027" s="91" t="inlineStr">
        <is>
          <t>3-GRI</t>
        </is>
      </c>
      <c r="B1027" s="10" t="inlineStr">
        <is>
          <t>ESTRATÉGICO</t>
        </is>
      </c>
      <c r="C1027" s="10" t="inlineStr">
        <is>
          <t>Gestión de Riesgos</t>
        </is>
      </c>
      <c r="D1027" s="10" t="inlineStr">
        <is>
          <t>GRI</t>
        </is>
      </c>
      <c r="E1027" s="10" t="inlineStr">
        <is>
          <t>Gestión de Riesgo de Liquidez</t>
        </is>
      </c>
      <c r="F1027" s="10" t="inlineStr">
        <is>
          <t>-</t>
        </is>
      </c>
      <c r="G1027" s="10" t="inlineStr">
        <is>
          <t>Análisis de la liquidez estructural</t>
        </is>
      </c>
      <c r="H1027" s="10" t="inlineStr">
        <is>
          <t>Registros de información de la liquidez</t>
        </is>
      </c>
      <c r="I1027" s="10" t="inlineStr">
        <is>
          <t>Software de Liquidez y Mercado</t>
        </is>
      </c>
      <c r="J1027" s="10" t="inlineStr">
        <is>
          <t>GERENTE DE RIESGOS</t>
        </is>
      </c>
      <c r="K1027" s="10" t="inlineStr">
        <is>
          <t>ANALISTA DE RIESGO DE LIQUIDEZ Y MERCADO</t>
        </is>
      </c>
      <c r="L1027" s="10" t="inlineStr">
        <is>
          <t>UBICACIÓN DIGITAL-WEBCOOP</t>
        </is>
      </c>
      <c r="M1027" s="10" t="inlineStr">
        <is>
          <t>SISTEMA DE ADMINISTRACIÓN DE DOCUMENTOS</t>
        </is>
      </c>
      <c r="N1027" s="10" t="inlineStr">
        <is>
          <t>APOYO</t>
        </is>
      </c>
      <c r="O1027" s="10" t="inlineStr">
        <is>
          <t>SOFTWARE</t>
        </is>
      </c>
      <c r="P1027" s="10" t="inlineStr">
        <is>
          <t>PUBLICA(1)</t>
        </is>
      </c>
      <c r="Q1027" s="10" t="inlineStr">
        <is>
          <t>ALTA(3)</t>
        </is>
      </c>
      <c r="R1027" s="10" t="inlineStr">
        <is>
          <t>MEDIA(2)</t>
        </is>
      </c>
      <c r="S1027" s="10">
        <f>+(IF(P1027="PUBLICA(1)",1,IF(P1027="USO INTERNO(2)",2,IF(P1027="RESTRINGIDO(3)",3,3))))+(IF(Q1027="BAJA(1)",1,IF(Q1027="MEDIA(2)",2,IF(Q1027="ALTA(3)",3,3))))+(IF(R1027="BAJA(1)",1,IF(R1027="MEDIA(2)",2,IF(R1027="ALTA(3)",3,3))))</f>
        <v/>
      </c>
      <c r="T1027" s="10">
        <f>+IF(S1027&lt;6,"BAJA",IF(S1027&lt;8,"MEDIA","ALTA"))</f>
        <v/>
      </c>
      <c r="U1027" s="10" t="inlineStr">
        <is>
          <t>-</t>
        </is>
      </c>
      <c r="V1027" s="24" t="n">
        <v>45567</v>
      </c>
      <c r="W1027" s="19" t="inlineStr">
        <is>
          <t>N/A</t>
        </is>
      </c>
      <c r="X1027" s="10">
        <f>+IFERROR(IF(VLOOKUP(Tabla2[[#This Row],[ID]],'EVALUACION DE RIESGO'!A:A,1,FALSE)=Tabla2[[#This Row],[ID]],"SI","NO"),"NO")</f>
        <v/>
      </c>
    </row>
    <row r="1028">
      <c r="A1028" s="91" t="inlineStr">
        <is>
          <t>4-GRI</t>
        </is>
      </c>
      <c r="B1028" s="10" t="inlineStr">
        <is>
          <t>ESTRATÉGICO</t>
        </is>
      </c>
      <c r="C1028" s="10" t="inlineStr">
        <is>
          <t>Gestión de Riesgos</t>
        </is>
      </c>
      <c r="D1028" s="10" t="inlineStr">
        <is>
          <t>GRI</t>
        </is>
      </c>
      <c r="E1028" s="10" t="inlineStr">
        <is>
          <t>Gestión de Riesgo de Liquidez</t>
        </is>
      </c>
      <c r="F1028" s="10" t="inlineStr">
        <is>
          <t>-</t>
        </is>
      </c>
      <c r="G1028" s="10" t="inlineStr">
        <is>
          <t>Análisis de la liquidez estructural</t>
        </is>
      </c>
      <c r="H1028" s="10" t="inlineStr">
        <is>
          <t>Herramienta de Liquidez Estructural</t>
        </is>
      </c>
      <c r="I1028" s="10" t="inlineStr">
        <is>
          <t>Salida de hoja de trabajo</t>
        </is>
      </c>
      <c r="J1028" s="10" t="inlineStr">
        <is>
          <t>GERENTE DE RIESGOS</t>
        </is>
      </c>
      <c r="K1028" s="10" t="inlineStr">
        <is>
          <t>ANALISTA DE RIESGO DE LIQUIDEZ Y MERCADO</t>
        </is>
      </c>
      <c r="L1028" s="10" t="inlineStr">
        <is>
          <t>UBICACIÓN DIGITAL-EQUIPO DEL RESPONSABLE</t>
        </is>
      </c>
      <c r="M1028" s="10" t="inlineStr">
        <is>
          <t>SISTEMA DE ADMINISTRACIÓN DE DOCUMENTOS</t>
        </is>
      </c>
      <c r="N1028" s="10" t="inlineStr">
        <is>
          <t>PRIMARIOS</t>
        </is>
      </c>
      <c r="O1028" s="10" t="inlineStr">
        <is>
          <t>DOCUMENTOS TÉCNICOS</t>
        </is>
      </c>
      <c r="P1028" s="10" t="inlineStr">
        <is>
          <t>PUBLICA(1)</t>
        </is>
      </c>
      <c r="Q1028" s="10" t="inlineStr">
        <is>
          <t>ALTA(3)</t>
        </is>
      </c>
      <c r="R1028" s="10" t="inlineStr">
        <is>
          <t>MEDIA(2)</t>
        </is>
      </c>
      <c r="S1028" s="10">
        <f>+(IF(P1028="PUBLICA(1)",1,IF(P1028="USO INTERNO(2)",2,IF(P1028="RESTRINGIDO(3)",3,3))))+(IF(Q1028="BAJA(1)",1,IF(Q1028="MEDIA(2)",2,IF(Q1028="ALTA(3)",3,3))))+(IF(R1028="BAJA(1)",1,IF(R1028="MEDIA(2)",2,IF(R1028="ALTA(3)",3,3))))</f>
        <v/>
      </c>
      <c r="T1028" s="10">
        <f>+IF(S1028&lt;6,"BAJA",IF(S1028&lt;8,"MEDIA","ALTA"))</f>
        <v/>
      </c>
      <c r="U1028" s="10" t="inlineStr">
        <is>
          <t>-</t>
        </is>
      </c>
      <c r="V1028" s="24" t="n">
        <v>45567</v>
      </c>
      <c r="W1028" s="19" t="inlineStr">
        <is>
          <t>N/A</t>
        </is>
      </c>
      <c r="X1028" s="10">
        <f>+IFERROR(IF(VLOOKUP(Tabla2[[#This Row],[ID]],'EVALUACION DE RIESGO'!A:A,1,FALSE)=Tabla2[[#This Row],[ID]],"SI","NO"),"NO")</f>
        <v/>
      </c>
    </row>
    <row r="1029">
      <c r="A1029" s="91" t="inlineStr">
        <is>
          <t>5-GRI</t>
        </is>
      </c>
      <c r="B1029" s="10" t="inlineStr">
        <is>
          <t>ESTRATÉGICO</t>
        </is>
      </c>
      <c r="C1029" s="10" t="inlineStr">
        <is>
          <t>Gestión de Riesgos</t>
        </is>
      </c>
      <c r="D1029" s="10" t="inlineStr">
        <is>
          <t>GRI</t>
        </is>
      </c>
      <c r="E1029" s="10" t="inlineStr">
        <is>
          <t>Gestión de Riesgo de Liquidez</t>
        </is>
      </c>
      <c r="F1029" s="10" t="inlineStr">
        <is>
          <t>-</t>
        </is>
      </c>
      <c r="G1029" s="10" t="inlineStr">
        <is>
          <t>Análisis de la liquidez estructural</t>
        </is>
      </c>
      <c r="H1029" s="10" t="inlineStr">
        <is>
          <t xml:space="preserve">Reporte de Liquidez Estructural </t>
        </is>
      </c>
      <c r="I1029" s="10" t="inlineStr">
        <is>
          <t xml:space="preserve">Consolidación de la información </t>
        </is>
      </c>
      <c r="J1029" s="10" t="inlineStr">
        <is>
          <t>GERENTE DE RIESGOS</t>
        </is>
      </c>
      <c r="K1029" s="10" t="inlineStr">
        <is>
          <t>ANALISTA DE RIESGO DE LIQUIDEZ Y MERCADO</t>
        </is>
      </c>
      <c r="L1029" s="10" t="inlineStr">
        <is>
          <t>UBICACIÓN DIGITAL-EQUIPO DEL RESPONSABLE</t>
        </is>
      </c>
      <c r="M1029" s="10" t="inlineStr">
        <is>
          <t>DOCUMENTO DE ARCHIVO-ELECTRÓNICO</t>
        </is>
      </c>
      <c r="N1029" s="10" t="inlineStr">
        <is>
          <t>PRIMARIOS</t>
        </is>
      </c>
      <c r="O1029" s="10" t="inlineStr">
        <is>
          <t>DOCUMENTOS TÉCNICOS</t>
        </is>
      </c>
      <c r="P1029" s="10" t="inlineStr">
        <is>
          <t>PUBLICA(1)</t>
        </is>
      </c>
      <c r="Q1029" s="10" t="inlineStr">
        <is>
          <t>ALTA(3)</t>
        </is>
      </c>
      <c r="R1029" s="10" t="inlineStr">
        <is>
          <t>MEDIA(2)</t>
        </is>
      </c>
      <c r="S1029" s="10">
        <f>+(IF(P1029="PUBLICA(1)",1,IF(P1029="USO INTERNO(2)",2,IF(P1029="RESTRINGIDO(3)",3,3))))+(IF(Q1029="BAJA(1)",1,IF(Q1029="MEDIA(2)",2,IF(Q1029="ALTA(3)",3,3))))+(IF(R1029="BAJA(1)",1,IF(R1029="MEDIA(2)",2,IF(R1029="ALTA(3)",3,3))))</f>
        <v/>
      </c>
      <c r="T1029" s="10">
        <f>+IF(S1029&lt;6,"BAJA",IF(S1029&lt;8,"MEDIA","ALTA"))</f>
        <v/>
      </c>
      <c r="U1029" s="10" t="inlineStr">
        <is>
          <t>-</t>
        </is>
      </c>
      <c r="V1029" s="24" t="n">
        <v>45567</v>
      </c>
      <c r="W1029" s="19" t="inlineStr">
        <is>
          <t>N/A</t>
        </is>
      </c>
      <c r="X1029" s="10">
        <f>+IFERROR(IF(VLOOKUP(Tabla2[[#This Row],[ID]],'EVALUACION DE RIESGO'!A:A,1,FALSE)=Tabla2[[#This Row],[ID]],"SI","NO"),"NO")</f>
        <v/>
      </c>
    </row>
    <row r="1030">
      <c r="A1030" s="91" t="inlineStr">
        <is>
          <t>7-GRI</t>
        </is>
      </c>
      <c r="B1030" s="10" t="inlineStr">
        <is>
          <t>ESTRATÉGICO</t>
        </is>
      </c>
      <c r="C1030" s="10" t="inlineStr">
        <is>
          <t>Gestión de Riesgos</t>
        </is>
      </c>
      <c r="D1030" s="10" t="inlineStr">
        <is>
          <t>GRI</t>
        </is>
      </c>
      <c r="E1030" s="10" t="inlineStr">
        <is>
          <t>Gestión de Riesgo de Liquidez</t>
        </is>
      </c>
      <c r="F1030" s="10" t="inlineStr">
        <is>
          <t>-</t>
        </is>
      </c>
      <c r="G1030" s="10" t="inlineStr">
        <is>
          <t>Monitoreo de liquidez y volatilidad diaria</t>
        </is>
      </c>
      <c r="H1030" s="10" t="inlineStr">
        <is>
          <t>Registro de definición indicadores y límites de riesgos.</t>
        </is>
      </c>
      <c r="I1030" s="10" t="inlineStr">
        <is>
          <t>Actualización de niveles de riesgo de alertas tempranas de liquidez</t>
        </is>
      </c>
      <c r="J1030" s="10" t="inlineStr">
        <is>
          <t>GERENTE DE RIESGOS</t>
        </is>
      </c>
      <c r="K1030" s="10" t="inlineStr">
        <is>
          <t>ANALISTA DE RIESGO DE LIQUIDEZ Y MERCADO</t>
        </is>
      </c>
      <c r="L1030" s="10" t="inlineStr">
        <is>
          <t>UBICACIÓN DIGITAL-EQUIPO DEL RESPONSABLE</t>
        </is>
      </c>
      <c r="M1030" s="10" t="inlineStr">
        <is>
          <t>DOCUMENTO DE ARCHIVO-ELECTRÓNICO</t>
        </is>
      </c>
      <c r="N1030" s="10" t="inlineStr">
        <is>
          <t>PRIMARIOS</t>
        </is>
      </c>
      <c r="O1030" s="10" t="inlineStr">
        <is>
          <t>DOCUMENTOS TÉCNICOS</t>
        </is>
      </c>
      <c r="P1030" s="10" t="inlineStr">
        <is>
          <t>PUBLICA(1)</t>
        </is>
      </c>
      <c r="Q1030" s="10" t="inlineStr">
        <is>
          <t>ALTA(3)</t>
        </is>
      </c>
      <c r="R1030" s="10" t="inlineStr">
        <is>
          <t>MEDIA(2)</t>
        </is>
      </c>
      <c r="S1030" s="10">
        <f>+(IF(P1030="PUBLICA(1)",1,IF(P1030="USO INTERNO(2)",2,IF(P1030="RESTRINGIDO(3)",3,3))))+(IF(Q1030="BAJA(1)",1,IF(Q1030="MEDIA(2)",2,IF(Q1030="ALTA(3)",3,3))))+(IF(R1030="BAJA(1)",1,IF(R1030="MEDIA(2)",2,IF(R1030="ALTA(3)",3,3))))</f>
        <v/>
      </c>
      <c r="T1030" s="10">
        <f>+IF(S1030&lt;6,"BAJA",IF(S1030&lt;8,"MEDIA","ALTA"))</f>
        <v/>
      </c>
      <c r="U1030" s="10" t="inlineStr">
        <is>
          <t>-</t>
        </is>
      </c>
      <c r="V1030" s="24" t="n">
        <v>45567</v>
      </c>
      <c r="W1030" s="19" t="inlineStr">
        <is>
          <t>N/A</t>
        </is>
      </c>
      <c r="X1030" s="10">
        <f>+IFERROR(IF(VLOOKUP(Tabla2[[#This Row],[ID]],'EVALUACION DE RIESGO'!A:A,1,FALSE)=Tabla2[[#This Row],[ID]],"SI","NO"),"NO")</f>
        <v/>
      </c>
    </row>
    <row r="1031">
      <c r="A1031" s="91" t="inlineStr">
        <is>
          <t>8-GRI</t>
        </is>
      </c>
      <c r="B1031" s="10" t="inlineStr">
        <is>
          <t>ESTRATÉGICO</t>
        </is>
      </c>
      <c r="C1031" s="10" t="inlineStr">
        <is>
          <t>Gestión de Riesgos</t>
        </is>
      </c>
      <c r="D1031" s="10" t="inlineStr">
        <is>
          <t>GRI</t>
        </is>
      </c>
      <c r="E1031" s="10" t="inlineStr">
        <is>
          <t>Gestión de Riesgo de Liquidez</t>
        </is>
      </c>
      <c r="F1031" s="10" t="inlineStr">
        <is>
          <t>-</t>
        </is>
      </c>
      <c r="G1031" s="10" t="inlineStr">
        <is>
          <t>Monitoreo de liquidez y volatilidad diaria</t>
        </is>
      </c>
      <c r="H1031" s="10" t="inlineStr">
        <is>
          <t xml:space="preserve">Balances diarios </t>
        </is>
      </c>
      <c r="I1031" s="10" t="inlineStr">
        <is>
          <t>Generación de balance</t>
        </is>
      </c>
      <c r="J1031" s="10" t="inlineStr">
        <is>
          <t>GERENTE DE RIESGOS</t>
        </is>
      </c>
      <c r="K1031" s="10" t="inlineStr">
        <is>
          <t>ANALISTA DE RIESGO DE LIQUIDEZ Y MERCADO</t>
        </is>
      </c>
      <c r="L1031" s="10" t="inlineStr">
        <is>
          <t>UBICACIÓN DIGITAL-EQUIPO DEL RESPONSABLE</t>
        </is>
      </c>
      <c r="M1031" s="10" t="inlineStr">
        <is>
          <t>DOCUMENTO DE ARCHIVO-ELECTRÓNICO</t>
        </is>
      </c>
      <c r="N1031" s="10" t="inlineStr">
        <is>
          <t>PRIMARIOS</t>
        </is>
      </c>
      <c r="O1031" s="10" t="inlineStr">
        <is>
          <t>DOCUMENTOS TÉCNICOS</t>
        </is>
      </c>
      <c r="P1031" s="10" t="inlineStr">
        <is>
          <t>PUBLICA(1)</t>
        </is>
      </c>
      <c r="Q1031" s="10" t="inlineStr">
        <is>
          <t>ALTA(3)</t>
        </is>
      </c>
      <c r="R1031" s="10" t="inlineStr">
        <is>
          <t>MEDIA(2)</t>
        </is>
      </c>
      <c r="S1031" s="10">
        <f>+(IF(P1031="PUBLICA(1)",1,IF(P1031="USO INTERNO(2)",2,IF(P1031="RESTRINGIDO(3)",3,3))))+(IF(Q1031="BAJA(1)",1,IF(Q1031="MEDIA(2)",2,IF(Q1031="ALTA(3)",3,3))))+(IF(R1031="BAJA(1)",1,IF(R1031="MEDIA(2)",2,IF(R1031="ALTA(3)",3,3))))</f>
        <v/>
      </c>
      <c r="T1031" s="10">
        <f>+IF(S1031&lt;6,"BAJA",IF(S1031&lt;8,"MEDIA","ALTA"))</f>
        <v/>
      </c>
      <c r="U1031" s="10" t="inlineStr">
        <is>
          <t>-</t>
        </is>
      </c>
      <c r="V1031" s="24" t="n">
        <v>45567</v>
      </c>
      <c r="W1031" s="19" t="inlineStr">
        <is>
          <t>N/A</t>
        </is>
      </c>
      <c r="X1031" s="10">
        <f>+IFERROR(IF(VLOOKUP(Tabla2[[#This Row],[ID]],'EVALUACION DE RIESGO'!A:A,1,FALSE)=Tabla2[[#This Row],[ID]],"SI","NO"),"NO")</f>
        <v/>
      </c>
    </row>
    <row r="1032">
      <c r="A1032" s="91" t="inlineStr">
        <is>
          <t>9-GRI</t>
        </is>
      </c>
      <c r="B1032" s="10" t="inlineStr">
        <is>
          <t>ESTRATÉGICO</t>
        </is>
      </c>
      <c r="C1032" s="10" t="inlineStr">
        <is>
          <t>Gestión de Riesgos</t>
        </is>
      </c>
      <c r="D1032" s="10" t="inlineStr">
        <is>
          <t>GRI</t>
        </is>
      </c>
      <c r="E1032" s="10" t="inlineStr">
        <is>
          <t>Gestión de Riesgo de Liquidez</t>
        </is>
      </c>
      <c r="F1032" s="10" t="inlineStr">
        <is>
          <t>-</t>
        </is>
      </c>
      <c r="G1032" s="10" t="inlineStr">
        <is>
          <t>Monitoreo de liquidez y volatilidad diaria</t>
        </is>
      </c>
      <c r="H1032" s="10" t="inlineStr">
        <is>
          <t>Herramienta de Liquidez Diaria</t>
        </is>
      </c>
      <c r="I1032" s="10" t="inlineStr">
        <is>
          <t>Hoja de trabajo</t>
        </is>
      </c>
      <c r="J1032" s="10" t="inlineStr">
        <is>
          <t>GERENTE DE RIESGOS</t>
        </is>
      </c>
      <c r="K1032" s="10" t="inlineStr">
        <is>
          <t>ANALISTA DE RIESGO DE LIQUIDEZ Y MERCADO</t>
        </is>
      </c>
      <c r="L1032" s="10" t="inlineStr">
        <is>
          <t>UBICACIÓN DIGITAL-EQUIPO DEL RESPONSABLE</t>
        </is>
      </c>
      <c r="M1032" s="10" t="inlineStr">
        <is>
          <t>DOCUMENTO DE ARCHIVO-ELECTRÓNICO</t>
        </is>
      </c>
      <c r="N1032" s="10" t="inlineStr">
        <is>
          <t>PRIMARIOS</t>
        </is>
      </c>
      <c r="O1032" s="10" t="inlineStr">
        <is>
          <t>DOCUMENTOS TÉCNICOS</t>
        </is>
      </c>
      <c r="P1032" s="10" t="inlineStr">
        <is>
          <t>PUBLICA(1)</t>
        </is>
      </c>
      <c r="Q1032" s="10" t="inlineStr">
        <is>
          <t>ALTA(3)</t>
        </is>
      </c>
      <c r="R1032" s="10" t="inlineStr">
        <is>
          <t>MEDIA(2)</t>
        </is>
      </c>
      <c r="S1032" s="10">
        <f>+(IF(P1032="PUBLICA(1)",1,IF(P1032="USO INTERNO(2)",2,IF(P1032="RESTRINGIDO(3)",3,3))))+(IF(Q1032="BAJA(1)",1,IF(Q1032="MEDIA(2)",2,IF(Q1032="ALTA(3)",3,3))))+(IF(R1032="BAJA(1)",1,IF(R1032="MEDIA(2)",2,IF(R1032="ALTA(3)",3,3))))</f>
        <v/>
      </c>
      <c r="T1032" s="10">
        <f>+IF(S1032&lt;6,"BAJA",IF(S1032&lt;8,"MEDIA","ALTA"))</f>
        <v/>
      </c>
      <c r="U1032" s="10" t="inlineStr">
        <is>
          <t>-</t>
        </is>
      </c>
      <c r="V1032" s="24" t="n">
        <v>45567</v>
      </c>
      <c r="W1032" s="19" t="inlineStr">
        <is>
          <t>N/A</t>
        </is>
      </c>
      <c r="X1032" s="10">
        <f>+IFERROR(IF(VLOOKUP(Tabla2[[#This Row],[ID]],'EVALUACION DE RIESGO'!A:A,1,FALSE)=Tabla2[[#This Row],[ID]],"SI","NO"),"NO")</f>
        <v/>
      </c>
    </row>
    <row r="1033">
      <c r="A1033" s="91" t="inlineStr">
        <is>
          <t>10-GRI</t>
        </is>
      </c>
      <c r="B1033" s="10" t="inlineStr">
        <is>
          <t>ESTRATÉGICO</t>
        </is>
      </c>
      <c r="C1033" s="10" t="inlineStr">
        <is>
          <t>Gestión de Riesgos</t>
        </is>
      </c>
      <c r="D1033" s="10" t="inlineStr">
        <is>
          <t>GRI</t>
        </is>
      </c>
      <c r="E1033" s="10" t="inlineStr">
        <is>
          <t>Gestión de Riesgo de Liquidez</t>
        </is>
      </c>
      <c r="F1033" s="10" t="inlineStr">
        <is>
          <t>-</t>
        </is>
      </c>
      <c r="G1033" s="10" t="inlineStr">
        <is>
          <t>Monitoreo de liquidez y volatilidad diaria</t>
        </is>
      </c>
      <c r="H1033" s="10" t="inlineStr">
        <is>
          <t>Reporte de liquidez y volatilidad diaria</t>
        </is>
      </c>
      <c r="I1033" s="10" t="inlineStr">
        <is>
          <t>Actualización de niveles de riesgo de alertas tempranas de liquidez / Consolidación de la información</t>
        </is>
      </c>
      <c r="J1033" s="10" t="inlineStr">
        <is>
          <t>GERENTE DE RIESGOS</t>
        </is>
      </c>
      <c r="K1033" s="10" t="inlineStr">
        <is>
          <t>ANALISTA DE RIESGO DE LIQUIDEZ Y MERCADO</t>
        </is>
      </c>
      <c r="L1033" s="10" t="inlineStr">
        <is>
          <t>UBICACIÓN DIGITAL-EQUIPO DEL RESPONSABLE</t>
        </is>
      </c>
      <c r="M1033" s="10" t="inlineStr">
        <is>
          <t>DOCUMENTO DE ARCHIVO-ELECTRÓNICO</t>
        </is>
      </c>
      <c r="N1033" s="10" t="inlineStr">
        <is>
          <t>PRIMARIOS</t>
        </is>
      </c>
      <c r="O1033" s="10" t="inlineStr">
        <is>
          <t>DOCUMENTOS TÉCNICOS</t>
        </is>
      </c>
      <c r="P1033" s="10" t="inlineStr">
        <is>
          <t>PUBLICA(1)</t>
        </is>
      </c>
      <c r="Q1033" s="10" t="inlineStr">
        <is>
          <t>ALTA(3)</t>
        </is>
      </c>
      <c r="R1033" s="10" t="inlineStr">
        <is>
          <t>MEDIA(2)</t>
        </is>
      </c>
      <c r="S1033" s="10">
        <f>+(IF(P1033="PUBLICA(1)",1,IF(P1033="USO INTERNO(2)",2,IF(P1033="RESTRINGIDO(3)",3,3))))+(IF(Q1033="BAJA(1)",1,IF(Q1033="MEDIA(2)",2,IF(Q1033="ALTA(3)",3,3))))+(IF(R1033="BAJA(1)",1,IF(R1033="MEDIA(2)",2,IF(R1033="ALTA(3)",3,3))))</f>
        <v/>
      </c>
      <c r="T1033" s="10">
        <f>+IF(S1033&lt;6,"BAJA",IF(S1033&lt;8,"MEDIA","ALTA"))</f>
        <v/>
      </c>
      <c r="U1033" s="10" t="inlineStr">
        <is>
          <t>-</t>
        </is>
      </c>
      <c r="V1033" s="24" t="n">
        <v>45567</v>
      </c>
      <c r="W1033" s="19" t="inlineStr">
        <is>
          <t>N/A</t>
        </is>
      </c>
      <c r="X1033" s="10">
        <f>+IFERROR(IF(VLOOKUP(Tabla2[[#This Row],[ID]],'EVALUACION DE RIESGO'!A:A,1,FALSE)=Tabla2[[#This Row],[ID]],"SI","NO"),"NO")</f>
        <v/>
      </c>
    </row>
    <row r="1034">
      <c r="A1034" s="91" t="inlineStr">
        <is>
          <t>11-GRI</t>
        </is>
      </c>
      <c r="B1034" s="10" t="inlineStr">
        <is>
          <t>ESTRATÉGICO</t>
        </is>
      </c>
      <c r="C1034" s="10" t="inlineStr">
        <is>
          <t>Gestión de Riesgos</t>
        </is>
      </c>
      <c r="D1034" s="10" t="inlineStr">
        <is>
          <t>GRI</t>
        </is>
      </c>
      <c r="E1034" s="10" t="inlineStr">
        <is>
          <t>Gestión de Riesgo de Liquidez</t>
        </is>
      </c>
      <c r="F1034" s="10" t="inlineStr">
        <is>
          <t>-</t>
        </is>
      </c>
      <c r="G1034" s="10" t="inlineStr">
        <is>
          <t>Análisis de Brechas de Liquidez</t>
        </is>
      </c>
      <c r="H1034" s="10" t="inlineStr">
        <is>
          <t>Registros de información de liquidez</t>
        </is>
      </c>
      <c r="I1034" s="10" t="inlineStr">
        <is>
          <t>Software de Liquidez y Mercado</t>
        </is>
      </c>
      <c r="J1034" s="10" t="inlineStr">
        <is>
          <t>GERENTE DE RIESGOS</t>
        </is>
      </c>
      <c r="K1034" s="10" t="inlineStr">
        <is>
          <t>ANALISTA DE RIESGO DE LIQUIDEZ Y MERCADO</t>
        </is>
      </c>
      <c r="L1034" s="10" t="inlineStr">
        <is>
          <t>UBICACIÓN DIGITAL-WEBCOOP</t>
        </is>
      </c>
      <c r="M1034" s="10" t="inlineStr">
        <is>
          <t>SISTEMA DE ADMINISTRACIÓN DE DOCUMENTOS</t>
        </is>
      </c>
      <c r="N1034" s="10" t="inlineStr">
        <is>
          <t>APOYO</t>
        </is>
      </c>
      <c r="O1034" s="10" t="inlineStr">
        <is>
          <t>SOFTWARE</t>
        </is>
      </c>
      <c r="P1034" s="10" t="inlineStr">
        <is>
          <t>PUBLICA(1)</t>
        </is>
      </c>
      <c r="Q1034" s="10" t="inlineStr">
        <is>
          <t>ALTA(3)</t>
        </is>
      </c>
      <c r="R1034" s="10" t="inlineStr">
        <is>
          <t>MEDIA(2)</t>
        </is>
      </c>
      <c r="S1034" s="10">
        <f>+(IF(P1034="PUBLICA(1)",1,IF(P1034="USO INTERNO(2)",2,IF(P1034="RESTRINGIDO(3)",3,3))))+(IF(Q1034="BAJA(1)",1,IF(Q1034="MEDIA(2)",2,IF(Q1034="ALTA(3)",3,3))))+(IF(R1034="BAJA(1)",1,IF(R1034="MEDIA(2)",2,IF(R1034="ALTA(3)",3,3))))</f>
        <v/>
      </c>
      <c r="T1034" s="10">
        <f>+IF(S1034&lt;6,"BAJA",IF(S1034&lt;8,"MEDIA","ALTA"))</f>
        <v/>
      </c>
      <c r="U1034" s="10" t="inlineStr">
        <is>
          <t>-</t>
        </is>
      </c>
      <c r="V1034" s="24" t="n">
        <v>45567</v>
      </c>
      <c r="W1034" s="19" t="inlineStr">
        <is>
          <t>N/A</t>
        </is>
      </c>
      <c r="X1034" s="10">
        <f>+IFERROR(IF(VLOOKUP(Tabla2[[#This Row],[ID]],'EVALUACION DE RIESGO'!A:A,1,FALSE)=Tabla2[[#This Row],[ID]],"SI","NO"),"NO")</f>
        <v/>
      </c>
    </row>
    <row r="1035">
      <c r="A1035" s="91" t="inlineStr">
        <is>
          <t>12-GRI</t>
        </is>
      </c>
      <c r="B1035" s="10" t="inlineStr">
        <is>
          <t>ESTRATÉGICO</t>
        </is>
      </c>
      <c r="C1035" s="10" t="inlineStr">
        <is>
          <t>Gestión de Riesgos</t>
        </is>
      </c>
      <c r="D1035" s="10" t="inlineStr">
        <is>
          <t>GRI</t>
        </is>
      </c>
      <c r="E1035" s="10" t="inlineStr">
        <is>
          <t>Gestión de Riesgo de Liquidez</t>
        </is>
      </c>
      <c r="F1035" s="10" t="inlineStr">
        <is>
          <t>-</t>
        </is>
      </c>
      <c r="G1035" s="10" t="inlineStr">
        <is>
          <t>Análisis de Brechas de Liquidez</t>
        </is>
      </c>
      <c r="H1035" s="10" t="inlineStr">
        <is>
          <t>Herramienta de Brechas de Liquidez</t>
        </is>
      </c>
      <c r="I1035" s="10" t="inlineStr">
        <is>
          <t>Hoja de trabajo</t>
        </is>
      </c>
      <c r="J1035" s="10" t="inlineStr">
        <is>
          <t>GERENTE DE RIESGOS</t>
        </is>
      </c>
      <c r="K1035" s="10" t="inlineStr">
        <is>
          <t>ANALISTA DE RIESGO DE LIQUIDEZ Y MERCADO</t>
        </is>
      </c>
      <c r="L1035" s="10" t="inlineStr">
        <is>
          <t>UBICACIÓN DIGITAL-EQUIPO DEL RESPONSABLE</t>
        </is>
      </c>
      <c r="M1035" s="10" t="inlineStr">
        <is>
          <t>DOCUMENTO DE ARCHIVO-ELECTRÓNICO</t>
        </is>
      </c>
      <c r="N1035" s="10" t="inlineStr">
        <is>
          <t>APOYO</t>
        </is>
      </c>
      <c r="O1035" s="10" t="inlineStr">
        <is>
          <t>SOFTWARE</t>
        </is>
      </c>
      <c r="P1035" s="10" t="inlineStr">
        <is>
          <t>PUBLICA(1)</t>
        </is>
      </c>
      <c r="Q1035" s="10" t="inlineStr">
        <is>
          <t>ALTA(3)</t>
        </is>
      </c>
      <c r="R1035" s="10" t="inlineStr">
        <is>
          <t>MEDIA(2)</t>
        </is>
      </c>
      <c r="S1035" s="10">
        <f>+(IF(P1035="PUBLICA(1)",1,IF(P1035="USO INTERNO(2)",2,IF(P1035="RESTRINGIDO(3)",3,3))))+(IF(Q1035="BAJA(1)",1,IF(Q1035="MEDIA(2)",2,IF(Q1035="ALTA(3)",3,3))))+(IF(R1035="BAJA(1)",1,IF(R1035="MEDIA(2)",2,IF(R1035="ALTA(3)",3,3))))</f>
        <v/>
      </c>
      <c r="T1035" s="10">
        <f>+IF(S1035&lt;6,"BAJA",IF(S1035&lt;8,"MEDIA","ALTA"))</f>
        <v/>
      </c>
      <c r="U1035" s="10" t="inlineStr">
        <is>
          <t>-</t>
        </is>
      </c>
      <c r="V1035" s="24" t="n">
        <v>45567</v>
      </c>
      <c r="W1035" s="19" t="inlineStr">
        <is>
          <t>N/A</t>
        </is>
      </c>
      <c r="X1035" s="10">
        <f>+IFERROR(IF(VLOOKUP(Tabla2[[#This Row],[ID]],'EVALUACION DE RIESGO'!A:A,1,FALSE)=Tabla2[[#This Row],[ID]],"SI","NO"),"NO")</f>
        <v/>
      </c>
    </row>
    <row r="1036">
      <c r="A1036" s="91" t="inlineStr">
        <is>
          <t>13-GRI</t>
        </is>
      </c>
      <c r="B1036" s="10" t="inlineStr">
        <is>
          <t>ESTRATÉGICO</t>
        </is>
      </c>
      <c r="C1036" s="10" t="inlineStr">
        <is>
          <t>Gestión de Riesgos</t>
        </is>
      </c>
      <c r="D1036" s="10" t="inlineStr">
        <is>
          <t>GRI</t>
        </is>
      </c>
      <c r="E1036" s="10" t="inlineStr">
        <is>
          <t>Gestión de Riesgo de Liquidez</t>
        </is>
      </c>
      <c r="F1036" s="10" t="inlineStr">
        <is>
          <t>-</t>
        </is>
      </c>
      <c r="G1036" s="10" t="inlineStr">
        <is>
          <t>Análisis de Brechas de Liquidez</t>
        </is>
      </c>
      <c r="H1036" s="10" t="inlineStr">
        <is>
          <t>Reporte de Brechas de Liquidez Contractual, Esperado y Dinámico</t>
        </is>
      </c>
      <c r="I1036" s="10" t="inlineStr">
        <is>
          <t>Consolidación de la información</t>
        </is>
      </c>
      <c r="J1036" s="10" t="inlineStr">
        <is>
          <t>GERENTE DE RIESGOS</t>
        </is>
      </c>
      <c r="K1036" s="10" t="inlineStr">
        <is>
          <t>ANALISTA DE RIESGO DE LIQUIDEZ Y MERCADO</t>
        </is>
      </c>
      <c r="L1036" s="10" t="inlineStr">
        <is>
          <t>UBICACIÓN DIGITAL-EQUIPO DEL RESPONSABLE</t>
        </is>
      </c>
      <c r="M1036" s="10" t="inlineStr">
        <is>
          <t>DOCUMENTO DE ARCHIVO-ELECTRÓNICO</t>
        </is>
      </c>
      <c r="N1036" s="10" t="inlineStr">
        <is>
          <t>PRIMARIOS</t>
        </is>
      </c>
      <c r="O1036" s="10" t="inlineStr">
        <is>
          <t>DOCUMENTOS TÉCNICOS</t>
        </is>
      </c>
      <c r="P1036" s="10" t="inlineStr">
        <is>
          <t>PUBLICA(1)</t>
        </is>
      </c>
      <c r="Q1036" s="10" t="inlineStr">
        <is>
          <t>ALTA(3)</t>
        </is>
      </c>
      <c r="R1036" s="10" t="inlineStr">
        <is>
          <t>MEDIA(2)</t>
        </is>
      </c>
      <c r="S1036" s="10">
        <f>+(IF(P1036="PUBLICA(1)",1,IF(P1036="USO INTERNO(2)",2,IF(P1036="RESTRINGIDO(3)",3,3))))+(IF(Q1036="BAJA(1)",1,IF(Q1036="MEDIA(2)",2,IF(Q1036="ALTA(3)",3,3))))+(IF(R1036="BAJA(1)",1,IF(R1036="MEDIA(2)",2,IF(R1036="ALTA(3)",3,3))))</f>
        <v/>
      </c>
      <c r="T1036" s="10">
        <f>+IF(S1036&lt;6,"BAJA",IF(S1036&lt;8,"MEDIA","ALTA"))</f>
        <v/>
      </c>
      <c r="U1036" s="10" t="inlineStr">
        <is>
          <t>-</t>
        </is>
      </c>
      <c r="V1036" s="24" t="n">
        <v>45567</v>
      </c>
      <c r="W1036" s="19" t="inlineStr">
        <is>
          <t>N/A</t>
        </is>
      </c>
      <c r="X1036" s="10">
        <f>+IFERROR(IF(VLOOKUP(Tabla2[[#This Row],[ID]],'EVALUACION DE RIESGO'!A:A,1,FALSE)=Tabla2[[#This Row],[ID]],"SI","NO"),"NO")</f>
        <v/>
      </c>
    </row>
    <row r="1037">
      <c r="A1037" s="91" t="inlineStr">
        <is>
          <t>14-GRI</t>
        </is>
      </c>
      <c r="B1037" s="10" t="inlineStr">
        <is>
          <t>ESTRATÉGICO</t>
        </is>
      </c>
      <c r="C1037" s="10" t="inlineStr">
        <is>
          <t>Gestión de Riesgos</t>
        </is>
      </c>
      <c r="D1037" s="10" t="inlineStr">
        <is>
          <t>GRI</t>
        </is>
      </c>
      <c r="E1037" s="10" t="inlineStr">
        <is>
          <t>Gestión de Riesgo de Liquidez</t>
        </is>
      </c>
      <c r="F1037" s="10" t="inlineStr">
        <is>
          <t>-</t>
        </is>
      </c>
      <c r="G1037" s="10" t="inlineStr">
        <is>
          <t>Análisis de Brechas de Liquidez</t>
        </is>
      </c>
      <c r="H1037" s="10" t="inlineStr">
        <is>
          <t>Estructura de Información L02</t>
        </is>
      </c>
      <c r="I1037" s="10" t="inlineStr">
        <is>
          <t>Indicadores de liquidez estructural</t>
        </is>
      </c>
      <c r="J1037" s="10" t="inlineStr">
        <is>
          <t>GERENTE DE RIESGOS</t>
        </is>
      </c>
      <c r="K1037" s="10" t="inlineStr">
        <is>
          <t>ANALISTA DE RIESGO DE LIQUIDEZ Y MERCADO</t>
        </is>
      </c>
      <c r="L1037" s="10" t="inlineStr">
        <is>
          <t>UBICACIÓN DIGITAL-EQUIPO DEL RESPONSABLE</t>
        </is>
      </c>
      <c r="M1037" s="10" t="inlineStr">
        <is>
          <t>DOCUMENTO DE ARCHIVO-ELECTRÓNICO</t>
        </is>
      </c>
      <c r="N1037" s="10" t="inlineStr">
        <is>
          <t>PRIMARIOS</t>
        </is>
      </c>
      <c r="O1037" s="10" t="inlineStr">
        <is>
          <t>DOCUMENTOS TÉCNICOS</t>
        </is>
      </c>
      <c r="P1037" s="10" t="inlineStr">
        <is>
          <t>PUBLICA(1)</t>
        </is>
      </c>
      <c r="Q1037" s="10" t="inlineStr">
        <is>
          <t>ALTA(3)</t>
        </is>
      </c>
      <c r="R1037" s="10" t="inlineStr">
        <is>
          <t>MEDIA(2)</t>
        </is>
      </c>
      <c r="S1037" s="10">
        <f>+(IF(P1037="PUBLICA(1)",1,IF(P1037="USO INTERNO(2)",2,IF(P1037="RESTRINGIDO(3)",3,3))))+(IF(Q1037="BAJA(1)",1,IF(Q1037="MEDIA(2)",2,IF(Q1037="ALTA(3)",3,3))))+(IF(R1037="BAJA(1)",1,IF(R1037="MEDIA(2)",2,IF(R1037="ALTA(3)",3,3))))</f>
        <v/>
      </c>
      <c r="T1037" s="10">
        <f>+IF(S1037&lt;6,"BAJA",IF(S1037&lt;8,"MEDIA","ALTA"))</f>
        <v/>
      </c>
      <c r="U1037" s="10" t="inlineStr">
        <is>
          <t>-</t>
        </is>
      </c>
      <c r="V1037" s="24" t="n">
        <v>45567</v>
      </c>
      <c r="W1037" s="19" t="inlineStr">
        <is>
          <t>N/A</t>
        </is>
      </c>
      <c r="X1037" s="10">
        <f>+IFERROR(IF(VLOOKUP(Tabla2[[#This Row],[ID]],'EVALUACION DE RIESGO'!A:A,1,FALSE)=Tabla2[[#This Row],[ID]],"SI","NO"),"NO")</f>
        <v/>
      </c>
    </row>
    <row r="1038">
      <c r="A1038" s="91" t="inlineStr">
        <is>
          <t>15-GRI</t>
        </is>
      </c>
      <c r="B1038" s="10" t="inlineStr">
        <is>
          <t>ESTRATÉGICO</t>
        </is>
      </c>
      <c r="C1038" s="10" t="inlineStr">
        <is>
          <t>Gestión de Riesgos</t>
        </is>
      </c>
      <c r="D1038" s="10" t="inlineStr">
        <is>
          <t>GRI</t>
        </is>
      </c>
      <c r="E1038" s="10" t="inlineStr">
        <is>
          <t>Gestión de Riesgo de Liquidez</t>
        </is>
      </c>
      <c r="F1038" s="10" t="inlineStr">
        <is>
          <t>-</t>
        </is>
      </c>
      <c r="G1038" s="10" t="inlineStr">
        <is>
          <t>Análisis de Brechas de Liquidez</t>
        </is>
      </c>
      <c r="H1038" s="10" t="inlineStr">
        <is>
          <t>Reporte de Supuestos</t>
        </is>
      </c>
      <c r="I1038" s="10" t="inlineStr">
        <is>
          <t>Consolidación de la información</t>
        </is>
      </c>
      <c r="J1038" s="10" t="inlineStr">
        <is>
          <t>GERENTE DE RIESGOS</t>
        </is>
      </c>
      <c r="K1038" s="10" t="inlineStr">
        <is>
          <t>ANALISTA DE RIESGO DE LIQUIDEZ Y MERCADO</t>
        </is>
      </c>
      <c r="L1038" s="10" t="inlineStr">
        <is>
          <t>UBICACIÓN DIGITAL-EQUIPO DEL RESPONSABLE</t>
        </is>
      </c>
      <c r="M1038" s="10" t="inlineStr">
        <is>
          <t>DOCUMENTO DE ARCHIVO-ELECTRÓNICO</t>
        </is>
      </c>
      <c r="N1038" s="10" t="inlineStr">
        <is>
          <t>PRIMARIOS</t>
        </is>
      </c>
      <c r="O1038" s="10" t="inlineStr">
        <is>
          <t>DOCUMENTOS TÉCNICOS</t>
        </is>
      </c>
      <c r="P1038" s="10" t="inlineStr">
        <is>
          <t>PUBLICA(1)</t>
        </is>
      </c>
      <c r="Q1038" s="10" t="inlineStr">
        <is>
          <t>ALTA(3)</t>
        </is>
      </c>
      <c r="R1038" s="10" t="inlineStr">
        <is>
          <t>MEDIA(2)</t>
        </is>
      </c>
      <c r="S1038" s="10">
        <f>+(IF(P1038="PUBLICA(1)",1,IF(P1038="USO INTERNO(2)",2,IF(P1038="RESTRINGIDO(3)",3,3))))+(IF(Q1038="BAJA(1)",1,IF(Q1038="MEDIA(2)",2,IF(Q1038="ALTA(3)",3,3))))+(IF(R1038="BAJA(1)",1,IF(R1038="MEDIA(2)",2,IF(R1038="ALTA(3)",3,3))))</f>
        <v/>
      </c>
      <c r="T1038" s="10">
        <f>+IF(S1038&lt;6,"BAJA",IF(S1038&lt;8,"MEDIA","ALTA"))</f>
        <v/>
      </c>
      <c r="U1038" s="10" t="inlineStr">
        <is>
          <t>-</t>
        </is>
      </c>
      <c r="V1038" s="24" t="n">
        <v>45567</v>
      </c>
      <c r="W1038" s="19" t="inlineStr">
        <is>
          <t>N/A</t>
        </is>
      </c>
      <c r="X1038" s="10">
        <f>+IFERROR(IF(VLOOKUP(Tabla2[[#This Row],[ID]],'EVALUACION DE RIESGO'!A:A,1,FALSE)=Tabla2[[#This Row],[ID]],"SI","NO"),"NO")</f>
        <v/>
      </c>
    </row>
    <row r="1039">
      <c r="A1039" s="91" t="inlineStr">
        <is>
          <t>16-GRI</t>
        </is>
      </c>
      <c r="B1039" s="10" t="inlineStr">
        <is>
          <t>ESTRATÉGICO</t>
        </is>
      </c>
      <c r="C1039" s="10" t="inlineStr">
        <is>
          <t>Gestión de Riesgos</t>
        </is>
      </c>
      <c r="D1039" s="10" t="inlineStr">
        <is>
          <t>GRI</t>
        </is>
      </c>
      <c r="E1039" s="10" t="inlineStr">
        <is>
          <t>Gestión de Riesgo de Liquidez</t>
        </is>
      </c>
      <c r="F1039" s="10" t="inlineStr">
        <is>
          <t>-</t>
        </is>
      </c>
      <c r="G1039" s="10" t="inlineStr">
        <is>
          <t>Análisis de los 100 mayores depositantes</t>
        </is>
      </c>
      <c r="H1039" s="10" t="inlineStr">
        <is>
          <t>Reporte de obligaciones con el público (cuentas de ahorros y DPF)</t>
        </is>
      </c>
      <c r="I1039" s="10" t="inlineStr">
        <is>
          <t>Consolidacion de la información</t>
        </is>
      </c>
      <c r="J1039" s="10" t="inlineStr">
        <is>
          <t>GERENTE DE RIESGOS</t>
        </is>
      </c>
      <c r="K1039" s="10" t="inlineStr">
        <is>
          <t>ANALISTA DE RIESGO DE LIQUIDEZ Y MERCADO</t>
        </is>
      </c>
      <c r="L1039" s="10" t="inlineStr">
        <is>
          <t>UBICACIÓN DIGITAL-EQUIPO DEL RESPONSABLE</t>
        </is>
      </c>
      <c r="M1039" s="10" t="inlineStr">
        <is>
          <t>DOCUMENTO DE ARCHIVO-ELECTRÓNICO</t>
        </is>
      </c>
      <c r="N1039" s="10" t="inlineStr">
        <is>
          <t>PRIMARIOS</t>
        </is>
      </c>
      <c r="O1039" s="10" t="inlineStr">
        <is>
          <t>DOCUMENTOS TÉCNICOS</t>
        </is>
      </c>
      <c r="P1039" s="10" t="inlineStr">
        <is>
          <t>PUBLICA(1)</t>
        </is>
      </c>
      <c r="Q1039" s="10" t="inlineStr">
        <is>
          <t>ALTA(3)</t>
        </is>
      </c>
      <c r="R1039" s="10" t="inlineStr">
        <is>
          <t>MEDIA(2)</t>
        </is>
      </c>
      <c r="S1039" s="10">
        <f>+(IF(P1039="PUBLICA(1)",1,IF(P1039="USO INTERNO(2)",2,IF(P1039="RESTRINGIDO(3)",3,3))))+(IF(Q1039="BAJA(1)",1,IF(Q1039="MEDIA(2)",2,IF(Q1039="ALTA(3)",3,3))))+(IF(R1039="BAJA(1)",1,IF(R1039="MEDIA(2)",2,IF(R1039="ALTA(3)",3,3))))</f>
        <v/>
      </c>
      <c r="T1039" s="10">
        <f>+IF(S1039&lt;6,"BAJA",IF(S1039&lt;8,"MEDIA","ALTA"))</f>
        <v/>
      </c>
      <c r="U1039" s="10" t="inlineStr">
        <is>
          <t>-</t>
        </is>
      </c>
      <c r="V1039" s="24" t="n">
        <v>45567</v>
      </c>
      <c r="W1039" s="19" t="inlineStr">
        <is>
          <t>N/A</t>
        </is>
      </c>
      <c r="X1039" s="10">
        <f>+IFERROR(IF(VLOOKUP(Tabla2[[#This Row],[ID]],'EVALUACION DE RIESGO'!A:A,1,FALSE)=Tabla2[[#This Row],[ID]],"SI","NO"),"NO")</f>
        <v/>
      </c>
    </row>
    <row r="1040">
      <c r="A1040" s="91" t="inlineStr">
        <is>
          <t>17-GRI</t>
        </is>
      </c>
      <c r="B1040" s="10" t="inlineStr">
        <is>
          <t>ESTRATÉGICO</t>
        </is>
      </c>
      <c r="C1040" s="10" t="inlineStr">
        <is>
          <t>Gestión de Riesgos</t>
        </is>
      </c>
      <c r="D1040" s="10" t="inlineStr">
        <is>
          <t>GRI</t>
        </is>
      </c>
      <c r="E1040" s="10" t="inlineStr">
        <is>
          <t>Gestión de Riesgo de Liquidez</t>
        </is>
      </c>
      <c r="F1040" s="10" t="inlineStr">
        <is>
          <t>-</t>
        </is>
      </c>
      <c r="G1040" s="10" t="inlineStr">
        <is>
          <t>Análisis de los 100 mayores depositantes</t>
        </is>
      </c>
      <c r="H1040" s="10" t="inlineStr">
        <is>
          <t>Registros de información de liquidez</t>
        </is>
      </c>
      <c r="I1040" s="10" t="inlineStr">
        <is>
          <t>Consolidacion de la información</t>
        </is>
      </c>
      <c r="J1040" s="10" t="inlineStr">
        <is>
          <t>GERENTE DE RIESGOS</t>
        </is>
      </c>
      <c r="K1040" s="10" t="inlineStr">
        <is>
          <t>ANALISTA DE RIESGO DE LIQUIDEZ Y MERCADO</t>
        </is>
      </c>
      <c r="L1040" s="10" t="inlineStr">
        <is>
          <t>UBICACIÓN DIGITAL-EQUIPO DEL RESPONSABLE</t>
        </is>
      </c>
      <c r="M1040" s="10" t="inlineStr">
        <is>
          <t>DOCUMENTO DE ARCHIVO-ELECTRÓNICO</t>
        </is>
      </c>
      <c r="N1040" s="10" t="inlineStr">
        <is>
          <t>PRIMARIOS</t>
        </is>
      </c>
      <c r="O1040" s="10" t="inlineStr">
        <is>
          <t>DOCUMENTOS TÉCNICOS</t>
        </is>
      </c>
      <c r="P1040" s="10" t="inlineStr">
        <is>
          <t>PUBLICA(1)</t>
        </is>
      </c>
      <c r="Q1040" s="10" t="inlineStr">
        <is>
          <t>ALTA(3)</t>
        </is>
      </c>
      <c r="R1040" s="10" t="inlineStr">
        <is>
          <t>MEDIA(2)</t>
        </is>
      </c>
      <c r="S1040" s="10">
        <f>+(IF(P1040="PUBLICA(1)",1,IF(P1040="USO INTERNO(2)",2,IF(P1040="RESTRINGIDO(3)",3,3))))+(IF(Q1040="BAJA(1)",1,IF(Q1040="MEDIA(2)",2,IF(Q1040="ALTA(3)",3,3))))+(IF(R1040="BAJA(1)",1,IF(R1040="MEDIA(2)",2,IF(R1040="ALTA(3)",3,3))))</f>
        <v/>
      </c>
      <c r="T1040" s="10">
        <f>+IF(S1040&lt;6,"BAJA",IF(S1040&lt;8,"MEDIA","ALTA"))</f>
        <v/>
      </c>
      <c r="U1040" s="10" t="inlineStr">
        <is>
          <t>-</t>
        </is>
      </c>
      <c r="V1040" s="24" t="n">
        <v>45567</v>
      </c>
      <c r="W1040" s="19" t="inlineStr">
        <is>
          <t>N/A</t>
        </is>
      </c>
      <c r="X1040" s="10">
        <f>+IFERROR(IF(VLOOKUP(Tabla2[[#This Row],[ID]],'EVALUACION DE RIESGO'!A:A,1,FALSE)=Tabla2[[#This Row],[ID]],"SI","NO"),"NO")</f>
        <v/>
      </c>
    </row>
    <row r="1041">
      <c r="A1041" s="91" t="inlineStr">
        <is>
          <t>19-GRI</t>
        </is>
      </c>
      <c r="B1041" s="10" t="inlineStr">
        <is>
          <t>ESTRATÉGICO</t>
        </is>
      </c>
      <c r="C1041" s="10" t="inlineStr">
        <is>
          <t>Gestión de Riesgos</t>
        </is>
      </c>
      <c r="D1041" s="10" t="inlineStr">
        <is>
          <t>GRI</t>
        </is>
      </c>
      <c r="E1041" s="10" t="inlineStr">
        <is>
          <t>Gestión de Riesgo de Liquidez</t>
        </is>
      </c>
      <c r="F1041" s="10" t="inlineStr">
        <is>
          <t>-</t>
        </is>
      </c>
      <c r="G1041" s="10" t="inlineStr">
        <is>
          <t>Análisis de las Captaciones por monto</t>
        </is>
      </c>
      <c r="H1041" s="10" t="inlineStr">
        <is>
          <t>Balance mensual</t>
        </is>
      </c>
      <c r="I1041" s="10" t="inlineStr">
        <is>
          <t>Generación de balance</t>
        </is>
      </c>
      <c r="J1041" s="10" t="inlineStr">
        <is>
          <t>GERENTE DE RIESGOS</t>
        </is>
      </c>
      <c r="K1041" s="10" t="inlineStr">
        <is>
          <t>ANALISTA DE RIESGO DE LIQUIDEZ Y MERCADO</t>
        </is>
      </c>
      <c r="L1041" s="10" t="inlineStr">
        <is>
          <t>UBICACIÓN DIGITAL-EQUIPO DEL RESPONSABLE</t>
        </is>
      </c>
      <c r="M1041" s="10" t="inlineStr">
        <is>
          <t>DOCUMENTO DE ARCHIVO-ELECTRÓNICO</t>
        </is>
      </c>
      <c r="N1041" s="10" t="inlineStr">
        <is>
          <t>PRIMARIOS</t>
        </is>
      </c>
      <c r="O1041" s="10" t="inlineStr">
        <is>
          <t>DOCUMENTOS TÉCNICOS</t>
        </is>
      </c>
      <c r="P1041" s="10" t="inlineStr">
        <is>
          <t>PUBLICA(1)</t>
        </is>
      </c>
      <c r="Q1041" s="10" t="inlineStr">
        <is>
          <t>ALTA(3)</t>
        </is>
      </c>
      <c r="R1041" s="10" t="inlineStr">
        <is>
          <t>MEDIA(2)</t>
        </is>
      </c>
      <c r="S1041" s="10">
        <f>+(IF(P1041="PUBLICA(1)",1,IF(P1041="USO INTERNO(2)",2,IF(P1041="RESTRINGIDO(3)",3,3))))+(IF(Q1041="BAJA(1)",1,IF(Q1041="MEDIA(2)",2,IF(Q1041="ALTA(3)",3,3))))+(IF(R1041="BAJA(1)",1,IF(R1041="MEDIA(2)",2,IF(R1041="ALTA(3)",3,3))))</f>
        <v/>
      </c>
      <c r="T1041" s="10">
        <f>+IF(S1041&lt;6,"BAJA",IF(S1041&lt;8,"MEDIA","ALTA"))</f>
        <v/>
      </c>
      <c r="U1041" s="10" t="inlineStr">
        <is>
          <t>-</t>
        </is>
      </c>
      <c r="V1041" s="24" t="n">
        <v>45567</v>
      </c>
      <c r="W1041" s="19" t="inlineStr">
        <is>
          <t>N/A</t>
        </is>
      </c>
      <c r="X1041" s="10">
        <f>+IFERROR(IF(VLOOKUP(Tabla2[[#This Row],[ID]],'EVALUACION DE RIESGO'!A:A,1,FALSE)=Tabla2[[#This Row],[ID]],"SI","NO"),"NO")</f>
        <v/>
      </c>
    </row>
    <row r="1042">
      <c r="A1042" s="91" t="inlineStr">
        <is>
          <t>20-GRI</t>
        </is>
      </c>
      <c r="B1042" s="10" t="inlineStr">
        <is>
          <t>ESTRATÉGICO</t>
        </is>
      </c>
      <c r="C1042" s="10" t="inlineStr">
        <is>
          <t>Gestión de Riesgos</t>
        </is>
      </c>
      <c r="D1042" s="10" t="inlineStr">
        <is>
          <t>GRI</t>
        </is>
      </c>
      <c r="E1042" s="10" t="inlineStr">
        <is>
          <t>Gestión de Riesgo de Liquidez</t>
        </is>
      </c>
      <c r="F1042" s="10" t="inlineStr">
        <is>
          <t>-</t>
        </is>
      </c>
      <c r="G1042" s="10" t="inlineStr">
        <is>
          <t>Análisis de las Captaciones por monto</t>
        </is>
      </c>
      <c r="H1042" s="10" t="inlineStr">
        <is>
          <t>Registros de información de liquidez</t>
        </is>
      </c>
      <c r="I1042" s="10" t="inlineStr">
        <is>
          <t>Se ingresa en el Software de Liquidez y Mercado</t>
        </is>
      </c>
      <c r="J1042" s="10" t="inlineStr">
        <is>
          <t>GERENTE DE RIESGOS</t>
        </is>
      </c>
      <c r="K1042" s="10" t="inlineStr">
        <is>
          <t>ANALISTA DE RIESGO DE LIQUIDEZ Y MERCADO</t>
        </is>
      </c>
      <c r="L1042" s="10" t="inlineStr">
        <is>
          <t>UBICACIÓN DIGITAL-EQUIPO DEL RESPONSABLE</t>
        </is>
      </c>
      <c r="M1042" s="10" t="inlineStr">
        <is>
          <t>DOCUMENTO DE ARCHIVO-ELECTRÓNICO</t>
        </is>
      </c>
      <c r="N1042" s="10" t="inlineStr">
        <is>
          <t>PRIMARIOS</t>
        </is>
      </c>
      <c r="O1042" s="10" t="inlineStr">
        <is>
          <t>DOCUMENTOS TÉCNICOS</t>
        </is>
      </c>
      <c r="P1042" s="10" t="inlineStr">
        <is>
          <t>PUBLICA(1)</t>
        </is>
      </c>
      <c r="Q1042" s="10" t="inlineStr">
        <is>
          <t>ALTA(3)</t>
        </is>
      </c>
      <c r="R1042" s="10" t="inlineStr">
        <is>
          <t>MEDIA(2)</t>
        </is>
      </c>
      <c r="S1042" s="10">
        <f>+(IF(P1042="PUBLICA(1)",1,IF(P1042="USO INTERNO(2)",2,IF(P1042="RESTRINGIDO(3)",3,3))))+(IF(Q1042="BAJA(1)",1,IF(Q1042="MEDIA(2)",2,IF(Q1042="ALTA(3)",3,3))))+(IF(R1042="BAJA(1)",1,IF(R1042="MEDIA(2)",2,IF(R1042="ALTA(3)",3,3))))</f>
        <v/>
      </c>
      <c r="T1042" s="10">
        <f>+IF(S1042&lt;6,"BAJA",IF(S1042&lt;8,"MEDIA","ALTA"))</f>
        <v/>
      </c>
      <c r="U1042" s="10" t="inlineStr">
        <is>
          <t>-</t>
        </is>
      </c>
      <c r="V1042" s="24" t="n">
        <v>45567</v>
      </c>
      <c r="W1042" s="19" t="inlineStr">
        <is>
          <t>N/A</t>
        </is>
      </c>
      <c r="X1042" s="10">
        <f>+IFERROR(IF(VLOOKUP(Tabla2[[#This Row],[ID]],'EVALUACION DE RIESGO'!A:A,1,FALSE)=Tabla2[[#This Row],[ID]],"SI","NO"),"NO")</f>
        <v/>
      </c>
    </row>
    <row r="1043">
      <c r="A1043" s="91" t="inlineStr">
        <is>
          <t>21-GRI</t>
        </is>
      </c>
      <c r="B1043" s="10" t="inlineStr">
        <is>
          <t>ESTRATÉGICO</t>
        </is>
      </c>
      <c r="C1043" s="10" t="inlineStr">
        <is>
          <t>Gestión de Riesgos</t>
        </is>
      </c>
      <c r="D1043" s="10" t="inlineStr">
        <is>
          <t>GRI</t>
        </is>
      </c>
      <c r="E1043" s="10" t="inlineStr">
        <is>
          <t>Gestión de Riesgo de Liquidez</t>
        </is>
      </c>
      <c r="F1043" s="10" t="inlineStr">
        <is>
          <t>-</t>
        </is>
      </c>
      <c r="G1043" s="10" t="inlineStr">
        <is>
          <t>Análisis de las Captaciones por monto</t>
        </is>
      </c>
      <c r="H1043" s="10" t="inlineStr">
        <is>
          <t>Reporte de obligaciones con el público (cuentas de ahorros y DPF  )</t>
        </is>
      </c>
      <c r="I1043" s="10" t="inlineStr">
        <is>
          <t>Ejecución de proceso batch</t>
        </is>
      </c>
      <c r="J1043" s="10" t="inlineStr">
        <is>
          <t>GERENTE DE RIESGOS</t>
        </is>
      </c>
      <c r="K1043" s="10" t="inlineStr">
        <is>
          <t>ANALISTA DE RIESGO DE LIQUIDEZ Y MERCADO</t>
        </is>
      </c>
      <c r="L1043" s="10" t="inlineStr">
        <is>
          <t>UBICACIÓN DIGITAL-EQUIPO DEL RESPONSABLE</t>
        </is>
      </c>
      <c r="M1043" s="10" t="inlineStr">
        <is>
          <t>DOCUMENTO DE ARCHIVO-ELECTRÓNICO</t>
        </is>
      </c>
      <c r="N1043" s="10" t="inlineStr">
        <is>
          <t>PRIMARIOS</t>
        </is>
      </c>
      <c r="O1043" s="10" t="inlineStr">
        <is>
          <t>DOCUMENTOS TÉCNICOS</t>
        </is>
      </c>
      <c r="P1043" s="10" t="inlineStr">
        <is>
          <t>PUBLICA(1)</t>
        </is>
      </c>
      <c r="Q1043" s="10" t="inlineStr">
        <is>
          <t>ALTA(3)</t>
        </is>
      </c>
      <c r="R1043" s="10" t="inlineStr">
        <is>
          <t>MEDIA(2)</t>
        </is>
      </c>
      <c r="S1043" s="10">
        <f>+(IF(P1043="PUBLICA(1)",1,IF(P1043="USO INTERNO(2)",2,IF(P1043="RESTRINGIDO(3)",3,3))))+(IF(Q1043="BAJA(1)",1,IF(Q1043="MEDIA(2)",2,IF(Q1043="ALTA(3)",3,3))))+(IF(R1043="BAJA(1)",1,IF(R1043="MEDIA(2)",2,IF(R1043="ALTA(3)",3,3))))</f>
        <v/>
      </c>
      <c r="T1043" s="10">
        <f>+IF(S1043&lt;6,"BAJA",IF(S1043&lt;8,"MEDIA","ALTA"))</f>
        <v/>
      </c>
      <c r="U1043" s="10" t="inlineStr">
        <is>
          <t>-</t>
        </is>
      </c>
      <c r="V1043" s="24" t="n">
        <v>45567</v>
      </c>
      <c r="W1043" s="19" t="inlineStr">
        <is>
          <t>N/A</t>
        </is>
      </c>
      <c r="X1043" s="10">
        <f>+IFERROR(IF(VLOOKUP(Tabla2[[#This Row],[ID]],'EVALUACION DE RIESGO'!A:A,1,FALSE)=Tabla2[[#This Row],[ID]],"SI","NO"),"NO")</f>
        <v/>
      </c>
    </row>
    <row r="1044">
      <c r="A1044" s="91" t="inlineStr">
        <is>
          <t>22-GRI</t>
        </is>
      </c>
      <c r="B1044" s="10" t="inlineStr">
        <is>
          <t>ESTRATÉGICO</t>
        </is>
      </c>
      <c r="C1044" s="10" t="inlineStr">
        <is>
          <t>Gestión de Riesgos</t>
        </is>
      </c>
      <c r="D1044" s="10" t="inlineStr">
        <is>
          <t>GRI</t>
        </is>
      </c>
      <c r="E1044" s="10" t="inlineStr">
        <is>
          <t>Gestión de Riesgo de Liquidez</t>
        </is>
      </c>
      <c r="F1044" s="10" t="inlineStr">
        <is>
          <t>-</t>
        </is>
      </c>
      <c r="G1044" s="10" t="inlineStr">
        <is>
          <t>Análisis de las Captaciones por monto</t>
        </is>
      </c>
      <c r="H1044" s="10" t="inlineStr">
        <is>
          <t>Reporte de Anexos B1, B2 y restringidos de las captaciones por monto de las cuentas 2101, 2103 y 2105.</t>
        </is>
      </c>
      <c r="I1044" s="10" t="inlineStr">
        <is>
          <t>Consolidación de la información</t>
        </is>
      </c>
      <c r="J1044" s="10" t="inlineStr">
        <is>
          <t>GERENTE DE RIESGOS</t>
        </is>
      </c>
      <c r="K1044" s="10" t="inlineStr">
        <is>
          <t>ANALISTA DE RIESGO DE LIQUIDEZ Y MERCADO</t>
        </is>
      </c>
      <c r="L1044" s="10" t="inlineStr">
        <is>
          <t>UBICACIÓN DIGITAL-EQUIPO DEL RESPONSABLE</t>
        </is>
      </c>
      <c r="M1044" s="10" t="inlineStr">
        <is>
          <t>DOCUMENTO DE ARCHIVO-ELECTRÓNICO</t>
        </is>
      </c>
      <c r="N1044" s="10" t="inlineStr">
        <is>
          <t>PRIMARIOS</t>
        </is>
      </c>
      <c r="O1044" s="10" t="inlineStr">
        <is>
          <t>DOCUMENTOS TÉCNICOS</t>
        </is>
      </c>
      <c r="P1044" s="10" t="inlineStr">
        <is>
          <t>PUBLICA(1)</t>
        </is>
      </c>
      <c r="Q1044" s="10" t="inlineStr">
        <is>
          <t>ALTA(3)</t>
        </is>
      </c>
      <c r="R1044" s="10" t="inlineStr">
        <is>
          <t>MEDIA(2)</t>
        </is>
      </c>
      <c r="S1044" s="10">
        <f>+(IF(P1044="PUBLICA(1)",1,IF(P1044="USO INTERNO(2)",2,IF(P1044="RESTRINGIDO(3)",3,3))))+(IF(Q1044="BAJA(1)",1,IF(Q1044="MEDIA(2)",2,IF(Q1044="ALTA(3)",3,3))))+(IF(R1044="BAJA(1)",1,IF(R1044="MEDIA(2)",2,IF(R1044="ALTA(3)",3,3))))</f>
        <v/>
      </c>
      <c r="T1044" s="10">
        <f>+IF(S1044&lt;6,"BAJA",IF(S1044&lt;8,"MEDIA","ALTA"))</f>
        <v/>
      </c>
      <c r="U1044" s="10" t="inlineStr">
        <is>
          <t>-</t>
        </is>
      </c>
      <c r="V1044" s="24" t="n">
        <v>45567</v>
      </c>
      <c r="W1044" s="19" t="inlineStr">
        <is>
          <t>N/A</t>
        </is>
      </c>
      <c r="X1044" s="10">
        <f>+IFERROR(IF(VLOOKUP(Tabla2[[#This Row],[ID]],'EVALUACION DE RIESGO'!A:A,1,FALSE)=Tabla2[[#This Row],[ID]],"SI","NO"),"NO")</f>
        <v/>
      </c>
    </row>
    <row r="1045">
      <c r="A1045" s="91" t="inlineStr">
        <is>
          <t>23-GRI</t>
        </is>
      </c>
      <c r="B1045" s="10" t="inlineStr">
        <is>
          <t>ESTRATÉGICO</t>
        </is>
      </c>
      <c r="C1045" s="10" t="inlineStr">
        <is>
          <t>Gestión de Riesgos</t>
        </is>
      </c>
      <c r="D1045" s="10" t="inlineStr">
        <is>
          <t>GRI</t>
        </is>
      </c>
      <c r="E1045" s="10" t="inlineStr">
        <is>
          <t>Gestión de Riesgo de Liquidez</t>
        </is>
      </c>
      <c r="F1045" s="10" t="inlineStr">
        <is>
          <t>-</t>
        </is>
      </c>
      <c r="G1045" s="10" t="inlineStr">
        <is>
          <t xml:space="preserve">Monitoreo de las Obligaciones Financieras    </t>
        </is>
      </c>
      <c r="H1045" s="10" t="inlineStr">
        <is>
          <t>Balance mensual</t>
        </is>
      </c>
      <c r="I1045" s="10" t="inlineStr">
        <is>
          <t>Generación de balance</t>
        </is>
      </c>
      <c r="J1045" s="10" t="inlineStr">
        <is>
          <t>GERENTE DE RIESGOS</t>
        </is>
      </c>
      <c r="K1045" s="10" t="inlineStr">
        <is>
          <t>ANALISTA DE RIESGO DE LIQUIDEZ Y MERCADO</t>
        </is>
      </c>
      <c r="L1045" s="10" t="inlineStr">
        <is>
          <t>UBICACIÓN DIGITAL-EQUIPO DEL RESPONSABLE</t>
        </is>
      </c>
      <c r="M1045" s="10" t="inlineStr">
        <is>
          <t>DOCUMENTO DE ARCHIVO-ELECTRÓNICO</t>
        </is>
      </c>
      <c r="N1045" s="10" t="inlineStr">
        <is>
          <t>PRIMARIOS</t>
        </is>
      </c>
      <c r="O1045" s="10" t="inlineStr">
        <is>
          <t>DOCUMENTOS TÉCNICOS</t>
        </is>
      </c>
      <c r="P1045" s="10" t="inlineStr">
        <is>
          <t>PUBLICA(1)</t>
        </is>
      </c>
      <c r="Q1045" s="10" t="inlineStr">
        <is>
          <t>ALTA(3)</t>
        </is>
      </c>
      <c r="R1045" s="10" t="inlineStr">
        <is>
          <t>MEDIA(2)</t>
        </is>
      </c>
      <c r="S1045" s="10">
        <f>+(IF(P1045="PUBLICA(1)",1,IF(P1045="USO INTERNO(2)",2,IF(P1045="RESTRINGIDO(3)",3,3))))+(IF(Q1045="BAJA(1)",1,IF(Q1045="MEDIA(2)",2,IF(Q1045="ALTA(3)",3,3))))+(IF(R1045="BAJA(1)",1,IF(R1045="MEDIA(2)",2,IF(R1045="ALTA(3)",3,3))))</f>
        <v/>
      </c>
      <c r="T1045" s="10">
        <f>+IF(S1045&lt;6,"BAJA",IF(S1045&lt;8,"MEDIA","ALTA"))</f>
        <v/>
      </c>
      <c r="U1045" s="10" t="inlineStr">
        <is>
          <t>-</t>
        </is>
      </c>
      <c r="V1045" s="24" t="n">
        <v>45567</v>
      </c>
      <c r="W1045" s="19" t="inlineStr">
        <is>
          <t>N/A</t>
        </is>
      </c>
      <c r="X1045" s="10">
        <f>+IFERROR(IF(VLOOKUP(Tabla2[[#This Row],[ID]],'EVALUACION DE RIESGO'!A:A,1,FALSE)=Tabla2[[#This Row],[ID]],"SI","NO"),"NO")</f>
        <v/>
      </c>
    </row>
    <row r="1046">
      <c r="A1046" s="91" t="inlineStr">
        <is>
          <t>24-GRI</t>
        </is>
      </c>
      <c r="B1046" s="10" t="inlineStr">
        <is>
          <t>ESTRATÉGICO</t>
        </is>
      </c>
      <c r="C1046" s="10" t="inlineStr">
        <is>
          <t>Gestión de Riesgos</t>
        </is>
      </c>
      <c r="D1046" s="10" t="inlineStr">
        <is>
          <t>GRI</t>
        </is>
      </c>
      <c r="E1046" s="10" t="inlineStr">
        <is>
          <t>Gestión de Riesgo de Liquidez</t>
        </is>
      </c>
      <c r="F1046" s="10" t="inlineStr">
        <is>
          <t>-</t>
        </is>
      </c>
      <c r="G1046" s="10" t="inlineStr">
        <is>
          <t xml:space="preserve">Monitoreo de las Obligaciones Financieras    </t>
        </is>
      </c>
      <c r="H1046" s="10" t="inlineStr">
        <is>
          <t>Reporte de Obligaciones Financieras</t>
        </is>
      </c>
      <c r="I1046" s="10" t="inlineStr">
        <is>
          <t>Consolidación de Información</t>
        </is>
      </c>
      <c r="J1046" s="10" t="inlineStr">
        <is>
          <t>GERENTE DE RIESGOS</t>
        </is>
      </c>
      <c r="K1046" s="10" t="inlineStr">
        <is>
          <t>ANALISTA DE RIESGO DE LIQUIDEZ Y MERCADO</t>
        </is>
      </c>
      <c r="L1046" s="10" t="inlineStr">
        <is>
          <t>UBICACIÓN DIGITAL-EQUIPO DEL RESPONSABLE</t>
        </is>
      </c>
      <c r="M1046" s="10" t="inlineStr">
        <is>
          <t>DOCUMENTO DE ARCHIVO-ELECTRÓNICO</t>
        </is>
      </c>
      <c r="N1046" s="10" t="inlineStr">
        <is>
          <t>PRIMARIOS</t>
        </is>
      </c>
      <c r="O1046" s="10" t="inlineStr">
        <is>
          <t>DOCUMENTOS TÉCNICOS</t>
        </is>
      </c>
      <c r="P1046" s="10" t="inlineStr">
        <is>
          <t>PUBLICA(1)</t>
        </is>
      </c>
      <c r="Q1046" s="10" t="inlineStr">
        <is>
          <t>ALTA(3)</t>
        </is>
      </c>
      <c r="R1046" s="10" t="inlineStr">
        <is>
          <t>MEDIA(2)</t>
        </is>
      </c>
      <c r="S1046" s="10">
        <f>+(IF(P1046="PUBLICA(1)",1,IF(P1046="USO INTERNO(2)",2,IF(P1046="RESTRINGIDO(3)",3,3))))+(IF(Q1046="BAJA(1)",1,IF(Q1046="MEDIA(2)",2,IF(Q1046="ALTA(3)",3,3))))+(IF(R1046="BAJA(1)",1,IF(R1046="MEDIA(2)",2,IF(R1046="ALTA(3)",3,3))))</f>
        <v/>
      </c>
      <c r="T1046" s="10">
        <f>+IF(S1046&lt;6,"BAJA",IF(S1046&lt;8,"MEDIA","ALTA"))</f>
        <v/>
      </c>
      <c r="U1046" s="10" t="inlineStr">
        <is>
          <t>-</t>
        </is>
      </c>
      <c r="V1046" s="24" t="n">
        <v>45567</v>
      </c>
      <c r="W1046" s="19" t="inlineStr">
        <is>
          <t>N/A</t>
        </is>
      </c>
      <c r="X1046" s="10">
        <f>+IFERROR(IF(VLOOKUP(Tabla2[[#This Row],[ID]],'EVALUACION DE RIESGO'!A:A,1,FALSE)=Tabla2[[#This Row],[ID]],"SI","NO"),"NO")</f>
        <v/>
      </c>
    </row>
    <row r="1047">
      <c r="A1047" s="91" t="inlineStr">
        <is>
          <t>25-GRI</t>
        </is>
      </c>
      <c r="B1047" s="10" t="inlineStr">
        <is>
          <t>ESTRATÉGICO</t>
        </is>
      </c>
      <c r="C1047" s="10" t="inlineStr">
        <is>
          <t>Gestión de Riesgos</t>
        </is>
      </c>
      <c r="D1047" s="10" t="inlineStr">
        <is>
          <t>GRI</t>
        </is>
      </c>
      <c r="E1047" s="10" t="inlineStr">
        <is>
          <t>Gestión de Riesgo de Liquidez</t>
        </is>
      </c>
      <c r="F1047" s="10" t="inlineStr">
        <is>
          <t>-</t>
        </is>
      </c>
      <c r="G1047" s="10" t="inlineStr">
        <is>
          <t xml:space="preserve">Monitoreo de las Obligaciones Financieras    </t>
        </is>
      </c>
      <c r="H1047" s="10" t="inlineStr">
        <is>
          <t>Reporte Anexo B3 Obligaciones Financieras</t>
        </is>
      </c>
      <c r="I1047" s="10" t="inlineStr">
        <is>
          <t>Consolidación de la información</t>
        </is>
      </c>
      <c r="J1047" s="10" t="inlineStr">
        <is>
          <t>GERENTE DE RIESGOS</t>
        </is>
      </c>
      <c r="K1047" s="10" t="inlineStr">
        <is>
          <t>ANALISTA DE RIESGO DE LIQUIDEZ Y MERCADO</t>
        </is>
      </c>
      <c r="L1047" s="10" t="inlineStr">
        <is>
          <t>UBICACIÓN DIGITAL-EQUIPO DEL RESPONSABLE</t>
        </is>
      </c>
      <c r="M1047" s="10" t="inlineStr">
        <is>
          <t>DOCUMENTO DE ARCHIVO-ELECTRÓNICO</t>
        </is>
      </c>
      <c r="N1047" s="10" t="inlineStr">
        <is>
          <t>PRIMARIOS</t>
        </is>
      </c>
      <c r="O1047" s="10" t="inlineStr">
        <is>
          <t>DOCUMENTOS TÉCNICOS</t>
        </is>
      </c>
      <c r="P1047" s="10" t="inlineStr">
        <is>
          <t>PUBLICA(1)</t>
        </is>
      </c>
      <c r="Q1047" s="10" t="inlineStr">
        <is>
          <t>ALTA(3)</t>
        </is>
      </c>
      <c r="R1047" s="10" t="inlineStr">
        <is>
          <t>MEDIA(2)</t>
        </is>
      </c>
      <c r="S1047" s="10">
        <f>+(IF(P1047="PUBLICA(1)",1,IF(P1047="USO INTERNO(2)",2,IF(P1047="RESTRINGIDO(3)",3,3))))+(IF(Q1047="BAJA(1)",1,IF(Q1047="MEDIA(2)",2,IF(Q1047="ALTA(3)",3,3))))+(IF(R1047="BAJA(1)",1,IF(R1047="MEDIA(2)",2,IF(R1047="ALTA(3)",3,3))))</f>
        <v/>
      </c>
      <c r="T1047" s="10">
        <f>+IF(S1047&lt;6,"BAJA",IF(S1047&lt;8,"MEDIA","ALTA"))</f>
        <v/>
      </c>
      <c r="U1047" s="10" t="inlineStr">
        <is>
          <t>-</t>
        </is>
      </c>
      <c r="V1047" s="24" t="n">
        <v>45567</v>
      </c>
      <c r="W1047" s="19" t="inlineStr">
        <is>
          <t>N/A</t>
        </is>
      </c>
      <c r="X1047" s="10">
        <f>+IFERROR(IF(VLOOKUP(Tabla2[[#This Row],[ID]],'EVALUACION DE RIESGO'!A:A,1,FALSE)=Tabla2[[#This Row],[ID]],"SI","NO"),"NO")</f>
        <v/>
      </c>
    </row>
    <row r="1048">
      <c r="A1048" s="91" t="inlineStr">
        <is>
          <t>26-GRI</t>
        </is>
      </c>
      <c r="B1048" s="10" t="inlineStr">
        <is>
          <t>ESTRATÉGICO</t>
        </is>
      </c>
      <c r="C1048" s="10" t="inlineStr">
        <is>
          <t>Gestión de Riesgos</t>
        </is>
      </c>
      <c r="D1048" s="10" t="inlineStr">
        <is>
          <t>GRI</t>
        </is>
      </c>
      <c r="E1048" s="10" t="inlineStr">
        <is>
          <t>Gestión de Riesgo de Liquidez</t>
        </is>
      </c>
      <c r="F1048" s="10" t="inlineStr">
        <is>
          <t>-</t>
        </is>
      </c>
      <c r="G1048" s="10" t="inlineStr">
        <is>
          <t>Revisión al portafolio de inversiones</t>
        </is>
      </c>
      <c r="H1048" s="10" t="inlineStr">
        <is>
          <t>Boletines Mensuales de la SEPS y SB</t>
        </is>
      </c>
      <c r="I1048" s="10" t="inlineStr">
        <is>
          <t>Informaciones que publican</t>
        </is>
      </c>
      <c r="J1048" s="10" t="inlineStr">
        <is>
          <t>GERENTE DE RIESGOS</t>
        </is>
      </c>
      <c r="K1048" s="10" t="inlineStr">
        <is>
          <t>ANALISTA DE RIESGO DE LIQUIDEZ Y MERCADO</t>
        </is>
      </c>
      <c r="L1048" s="10" t="inlineStr">
        <is>
          <t>UBICACIÓN DIGITAL-EQUIPO DEL RESPONSABLE</t>
        </is>
      </c>
      <c r="M1048" s="10" t="inlineStr">
        <is>
          <t>DOCUMENTO DE ARCHIVO-ELECTRÓNICO</t>
        </is>
      </c>
      <c r="N1048" s="10" t="inlineStr">
        <is>
          <t>PRIMARIOS</t>
        </is>
      </c>
      <c r="O1048" s="10" t="inlineStr">
        <is>
          <t>INFORMACIÓN DE TERCEROS</t>
        </is>
      </c>
      <c r="P1048" s="10" t="inlineStr">
        <is>
          <t>PUBLICA(1)</t>
        </is>
      </c>
      <c r="Q1048" s="10" t="inlineStr">
        <is>
          <t>ALTA(3)</t>
        </is>
      </c>
      <c r="R1048" s="10" t="inlineStr">
        <is>
          <t>MEDIA(2)</t>
        </is>
      </c>
      <c r="S1048" s="10">
        <f>+(IF(P1048="PUBLICA(1)",1,IF(P1048="USO INTERNO(2)",2,IF(P1048="RESTRINGIDO(3)",3,3))))+(IF(Q1048="BAJA(1)",1,IF(Q1048="MEDIA(2)",2,IF(Q1048="ALTA(3)",3,3))))+(IF(R1048="BAJA(1)",1,IF(R1048="MEDIA(2)",2,IF(R1048="ALTA(3)",3,3))))</f>
        <v/>
      </c>
      <c r="T1048" s="10">
        <f>+IF(S1048&lt;6,"BAJA",IF(S1048&lt;8,"MEDIA","ALTA"))</f>
        <v/>
      </c>
      <c r="U1048" s="10" t="inlineStr">
        <is>
          <t>-</t>
        </is>
      </c>
      <c r="V1048" s="24" t="n">
        <v>45567</v>
      </c>
      <c r="W1048" s="19" t="inlineStr">
        <is>
          <t>N/A</t>
        </is>
      </c>
      <c r="X1048" s="10">
        <f>+IFERROR(IF(VLOOKUP(Tabla2[[#This Row],[ID]],'EVALUACION DE RIESGO'!A:A,1,FALSE)=Tabla2[[#This Row],[ID]],"SI","NO"),"NO")</f>
        <v/>
      </c>
    </row>
    <row r="1049">
      <c r="A1049" s="91" t="inlineStr">
        <is>
          <t>27-GRI</t>
        </is>
      </c>
      <c r="B1049" s="10" t="inlineStr">
        <is>
          <t>ESTRATÉGICO</t>
        </is>
      </c>
      <c r="C1049" s="10" t="inlineStr">
        <is>
          <t>Gestión de Riesgos</t>
        </is>
      </c>
      <c r="D1049" s="10" t="inlineStr">
        <is>
          <t>GRI</t>
        </is>
      </c>
      <c r="E1049" s="10" t="inlineStr">
        <is>
          <t>Gestión de Riesgo de Liquidez</t>
        </is>
      </c>
      <c r="F1049" s="10" t="inlineStr">
        <is>
          <t>-</t>
        </is>
      </c>
      <c r="G1049" s="10" t="inlineStr">
        <is>
          <t>Revisión al portafolio de inversiones</t>
        </is>
      </c>
      <c r="H1049" s="10" t="inlineStr">
        <is>
          <t>Herramienta de Análisis de indicadores de tesorería.</t>
        </is>
      </c>
      <c r="I1049" s="10" t="inlineStr">
        <is>
          <t>Consolidacion de la informacion</t>
        </is>
      </c>
      <c r="J1049" s="10" t="inlineStr">
        <is>
          <t>GERENTE DE RIESGOS</t>
        </is>
      </c>
      <c r="K1049" s="10" t="inlineStr">
        <is>
          <t>ANALISTA DE RIESGO DE LIQUIDEZ Y MERCADO</t>
        </is>
      </c>
      <c r="L1049" s="10" t="inlineStr">
        <is>
          <t>UBICACIÓN DIGITAL-EQUIPO DEL RESPONSABLE</t>
        </is>
      </c>
      <c r="M1049" s="10" t="inlineStr">
        <is>
          <t>DOCUMENTO DE ARCHIVO-ELECTRÓNICO</t>
        </is>
      </c>
      <c r="N1049" s="10" t="inlineStr">
        <is>
          <t>PRIMARIOS</t>
        </is>
      </c>
      <c r="O1049" s="10" t="inlineStr">
        <is>
          <t>DOCUMENTOS TÉCNICOS</t>
        </is>
      </c>
      <c r="P1049" s="10" t="inlineStr">
        <is>
          <t>PUBLICA(1)</t>
        </is>
      </c>
      <c r="Q1049" s="10" t="inlineStr">
        <is>
          <t>ALTA(3)</t>
        </is>
      </c>
      <c r="R1049" s="10" t="inlineStr">
        <is>
          <t>MEDIA(2)</t>
        </is>
      </c>
      <c r="S1049" s="10">
        <f>+(IF(P1049="PUBLICA(1)",1,IF(P1049="USO INTERNO(2)",2,IF(P1049="RESTRINGIDO(3)",3,3))))+(IF(Q1049="BAJA(1)",1,IF(Q1049="MEDIA(2)",2,IF(Q1049="ALTA(3)",3,3))))+(IF(R1049="BAJA(1)",1,IF(R1049="MEDIA(2)",2,IF(R1049="ALTA(3)",3,3))))</f>
        <v/>
      </c>
      <c r="T1049" s="10">
        <f>+IF(S1049&lt;6,"BAJA",IF(S1049&lt;8,"MEDIA","ALTA"))</f>
        <v/>
      </c>
      <c r="U1049" s="10" t="inlineStr">
        <is>
          <t>-</t>
        </is>
      </c>
      <c r="V1049" s="24" t="n">
        <v>45567</v>
      </c>
      <c r="W1049" s="19" t="inlineStr">
        <is>
          <t>N/A</t>
        </is>
      </c>
      <c r="X1049" s="10">
        <f>+IFERROR(IF(VLOOKUP(Tabla2[[#This Row],[ID]],'EVALUACION DE RIESGO'!A:A,1,FALSE)=Tabla2[[#This Row],[ID]],"SI","NO"),"NO")</f>
        <v/>
      </c>
    </row>
    <row r="1050">
      <c r="A1050" s="91" t="inlineStr">
        <is>
          <t>28-GRI</t>
        </is>
      </c>
      <c r="B1050" s="10" t="inlineStr">
        <is>
          <t>ESTRATÉGICO</t>
        </is>
      </c>
      <c r="C1050" s="10" t="inlineStr">
        <is>
          <t>Gestión de Riesgos</t>
        </is>
      </c>
      <c r="D1050" s="10" t="inlineStr">
        <is>
          <t>GRI</t>
        </is>
      </c>
      <c r="E1050" s="10" t="inlineStr">
        <is>
          <t>Gestión de Riesgo de Liquidez</t>
        </is>
      </c>
      <c r="F1050" s="10" t="inlineStr">
        <is>
          <t>-</t>
        </is>
      </c>
      <c r="G1050" s="10" t="inlineStr">
        <is>
          <t>Revisión al portafolio de inversiones</t>
        </is>
      </c>
      <c r="H1050" s="10" t="inlineStr">
        <is>
          <t xml:space="preserve">Hojas de trabajo </t>
        </is>
      </c>
      <c r="I1050" s="10" t="inlineStr">
        <is>
          <t>Portafolio de inversiones</t>
        </is>
      </c>
      <c r="J1050" s="10" t="inlineStr">
        <is>
          <t>GERENTE DE RIESGOS</t>
        </is>
      </c>
      <c r="K1050" s="10" t="inlineStr">
        <is>
          <t>ANALISTA DE RIESGO DE LIQUIDEZ Y MERCADO</t>
        </is>
      </c>
      <c r="L1050" s="10" t="inlineStr">
        <is>
          <t>UBICACIÓN DIGITAL-EQUIPO DEL RESPONSABLE</t>
        </is>
      </c>
      <c r="M1050" s="10" t="inlineStr">
        <is>
          <t>DOCUMENTO DE ARCHIVO-ELECTRÓNICO</t>
        </is>
      </c>
      <c r="N1050" s="10" t="inlineStr">
        <is>
          <t>PRIMARIOS</t>
        </is>
      </c>
      <c r="O1050" s="10" t="inlineStr">
        <is>
          <t>DOCUMENTOS TÉCNICOS</t>
        </is>
      </c>
      <c r="P1050" s="10" t="inlineStr">
        <is>
          <t>PUBLICA(1)</t>
        </is>
      </c>
      <c r="Q1050" s="10" t="inlineStr">
        <is>
          <t>ALTA(3)</t>
        </is>
      </c>
      <c r="R1050" s="10" t="inlineStr">
        <is>
          <t>MEDIA(2)</t>
        </is>
      </c>
      <c r="S1050" s="10">
        <f>+(IF(P1050="PUBLICA(1)",1,IF(P1050="USO INTERNO(2)",2,IF(P1050="RESTRINGIDO(3)",3,3))))+(IF(Q1050="BAJA(1)",1,IF(Q1050="MEDIA(2)",2,IF(Q1050="ALTA(3)",3,3))))+(IF(R1050="BAJA(1)",1,IF(R1050="MEDIA(2)",2,IF(R1050="ALTA(3)",3,3))))</f>
        <v/>
      </c>
      <c r="T1050" s="10">
        <f>+IF(S1050&lt;6,"BAJA",IF(S1050&lt;8,"MEDIA","ALTA"))</f>
        <v/>
      </c>
      <c r="U1050" s="10" t="inlineStr">
        <is>
          <t>-</t>
        </is>
      </c>
      <c r="V1050" s="24" t="n">
        <v>45567</v>
      </c>
      <c r="W1050" s="19" t="inlineStr">
        <is>
          <t>N/A</t>
        </is>
      </c>
      <c r="X1050" s="10">
        <f>+IFERROR(IF(VLOOKUP(Tabla2[[#This Row],[ID]],'EVALUACION DE RIESGO'!A:A,1,FALSE)=Tabla2[[#This Row],[ID]],"SI","NO"),"NO")</f>
        <v/>
      </c>
    </row>
    <row r="1051">
      <c r="A1051" s="91" t="inlineStr">
        <is>
          <t>29-GRI</t>
        </is>
      </c>
      <c r="B1051" s="10" t="inlineStr">
        <is>
          <t>ESTRATÉGICO</t>
        </is>
      </c>
      <c r="C1051" s="10" t="inlineStr">
        <is>
          <t>Gestión de Riesgos</t>
        </is>
      </c>
      <c r="D1051" s="10" t="inlineStr">
        <is>
          <t>GRI</t>
        </is>
      </c>
      <c r="E1051" s="10" t="inlineStr">
        <is>
          <t>Gestión de Riesgo de Liquidez</t>
        </is>
      </c>
      <c r="F1051" s="10" t="inlineStr">
        <is>
          <t>-</t>
        </is>
      </c>
      <c r="G1051" s="10" t="inlineStr">
        <is>
          <t>Revisión al portafolio de inversiones</t>
        </is>
      </c>
      <c r="H1051" s="10" t="inlineStr">
        <is>
          <t>Reporte de niveles de riesgo de entidades financieras</t>
        </is>
      </c>
      <c r="I1051" s="10" t="inlineStr">
        <is>
          <t>Negociación de inversiones recursos propios / Cancelación de inversiones recursos propios</t>
        </is>
      </c>
      <c r="J1051" s="10" t="inlineStr">
        <is>
          <t>GERENTE DE RIESGOS</t>
        </is>
      </c>
      <c r="K1051" s="10" t="inlineStr">
        <is>
          <t>ANALISTA DE RIESGO DE LIQUIDEZ Y MERCADO</t>
        </is>
      </c>
      <c r="L1051" s="10" t="inlineStr">
        <is>
          <t>UBICACIÓN DIGITAL-EQUIPO DEL RESPONSABLE</t>
        </is>
      </c>
      <c r="M1051" s="10" t="inlineStr">
        <is>
          <t>DOCUMENTO DE ARCHIVO-ELECTRÓNICO</t>
        </is>
      </c>
      <c r="N1051" s="10" t="inlineStr">
        <is>
          <t>PRIMARIOS</t>
        </is>
      </c>
      <c r="O1051" s="10" t="inlineStr">
        <is>
          <t>DOCUMENTOS TÉCNICOS</t>
        </is>
      </c>
      <c r="P1051" s="10" t="inlineStr">
        <is>
          <t>PUBLICA(1)</t>
        </is>
      </c>
      <c r="Q1051" s="10" t="inlineStr">
        <is>
          <t>ALTA(3)</t>
        </is>
      </c>
      <c r="R1051" s="10" t="inlineStr">
        <is>
          <t>MEDIA(2)</t>
        </is>
      </c>
      <c r="S1051" s="10">
        <f>+(IF(P1051="PUBLICA(1)",1,IF(P1051="USO INTERNO(2)",2,IF(P1051="RESTRINGIDO(3)",3,3))))+(IF(Q1051="BAJA(1)",1,IF(Q1051="MEDIA(2)",2,IF(Q1051="ALTA(3)",3,3))))+(IF(R1051="BAJA(1)",1,IF(R1051="MEDIA(2)",2,IF(R1051="ALTA(3)",3,3))))</f>
        <v/>
      </c>
      <c r="T1051" s="10">
        <f>+IF(S1051&lt;6,"BAJA",IF(S1051&lt;8,"MEDIA","ALTA"))</f>
        <v/>
      </c>
      <c r="U1051" s="10" t="inlineStr">
        <is>
          <t>-</t>
        </is>
      </c>
      <c r="V1051" s="24" t="n">
        <v>45567</v>
      </c>
      <c r="W1051" s="19" t="inlineStr">
        <is>
          <t>N/A</t>
        </is>
      </c>
      <c r="X1051" s="10">
        <f>+IFERROR(IF(VLOOKUP(Tabla2[[#This Row],[ID]],'EVALUACION DE RIESGO'!A:A,1,FALSE)=Tabla2[[#This Row],[ID]],"SI","NO"),"NO")</f>
        <v/>
      </c>
    </row>
    <row r="1052">
      <c r="A1052" s="91" t="inlineStr">
        <is>
          <t>30-GRI</t>
        </is>
      </c>
      <c r="B1052" s="10" t="inlineStr">
        <is>
          <t>ESTRATÉGICO</t>
        </is>
      </c>
      <c r="C1052" s="10" t="inlineStr">
        <is>
          <t>Gestión de Riesgos</t>
        </is>
      </c>
      <c r="D1052" s="10" t="inlineStr">
        <is>
          <t>GRI</t>
        </is>
      </c>
      <c r="E1052" s="10" t="inlineStr">
        <is>
          <t>Gestión de Riesgo de Liquidez</t>
        </is>
      </c>
      <c r="F1052" s="10" t="inlineStr">
        <is>
          <t>-</t>
        </is>
      </c>
      <c r="G1052" s="10" t="inlineStr">
        <is>
          <t>Revisión al portafolio de inversiones</t>
        </is>
      </c>
      <c r="H1052" s="10" t="inlineStr">
        <is>
          <t>Reporte de concentración de inversiones</t>
        </is>
      </c>
      <c r="I1052" s="10" t="inlineStr">
        <is>
          <t>Consolidación de la información</t>
        </is>
      </c>
      <c r="J1052" s="10" t="inlineStr">
        <is>
          <t>GERENTE DE RIESGOS</t>
        </is>
      </c>
      <c r="K1052" s="10" t="inlineStr">
        <is>
          <t>ANALISTA DE RIESGO DE LIQUIDEZ Y MERCADO</t>
        </is>
      </c>
      <c r="L1052" s="10" t="inlineStr">
        <is>
          <t>UBICACIÓN DIGITAL-EQUIPO DEL RESPONSABLE</t>
        </is>
      </c>
      <c r="M1052" s="10" t="inlineStr">
        <is>
          <t>DOCUMENTO DE ARCHIVO-ELECTRÓNICO</t>
        </is>
      </c>
      <c r="N1052" s="10" t="inlineStr">
        <is>
          <t>PRIMARIOS</t>
        </is>
      </c>
      <c r="O1052" s="10" t="inlineStr">
        <is>
          <t>COMUNICACIÓN INTERNA</t>
        </is>
      </c>
      <c r="P1052" s="10" t="inlineStr">
        <is>
          <t>PUBLICA(1)</t>
        </is>
      </c>
      <c r="Q1052" s="10" t="inlineStr">
        <is>
          <t>ALTA(3)</t>
        </is>
      </c>
      <c r="R1052" s="10" t="inlineStr">
        <is>
          <t>MEDIA(2)</t>
        </is>
      </c>
      <c r="S1052" s="10">
        <f>+(IF(P1052="PUBLICA(1)",1,IF(P1052="USO INTERNO(2)",2,IF(P1052="RESTRINGIDO(3)",3,3))))+(IF(Q1052="BAJA(1)",1,IF(Q1052="MEDIA(2)",2,IF(Q1052="ALTA(3)",3,3))))+(IF(R1052="BAJA(1)",1,IF(R1052="MEDIA(2)",2,IF(R1052="ALTA(3)",3,3))))</f>
        <v/>
      </c>
      <c r="T1052" s="10">
        <f>+IF(S1052&lt;6,"BAJA",IF(S1052&lt;8,"MEDIA","ALTA"))</f>
        <v/>
      </c>
      <c r="U1052" s="10" t="inlineStr">
        <is>
          <t>-</t>
        </is>
      </c>
      <c r="V1052" s="24" t="n">
        <v>45567</v>
      </c>
      <c r="W1052" s="19" t="inlineStr">
        <is>
          <t>N/A</t>
        </is>
      </c>
      <c r="X1052" s="10">
        <f>+IFERROR(IF(VLOOKUP(Tabla2[[#This Row],[ID]],'EVALUACION DE RIESGO'!A:A,1,FALSE)=Tabla2[[#This Row],[ID]],"SI","NO"),"NO")</f>
        <v/>
      </c>
    </row>
    <row r="1053">
      <c r="A1053" s="91" t="inlineStr">
        <is>
          <t>31-GRI</t>
        </is>
      </c>
      <c r="B1053" s="10" t="inlineStr">
        <is>
          <t>ESTRATÉGICO</t>
        </is>
      </c>
      <c r="C1053" s="10" t="inlineStr">
        <is>
          <t>Gestión de Riesgos</t>
        </is>
      </c>
      <c r="D1053" s="10" t="inlineStr">
        <is>
          <t>GRI</t>
        </is>
      </c>
      <c r="E1053" s="10" t="inlineStr">
        <is>
          <t>Gestión de Riesgo de Liquidez</t>
        </is>
      </c>
      <c r="F1053" s="10" t="inlineStr">
        <is>
          <t>-</t>
        </is>
      </c>
      <c r="G1053" s="10" t="inlineStr">
        <is>
          <t xml:space="preserve">Valoración del portafolio de inversiones      </t>
        </is>
      </c>
      <c r="H1053" s="10" t="inlineStr">
        <is>
          <t>Herramienta para valoración del portafolio de inversiones</t>
        </is>
      </c>
      <c r="I1053" s="10" t="inlineStr">
        <is>
          <t>Valoracion de portafolio</t>
        </is>
      </c>
      <c r="J1053" s="10" t="inlineStr">
        <is>
          <t>GERENTE DE RIESGOS</t>
        </is>
      </c>
      <c r="K1053" s="10" t="inlineStr">
        <is>
          <t>ANALISTA DE RIESGO DE LIQUIDEZ Y MERCADO</t>
        </is>
      </c>
      <c r="L1053" s="10" t="inlineStr">
        <is>
          <t>UBICACIÓN DIGITAL-EQUIPO DEL RESPONSABLE</t>
        </is>
      </c>
      <c r="M1053" s="10" t="inlineStr">
        <is>
          <t>DOCUMENTO DE ARCHIVO-ELECTRÓNICO</t>
        </is>
      </c>
      <c r="N1053" s="10" t="inlineStr">
        <is>
          <t>PRIMARIOS</t>
        </is>
      </c>
      <c r="O1053" s="10" t="inlineStr">
        <is>
          <t>DOCUMENTOS TÉCNICOS</t>
        </is>
      </c>
      <c r="P1053" s="10" t="inlineStr">
        <is>
          <t>PUBLICA(1)</t>
        </is>
      </c>
      <c r="Q1053" s="10" t="inlineStr">
        <is>
          <t>ALTA(3)</t>
        </is>
      </c>
      <c r="R1053" s="10" t="inlineStr">
        <is>
          <t>MEDIA(2)</t>
        </is>
      </c>
      <c r="S1053" s="10">
        <f>+(IF(P1053="PUBLICA(1)",1,IF(P1053="USO INTERNO(2)",2,IF(P1053="RESTRINGIDO(3)",3,3))))+(IF(Q1053="BAJA(1)",1,IF(Q1053="MEDIA(2)",2,IF(Q1053="ALTA(3)",3,3))))+(IF(R1053="BAJA(1)",1,IF(R1053="MEDIA(2)",2,IF(R1053="ALTA(3)",3,3))))</f>
        <v/>
      </c>
      <c r="T1053" s="10">
        <f>+IF(S1053&lt;6,"BAJA",IF(S1053&lt;8,"MEDIA","ALTA"))</f>
        <v/>
      </c>
      <c r="U1053" s="10" t="inlineStr">
        <is>
          <t>-</t>
        </is>
      </c>
      <c r="V1053" s="24" t="n">
        <v>45567</v>
      </c>
      <c r="W1053" s="19" t="inlineStr">
        <is>
          <t>N/A</t>
        </is>
      </c>
      <c r="X1053" s="10">
        <f>+IFERROR(IF(VLOOKUP(Tabla2[[#This Row],[ID]],'EVALUACION DE RIESGO'!A:A,1,FALSE)=Tabla2[[#This Row],[ID]],"SI","NO"),"NO")</f>
        <v/>
      </c>
    </row>
    <row r="1054">
      <c r="A1054" s="91" t="inlineStr">
        <is>
          <t>32-GRI</t>
        </is>
      </c>
      <c r="B1054" s="10" t="inlineStr">
        <is>
          <t>ESTRATÉGICO</t>
        </is>
      </c>
      <c r="C1054" s="10" t="inlineStr">
        <is>
          <t>Gestión de Riesgos</t>
        </is>
      </c>
      <c r="D1054" s="10" t="inlineStr">
        <is>
          <t>GRI</t>
        </is>
      </c>
      <c r="E1054" s="10" t="inlineStr">
        <is>
          <t>Gestión de Riesgo de Liquidez</t>
        </is>
      </c>
      <c r="F1054" s="10" t="inlineStr">
        <is>
          <t>-</t>
        </is>
      </c>
      <c r="G1054" s="10" t="inlineStr">
        <is>
          <t xml:space="preserve">Valoración del portafolio de inversiones      </t>
        </is>
      </c>
      <c r="H1054" s="10" t="inlineStr">
        <is>
          <t xml:space="preserve">Reporte Valoración de Inversiones </t>
        </is>
      </c>
      <c r="I1054" s="10" t="inlineStr">
        <is>
          <t>Registro Contable Diario</t>
        </is>
      </c>
      <c r="J1054" s="10" t="inlineStr">
        <is>
          <t>GERENTE DE RIESGOS</t>
        </is>
      </c>
      <c r="K1054" s="10" t="inlineStr">
        <is>
          <t>ANALISTA DE RIESGO DE LIQUIDEZ Y MERCADO</t>
        </is>
      </c>
      <c r="L1054" s="10" t="inlineStr">
        <is>
          <t>UBICACIÓN DIGITAL-EQUIPO DEL RESPONSABLE</t>
        </is>
      </c>
      <c r="M1054" s="10" t="inlineStr">
        <is>
          <t>DOCUMENTO DE ARCHIVO-ELECTRÓNICO</t>
        </is>
      </c>
      <c r="N1054" s="10" t="inlineStr">
        <is>
          <t>PRIMARIOS</t>
        </is>
      </c>
      <c r="O1054" s="10" t="inlineStr">
        <is>
          <t>DOCUMENTOS TÉCNICOS</t>
        </is>
      </c>
      <c r="P1054" s="10" t="inlineStr">
        <is>
          <t>PUBLICA(1)</t>
        </is>
      </c>
      <c r="Q1054" s="10" t="inlineStr">
        <is>
          <t>ALTA(3)</t>
        </is>
      </c>
      <c r="R1054" s="10" t="inlineStr">
        <is>
          <t>MEDIA(2)</t>
        </is>
      </c>
      <c r="S1054" s="10">
        <f>+(IF(P1054="PUBLICA(1)",1,IF(P1054="USO INTERNO(2)",2,IF(P1054="RESTRINGIDO(3)",3,3))))+(IF(Q1054="BAJA(1)",1,IF(Q1054="MEDIA(2)",2,IF(Q1054="ALTA(3)",3,3))))+(IF(R1054="BAJA(1)",1,IF(R1054="MEDIA(2)",2,IF(R1054="ALTA(3)",3,3))))</f>
        <v/>
      </c>
      <c r="T1054" s="10">
        <f>+IF(S1054&lt;6,"BAJA",IF(S1054&lt;8,"MEDIA","ALTA"))</f>
        <v/>
      </c>
      <c r="U1054" s="10" t="inlineStr">
        <is>
          <t>-</t>
        </is>
      </c>
      <c r="V1054" s="24" t="n">
        <v>45567</v>
      </c>
      <c r="W1054" s="19" t="inlineStr">
        <is>
          <t>N/A</t>
        </is>
      </c>
      <c r="X1054" s="10">
        <f>+IFERROR(IF(VLOOKUP(Tabla2[[#This Row],[ID]],'EVALUACION DE RIESGO'!A:A,1,FALSE)=Tabla2[[#This Row],[ID]],"SI","NO"),"NO")</f>
        <v/>
      </c>
    </row>
    <row r="1055">
      <c r="A1055" s="91" t="inlineStr">
        <is>
          <t>33-GRI</t>
        </is>
      </c>
      <c r="B1055" s="10" t="inlineStr">
        <is>
          <t>ESTRATÉGICO</t>
        </is>
      </c>
      <c r="C1055" s="10" t="inlineStr">
        <is>
          <t>Gestión de Riesgos</t>
        </is>
      </c>
      <c r="D1055" s="10" t="inlineStr">
        <is>
          <t>GRI</t>
        </is>
      </c>
      <c r="E1055" s="10" t="inlineStr">
        <is>
          <t>Gestión de Riesgo de Liquidez</t>
        </is>
      </c>
      <c r="F1055" s="10" t="inlineStr">
        <is>
          <t>-</t>
        </is>
      </c>
      <c r="G1055" s="10" t="inlineStr">
        <is>
          <t xml:space="preserve">Cálculo de pérdidas esperadas del portafolio de inversiones  </t>
        </is>
      </c>
      <c r="H1055" s="10" t="inlineStr">
        <is>
          <t>Herramienta para el cálculo de la perdida esperada del portafolio de inversiones</t>
        </is>
      </c>
      <c r="I1055" s="10" t="inlineStr">
        <is>
          <t>Valor de perdida esperada de inversiones</t>
        </is>
      </c>
      <c r="J1055" s="10" t="inlineStr">
        <is>
          <t>GERENTE DE RIESGOS</t>
        </is>
      </c>
      <c r="K1055" s="10" t="inlineStr">
        <is>
          <t>ANALISTA DE RIESGO DE LIQUIDEZ Y MERCADO</t>
        </is>
      </c>
      <c r="L1055" s="10" t="inlineStr">
        <is>
          <t>UBICACIÓN DIGITAL-EQUIPO DEL RESPONSABLE</t>
        </is>
      </c>
      <c r="M1055" s="10" t="inlineStr">
        <is>
          <t>DOCUMENTO DE ARCHIVO-ELECTRÓNICO</t>
        </is>
      </c>
      <c r="N1055" s="10" t="inlineStr">
        <is>
          <t>PRIMARIOS</t>
        </is>
      </c>
      <c r="O1055" s="10" t="inlineStr">
        <is>
          <t>DOCUMENTOS TÉCNICOS</t>
        </is>
      </c>
      <c r="P1055" s="10" t="inlineStr">
        <is>
          <t>PUBLICA(1)</t>
        </is>
      </c>
      <c r="Q1055" s="10" t="inlineStr">
        <is>
          <t>ALTA(3)</t>
        </is>
      </c>
      <c r="R1055" s="10" t="inlineStr">
        <is>
          <t>MEDIA(2)</t>
        </is>
      </c>
      <c r="S1055" s="10">
        <f>+(IF(P1055="PUBLICA(1)",1,IF(P1055="USO INTERNO(2)",2,IF(P1055="RESTRINGIDO(3)",3,3))))+(IF(Q1055="BAJA(1)",1,IF(Q1055="MEDIA(2)",2,IF(Q1055="ALTA(3)",3,3))))+(IF(R1055="BAJA(1)",1,IF(R1055="MEDIA(2)",2,IF(R1055="ALTA(3)",3,3))))</f>
        <v/>
      </c>
      <c r="T1055" s="10">
        <f>+IF(S1055&lt;6,"BAJA",IF(S1055&lt;8,"MEDIA","ALTA"))</f>
        <v/>
      </c>
      <c r="U1055" s="10" t="inlineStr">
        <is>
          <t>-</t>
        </is>
      </c>
      <c r="V1055" s="24" t="n">
        <v>45567</v>
      </c>
      <c r="W1055" s="19" t="inlineStr">
        <is>
          <t>N/A</t>
        </is>
      </c>
      <c r="X1055" s="10">
        <f>+IFERROR(IF(VLOOKUP(Tabla2[[#This Row],[ID]],'EVALUACION DE RIESGO'!A:A,1,FALSE)=Tabla2[[#This Row],[ID]],"SI","NO"),"NO")</f>
        <v/>
      </c>
    </row>
    <row r="1056">
      <c r="A1056" s="91" t="inlineStr">
        <is>
          <t>34-GRI</t>
        </is>
      </c>
      <c r="B1056" s="10" t="inlineStr">
        <is>
          <t>ESTRATÉGICO</t>
        </is>
      </c>
      <c r="C1056" s="10" t="inlineStr">
        <is>
          <t>Gestión de Riesgos</t>
        </is>
      </c>
      <c r="D1056" s="10" t="inlineStr">
        <is>
          <t>GRI</t>
        </is>
      </c>
      <c r="E1056" s="10" t="inlineStr">
        <is>
          <t>Gestión de Riesgo de Liquidez</t>
        </is>
      </c>
      <c r="F1056" s="10" t="inlineStr">
        <is>
          <t>-</t>
        </is>
      </c>
      <c r="G1056" s="10" t="inlineStr">
        <is>
          <t xml:space="preserve">Cálculo de pérdidas esperadas del portafolio de inversiones  </t>
        </is>
      </c>
      <c r="H1056" s="10" t="inlineStr">
        <is>
          <t>Base histórica de calificaciones de riesgo (SEPS y SB)</t>
        </is>
      </c>
      <c r="I1056" s="10" t="inlineStr">
        <is>
          <t>Archivos externos</t>
        </is>
      </c>
      <c r="J1056" s="10" t="inlineStr">
        <is>
          <t>GERENTE DE RIESGOS</t>
        </is>
      </c>
      <c r="K1056" s="10" t="inlineStr">
        <is>
          <t>ANALISTA DE RIESGO DE LIQUIDEZ Y MERCADO</t>
        </is>
      </c>
      <c r="L1056" s="10" t="inlineStr">
        <is>
          <t>UBICACIÓN DIGITAL-EQUIPO DEL RESPONSABLE</t>
        </is>
      </c>
      <c r="M1056" s="10" t="inlineStr">
        <is>
          <t>DOCUMENTO DE ARCHIVO-ELECTRÓNICO</t>
        </is>
      </c>
      <c r="N1056" s="10" t="inlineStr">
        <is>
          <t>PRIMARIOS</t>
        </is>
      </c>
      <c r="O1056" s="10" t="inlineStr">
        <is>
          <t>DOCUMENTOS TÉCNICOS</t>
        </is>
      </c>
      <c r="P1056" s="10" t="inlineStr">
        <is>
          <t>PUBLICA(1)</t>
        </is>
      </c>
      <c r="Q1056" s="10" t="inlineStr">
        <is>
          <t>ALTA(3)</t>
        </is>
      </c>
      <c r="R1056" s="10" t="inlineStr">
        <is>
          <t>MEDIA(2)</t>
        </is>
      </c>
      <c r="S1056" s="10">
        <f>+(IF(P1056="PUBLICA(1)",1,IF(P1056="USO INTERNO(2)",2,IF(P1056="RESTRINGIDO(3)",3,3))))+(IF(Q1056="BAJA(1)",1,IF(Q1056="MEDIA(2)",2,IF(Q1056="ALTA(3)",3,3))))+(IF(R1056="BAJA(1)",1,IF(R1056="MEDIA(2)",2,IF(R1056="ALTA(3)",3,3))))</f>
        <v/>
      </c>
      <c r="T1056" s="10">
        <f>+IF(S1056&lt;6,"BAJA",IF(S1056&lt;8,"MEDIA","ALTA"))</f>
        <v/>
      </c>
      <c r="U1056" s="10" t="inlineStr">
        <is>
          <t>-</t>
        </is>
      </c>
      <c r="V1056" s="24" t="n">
        <v>45567</v>
      </c>
      <c r="W1056" s="19" t="inlineStr">
        <is>
          <t>N/A</t>
        </is>
      </c>
      <c r="X1056" s="10">
        <f>+IFERROR(IF(VLOOKUP(Tabla2[[#This Row],[ID]],'EVALUACION DE RIESGO'!A:A,1,FALSE)=Tabla2[[#This Row],[ID]],"SI","NO"),"NO")</f>
        <v/>
      </c>
    </row>
    <row r="1057">
      <c r="A1057" s="91" t="inlineStr">
        <is>
          <t>35-GRI</t>
        </is>
      </c>
      <c r="B1057" s="10" t="inlineStr">
        <is>
          <t>ESTRATÉGICO</t>
        </is>
      </c>
      <c r="C1057" s="10" t="inlineStr">
        <is>
          <t>Gestión de Riesgos</t>
        </is>
      </c>
      <c r="D1057" s="10" t="inlineStr">
        <is>
          <t>GRI</t>
        </is>
      </c>
      <c r="E1057" s="10" t="inlineStr">
        <is>
          <t>Gestión de Riesgo de Liquidez</t>
        </is>
      </c>
      <c r="F1057" s="10" t="inlineStr">
        <is>
          <t>-</t>
        </is>
      </c>
      <c r="G1057" s="10" t="inlineStr">
        <is>
          <t xml:space="preserve">Cálculo de pérdidas esperadas del portafolio de inversiones  </t>
        </is>
      </c>
      <c r="H1057" s="10" t="inlineStr">
        <is>
          <t xml:space="preserve">Reporte de pérdidas esperadas del portafolio de inversiones. </t>
        </is>
      </c>
      <c r="I1057" s="10" t="inlineStr">
        <is>
          <t>Consolidación de la información</t>
        </is>
      </c>
      <c r="J1057" s="10" t="inlineStr">
        <is>
          <t>GERENTE DE RIESGOS</t>
        </is>
      </c>
      <c r="K1057" s="10" t="inlineStr">
        <is>
          <t>ANALISTA DE RIESGO DE LIQUIDEZ Y MERCADO</t>
        </is>
      </c>
      <c r="L1057" s="10" t="inlineStr">
        <is>
          <t>UBICACIÓN DIGITAL-EQUIPO DEL RESPONSABLE</t>
        </is>
      </c>
      <c r="M1057" s="10" t="inlineStr">
        <is>
          <t>DOCUMENTO DE ARCHIVO-ELECTRÓNICO</t>
        </is>
      </c>
      <c r="N1057" s="10" t="inlineStr">
        <is>
          <t>PRIMARIOS</t>
        </is>
      </c>
      <c r="O1057" s="10" t="inlineStr">
        <is>
          <t>DOCUMENTOS TÉCNICOS</t>
        </is>
      </c>
      <c r="P1057" s="10" t="inlineStr">
        <is>
          <t>PUBLICA(1)</t>
        </is>
      </c>
      <c r="Q1057" s="10" t="inlineStr">
        <is>
          <t>ALTA(3)</t>
        </is>
      </c>
      <c r="R1057" s="10" t="inlineStr">
        <is>
          <t>MEDIA(2)</t>
        </is>
      </c>
      <c r="S1057" s="10">
        <f>+(IF(P1057="PUBLICA(1)",1,IF(P1057="USO INTERNO(2)",2,IF(P1057="RESTRINGIDO(3)",3,3))))+(IF(Q1057="BAJA(1)",1,IF(Q1057="MEDIA(2)",2,IF(Q1057="ALTA(3)",3,3))))+(IF(R1057="BAJA(1)",1,IF(R1057="MEDIA(2)",2,IF(R1057="ALTA(3)",3,3))))</f>
        <v/>
      </c>
      <c r="T1057" s="10">
        <f>+IF(S1057&lt;6,"BAJA",IF(S1057&lt;8,"MEDIA","ALTA"))</f>
        <v/>
      </c>
      <c r="U1057" s="10" t="inlineStr">
        <is>
          <t>-</t>
        </is>
      </c>
      <c r="V1057" s="24" t="n">
        <v>45567</v>
      </c>
      <c r="W1057" s="19" t="inlineStr">
        <is>
          <t>N/A</t>
        </is>
      </c>
      <c r="X1057" s="10">
        <f>+IFERROR(IF(VLOOKUP(Tabla2[[#This Row],[ID]],'EVALUACION DE RIESGO'!A:A,1,FALSE)=Tabla2[[#This Row],[ID]],"SI","NO"),"NO")</f>
        <v/>
      </c>
    </row>
    <row r="1058">
      <c r="A1058" s="91" t="inlineStr">
        <is>
          <t>36-GRI</t>
        </is>
      </c>
      <c r="B1058" s="10" t="inlineStr">
        <is>
          <t>ESTRATÉGICO</t>
        </is>
      </c>
      <c r="C1058" s="10" t="inlineStr">
        <is>
          <t>Gestión de Riesgos</t>
        </is>
      </c>
      <c r="D1058" s="10" t="inlineStr">
        <is>
          <t>GRI</t>
        </is>
      </c>
      <c r="E1058" s="10" t="inlineStr">
        <is>
          <t>Gestión de Riesgo de Liquidez</t>
        </is>
      </c>
      <c r="F1058" s="10" t="inlineStr">
        <is>
          <t>-</t>
        </is>
      </c>
      <c r="G1058" s="10" t="inlineStr">
        <is>
          <t xml:space="preserve">Revisión concentración fondos disponibles    </t>
        </is>
      </c>
      <c r="H1058" s="10" t="inlineStr">
        <is>
          <t>Balance mensual</t>
        </is>
      </c>
      <c r="I1058" s="10" t="inlineStr">
        <is>
          <t>Generación de balance</t>
        </is>
      </c>
      <c r="J1058" s="10" t="inlineStr">
        <is>
          <t>GERENTE DE RIESGOS</t>
        </is>
      </c>
      <c r="K1058" s="10" t="inlineStr">
        <is>
          <t>ANALISTA DE RIESGO DE LIQUIDEZ Y MERCADO</t>
        </is>
      </c>
      <c r="L1058" s="10" t="inlineStr">
        <is>
          <t>UBICACIÓN DIGITAL-EQUIPO DEL RESPONSABLE</t>
        </is>
      </c>
      <c r="M1058" s="10" t="inlineStr">
        <is>
          <t>DOCUMENTO DE ARCHIVO-ELECTRÓNICO</t>
        </is>
      </c>
      <c r="N1058" s="10" t="inlineStr">
        <is>
          <t>PRIMARIOS</t>
        </is>
      </c>
      <c r="O1058" s="10" t="inlineStr">
        <is>
          <t>DOCUMENTOS TÉCNICOS</t>
        </is>
      </c>
      <c r="P1058" s="10" t="inlineStr">
        <is>
          <t>PUBLICA(1)</t>
        </is>
      </c>
      <c r="Q1058" s="10" t="inlineStr">
        <is>
          <t>ALTA(3)</t>
        </is>
      </c>
      <c r="R1058" s="10" t="inlineStr">
        <is>
          <t>MEDIA(2)</t>
        </is>
      </c>
      <c r="S1058" s="10">
        <f>+(IF(P1058="PUBLICA(1)",1,IF(P1058="USO INTERNO(2)",2,IF(P1058="RESTRINGIDO(3)",3,3))))+(IF(Q1058="BAJA(1)",1,IF(Q1058="MEDIA(2)",2,IF(Q1058="ALTA(3)",3,3))))+(IF(R1058="BAJA(1)",1,IF(R1058="MEDIA(2)",2,IF(R1058="ALTA(3)",3,3))))</f>
        <v/>
      </c>
      <c r="T1058" s="10">
        <f>+IF(S1058&lt;6,"BAJA",IF(S1058&lt;8,"MEDIA","ALTA"))</f>
        <v/>
      </c>
      <c r="U1058" s="10" t="inlineStr">
        <is>
          <t>-</t>
        </is>
      </c>
      <c r="V1058" s="24" t="n">
        <v>45567</v>
      </c>
      <c r="W1058" s="19" t="inlineStr">
        <is>
          <t>N/A</t>
        </is>
      </c>
      <c r="X1058" s="10">
        <f>+IFERROR(IF(VLOOKUP(Tabla2[[#This Row],[ID]],'EVALUACION DE RIESGO'!A:A,1,FALSE)=Tabla2[[#This Row],[ID]],"SI","NO"),"NO")</f>
        <v/>
      </c>
    </row>
    <row r="1059">
      <c r="A1059" s="91" t="inlineStr">
        <is>
          <t>37-GRI</t>
        </is>
      </c>
      <c r="B1059" s="10" t="inlineStr">
        <is>
          <t>ESTRATÉGICO</t>
        </is>
      </c>
      <c r="C1059" s="10" t="inlineStr">
        <is>
          <t>Gestión de Riesgos</t>
        </is>
      </c>
      <c r="D1059" s="10" t="inlineStr">
        <is>
          <t>GRI</t>
        </is>
      </c>
      <c r="E1059" s="10" t="inlineStr">
        <is>
          <t>Gestión de Riesgo de Liquidez</t>
        </is>
      </c>
      <c r="F1059" s="10" t="inlineStr">
        <is>
          <t>-</t>
        </is>
      </c>
      <c r="G1059" s="10" t="inlineStr">
        <is>
          <t xml:space="preserve">Revisión concentración fondos disponibles    </t>
        </is>
      </c>
      <c r="H1059" s="10" t="inlineStr">
        <is>
          <t>Herramienta de Liquidez Estructural</t>
        </is>
      </c>
      <c r="I1059" s="10" t="inlineStr">
        <is>
          <t>Consolidacion de la informacion</t>
        </is>
      </c>
      <c r="J1059" s="10" t="inlineStr">
        <is>
          <t>GERENTE DE RIESGOS</t>
        </is>
      </c>
      <c r="K1059" s="10" t="inlineStr">
        <is>
          <t>ANALISTA DE RIESGO DE LIQUIDEZ Y MERCADO</t>
        </is>
      </c>
      <c r="L1059" s="10" t="inlineStr">
        <is>
          <t>UBICACIÓN DIGITAL-EQUIPO DEL RESPONSABLE</t>
        </is>
      </c>
      <c r="M1059" s="10" t="inlineStr">
        <is>
          <t>DOCUMENTO DE ARCHIVO-ELECTRÓNICO</t>
        </is>
      </c>
      <c r="N1059" s="10" t="inlineStr">
        <is>
          <t>PRIMARIOS</t>
        </is>
      </c>
      <c r="O1059" s="10" t="inlineStr">
        <is>
          <t>DOCUMENTOS TÉCNICOS</t>
        </is>
      </c>
      <c r="P1059" s="10" t="inlineStr">
        <is>
          <t>PUBLICA(1)</t>
        </is>
      </c>
      <c r="Q1059" s="10" t="inlineStr">
        <is>
          <t>ALTA(3)</t>
        </is>
      </c>
      <c r="R1059" s="10" t="inlineStr">
        <is>
          <t>MEDIA(2)</t>
        </is>
      </c>
      <c r="S1059" s="10">
        <f>+(IF(P1059="PUBLICA(1)",1,IF(P1059="USO INTERNO(2)",2,IF(P1059="RESTRINGIDO(3)",3,3))))+(IF(Q1059="BAJA(1)",1,IF(Q1059="MEDIA(2)",2,IF(Q1059="ALTA(3)",3,3))))+(IF(R1059="BAJA(1)",1,IF(R1059="MEDIA(2)",2,IF(R1059="ALTA(3)",3,3))))</f>
        <v/>
      </c>
      <c r="T1059" s="10">
        <f>+IF(S1059&lt;6,"BAJA",IF(S1059&lt;8,"MEDIA","ALTA"))</f>
        <v/>
      </c>
      <c r="U1059" s="10" t="inlineStr">
        <is>
          <t>-</t>
        </is>
      </c>
      <c r="V1059" s="24" t="n">
        <v>45567</v>
      </c>
      <c r="W1059" s="19" t="inlineStr">
        <is>
          <t>N/A</t>
        </is>
      </c>
      <c r="X1059" s="10">
        <f>+IFERROR(IF(VLOOKUP(Tabla2[[#This Row],[ID]],'EVALUACION DE RIESGO'!A:A,1,FALSE)=Tabla2[[#This Row],[ID]],"SI","NO"),"NO")</f>
        <v/>
      </c>
    </row>
    <row r="1060">
      <c r="A1060" s="91" t="inlineStr">
        <is>
          <t>38-GRI</t>
        </is>
      </c>
      <c r="B1060" s="10" t="inlineStr">
        <is>
          <t>ESTRATÉGICO</t>
        </is>
      </c>
      <c r="C1060" s="10" t="inlineStr">
        <is>
          <t>Gestión de Riesgos</t>
        </is>
      </c>
      <c r="D1060" s="10" t="inlineStr">
        <is>
          <t>GRI</t>
        </is>
      </c>
      <c r="E1060" s="10" t="inlineStr">
        <is>
          <t>Gestión de Riesgo de Liquidez</t>
        </is>
      </c>
      <c r="F1060" s="10" t="inlineStr">
        <is>
          <t>-</t>
        </is>
      </c>
      <c r="G1060" s="10" t="inlineStr">
        <is>
          <t xml:space="preserve">Revisión concentración fondos disponibles    </t>
        </is>
      </c>
      <c r="H1060" s="10" t="inlineStr">
        <is>
          <t>Reporte concentración fondos disponibles</t>
        </is>
      </c>
      <c r="I1060" s="10" t="inlineStr">
        <is>
          <t>Consolidación de la información</t>
        </is>
      </c>
      <c r="J1060" s="10" t="inlineStr">
        <is>
          <t>GERENTE DE RIESGOS</t>
        </is>
      </c>
      <c r="K1060" s="10" t="inlineStr">
        <is>
          <t>ANALISTA DE RIESGO DE LIQUIDEZ Y MERCADO</t>
        </is>
      </c>
      <c r="L1060" s="10" t="inlineStr">
        <is>
          <t>UBICACIÓN DIGITAL-EQUIPO DEL RESPONSABLE</t>
        </is>
      </c>
      <c r="M1060" s="10" t="inlineStr">
        <is>
          <t>DOCUMENTO DE ARCHIVO-ELECTRÓNICO</t>
        </is>
      </c>
      <c r="N1060" s="10" t="inlineStr">
        <is>
          <t>PRIMARIOS</t>
        </is>
      </c>
      <c r="O1060" s="10" t="inlineStr">
        <is>
          <t>DOCUMENTOS TÉCNICOS</t>
        </is>
      </c>
      <c r="P1060" s="10" t="inlineStr">
        <is>
          <t>PUBLICA(1)</t>
        </is>
      </c>
      <c r="Q1060" s="10" t="inlineStr">
        <is>
          <t>ALTA(3)</t>
        </is>
      </c>
      <c r="R1060" s="10" t="inlineStr">
        <is>
          <t>MEDIA(2)</t>
        </is>
      </c>
      <c r="S1060" s="10">
        <f>+(IF(P1060="PUBLICA(1)",1,IF(P1060="USO INTERNO(2)",2,IF(P1060="RESTRINGIDO(3)",3,3))))+(IF(Q1060="BAJA(1)",1,IF(Q1060="MEDIA(2)",2,IF(Q1060="ALTA(3)",3,3))))+(IF(R1060="BAJA(1)",1,IF(R1060="MEDIA(2)",2,IF(R1060="ALTA(3)",3,3))))</f>
        <v/>
      </c>
      <c r="T1060" s="10">
        <f>+IF(S1060&lt;6,"BAJA",IF(S1060&lt;8,"MEDIA","ALTA"))</f>
        <v/>
      </c>
      <c r="U1060" s="10" t="inlineStr">
        <is>
          <t>-</t>
        </is>
      </c>
      <c r="V1060" s="24" t="n">
        <v>45567</v>
      </c>
      <c r="W1060" s="19" t="inlineStr">
        <is>
          <t>N/A</t>
        </is>
      </c>
      <c r="X1060" s="10">
        <f>+IFERROR(IF(VLOOKUP(Tabla2[[#This Row],[ID]],'EVALUACION DE RIESGO'!A:A,1,FALSE)=Tabla2[[#This Row],[ID]],"SI","NO"),"NO")</f>
        <v/>
      </c>
    </row>
    <row r="1061">
      <c r="A1061" s="91" t="inlineStr">
        <is>
          <t>39-GRI</t>
        </is>
      </c>
      <c r="B1061" s="10" t="inlineStr">
        <is>
          <t>ESTRATÉGICO</t>
        </is>
      </c>
      <c r="C1061" s="10" t="inlineStr">
        <is>
          <t>Gestión de Riesgos</t>
        </is>
      </c>
      <c r="D1061" s="10" t="inlineStr">
        <is>
          <t>GRI</t>
        </is>
      </c>
      <c r="E1061" s="10" t="inlineStr">
        <is>
          <t>Gestión de Riesgo de Liquidez</t>
        </is>
      </c>
      <c r="F1061" s="10" t="inlineStr">
        <is>
          <t>-</t>
        </is>
      </c>
      <c r="G1061" s="10" t="inlineStr">
        <is>
          <t xml:space="preserve">Actualización de niveles de riesgo de alertas tempranas de liquidez </t>
        </is>
      </c>
      <c r="H1061" s="10" t="inlineStr">
        <is>
          <t>Base de indicadores históricos del Reporte de liquidez y volatilidad diaria</t>
        </is>
      </c>
      <c r="I1061" s="10" t="inlineStr">
        <is>
          <t>Consolidación de la información</t>
        </is>
      </c>
      <c r="J1061" s="10" t="inlineStr">
        <is>
          <t>GERENTE DE RIESGOS</t>
        </is>
      </c>
      <c r="K1061" s="10" t="inlineStr">
        <is>
          <t>ANALISTA DE RIESGO DE LIQUIDEZ Y MERCADO</t>
        </is>
      </c>
      <c r="L1061" s="10" t="inlineStr">
        <is>
          <t>UBICACIÓN DIGITAL-EQUIPO DEL RESPONSABLE</t>
        </is>
      </c>
      <c r="M1061" s="10" t="inlineStr">
        <is>
          <t>DOCUMENTO DE ARCHIVO-ELECTRÓNICO</t>
        </is>
      </c>
      <c r="N1061" s="10" t="inlineStr">
        <is>
          <t>PRIMARIOS</t>
        </is>
      </c>
      <c r="O1061" s="10" t="inlineStr">
        <is>
          <t>DOCUMENTOS TÉCNICOS</t>
        </is>
      </c>
      <c r="P1061" s="10" t="inlineStr">
        <is>
          <t>PUBLICA(1)</t>
        </is>
      </c>
      <c r="Q1061" s="10" t="inlineStr">
        <is>
          <t>ALTA(3)</t>
        </is>
      </c>
      <c r="R1061" s="10" t="inlineStr">
        <is>
          <t>MEDIA(2)</t>
        </is>
      </c>
      <c r="S1061" s="10">
        <f>+(IF(P1061="PUBLICA(1)",1,IF(P1061="USO INTERNO(2)",2,IF(P1061="RESTRINGIDO(3)",3,3))))+(IF(Q1061="BAJA(1)",1,IF(Q1061="MEDIA(2)",2,IF(Q1061="ALTA(3)",3,3))))+(IF(R1061="BAJA(1)",1,IF(R1061="MEDIA(2)",2,IF(R1061="ALTA(3)",3,3))))</f>
        <v/>
      </c>
      <c r="T1061" s="10">
        <f>+IF(S1061&lt;6,"BAJA",IF(S1061&lt;8,"MEDIA","ALTA"))</f>
        <v/>
      </c>
      <c r="U1061" s="10" t="inlineStr">
        <is>
          <t>-</t>
        </is>
      </c>
      <c r="V1061" s="24" t="n">
        <v>45567</v>
      </c>
      <c r="W1061" s="19" t="inlineStr">
        <is>
          <t>N/A</t>
        </is>
      </c>
      <c r="X1061" s="10">
        <f>+IFERROR(IF(VLOOKUP(Tabla2[[#This Row],[ID]],'EVALUACION DE RIESGO'!A:A,1,FALSE)=Tabla2[[#This Row],[ID]],"SI","NO"),"NO")</f>
        <v/>
      </c>
    </row>
    <row r="1062">
      <c r="A1062" s="91" t="inlineStr">
        <is>
          <t>40-GRI</t>
        </is>
      </c>
      <c r="B1062" s="10" t="inlineStr">
        <is>
          <t>ESTRATÉGICO</t>
        </is>
      </c>
      <c r="C1062" s="10" t="inlineStr">
        <is>
          <t>Gestión de Riesgos</t>
        </is>
      </c>
      <c r="D1062" s="10" t="inlineStr">
        <is>
          <t>GRI</t>
        </is>
      </c>
      <c r="E1062" s="10" t="inlineStr">
        <is>
          <t>Gestión de Riesgo de Liquidez</t>
        </is>
      </c>
      <c r="F1062" s="10" t="inlineStr">
        <is>
          <t>-</t>
        </is>
      </c>
      <c r="G1062" s="10" t="inlineStr">
        <is>
          <t xml:space="preserve">Actualización de niveles de riesgo de alertas tempranas de liquidez </t>
        </is>
      </c>
      <c r="H1062" s="10" t="inlineStr">
        <is>
          <t>Base de indicadores históricos del Reporte de Alertas Tempranas de Liquidez</t>
        </is>
      </c>
      <c r="I1062" s="10" t="inlineStr">
        <is>
          <t>Consolidación de la información</t>
        </is>
      </c>
      <c r="J1062" s="10" t="inlineStr">
        <is>
          <t>GERENTE DE RIESGOS</t>
        </is>
      </c>
      <c r="K1062" s="10" t="inlineStr">
        <is>
          <t>ANALISTA DE RIESGO DE LIQUIDEZ Y MERCADO</t>
        </is>
      </c>
      <c r="L1062" s="10" t="inlineStr">
        <is>
          <t>UBICACIÓN DIGITAL-EQUIPO DEL RESPONSABLE</t>
        </is>
      </c>
      <c r="M1062" s="10" t="inlineStr">
        <is>
          <t>DOCUMENTO DE ARCHIVO-ELECTRÓNICO</t>
        </is>
      </c>
      <c r="N1062" s="10" t="inlineStr">
        <is>
          <t>PRIMARIOS</t>
        </is>
      </c>
      <c r="O1062" s="10" t="inlineStr">
        <is>
          <t>DOCUMENTOS TÉCNICOS</t>
        </is>
      </c>
      <c r="P1062" s="10" t="inlineStr">
        <is>
          <t>PUBLICA(1)</t>
        </is>
      </c>
      <c r="Q1062" s="10" t="inlineStr">
        <is>
          <t>ALTA(3)</t>
        </is>
      </c>
      <c r="R1062" s="10" t="inlineStr">
        <is>
          <t>MEDIA(2)</t>
        </is>
      </c>
      <c r="S1062" s="10">
        <f>+(IF(P1062="PUBLICA(1)",1,IF(P1062="USO INTERNO(2)",2,IF(P1062="RESTRINGIDO(3)",3,3))))+(IF(Q1062="BAJA(1)",1,IF(Q1062="MEDIA(2)",2,IF(Q1062="ALTA(3)",3,3))))+(IF(R1062="BAJA(1)",1,IF(R1062="MEDIA(2)",2,IF(R1062="ALTA(3)",3,3))))</f>
        <v/>
      </c>
      <c r="T1062" s="10">
        <f>+IF(S1062&lt;6,"BAJA",IF(S1062&lt;8,"MEDIA","ALTA"))</f>
        <v/>
      </c>
      <c r="U1062" s="10" t="inlineStr">
        <is>
          <t>-</t>
        </is>
      </c>
      <c r="V1062" s="24" t="n">
        <v>45567</v>
      </c>
      <c r="W1062" s="19" t="inlineStr">
        <is>
          <t>N/A</t>
        </is>
      </c>
      <c r="X1062" s="10">
        <f>+IFERROR(IF(VLOOKUP(Tabla2[[#This Row],[ID]],'EVALUACION DE RIESGO'!A:A,1,FALSE)=Tabla2[[#This Row],[ID]],"SI","NO"),"NO")</f>
        <v/>
      </c>
    </row>
    <row r="1063">
      <c r="A1063" s="91" t="inlineStr">
        <is>
          <t>41-GRI</t>
        </is>
      </c>
      <c r="B1063" s="10" t="inlineStr">
        <is>
          <t>ESTRATÉGICO</t>
        </is>
      </c>
      <c r="C1063" s="10" t="inlineStr">
        <is>
          <t>Gestión de Riesgos</t>
        </is>
      </c>
      <c r="D1063" s="10" t="inlineStr">
        <is>
          <t>GRI</t>
        </is>
      </c>
      <c r="E1063" s="10" t="inlineStr">
        <is>
          <t>Gestión de Riesgo de Liquidez</t>
        </is>
      </c>
      <c r="F1063" s="10" t="inlineStr">
        <is>
          <t>-</t>
        </is>
      </c>
      <c r="G1063" s="10" t="inlineStr">
        <is>
          <t xml:space="preserve">Actualización de niveles de riesgo de alertas tempranas de liquidez </t>
        </is>
      </c>
      <c r="H1063" s="10" t="inlineStr">
        <is>
          <t>Balance General Presupuestado</t>
        </is>
      </c>
      <c r="I1063" s="10" t="inlineStr">
        <is>
          <t>Elaboración de presupuesto anual</t>
        </is>
      </c>
      <c r="J1063" s="10" t="inlineStr">
        <is>
          <t>GERENTE DE RIESGOS</t>
        </is>
      </c>
      <c r="K1063" s="10" t="inlineStr">
        <is>
          <t>ANALISTA DE RIESGO DE LIQUIDEZ Y MERCADO</t>
        </is>
      </c>
      <c r="L1063" s="10" t="inlineStr">
        <is>
          <t>UBICACIÓN DIGITAL-EQUIPO DEL RESPONSABLE</t>
        </is>
      </c>
      <c r="M1063" s="10" t="inlineStr">
        <is>
          <t>DOCUMENTO DE ARCHIVO-ELECTRÓNICO</t>
        </is>
      </c>
      <c r="N1063" s="10" t="inlineStr">
        <is>
          <t>PRIMARIOS</t>
        </is>
      </c>
      <c r="O1063" s="10" t="inlineStr">
        <is>
          <t>DOCUMENTOS TÉCNICOS</t>
        </is>
      </c>
      <c r="P1063" s="10" t="inlineStr">
        <is>
          <t>PUBLICA(1)</t>
        </is>
      </c>
      <c r="Q1063" s="10" t="inlineStr">
        <is>
          <t>ALTA(3)</t>
        </is>
      </c>
      <c r="R1063" s="10" t="inlineStr">
        <is>
          <t>MEDIA(2)</t>
        </is>
      </c>
      <c r="S1063" s="10">
        <f>+(IF(P1063="PUBLICA(1)",1,IF(P1063="USO INTERNO(2)",2,IF(P1063="RESTRINGIDO(3)",3,3))))+(IF(Q1063="BAJA(1)",1,IF(Q1063="MEDIA(2)",2,IF(Q1063="ALTA(3)",3,3))))+(IF(R1063="BAJA(1)",1,IF(R1063="MEDIA(2)",2,IF(R1063="ALTA(3)",3,3))))</f>
        <v/>
      </c>
      <c r="T1063" s="10">
        <f>+IF(S1063&lt;6,"BAJA",IF(S1063&lt;8,"MEDIA","ALTA"))</f>
        <v/>
      </c>
      <c r="U1063" s="10" t="inlineStr">
        <is>
          <t>-</t>
        </is>
      </c>
      <c r="V1063" s="24" t="n">
        <v>45567</v>
      </c>
      <c r="W1063" s="19" t="inlineStr">
        <is>
          <t>N/A</t>
        </is>
      </c>
      <c r="X1063" s="10">
        <f>+IFERROR(IF(VLOOKUP(Tabla2[[#This Row],[ID]],'EVALUACION DE RIESGO'!A:A,1,FALSE)=Tabla2[[#This Row],[ID]],"SI","NO"),"NO")</f>
        <v/>
      </c>
    </row>
    <row r="1064">
      <c r="A1064" s="91" t="inlineStr">
        <is>
          <t>42-GRI</t>
        </is>
      </c>
      <c r="B1064" s="10" t="inlineStr">
        <is>
          <t>ESTRATÉGICO</t>
        </is>
      </c>
      <c r="C1064" s="10" t="inlineStr">
        <is>
          <t>Gestión de Riesgos</t>
        </is>
      </c>
      <c r="D1064" s="10" t="inlineStr">
        <is>
          <t>GRI</t>
        </is>
      </c>
      <c r="E1064" s="10" t="inlineStr">
        <is>
          <t>Gestión de Riesgo de Liquidez</t>
        </is>
      </c>
      <c r="F1064" s="10" t="inlineStr">
        <is>
          <t>-</t>
        </is>
      </c>
      <c r="G1064" s="10" t="inlineStr">
        <is>
          <t xml:space="preserve">Actualización de niveles de riesgo de alertas tempranas de liquidez </t>
        </is>
      </c>
      <c r="H1064" s="10" t="inlineStr">
        <is>
          <t>Estado de Resultados Presupuestado</t>
        </is>
      </c>
      <c r="I1064" s="10" t="inlineStr">
        <is>
          <t>Elaboración de presupuesto anual</t>
        </is>
      </c>
      <c r="J1064" s="10" t="inlineStr">
        <is>
          <t>GERENTE DE RIESGOS</t>
        </is>
      </c>
      <c r="K1064" s="10" t="inlineStr">
        <is>
          <t>ANALISTA DE RIESGO DE LIQUIDEZ Y MERCADO</t>
        </is>
      </c>
      <c r="L1064" s="10" t="inlineStr">
        <is>
          <t>UBICACIÓN DIGITAL-EQUIPO DEL RESPONSABLE</t>
        </is>
      </c>
      <c r="M1064" s="10" t="inlineStr">
        <is>
          <t>DOCUMENTO DE ARCHIVO-ELECTRÓNICO</t>
        </is>
      </c>
      <c r="N1064" s="10" t="inlineStr">
        <is>
          <t>PRIMARIOS</t>
        </is>
      </c>
      <c r="O1064" s="10" t="inlineStr">
        <is>
          <t>DOCUMENTOS TÉCNICOS</t>
        </is>
      </c>
      <c r="P1064" s="10" t="inlineStr">
        <is>
          <t>PUBLICA(1)</t>
        </is>
      </c>
      <c r="Q1064" s="10" t="inlineStr">
        <is>
          <t>ALTA(3)</t>
        </is>
      </c>
      <c r="R1064" s="10" t="inlineStr">
        <is>
          <t>MEDIA(2)</t>
        </is>
      </c>
      <c r="S1064" s="10">
        <f>+(IF(P1064="PUBLICA(1)",1,IF(P1064="USO INTERNO(2)",2,IF(P1064="RESTRINGIDO(3)",3,3))))+(IF(Q1064="BAJA(1)",1,IF(Q1064="MEDIA(2)",2,IF(Q1064="ALTA(3)",3,3))))+(IF(R1064="BAJA(1)",1,IF(R1064="MEDIA(2)",2,IF(R1064="ALTA(3)",3,3))))</f>
        <v/>
      </c>
      <c r="T1064" s="10">
        <f>+IF(S1064&lt;6,"BAJA",IF(S1064&lt;8,"MEDIA","ALTA"))</f>
        <v/>
      </c>
      <c r="U1064" s="10" t="inlineStr">
        <is>
          <t>-</t>
        </is>
      </c>
      <c r="V1064" s="24" t="n">
        <v>45567</v>
      </c>
      <c r="W1064" s="19" t="inlineStr">
        <is>
          <t>N/A</t>
        </is>
      </c>
      <c r="X1064" s="10">
        <f>+IFERROR(IF(VLOOKUP(Tabla2[[#This Row],[ID]],'EVALUACION DE RIESGO'!A:A,1,FALSE)=Tabla2[[#This Row],[ID]],"SI","NO"),"NO")</f>
        <v/>
      </c>
    </row>
    <row r="1065">
      <c r="A1065" s="91" t="inlineStr">
        <is>
          <t>43-GRI</t>
        </is>
      </c>
      <c r="B1065" s="10" t="inlineStr">
        <is>
          <t>ESTRATÉGICO</t>
        </is>
      </c>
      <c r="C1065" s="10" t="inlineStr">
        <is>
          <t>Gestión de Riesgos</t>
        </is>
      </c>
      <c r="D1065" s="10" t="inlineStr">
        <is>
          <t>GRI</t>
        </is>
      </c>
      <c r="E1065" s="10" t="inlineStr">
        <is>
          <t>Gestión de Riesgo de Liquidez</t>
        </is>
      </c>
      <c r="F1065" s="10" t="inlineStr">
        <is>
          <t>-</t>
        </is>
      </c>
      <c r="G1065" s="10" t="inlineStr">
        <is>
          <t xml:space="preserve">Actualización de niveles de riesgo de alertas tempranas de liquidez </t>
        </is>
      </c>
      <c r="H1065" s="10" t="inlineStr">
        <is>
          <t xml:space="preserve">Hojas de Trabajo </t>
        </is>
      </c>
      <c r="I1065" s="10" t="inlineStr">
        <is>
          <t>Consolidacion de la Información</t>
        </is>
      </c>
      <c r="J1065" s="10" t="inlineStr">
        <is>
          <t>GERENTE DE RIESGOS</t>
        </is>
      </c>
      <c r="K1065" s="10" t="inlineStr">
        <is>
          <t>ANALISTA DE RIESGO DE LIQUIDEZ Y MERCADO</t>
        </is>
      </c>
      <c r="L1065" s="10" t="inlineStr">
        <is>
          <t>UBICACIÓN DIGITAL-EQUIPO DEL RESPONSABLE</t>
        </is>
      </c>
      <c r="M1065" s="10" t="inlineStr">
        <is>
          <t>DOCUMENTO DE ARCHIVO-ELECTRÓNICO</t>
        </is>
      </c>
      <c r="N1065" s="10" t="inlineStr">
        <is>
          <t>PRIMARIOS</t>
        </is>
      </c>
      <c r="O1065" s="10" t="inlineStr">
        <is>
          <t>DOCUMENTOS TÉCNICOS</t>
        </is>
      </c>
      <c r="P1065" s="10" t="inlineStr">
        <is>
          <t>PUBLICA(1)</t>
        </is>
      </c>
      <c r="Q1065" s="10" t="inlineStr">
        <is>
          <t>ALTA(3)</t>
        </is>
      </c>
      <c r="R1065" s="10" t="inlineStr">
        <is>
          <t>MEDIA(2)</t>
        </is>
      </c>
      <c r="S1065" s="10">
        <f>+(IF(P1065="PUBLICA(1)",1,IF(P1065="USO INTERNO(2)",2,IF(P1065="RESTRINGIDO(3)",3,3))))+(IF(Q1065="BAJA(1)",1,IF(Q1065="MEDIA(2)",2,IF(Q1065="ALTA(3)",3,3))))+(IF(R1065="BAJA(1)",1,IF(R1065="MEDIA(2)",2,IF(R1065="ALTA(3)",3,3))))</f>
        <v/>
      </c>
      <c r="T1065" s="10">
        <f>+IF(S1065&lt;6,"BAJA",IF(S1065&lt;8,"MEDIA","ALTA"))</f>
        <v/>
      </c>
      <c r="U1065" s="10" t="inlineStr">
        <is>
          <t>-</t>
        </is>
      </c>
      <c r="V1065" s="24" t="n">
        <v>45567</v>
      </c>
      <c r="W1065" s="19" t="inlineStr">
        <is>
          <t>N/A</t>
        </is>
      </c>
      <c r="X1065" s="10">
        <f>+IFERROR(IF(VLOOKUP(Tabla2[[#This Row],[ID]],'EVALUACION DE RIESGO'!A:A,1,FALSE)=Tabla2[[#This Row],[ID]],"SI","NO"),"NO")</f>
        <v/>
      </c>
    </row>
    <row r="1066">
      <c r="A1066" s="91" t="inlineStr">
        <is>
          <t>44-GRI</t>
        </is>
      </c>
      <c r="B1066" s="10" t="inlineStr">
        <is>
          <t>ESTRATÉGICO</t>
        </is>
      </c>
      <c r="C1066" s="10" t="inlineStr">
        <is>
          <t>Gestión de Riesgos</t>
        </is>
      </c>
      <c r="D1066" s="10" t="inlineStr">
        <is>
          <t>GRI</t>
        </is>
      </c>
      <c r="E1066" s="10" t="inlineStr">
        <is>
          <t>Gestión de Riesgo de Liquidez</t>
        </is>
      </c>
      <c r="F1066" s="10" t="inlineStr">
        <is>
          <t>-</t>
        </is>
      </c>
      <c r="G1066" s="10" t="inlineStr">
        <is>
          <t xml:space="preserve">Actualización de niveles de riesgo de alertas tempranas de liquidez </t>
        </is>
      </c>
      <c r="H1066" s="10" t="inlineStr">
        <is>
          <t>Registro de definición indicadores y límites de riesgos.</t>
        </is>
      </c>
      <c r="I1066" s="10" t="inlineStr">
        <is>
          <t>Monitoreo de limites de liquidez</t>
        </is>
      </c>
      <c r="J1066" s="10" t="inlineStr">
        <is>
          <t>GERENTE DE RIESGOS</t>
        </is>
      </c>
      <c r="K1066" s="10" t="inlineStr">
        <is>
          <t>ANALISTA DE RIESGO DE LIQUIDEZ Y MERCADO</t>
        </is>
      </c>
      <c r="L1066" s="10" t="inlineStr">
        <is>
          <t>UBICACIÓN DIGITAL-EQUIPO DEL RESPONSABLE</t>
        </is>
      </c>
      <c r="M1066" s="10" t="inlineStr">
        <is>
          <t>DOCUMENTO DE ARCHIVO-ELECTRÓNICO</t>
        </is>
      </c>
      <c r="N1066" s="10" t="inlineStr">
        <is>
          <t>PRIMARIOS</t>
        </is>
      </c>
      <c r="O1066" s="10" t="inlineStr">
        <is>
          <t>DOCUMENTOS TÉCNICOS</t>
        </is>
      </c>
      <c r="P1066" s="10" t="inlineStr">
        <is>
          <t>PUBLICA(1)</t>
        </is>
      </c>
      <c r="Q1066" s="10" t="inlineStr">
        <is>
          <t>ALTA(3)</t>
        </is>
      </c>
      <c r="R1066" s="10" t="inlineStr">
        <is>
          <t>MEDIA(2)</t>
        </is>
      </c>
      <c r="S1066" s="10">
        <f>+(IF(P1066="PUBLICA(1)",1,IF(P1066="USO INTERNO(2)",2,IF(P1066="RESTRINGIDO(3)",3,3))))+(IF(Q1066="BAJA(1)",1,IF(Q1066="MEDIA(2)",2,IF(Q1066="ALTA(3)",3,3))))+(IF(R1066="BAJA(1)",1,IF(R1066="MEDIA(2)",2,IF(R1066="ALTA(3)",3,3))))</f>
        <v/>
      </c>
      <c r="T1066" s="10">
        <f>+IF(S1066&lt;6,"BAJA",IF(S1066&lt;8,"MEDIA","ALTA"))</f>
        <v/>
      </c>
      <c r="U1066" s="10" t="inlineStr">
        <is>
          <t>-</t>
        </is>
      </c>
      <c r="V1066" s="24" t="n">
        <v>45567</v>
      </c>
      <c r="W1066" s="19" t="inlineStr">
        <is>
          <t>N/A</t>
        </is>
      </c>
      <c r="X1066" s="10">
        <f>+IFERROR(IF(VLOOKUP(Tabla2[[#This Row],[ID]],'EVALUACION DE RIESGO'!A:A,1,FALSE)=Tabla2[[#This Row],[ID]],"SI","NO"),"NO")</f>
        <v/>
      </c>
    </row>
    <row r="1067">
      <c r="A1067" s="91" t="inlineStr">
        <is>
          <t>45-GRI</t>
        </is>
      </c>
      <c r="B1067" s="10" t="inlineStr">
        <is>
          <t>ESTRATÉGICO</t>
        </is>
      </c>
      <c r="C1067" s="10" t="inlineStr">
        <is>
          <t>Gestión de Riesgos</t>
        </is>
      </c>
      <c r="D1067" s="10" t="inlineStr">
        <is>
          <t>GRI</t>
        </is>
      </c>
      <c r="E1067" s="10" t="inlineStr">
        <is>
          <t>Gestión de Riesgo de Liquidez</t>
        </is>
      </c>
      <c r="F1067" s="10" t="inlineStr">
        <is>
          <t>-</t>
        </is>
      </c>
      <c r="G1067" s="10" t="inlineStr">
        <is>
          <t xml:space="preserve">Análisis de Alertas Tempranas de liquidez y seguimiento de tolerancia   </t>
        </is>
      </c>
      <c r="H1067" s="10" t="inlineStr">
        <is>
          <t>Balance mensual</t>
        </is>
      </c>
      <c r="I1067" s="10" t="inlineStr">
        <is>
          <t>Generación de balance</t>
        </is>
      </c>
      <c r="J1067" s="10" t="inlineStr">
        <is>
          <t>GERENTE DE RIESGOS</t>
        </is>
      </c>
      <c r="K1067" s="10" t="inlineStr">
        <is>
          <t>ANALISTA DE RIESGO DE LIQUIDEZ Y MERCADO</t>
        </is>
      </c>
      <c r="L1067" s="10" t="inlineStr">
        <is>
          <t>UBICACIÓN DIGITAL-EQUIPO DEL RESPONSABLE</t>
        </is>
      </c>
      <c r="M1067" s="10" t="inlineStr">
        <is>
          <t>DOCUMENTO DE ARCHIVO-ELECTRÓNICO</t>
        </is>
      </c>
      <c r="N1067" s="10" t="inlineStr">
        <is>
          <t>PRIMARIOS</t>
        </is>
      </c>
      <c r="O1067" s="10" t="inlineStr">
        <is>
          <t>DOCUMENTOS TÉCNICOS</t>
        </is>
      </c>
      <c r="P1067" s="10" t="inlineStr">
        <is>
          <t>PUBLICA(1)</t>
        </is>
      </c>
      <c r="Q1067" s="10" t="inlineStr">
        <is>
          <t>ALTA(3)</t>
        </is>
      </c>
      <c r="R1067" s="10" t="inlineStr">
        <is>
          <t>MEDIA(2)</t>
        </is>
      </c>
      <c r="S1067" s="10">
        <f>+(IF(P1067="PUBLICA(1)",1,IF(P1067="USO INTERNO(2)",2,IF(P1067="RESTRINGIDO(3)",3,3))))+(IF(Q1067="BAJA(1)",1,IF(Q1067="MEDIA(2)",2,IF(Q1067="ALTA(3)",3,3))))+(IF(R1067="BAJA(1)",1,IF(R1067="MEDIA(2)",2,IF(R1067="ALTA(3)",3,3))))</f>
        <v/>
      </c>
      <c r="T1067" s="10">
        <f>+IF(S1067&lt;6,"BAJA",IF(S1067&lt;8,"MEDIA","ALTA"))</f>
        <v/>
      </c>
      <c r="U1067" s="10" t="inlineStr">
        <is>
          <t>-</t>
        </is>
      </c>
      <c r="V1067" s="24" t="n">
        <v>45567</v>
      </c>
      <c r="W1067" s="19" t="inlineStr">
        <is>
          <t>N/A</t>
        </is>
      </c>
      <c r="X1067" s="10">
        <f>+IFERROR(IF(VLOOKUP(Tabla2[[#This Row],[ID]],'EVALUACION DE RIESGO'!A:A,1,FALSE)=Tabla2[[#This Row],[ID]],"SI","NO"),"NO")</f>
        <v/>
      </c>
    </row>
    <row r="1068">
      <c r="A1068" s="91" t="inlineStr">
        <is>
          <t>46-GRI</t>
        </is>
      </c>
      <c r="B1068" s="10" t="inlineStr">
        <is>
          <t>ESTRATÉGICO</t>
        </is>
      </c>
      <c r="C1068" s="10" t="inlineStr">
        <is>
          <t>Gestión de Riesgos</t>
        </is>
      </c>
      <c r="D1068" s="10" t="inlineStr">
        <is>
          <t>GRI</t>
        </is>
      </c>
      <c r="E1068" s="10" t="inlineStr">
        <is>
          <t>Gestión de Riesgo de Liquidez</t>
        </is>
      </c>
      <c r="F1068" s="10" t="inlineStr">
        <is>
          <t>-</t>
        </is>
      </c>
      <c r="G1068" s="10" t="inlineStr">
        <is>
          <t xml:space="preserve">Análisis de Alertas Tempranas de liquidez y seguimiento de tolerancia   </t>
        </is>
      </c>
      <c r="H1068" s="10" t="inlineStr">
        <is>
          <t>Registro de definición indicadores y límites de riesgos.</t>
        </is>
      </c>
      <c r="I1068" s="10" t="inlineStr">
        <is>
          <t>Actualización de niveles de riesgo de alertas tempranas de liquidez</t>
        </is>
      </c>
      <c r="J1068" s="10" t="inlineStr">
        <is>
          <t>GERENTE DE RIESGOS</t>
        </is>
      </c>
      <c r="K1068" s="10" t="inlineStr">
        <is>
          <t>ANALISTA DE RIESGO DE LIQUIDEZ Y MERCADO</t>
        </is>
      </c>
      <c r="L1068" s="10" t="inlineStr">
        <is>
          <t>UBICACIÓN DIGITAL-EQUIPO DEL RESPONSABLE</t>
        </is>
      </c>
      <c r="M1068" s="10" t="inlineStr">
        <is>
          <t>DOCUMENTO DE ARCHIVO-ELECTRÓNICO</t>
        </is>
      </c>
      <c r="N1068" s="10" t="inlineStr">
        <is>
          <t>PRIMARIOS</t>
        </is>
      </c>
      <c r="O1068" s="10" t="inlineStr">
        <is>
          <t>DOCUMENTOS TÉCNICOS</t>
        </is>
      </c>
      <c r="P1068" s="10" t="inlineStr">
        <is>
          <t>PUBLICA(1)</t>
        </is>
      </c>
      <c r="Q1068" s="10" t="inlineStr">
        <is>
          <t>ALTA(3)</t>
        </is>
      </c>
      <c r="R1068" s="10" t="inlineStr">
        <is>
          <t>MEDIA(2)</t>
        </is>
      </c>
      <c r="S1068" s="10">
        <f>+(IF(P1068="PUBLICA(1)",1,IF(P1068="USO INTERNO(2)",2,IF(P1068="RESTRINGIDO(3)",3,3))))+(IF(Q1068="BAJA(1)",1,IF(Q1068="MEDIA(2)",2,IF(Q1068="ALTA(3)",3,3))))+(IF(R1068="BAJA(1)",1,IF(R1068="MEDIA(2)",2,IF(R1068="ALTA(3)",3,3))))</f>
        <v/>
      </c>
      <c r="T1068" s="10">
        <f>+IF(S1068&lt;6,"BAJA",IF(S1068&lt;8,"MEDIA","ALTA"))</f>
        <v/>
      </c>
      <c r="U1068" s="10" t="inlineStr">
        <is>
          <t>-</t>
        </is>
      </c>
      <c r="V1068" s="24" t="n">
        <v>45567</v>
      </c>
      <c r="W1068" s="19" t="inlineStr">
        <is>
          <t>N/A</t>
        </is>
      </c>
      <c r="X1068" s="10">
        <f>+IFERROR(IF(VLOOKUP(Tabla2[[#This Row],[ID]],'EVALUACION DE RIESGO'!A:A,1,FALSE)=Tabla2[[#This Row],[ID]],"SI","NO"),"NO")</f>
        <v/>
      </c>
    </row>
    <row r="1069">
      <c r="A1069" s="91" t="inlineStr">
        <is>
          <t>47-GRI</t>
        </is>
      </c>
      <c r="B1069" s="10" t="inlineStr">
        <is>
          <t>ESTRATÉGICO</t>
        </is>
      </c>
      <c r="C1069" s="10" t="inlineStr">
        <is>
          <t>Gestión de Riesgos</t>
        </is>
      </c>
      <c r="D1069" s="10" t="inlineStr">
        <is>
          <t>GRI</t>
        </is>
      </c>
      <c r="E1069" s="10" t="inlineStr">
        <is>
          <t>Gestión de Riesgo de Liquidez</t>
        </is>
      </c>
      <c r="F1069" s="10" t="inlineStr">
        <is>
          <t>-</t>
        </is>
      </c>
      <c r="G1069" s="10" t="inlineStr">
        <is>
          <t xml:space="preserve">Análisis de Alertas Tempranas de liquidez y seguimiento de tolerancia   </t>
        </is>
      </c>
      <c r="H1069" s="10" t="inlineStr">
        <is>
          <t>Herramienta de Liquidez Diaria</t>
        </is>
      </c>
      <c r="I1069" s="10" t="inlineStr">
        <is>
          <t>Consolidacion de la Informacion</t>
        </is>
      </c>
      <c r="J1069" s="10" t="inlineStr">
        <is>
          <t>GERENTE DE RIESGOS</t>
        </is>
      </c>
      <c r="K1069" s="10" t="inlineStr">
        <is>
          <t>ANALISTA DE RIESGO DE LIQUIDEZ Y MERCADO</t>
        </is>
      </c>
      <c r="L1069" s="10" t="inlineStr">
        <is>
          <t>UBICACIÓN DIGITAL-EQUIPO DEL RESPONSABLE</t>
        </is>
      </c>
      <c r="M1069" s="10" t="inlineStr">
        <is>
          <t>DOCUMENTO DE ARCHIVO-ELECTRÓNICO</t>
        </is>
      </c>
      <c r="N1069" s="10" t="inlineStr">
        <is>
          <t>PRIMARIOS</t>
        </is>
      </c>
      <c r="O1069" s="10" t="inlineStr">
        <is>
          <t>DOCUMENTOS TÉCNICOS</t>
        </is>
      </c>
      <c r="P1069" s="10" t="inlineStr">
        <is>
          <t>PUBLICA(1)</t>
        </is>
      </c>
      <c r="Q1069" s="10" t="inlineStr">
        <is>
          <t>ALTA(3)</t>
        </is>
      </c>
      <c r="R1069" s="10" t="inlineStr">
        <is>
          <t>MEDIA(2)</t>
        </is>
      </c>
      <c r="S1069" s="10">
        <f>+(IF(P1069="PUBLICA(1)",1,IF(P1069="USO INTERNO(2)",2,IF(P1069="RESTRINGIDO(3)",3,3))))+(IF(Q1069="BAJA(1)",1,IF(Q1069="MEDIA(2)",2,IF(Q1069="ALTA(3)",3,3))))+(IF(R1069="BAJA(1)",1,IF(R1069="MEDIA(2)",2,IF(R1069="ALTA(3)",3,3))))</f>
        <v/>
      </c>
      <c r="T1069" s="10">
        <f>+IF(S1069&lt;6,"BAJA",IF(S1069&lt;8,"MEDIA","ALTA"))</f>
        <v/>
      </c>
      <c r="U1069" s="10" t="inlineStr">
        <is>
          <t>-</t>
        </is>
      </c>
      <c r="V1069" s="24" t="n">
        <v>45567</v>
      </c>
      <c r="W1069" s="19" t="inlineStr">
        <is>
          <t>N/A</t>
        </is>
      </c>
      <c r="X1069" s="10">
        <f>+IFERROR(IF(VLOOKUP(Tabla2[[#This Row],[ID]],'EVALUACION DE RIESGO'!A:A,1,FALSE)=Tabla2[[#This Row],[ID]],"SI","NO"),"NO")</f>
        <v/>
      </c>
    </row>
    <row r="1070">
      <c r="A1070" s="91" t="inlineStr">
        <is>
          <t>48-GRI</t>
        </is>
      </c>
      <c r="B1070" s="10" t="inlineStr">
        <is>
          <t>ESTRATÉGICO</t>
        </is>
      </c>
      <c r="C1070" s="10" t="inlineStr">
        <is>
          <t>Gestión de Riesgos</t>
        </is>
      </c>
      <c r="D1070" s="10" t="inlineStr">
        <is>
          <t>GRI</t>
        </is>
      </c>
      <c r="E1070" s="10" t="inlineStr">
        <is>
          <t>Gestión de Riesgo de Liquidez</t>
        </is>
      </c>
      <c r="F1070" s="10" t="inlineStr">
        <is>
          <t>-</t>
        </is>
      </c>
      <c r="G1070" s="10" t="inlineStr">
        <is>
          <t xml:space="preserve">Análisis de Alertas Tempranas de liquidez y seguimiento de tolerancia   </t>
        </is>
      </c>
      <c r="H1070" s="10" t="inlineStr">
        <is>
          <t>Herramienta de Sistema de alertas temprana</t>
        </is>
      </c>
      <c r="I1070" s="10" t="inlineStr">
        <is>
          <t>Consolidacion de la Informacion</t>
        </is>
      </c>
      <c r="J1070" s="10" t="inlineStr">
        <is>
          <t>GERENTE DE RIESGOS</t>
        </is>
      </c>
      <c r="K1070" s="10" t="inlineStr">
        <is>
          <t>ANALISTA DE RIESGO DE LIQUIDEZ Y MERCADO</t>
        </is>
      </c>
      <c r="L1070" s="10" t="inlineStr">
        <is>
          <t>UBICACIÓN DIGITAL-EQUIPO DEL RESPONSABLE</t>
        </is>
      </c>
      <c r="M1070" s="10" t="inlineStr">
        <is>
          <t>DOCUMENTO DE ARCHIVO-ELECTRÓNICO</t>
        </is>
      </c>
      <c r="N1070" s="10" t="inlineStr">
        <is>
          <t>PRIMARIOS</t>
        </is>
      </c>
      <c r="O1070" s="10" t="inlineStr">
        <is>
          <t>DOCUMENTOS TÉCNICOS</t>
        </is>
      </c>
      <c r="P1070" s="10" t="inlineStr">
        <is>
          <t>PUBLICA(1)</t>
        </is>
      </c>
      <c r="Q1070" s="10" t="inlineStr">
        <is>
          <t>ALTA(3)</t>
        </is>
      </c>
      <c r="R1070" s="10" t="inlineStr">
        <is>
          <t>MEDIA(2)</t>
        </is>
      </c>
      <c r="S1070" s="10">
        <f>+(IF(P1070="PUBLICA(1)",1,IF(P1070="USO INTERNO(2)",2,IF(P1070="RESTRINGIDO(3)",3,3))))+(IF(Q1070="BAJA(1)",1,IF(Q1070="MEDIA(2)",2,IF(Q1070="ALTA(3)",3,3))))+(IF(R1070="BAJA(1)",1,IF(R1070="MEDIA(2)",2,IF(R1070="ALTA(3)",3,3))))</f>
        <v/>
      </c>
      <c r="T1070" s="10">
        <f>+IF(S1070&lt;6,"BAJA",IF(S1070&lt;8,"MEDIA","ALTA"))</f>
        <v/>
      </c>
      <c r="U1070" s="10" t="inlineStr">
        <is>
          <t>-</t>
        </is>
      </c>
      <c r="V1070" s="24" t="n">
        <v>45567</v>
      </c>
      <c r="W1070" s="19" t="inlineStr">
        <is>
          <t>N/A</t>
        </is>
      </c>
      <c r="X1070" s="10">
        <f>+IFERROR(IF(VLOOKUP(Tabla2[[#This Row],[ID]],'EVALUACION DE RIESGO'!A:A,1,FALSE)=Tabla2[[#This Row],[ID]],"SI","NO"),"NO")</f>
        <v/>
      </c>
    </row>
    <row r="1071">
      <c r="A1071" s="91" t="inlineStr">
        <is>
          <t>49-GRI</t>
        </is>
      </c>
      <c r="B1071" s="10" t="inlineStr">
        <is>
          <t>ESTRATÉGICO</t>
        </is>
      </c>
      <c r="C1071" s="10" t="inlineStr">
        <is>
          <t>Gestión de Riesgos</t>
        </is>
      </c>
      <c r="D1071" s="10" t="inlineStr">
        <is>
          <t>GRI</t>
        </is>
      </c>
      <c r="E1071" s="10" t="inlineStr">
        <is>
          <t>Gestión de Riesgo de Liquidez</t>
        </is>
      </c>
      <c r="F1071" s="10" t="inlineStr">
        <is>
          <t>-</t>
        </is>
      </c>
      <c r="G1071" s="10" t="inlineStr">
        <is>
          <t xml:space="preserve">Análisis de Alertas Tempranas de liquidez y seguimiento de tolerancia   </t>
        </is>
      </c>
      <c r="H1071" s="10" t="inlineStr">
        <is>
          <t>Hojas de Trabajo</t>
        </is>
      </c>
      <c r="I1071" s="10" t="inlineStr">
        <is>
          <t>Consolidacion de la Informacion</t>
        </is>
      </c>
      <c r="J1071" s="10" t="inlineStr">
        <is>
          <t>GERENTE DE RIESGOS</t>
        </is>
      </c>
      <c r="K1071" s="10" t="inlineStr">
        <is>
          <t>ANALISTA DE RIESGO DE LIQUIDEZ Y MERCADO</t>
        </is>
      </c>
      <c r="L1071" s="10" t="inlineStr">
        <is>
          <t>UBICACIÓN DIGITAL-EQUIPO DEL RESPONSABLE</t>
        </is>
      </c>
      <c r="M1071" s="10" t="inlineStr">
        <is>
          <t>DOCUMENTO DE ARCHIVO-ELECTRÓNICO</t>
        </is>
      </c>
      <c r="N1071" s="10" t="inlineStr">
        <is>
          <t>PRIMARIOS</t>
        </is>
      </c>
      <c r="O1071" s="10" t="inlineStr">
        <is>
          <t>DOCUMENTOS TÉCNICOS</t>
        </is>
      </c>
      <c r="P1071" s="10" t="inlineStr">
        <is>
          <t>PUBLICA(1)</t>
        </is>
      </c>
      <c r="Q1071" s="10" t="inlineStr">
        <is>
          <t>ALTA(3)</t>
        </is>
      </c>
      <c r="R1071" s="10" t="inlineStr">
        <is>
          <t>MEDIA(2)</t>
        </is>
      </c>
      <c r="S1071" s="10">
        <f>+(IF(P1071="PUBLICA(1)",1,IF(P1071="USO INTERNO(2)",2,IF(P1071="RESTRINGIDO(3)",3,3))))+(IF(Q1071="BAJA(1)",1,IF(Q1071="MEDIA(2)",2,IF(Q1071="ALTA(3)",3,3))))+(IF(R1071="BAJA(1)",1,IF(R1071="MEDIA(2)",2,IF(R1071="ALTA(3)",3,3))))</f>
        <v/>
      </c>
      <c r="T1071" s="10">
        <f>+IF(S1071&lt;6,"BAJA",IF(S1071&lt;8,"MEDIA","ALTA"))</f>
        <v/>
      </c>
      <c r="U1071" s="10" t="inlineStr">
        <is>
          <t>-</t>
        </is>
      </c>
      <c r="V1071" s="24" t="n">
        <v>45567</v>
      </c>
      <c r="W1071" s="19" t="inlineStr">
        <is>
          <t>N/A</t>
        </is>
      </c>
      <c r="X1071" s="10">
        <f>+IFERROR(IF(VLOOKUP(Tabla2[[#This Row],[ID]],'EVALUACION DE RIESGO'!A:A,1,FALSE)=Tabla2[[#This Row],[ID]],"SI","NO"),"NO")</f>
        <v/>
      </c>
    </row>
    <row r="1072">
      <c r="A1072" s="91" t="inlineStr">
        <is>
          <t>50-GRI</t>
        </is>
      </c>
      <c r="B1072" s="10" t="inlineStr">
        <is>
          <t>ESTRATÉGICO</t>
        </is>
      </c>
      <c r="C1072" s="10" t="inlineStr">
        <is>
          <t>Gestión de Riesgos</t>
        </is>
      </c>
      <c r="D1072" s="10" t="inlineStr">
        <is>
          <t>GRI</t>
        </is>
      </c>
      <c r="E1072" s="10" t="inlineStr">
        <is>
          <t>Gestión de Riesgo de Liquidez</t>
        </is>
      </c>
      <c r="F1072" s="10" t="inlineStr">
        <is>
          <t>-</t>
        </is>
      </c>
      <c r="G1072" s="10" t="inlineStr">
        <is>
          <t xml:space="preserve">Análisis de Alertas Tempranas de liquidez y seguimiento de tolerancia   </t>
        </is>
      </c>
      <c r="H1072" s="10" t="inlineStr">
        <is>
          <t>Reporte de Alertas Tempranas de Liquidez</t>
        </is>
      </c>
      <c r="I1072" s="10" t="inlineStr">
        <is>
          <t>Consolidacion de la Informacion</t>
        </is>
      </c>
      <c r="J1072" s="10" t="inlineStr">
        <is>
          <t>GERENTE DE RIESGOS</t>
        </is>
      </c>
      <c r="K1072" s="10" t="inlineStr">
        <is>
          <t>ANALISTA DE RIESGO DE LIQUIDEZ Y MERCADO</t>
        </is>
      </c>
      <c r="L1072" s="10" t="inlineStr">
        <is>
          <t>UBICACIÓN DIGITAL-EQUIPO DEL RESPONSABLE</t>
        </is>
      </c>
      <c r="M1072" s="10" t="inlineStr">
        <is>
          <t>DOCUMENTO DE ARCHIVO-ELECTRÓNICO</t>
        </is>
      </c>
      <c r="N1072" s="10" t="inlineStr">
        <is>
          <t>PRIMARIOS</t>
        </is>
      </c>
      <c r="O1072" s="10" t="inlineStr">
        <is>
          <t>DOCUMENTOS TÉCNICOS</t>
        </is>
      </c>
      <c r="P1072" s="10" t="inlineStr">
        <is>
          <t>PUBLICA(1)</t>
        </is>
      </c>
      <c r="Q1072" s="10" t="inlineStr">
        <is>
          <t>ALTA(3)</t>
        </is>
      </c>
      <c r="R1072" s="10" t="inlineStr">
        <is>
          <t>MEDIA(2)</t>
        </is>
      </c>
      <c r="S1072" s="10">
        <f>+(IF(P1072="PUBLICA(1)",1,IF(P1072="USO INTERNO(2)",2,IF(P1072="RESTRINGIDO(3)",3,3))))+(IF(Q1072="BAJA(1)",1,IF(Q1072="MEDIA(2)",2,IF(Q1072="ALTA(3)",3,3))))+(IF(R1072="BAJA(1)",1,IF(R1072="MEDIA(2)",2,IF(R1072="ALTA(3)",3,3))))</f>
        <v/>
      </c>
      <c r="T1072" s="10">
        <f>+IF(S1072&lt;6,"BAJA",IF(S1072&lt;8,"MEDIA","ALTA"))</f>
        <v/>
      </c>
      <c r="U1072" s="10" t="inlineStr">
        <is>
          <t>-</t>
        </is>
      </c>
      <c r="V1072" s="24" t="n">
        <v>45567</v>
      </c>
      <c r="W1072" s="19" t="inlineStr">
        <is>
          <t>N/A</t>
        </is>
      </c>
      <c r="X1072" s="10">
        <f>+IFERROR(IF(VLOOKUP(Tabla2[[#This Row],[ID]],'EVALUACION DE RIESGO'!A:A,1,FALSE)=Tabla2[[#This Row],[ID]],"SI","NO"),"NO")</f>
        <v/>
      </c>
    </row>
    <row r="1073">
      <c r="A1073" s="91" t="inlineStr">
        <is>
          <t>51-GRI</t>
        </is>
      </c>
      <c r="B1073" s="10" t="inlineStr">
        <is>
          <t>ESTRATÉGICO</t>
        </is>
      </c>
      <c r="C1073" s="10" t="inlineStr">
        <is>
          <t>Gestión de Riesgos</t>
        </is>
      </c>
      <c r="D1073" s="10" t="inlineStr">
        <is>
          <t>GRI</t>
        </is>
      </c>
      <c r="E1073" s="10" t="inlineStr">
        <is>
          <t>Gestión de Riesgo de Liquidez</t>
        </is>
      </c>
      <c r="F1073" s="10" t="inlineStr">
        <is>
          <t>-</t>
        </is>
      </c>
      <c r="G1073" s="10" t="inlineStr">
        <is>
          <t xml:space="preserve">Análisis de Alertas Tempranas de liquidez y seguimiento de tolerancia   </t>
        </is>
      </c>
      <c r="H1073" s="10" t="inlineStr">
        <is>
          <t>Hojas de Trabajo</t>
        </is>
      </c>
      <c r="I1073" s="10" t="inlineStr">
        <is>
          <t>Consolidación de la información</t>
        </is>
      </c>
      <c r="J1073" s="10" t="inlineStr">
        <is>
          <t>GERENTE DE RIESGOS</t>
        </is>
      </c>
      <c r="K1073" s="10" t="inlineStr">
        <is>
          <t>ANALISTA DE RIESGO DE LIQUIDEZ Y MERCADO</t>
        </is>
      </c>
      <c r="L1073" s="10" t="inlineStr">
        <is>
          <t>UBICACIÓN DIGITAL-EQUIPO DEL RESPONSABLE</t>
        </is>
      </c>
      <c r="M1073" s="10" t="inlineStr">
        <is>
          <t>DOCUMENTO DE ARCHIVO-ELECTRÓNICO</t>
        </is>
      </c>
      <c r="N1073" s="10" t="inlineStr">
        <is>
          <t>PRIMARIOS</t>
        </is>
      </c>
      <c r="O1073" s="10" t="inlineStr">
        <is>
          <t>DOCUMENTOS TÉCNICOS</t>
        </is>
      </c>
      <c r="P1073" s="10" t="inlineStr">
        <is>
          <t>PUBLICA(1)</t>
        </is>
      </c>
      <c r="Q1073" s="10" t="inlineStr">
        <is>
          <t>ALTA(3)</t>
        </is>
      </c>
      <c r="R1073" s="10" t="inlineStr">
        <is>
          <t>MEDIA(2)</t>
        </is>
      </c>
      <c r="S1073" s="10">
        <f>+(IF(P1073="PUBLICA(1)",1,IF(P1073="USO INTERNO(2)",2,IF(P1073="RESTRINGIDO(3)",3,3))))+(IF(Q1073="BAJA(1)",1,IF(Q1073="MEDIA(2)",2,IF(Q1073="ALTA(3)",3,3))))+(IF(R1073="BAJA(1)",1,IF(R1073="MEDIA(2)",2,IF(R1073="ALTA(3)",3,3))))</f>
        <v/>
      </c>
      <c r="T1073" s="10">
        <f>+IF(S1073&lt;6,"BAJA",IF(S1073&lt;8,"MEDIA","ALTA"))</f>
        <v/>
      </c>
      <c r="U1073" s="10" t="inlineStr">
        <is>
          <t>-</t>
        </is>
      </c>
      <c r="V1073" s="24" t="n">
        <v>45567</v>
      </c>
      <c r="W1073" s="19" t="inlineStr">
        <is>
          <t>N/A</t>
        </is>
      </c>
      <c r="X1073" s="10">
        <f>+IFERROR(IF(VLOOKUP(Tabla2[[#This Row],[ID]],'EVALUACION DE RIESGO'!A:A,1,FALSE)=Tabla2[[#This Row],[ID]],"SI","NO"),"NO")</f>
        <v/>
      </c>
    </row>
    <row r="1074">
      <c r="A1074" s="91" t="inlineStr">
        <is>
          <t>52-GRI</t>
        </is>
      </c>
      <c r="B1074" s="10" t="inlineStr">
        <is>
          <t>ESTRATÉGICO</t>
        </is>
      </c>
      <c r="C1074" s="10" t="inlineStr">
        <is>
          <t>Gestión de Riesgos</t>
        </is>
      </c>
      <c r="D1074" s="10" t="inlineStr">
        <is>
          <t>GRI</t>
        </is>
      </c>
      <c r="E1074" s="10" t="inlineStr">
        <is>
          <t>Gestión de Riesgo de Liquidez</t>
        </is>
      </c>
      <c r="F1074" s="10" t="inlineStr">
        <is>
          <t>-</t>
        </is>
      </c>
      <c r="G1074" s="10" t="inlineStr">
        <is>
          <t xml:space="preserve">Análisis y elaboración de stress testing de liquidez (pruebas de tensión)                                                                       </t>
        </is>
      </c>
      <c r="H1074" s="10" t="inlineStr">
        <is>
          <t xml:space="preserve">Balance mensual </t>
        </is>
      </c>
      <c r="I1074" s="10" t="inlineStr">
        <is>
          <t>Generación de balance</t>
        </is>
      </c>
      <c r="J1074" s="10" t="inlineStr">
        <is>
          <t>GERENTE DE RIESGOS</t>
        </is>
      </c>
      <c r="K1074" s="10" t="inlineStr">
        <is>
          <t>ANALISTA DE RIESGO DE LIQUIDEZ Y MERCADO</t>
        </is>
      </c>
      <c r="L1074" s="10" t="inlineStr">
        <is>
          <t>UBICACIÓN DIGITAL-EQUIPO DEL RESPONSABLE</t>
        </is>
      </c>
      <c r="M1074" s="10" t="inlineStr">
        <is>
          <t>DOCUMENTO DE ARCHIVO-ELECTRÓNICO</t>
        </is>
      </c>
      <c r="N1074" s="10" t="inlineStr">
        <is>
          <t>PRIMARIOS</t>
        </is>
      </c>
      <c r="O1074" s="10" t="inlineStr">
        <is>
          <t>DOCUMENTOS TÉCNICOS</t>
        </is>
      </c>
      <c r="P1074" s="10" t="inlineStr">
        <is>
          <t>PUBLICA(1)</t>
        </is>
      </c>
      <c r="Q1074" s="10" t="inlineStr">
        <is>
          <t>ALTA(3)</t>
        </is>
      </c>
      <c r="R1074" s="10" t="inlineStr">
        <is>
          <t>MEDIA(2)</t>
        </is>
      </c>
      <c r="S1074" s="10">
        <f>+(IF(P1074="PUBLICA(1)",1,IF(P1074="USO INTERNO(2)",2,IF(P1074="RESTRINGIDO(3)",3,3))))+(IF(Q1074="BAJA(1)",1,IF(Q1074="MEDIA(2)",2,IF(Q1074="ALTA(3)",3,3))))+(IF(R1074="BAJA(1)",1,IF(R1074="MEDIA(2)",2,IF(R1074="ALTA(3)",3,3))))</f>
        <v/>
      </c>
      <c r="T1074" s="10">
        <f>+IF(S1074&lt;6,"BAJA",IF(S1074&lt;8,"MEDIA","ALTA"))</f>
        <v/>
      </c>
      <c r="U1074" s="10" t="inlineStr">
        <is>
          <t>-</t>
        </is>
      </c>
      <c r="V1074" s="24" t="n">
        <v>45567</v>
      </c>
      <c r="W1074" s="19" t="inlineStr">
        <is>
          <t>N/A</t>
        </is>
      </c>
      <c r="X1074" s="10">
        <f>+IFERROR(IF(VLOOKUP(Tabla2[[#This Row],[ID]],'EVALUACION DE RIESGO'!A:A,1,FALSE)=Tabla2[[#This Row],[ID]],"SI","NO"),"NO")</f>
        <v/>
      </c>
    </row>
    <row r="1075">
      <c r="A1075" s="91" t="inlineStr">
        <is>
          <t>53-GRI</t>
        </is>
      </c>
      <c r="B1075" s="10" t="inlineStr">
        <is>
          <t>ESTRATÉGICO</t>
        </is>
      </c>
      <c r="C1075" s="10" t="inlineStr">
        <is>
          <t>Gestión de Riesgos</t>
        </is>
      </c>
      <c r="D1075" s="10" t="inlineStr">
        <is>
          <t>GRI</t>
        </is>
      </c>
      <c r="E1075" s="10" t="inlineStr">
        <is>
          <t>Gestión de Riesgo de Liquidez</t>
        </is>
      </c>
      <c r="F1075" s="10" t="inlineStr">
        <is>
          <t>-</t>
        </is>
      </c>
      <c r="G1075" s="10" t="inlineStr">
        <is>
          <t xml:space="preserve">Análisis y elaboración de stress testing de liquidez (pruebas de tensión)                                                                       </t>
        </is>
      </c>
      <c r="H1075" s="10" t="inlineStr">
        <is>
          <t>Registros de información de liquidez</t>
        </is>
      </c>
      <c r="I1075" s="10" t="inlineStr">
        <is>
          <t>Software de Liquidez y Mercado</t>
        </is>
      </c>
      <c r="J1075" s="10" t="inlineStr">
        <is>
          <t>GERENTE DE RIESGOS</t>
        </is>
      </c>
      <c r="K1075" s="10" t="inlineStr">
        <is>
          <t>ANALISTA DE RIESGO DE LIQUIDEZ Y MERCADO</t>
        </is>
      </c>
      <c r="L1075" s="10" t="inlineStr">
        <is>
          <t>UBICACIÓN DIGITAL-EQUIPO DEL RESPONSABLE</t>
        </is>
      </c>
      <c r="M1075" s="10" t="inlineStr">
        <is>
          <t>DOCUMENTO DE ARCHIVO-ELECTRÓNICO</t>
        </is>
      </c>
      <c r="N1075" s="10" t="inlineStr">
        <is>
          <t>PRIMARIOS</t>
        </is>
      </c>
      <c r="O1075" s="10" t="inlineStr">
        <is>
          <t>DOCUMENTOS TÉCNICOS</t>
        </is>
      </c>
      <c r="P1075" s="10" t="inlineStr">
        <is>
          <t>PUBLICA(1)</t>
        </is>
      </c>
      <c r="Q1075" s="10" t="inlineStr">
        <is>
          <t>ALTA(3)</t>
        </is>
      </c>
      <c r="R1075" s="10" t="inlineStr">
        <is>
          <t>MEDIA(2)</t>
        </is>
      </c>
      <c r="S1075" s="10">
        <f>+(IF(P1075="PUBLICA(1)",1,IF(P1075="USO INTERNO(2)",2,IF(P1075="RESTRINGIDO(3)",3,3))))+(IF(Q1075="BAJA(1)",1,IF(Q1075="MEDIA(2)",2,IF(Q1075="ALTA(3)",3,3))))+(IF(R1075="BAJA(1)",1,IF(R1075="MEDIA(2)",2,IF(R1075="ALTA(3)",3,3))))</f>
        <v/>
      </c>
      <c r="T1075" s="10">
        <f>+IF(S1075&lt;6,"BAJA",IF(S1075&lt;8,"MEDIA","ALTA"))</f>
        <v/>
      </c>
      <c r="U1075" s="10" t="inlineStr">
        <is>
          <t>-</t>
        </is>
      </c>
      <c r="V1075" s="24" t="n">
        <v>45567</v>
      </c>
      <c r="W1075" s="19" t="inlineStr">
        <is>
          <t>N/A</t>
        </is>
      </c>
      <c r="X1075" s="10">
        <f>+IFERROR(IF(VLOOKUP(Tabla2[[#This Row],[ID]],'EVALUACION DE RIESGO'!A:A,1,FALSE)=Tabla2[[#This Row],[ID]],"SI","NO"),"NO")</f>
        <v/>
      </c>
    </row>
    <row r="1076">
      <c r="A1076" s="91" t="inlineStr">
        <is>
          <t>54-GRI</t>
        </is>
      </c>
      <c r="B1076" s="10" t="inlineStr">
        <is>
          <t>ESTRATÉGICO</t>
        </is>
      </c>
      <c r="C1076" s="10" t="inlineStr">
        <is>
          <t>Gestión de Riesgos</t>
        </is>
      </c>
      <c r="D1076" s="10" t="inlineStr">
        <is>
          <t>GRI</t>
        </is>
      </c>
      <c r="E1076" s="10" t="inlineStr">
        <is>
          <t>Gestión de Riesgo de Liquidez</t>
        </is>
      </c>
      <c r="F1076" s="10" t="inlineStr">
        <is>
          <t>-</t>
        </is>
      </c>
      <c r="G1076" s="10" t="inlineStr">
        <is>
          <t xml:space="preserve">Análisis y elaboración de stress testing de liquidez (pruebas de tensión)                                                                       </t>
        </is>
      </c>
      <c r="H1076" s="10" t="inlineStr">
        <is>
          <t>Balances diarios históricos</t>
        </is>
      </c>
      <c r="I1076" s="10" t="inlineStr">
        <is>
          <t>Generación de balance</t>
        </is>
      </c>
      <c r="J1076" s="10" t="inlineStr">
        <is>
          <t>GERENTE DE RIESGOS</t>
        </is>
      </c>
      <c r="K1076" s="10" t="inlineStr">
        <is>
          <t>ANALISTA DE RIESGO DE LIQUIDEZ Y MERCADO</t>
        </is>
      </c>
      <c r="L1076" s="10" t="inlineStr">
        <is>
          <t>UBICACIÓN DIGITAL-EQUIPO DEL RESPONSABLE</t>
        </is>
      </c>
      <c r="M1076" s="10" t="inlineStr">
        <is>
          <t>DOCUMENTO DE ARCHIVO-ELECTRÓNICO</t>
        </is>
      </c>
      <c r="N1076" s="10" t="inlineStr">
        <is>
          <t>PRIMARIOS</t>
        </is>
      </c>
      <c r="O1076" s="10" t="inlineStr">
        <is>
          <t>DOCUMENTOS TÉCNICOS</t>
        </is>
      </c>
      <c r="P1076" s="10" t="inlineStr">
        <is>
          <t>PUBLICA(1)</t>
        </is>
      </c>
      <c r="Q1076" s="10" t="inlineStr">
        <is>
          <t>ALTA(3)</t>
        </is>
      </c>
      <c r="R1076" s="10" t="inlineStr">
        <is>
          <t>MEDIA(2)</t>
        </is>
      </c>
      <c r="S1076" s="10">
        <f>+(IF(P1076="PUBLICA(1)",1,IF(P1076="USO INTERNO(2)",2,IF(P1076="RESTRINGIDO(3)",3,3))))+(IF(Q1076="BAJA(1)",1,IF(Q1076="MEDIA(2)",2,IF(Q1076="ALTA(3)",3,3))))+(IF(R1076="BAJA(1)",1,IF(R1076="MEDIA(2)",2,IF(R1076="ALTA(3)",3,3))))</f>
        <v/>
      </c>
      <c r="T1076" s="10">
        <f>+IF(S1076&lt;6,"BAJA",IF(S1076&lt;8,"MEDIA","ALTA"))</f>
        <v/>
      </c>
      <c r="U1076" s="10" t="inlineStr">
        <is>
          <t>-</t>
        </is>
      </c>
      <c r="V1076" s="24" t="n">
        <v>45567</v>
      </c>
      <c r="W1076" s="19" t="inlineStr">
        <is>
          <t>N/A</t>
        </is>
      </c>
      <c r="X1076" s="10">
        <f>+IFERROR(IF(VLOOKUP(Tabla2[[#This Row],[ID]],'EVALUACION DE RIESGO'!A:A,1,FALSE)=Tabla2[[#This Row],[ID]],"SI","NO"),"NO")</f>
        <v/>
      </c>
    </row>
    <row r="1077">
      <c r="A1077" s="91" t="inlineStr">
        <is>
          <t>55-GRI</t>
        </is>
      </c>
      <c r="B1077" s="10" t="inlineStr">
        <is>
          <t>ESTRATÉGICO</t>
        </is>
      </c>
      <c r="C1077" s="10" t="inlineStr">
        <is>
          <t>Gestión de Riesgos</t>
        </is>
      </c>
      <c r="D1077" s="10" t="inlineStr">
        <is>
          <t>GRI</t>
        </is>
      </c>
      <c r="E1077" s="10" t="inlineStr">
        <is>
          <t>Gestión de Riesgo de Liquidez</t>
        </is>
      </c>
      <c r="F1077" s="10" t="inlineStr">
        <is>
          <t>-</t>
        </is>
      </c>
      <c r="G1077" s="10" t="inlineStr">
        <is>
          <t xml:space="preserve">Análisis y elaboración de stress testing de liquidez (pruebas de tensión)                                                                       </t>
        </is>
      </c>
      <c r="H1077" s="10" t="inlineStr">
        <is>
          <t>Herramienta de Brechas de Liquidez</t>
        </is>
      </c>
      <c r="I1077" s="10" t="inlineStr">
        <is>
          <t>Consolidacion de la Informacion</t>
        </is>
      </c>
      <c r="J1077" s="10" t="inlineStr">
        <is>
          <t>GERENTE DE RIESGOS</t>
        </is>
      </c>
      <c r="K1077" s="10" t="inlineStr">
        <is>
          <t>ANALISTA DE RIESGO DE LIQUIDEZ Y MERCADO</t>
        </is>
      </c>
      <c r="L1077" s="10" t="inlineStr">
        <is>
          <t>UBICACIÓN DIGITAL-EQUIPO DEL RESPONSABLE</t>
        </is>
      </c>
      <c r="M1077" s="10" t="inlineStr">
        <is>
          <t>DOCUMENTO DE ARCHIVO-ELECTRÓNICO</t>
        </is>
      </c>
      <c r="N1077" s="10" t="inlineStr">
        <is>
          <t>PRIMARIOS</t>
        </is>
      </c>
      <c r="O1077" s="10" t="inlineStr">
        <is>
          <t>DOCUMENTOS TÉCNICOS</t>
        </is>
      </c>
      <c r="P1077" s="10" t="inlineStr">
        <is>
          <t>PUBLICA(1)</t>
        </is>
      </c>
      <c r="Q1077" s="10" t="inlineStr">
        <is>
          <t>ALTA(3)</t>
        </is>
      </c>
      <c r="R1077" s="10" t="inlineStr">
        <is>
          <t>MEDIA(2)</t>
        </is>
      </c>
      <c r="S1077" s="10">
        <f>+(IF(P1077="PUBLICA(1)",1,IF(P1077="USO INTERNO(2)",2,IF(P1077="RESTRINGIDO(3)",3,3))))+(IF(Q1077="BAJA(1)",1,IF(Q1077="MEDIA(2)",2,IF(Q1077="ALTA(3)",3,3))))+(IF(R1077="BAJA(1)",1,IF(R1077="MEDIA(2)",2,IF(R1077="ALTA(3)",3,3))))</f>
        <v/>
      </c>
      <c r="T1077" s="10">
        <f>+IF(S1077&lt;6,"BAJA",IF(S1077&lt;8,"MEDIA","ALTA"))</f>
        <v/>
      </c>
      <c r="U1077" s="10" t="inlineStr">
        <is>
          <t>-</t>
        </is>
      </c>
      <c r="V1077" s="24" t="n">
        <v>45567</v>
      </c>
      <c r="W1077" s="19" t="inlineStr">
        <is>
          <t>N/A</t>
        </is>
      </c>
      <c r="X1077" s="10">
        <f>+IFERROR(IF(VLOOKUP(Tabla2[[#This Row],[ID]],'EVALUACION DE RIESGO'!A:A,1,FALSE)=Tabla2[[#This Row],[ID]],"SI","NO"),"NO")</f>
        <v/>
      </c>
    </row>
    <row r="1078">
      <c r="A1078" s="91" t="inlineStr">
        <is>
          <t>56-GRI</t>
        </is>
      </c>
      <c r="B1078" s="10" t="inlineStr">
        <is>
          <t>ESTRATÉGICO</t>
        </is>
      </c>
      <c r="C1078" s="10" t="inlineStr">
        <is>
          <t>Gestión de Riesgos</t>
        </is>
      </c>
      <c r="D1078" s="10" t="inlineStr">
        <is>
          <t>GRI</t>
        </is>
      </c>
      <c r="E1078" s="10" t="inlineStr">
        <is>
          <t>Gestión de Riesgo de Liquidez</t>
        </is>
      </c>
      <c r="F1078" s="10" t="inlineStr">
        <is>
          <t>-</t>
        </is>
      </c>
      <c r="G1078" s="10" t="inlineStr">
        <is>
          <t xml:space="preserve">Análisis y elaboración de stress testing de liquidez (pruebas de tensión)                                                                       </t>
        </is>
      </c>
      <c r="H1078" s="10" t="inlineStr">
        <is>
          <t xml:space="preserve">Reporte de Estrés de Liquidez </t>
        </is>
      </c>
      <c r="I1078" s="10" t="inlineStr">
        <is>
          <t>Consolidación de la información</t>
        </is>
      </c>
      <c r="J1078" s="10" t="inlineStr">
        <is>
          <t>GERENTE DE RIESGOS</t>
        </is>
      </c>
      <c r="K1078" s="10" t="inlineStr">
        <is>
          <t>ANALISTA DE RIESGO DE LIQUIDEZ Y MERCADO</t>
        </is>
      </c>
      <c r="L1078" s="10" t="inlineStr">
        <is>
          <t>UBICACIÓN DIGITAL-EQUIPO DEL RESPONSABLE</t>
        </is>
      </c>
      <c r="M1078" s="10" t="inlineStr">
        <is>
          <t>DOCUMENTO DE ARCHIVO-ELECTRÓNICO</t>
        </is>
      </c>
      <c r="N1078" s="10" t="inlineStr">
        <is>
          <t>PRIMARIOS</t>
        </is>
      </c>
      <c r="O1078" s="10" t="inlineStr">
        <is>
          <t>DOCUMENTOS TÉCNICOS</t>
        </is>
      </c>
      <c r="P1078" s="10" t="inlineStr">
        <is>
          <t>PUBLICA(1)</t>
        </is>
      </c>
      <c r="Q1078" s="10" t="inlineStr">
        <is>
          <t>ALTA(3)</t>
        </is>
      </c>
      <c r="R1078" s="10" t="inlineStr">
        <is>
          <t>MEDIA(2)</t>
        </is>
      </c>
      <c r="S1078" s="10">
        <f>+(IF(P1078="PUBLICA(1)",1,IF(P1078="USO INTERNO(2)",2,IF(P1078="RESTRINGIDO(3)",3,3))))+(IF(Q1078="BAJA(1)",1,IF(Q1078="MEDIA(2)",2,IF(Q1078="ALTA(3)",3,3))))+(IF(R1078="BAJA(1)",1,IF(R1078="MEDIA(2)",2,IF(R1078="ALTA(3)",3,3))))</f>
        <v/>
      </c>
      <c r="T1078" s="10">
        <f>+IF(S1078&lt;6,"BAJA",IF(S1078&lt;8,"MEDIA","ALTA"))</f>
        <v/>
      </c>
      <c r="U1078" s="10" t="inlineStr">
        <is>
          <t>-</t>
        </is>
      </c>
      <c r="V1078" s="24" t="n">
        <v>45567</v>
      </c>
      <c r="W1078" s="19" t="inlineStr">
        <is>
          <t>N/A</t>
        </is>
      </c>
      <c r="X1078" s="10">
        <f>+IFERROR(IF(VLOOKUP(Tabla2[[#This Row],[ID]],'EVALUACION DE RIESGO'!A:A,1,FALSE)=Tabla2[[#This Row],[ID]],"SI","NO"),"NO")</f>
        <v/>
      </c>
    </row>
    <row r="1079">
      <c r="A1079" s="91" t="inlineStr">
        <is>
          <t>57-GRI</t>
        </is>
      </c>
      <c r="B1079" s="10" t="inlineStr">
        <is>
          <t>ESTRATÉGICO</t>
        </is>
      </c>
      <c r="C1079" s="10" t="inlineStr">
        <is>
          <t>Gestión de Riesgos</t>
        </is>
      </c>
      <c r="D1079" s="10" t="inlineStr">
        <is>
          <t>GRI</t>
        </is>
      </c>
      <c r="E1079" s="10" t="inlineStr">
        <is>
          <t>Gestión de Riesgo de Liquidez</t>
        </is>
      </c>
      <c r="F1079" s="10" t="inlineStr">
        <is>
          <t>-</t>
        </is>
      </c>
      <c r="G1079" s="10" t="inlineStr">
        <is>
          <t>Análisis y elaboración de backtesting de liquidez</t>
        </is>
      </c>
      <c r="H1079" s="10" t="inlineStr">
        <is>
          <t>Reporte de Brechas de liquidez dinámico</t>
        </is>
      </c>
      <c r="I1079" s="10" t="inlineStr">
        <is>
          <t>Análisis de Brechas de Liquidez</t>
        </is>
      </c>
      <c r="J1079" s="10" t="inlineStr">
        <is>
          <t>GERENTE DE RIESGOS</t>
        </is>
      </c>
      <c r="K1079" s="10" t="inlineStr">
        <is>
          <t>ANALISTA DE RIESGO DE LIQUIDEZ Y MERCADO</t>
        </is>
      </c>
      <c r="L1079" s="10" t="inlineStr">
        <is>
          <t>UBICACIÓN DIGITAL-EQUIPO DEL RESPONSABLE</t>
        </is>
      </c>
      <c r="M1079" s="10" t="inlineStr">
        <is>
          <t>DOCUMENTO DE ARCHIVO-ELECTRÓNICO</t>
        </is>
      </c>
      <c r="N1079" s="10" t="inlineStr">
        <is>
          <t>PRIMARIOS</t>
        </is>
      </c>
      <c r="O1079" s="10" t="inlineStr">
        <is>
          <t>DOCUMENTOS TÉCNICOS</t>
        </is>
      </c>
      <c r="P1079" s="10" t="inlineStr">
        <is>
          <t>PUBLICA(1)</t>
        </is>
      </c>
      <c r="Q1079" s="10" t="inlineStr">
        <is>
          <t>ALTA(3)</t>
        </is>
      </c>
      <c r="R1079" s="10" t="inlineStr">
        <is>
          <t>MEDIA(2)</t>
        </is>
      </c>
      <c r="S1079" s="10">
        <f>+(IF(P1079="PUBLICA(1)",1,IF(P1079="USO INTERNO(2)",2,IF(P1079="RESTRINGIDO(3)",3,3))))+(IF(Q1079="BAJA(1)",1,IF(Q1079="MEDIA(2)",2,IF(Q1079="ALTA(3)",3,3))))+(IF(R1079="BAJA(1)",1,IF(R1079="MEDIA(2)",2,IF(R1079="ALTA(3)",3,3))))</f>
        <v/>
      </c>
      <c r="T1079" s="10">
        <f>+IF(S1079&lt;6,"BAJA",IF(S1079&lt;8,"MEDIA","ALTA"))</f>
        <v/>
      </c>
      <c r="U1079" s="10" t="inlineStr">
        <is>
          <t>-</t>
        </is>
      </c>
      <c r="V1079" s="24" t="n">
        <v>45567</v>
      </c>
      <c r="W1079" s="19" t="inlineStr">
        <is>
          <t>N/A</t>
        </is>
      </c>
      <c r="X1079" s="10">
        <f>+IFERROR(IF(VLOOKUP(Tabla2[[#This Row],[ID]],'EVALUACION DE RIESGO'!A:A,1,FALSE)=Tabla2[[#This Row],[ID]],"SI","NO"),"NO")</f>
        <v/>
      </c>
    </row>
    <row r="1080">
      <c r="A1080" s="91" t="inlineStr">
        <is>
          <t>58-GRI</t>
        </is>
      </c>
      <c r="B1080" s="10" t="inlineStr">
        <is>
          <t>ESTRATÉGICO</t>
        </is>
      </c>
      <c r="C1080" s="10" t="inlineStr">
        <is>
          <t>Gestión de Riesgos</t>
        </is>
      </c>
      <c r="D1080" s="10" t="inlineStr">
        <is>
          <t>GRI</t>
        </is>
      </c>
      <c r="E1080" s="10" t="inlineStr">
        <is>
          <t>Gestión de Riesgo de Liquidez</t>
        </is>
      </c>
      <c r="F1080" s="10" t="inlineStr">
        <is>
          <t>-</t>
        </is>
      </c>
      <c r="G1080" s="10" t="inlineStr">
        <is>
          <t>Análisis y elaboración de backtesting de liquidez</t>
        </is>
      </c>
      <c r="H1080" s="10" t="inlineStr">
        <is>
          <t>Registros de información de liquidez</t>
        </is>
      </c>
      <c r="I1080" s="10" t="inlineStr">
        <is>
          <t>Software de Liquidez y Mercado</t>
        </is>
      </c>
      <c r="J1080" s="10" t="inlineStr">
        <is>
          <t>GERENTE DE RIESGOS</t>
        </is>
      </c>
      <c r="K1080" s="10" t="inlineStr">
        <is>
          <t>ANALISTA DE RIESGO DE LIQUIDEZ Y MERCADO</t>
        </is>
      </c>
      <c r="L1080" s="10" t="inlineStr">
        <is>
          <t>UBICACIÓN DIGITAL-EQUIPO DEL RESPONSABLE</t>
        </is>
      </c>
      <c r="M1080" s="10" t="inlineStr">
        <is>
          <t>DOCUMENTO DE ARCHIVO-ELECTRÓNICO</t>
        </is>
      </c>
      <c r="N1080" s="10" t="inlineStr">
        <is>
          <t>PRIMARIOS</t>
        </is>
      </c>
      <c r="O1080" s="10" t="inlineStr">
        <is>
          <t>DOCUMENTOS TÉCNICOS</t>
        </is>
      </c>
      <c r="P1080" s="10" t="inlineStr">
        <is>
          <t>PUBLICA(1)</t>
        </is>
      </c>
      <c r="Q1080" s="10" t="inlineStr">
        <is>
          <t>ALTA(3)</t>
        </is>
      </c>
      <c r="R1080" s="10" t="inlineStr">
        <is>
          <t>MEDIA(2)</t>
        </is>
      </c>
      <c r="S1080" s="10">
        <f>+(IF(P1080="PUBLICA(1)",1,IF(P1080="USO INTERNO(2)",2,IF(P1080="RESTRINGIDO(3)",3,3))))+(IF(Q1080="BAJA(1)",1,IF(Q1080="MEDIA(2)",2,IF(Q1080="ALTA(3)",3,3))))+(IF(R1080="BAJA(1)",1,IF(R1080="MEDIA(2)",2,IF(R1080="ALTA(3)",3,3))))</f>
        <v/>
      </c>
      <c r="T1080" s="10">
        <f>+IF(S1080&lt;6,"BAJA",IF(S1080&lt;8,"MEDIA","ALTA"))</f>
        <v/>
      </c>
      <c r="U1080" s="10" t="inlineStr">
        <is>
          <t>-</t>
        </is>
      </c>
      <c r="V1080" s="24" t="n">
        <v>45567</v>
      </c>
      <c r="W1080" s="19" t="inlineStr">
        <is>
          <t>N/A</t>
        </is>
      </c>
      <c r="X1080" s="10">
        <f>+IFERROR(IF(VLOOKUP(Tabla2[[#This Row],[ID]],'EVALUACION DE RIESGO'!A:A,1,FALSE)=Tabla2[[#This Row],[ID]],"SI","NO"),"NO")</f>
        <v/>
      </c>
    </row>
    <row r="1081">
      <c r="A1081" s="91" t="inlineStr">
        <is>
          <t>59-GRI</t>
        </is>
      </c>
      <c r="B1081" s="10" t="inlineStr">
        <is>
          <t>ESTRATÉGICO</t>
        </is>
      </c>
      <c r="C1081" s="10" t="inlineStr">
        <is>
          <t>Gestión de Riesgos</t>
        </is>
      </c>
      <c r="D1081" s="10" t="inlineStr">
        <is>
          <t>GRI</t>
        </is>
      </c>
      <c r="E1081" s="10" t="inlineStr">
        <is>
          <t>Gestión de Riesgo de Liquidez</t>
        </is>
      </c>
      <c r="F1081" s="10" t="inlineStr">
        <is>
          <t>-</t>
        </is>
      </c>
      <c r="G1081" s="10" t="inlineStr">
        <is>
          <t>Análisis y elaboración de backtesting de liquidez</t>
        </is>
      </c>
      <c r="H1081" s="10" t="inlineStr">
        <is>
          <t>Balance mensual</t>
        </is>
      </c>
      <c r="I1081" s="10" t="inlineStr">
        <is>
          <t xml:space="preserve">Generación de balance </t>
        </is>
      </c>
      <c r="J1081" s="10" t="inlineStr">
        <is>
          <t>GERENTE DE RIESGOS</t>
        </is>
      </c>
      <c r="K1081" s="10" t="inlineStr">
        <is>
          <t>ANALISTA DE RIESGO DE LIQUIDEZ Y MERCADO</t>
        </is>
      </c>
      <c r="L1081" s="10" t="inlineStr">
        <is>
          <t>UBICACIÓN DIGITAL-EQUIPO DEL RESPONSABLE</t>
        </is>
      </c>
      <c r="M1081" s="10" t="inlineStr">
        <is>
          <t>DOCUMENTO DE ARCHIVO-ELECTRÓNICO</t>
        </is>
      </c>
      <c r="N1081" s="10" t="inlineStr">
        <is>
          <t>PRIMARIOS</t>
        </is>
      </c>
      <c r="O1081" s="10" t="inlineStr">
        <is>
          <t>DOCUMENTOS TÉCNICOS</t>
        </is>
      </c>
      <c r="P1081" s="10" t="inlineStr">
        <is>
          <t>PUBLICA(1)</t>
        </is>
      </c>
      <c r="Q1081" s="10" t="inlineStr">
        <is>
          <t>ALTA(3)</t>
        </is>
      </c>
      <c r="R1081" s="10" t="inlineStr">
        <is>
          <t>MEDIA(2)</t>
        </is>
      </c>
      <c r="S1081" s="10">
        <f>+(IF(P1081="PUBLICA(1)",1,IF(P1081="USO INTERNO(2)",2,IF(P1081="RESTRINGIDO(3)",3,3))))+(IF(Q1081="BAJA(1)",1,IF(Q1081="MEDIA(2)",2,IF(Q1081="ALTA(3)",3,3))))+(IF(R1081="BAJA(1)",1,IF(R1081="MEDIA(2)",2,IF(R1081="ALTA(3)",3,3))))</f>
        <v/>
      </c>
      <c r="T1081" s="10">
        <f>+IF(S1081&lt;6,"BAJA",IF(S1081&lt;8,"MEDIA","ALTA"))</f>
        <v/>
      </c>
      <c r="U1081" s="10" t="inlineStr">
        <is>
          <t>-</t>
        </is>
      </c>
      <c r="V1081" s="24" t="n">
        <v>45567</v>
      </c>
      <c r="W1081" s="19" t="inlineStr">
        <is>
          <t>N/A</t>
        </is>
      </c>
      <c r="X1081" s="10">
        <f>+IFERROR(IF(VLOOKUP(Tabla2[[#This Row],[ID]],'EVALUACION DE RIESGO'!A:A,1,FALSE)=Tabla2[[#This Row],[ID]],"SI","NO"),"NO")</f>
        <v/>
      </c>
    </row>
    <row r="1082">
      <c r="A1082" s="91" t="inlineStr">
        <is>
          <t>60-GRI</t>
        </is>
      </c>
      <c r="B1082" s="10" t="inlineStr">
        <is>
          <t>ESTRATÉGICO</t>
        </is>
      </c>
      <c r="C1082" s="10" t="inlineStr">
        <is>
          <t>Gestión de Riesgos</t>
        </is>
      </c>
      <c r="D1082" s="10" t="inlineStr">
        <is>
          <t>GRI</t>
        </is>
      </c>
      <c r="E1082" s="10" t="inlineStr">
        <is>
          <t>Gestión de Riesgo de Liquidez</t>
        </is>
      </c>
      <c r="F1082" s="10" t="inlineStr">
        <is>
          <t>-</t>
        </is>
      </c>
      <c r="G1082" s="10" t="inlineStr">
        <is>
          <t>Análisis y elaboración de backtesting de liquidez</t>
        </is>
      </c>
      <c r="H1082" s="10" t="inlineStr">
        <is>
          <t>Base de datos históricos</t>
        </is>
      </c>
      <c r="I1082" s="10" t="inlineStr">
        <is>
          <t>Ejecución de proceso batch</t>
        </is>
      </c>
      <c r="J1082" s="10" t="inlineStr">
        <is>
          <t>GERENTE DE RIESGOS</t>
        </is>
      </c>
      <c r="K1082" s="10" t="inlineStr">
        <is>
          <t>ANALISTA DE RIESGO DE LIQUIDEZ Y MERCADO</t>
        </is>
      </c>
      <c r="L1082" s="10" t="inlineStr">
        <is>
          <t>UBICACIÓN DIGITAL-EQUIPO DEL RESPONSABLE</t>
        </is>
      </c>
      <c r="M1082" s="10" t="inlineStr">
        <is>
          <t>DOCUMENTO DE ARCHIVO-ELECTRÓNICO</t>
        </is>
      </c>
      <c r="N1082" s="10" t="inlineStr">
        <is>
          <t>PRIMARIOS</t>
        </is>
      </c>
      <c r="O1082" s="10" t="inlineStr">
        <is>
          <t>DOCUMENTOS TÉCNICOS</t>
        </is>
      </c>
      <c r="P1082" s="10" t="inlineStr">
        <is>
          <t>PUBLICA(1)</t>
        </is>
      </c>
      <c r="Q1082" s="10" t="inlineStr">
        <is>
          <t>ALTA(3)</t>
        </is>
      </c>
      <c r="R1082" s="10" t="inlineStr">
        <is>
          <t>MEDIA(2)</t>
        </is>
      </c>
      <c r="S1082" s="10">
        <f>+(IF(P1082="PUBLICA(1)",1,IF(P1082="USO INTERNO(2)",2,IF(P1082="RESTRINGIDO(3)",3,3))))+(IF(Q1082="BAJA(1)",1,IF(Q1082="MEDIA(2)",2,IF(Q1082="ALTA(3)",3,3))))+(IF(R1082="BAJA(1)",1,IF(R1082="MEDIA(2)",2,IF(R1082="ALTA(3)",3,3))))</f>
        <v/>
      </c>
      <c r="T1082" s="10">
        <f>+IF(S1082&lt;6,"BAJA",IF(S1082&lt;8,"MEDIA","ALTA"))</f>
        <v/>
      </c>
      <c r="U1082" s="10" t="inlineStr">
        <is>
          <t>-</t>
        </is>
      </c>
      <c r="V1082" s="24" t="n">
        <v>45567</v>
      </c>
      <c r="W1082" s="19" t="inlineStr">
        <is>
          <t>N/A</t>
        </is>
      </c>
      <c r="X1082" s="10">
        <f>+IFERROR(IF(VLOOKUP(Tabla2[[#This Row],[ID]],'EVALUACION DE RIESGO'!A:A,1,FALSE)=Tabla2[[#This Row],[ID]],"SI","NO"),"NO")</f>
        <v/>
      </c>
    </row>
    <row r="1083">
      <c r="A1083" s="91" t="inlineStr">
        <is>
          <t>61-GRI</t>
        </is>
      </c>
      <c r="B1083" s="10" t="inlineStr">
        <is>
          <t>ESTRATÉGICO</t>
        </is>
      </c>
      <c r="C1083" s="10" t="inlineStr">
        <is>
          <t>Gestión de Riesgos</t>
        </is>
      </c>
      <c r="D1083" s="10" t="inlineStr">
        <is>
          <t>GRI</t>
        </is>
      </c>
      <c r="E1083" s="10" t="inlineStr">
        <is>
          <t>Gestión de Riesgo de Liquidez</t>
        </is>
      </c>
      <c r="F1083" s="10" t="inlineStr">
        <is>
          <t>-</t>
        </is>
      </c>
      <c r="G1083" s="10" t="inlineStr">
        <is>
          <t>Análisis y elaboración de backtesting de liquidez</t>
        </is>
      </c>
      <c r="H1083" s="10" t="inlineStr">
        <is>
          <t>Herramienta de Brechas de Liquidez</t>
        </is>
      </c>
      <c r="I1083" s="10" t="inlineStr">
        <is>
          <t xml:space="preserve">Verificacion de cálculos </t>
        </is>
      </c>
      <c r="J1083" s="10" t="inlineStr">
        <is>
          <t>GERENTE DE RIESGOS</t>
        </is>
      </c>
      <c r="K1083" s="10" t="inlineStr">
        <is>
          <t>ANALISTA DE RIESGO DE LIQUIDEZ Y MERCADO</t>
        </is>
      </c>
      <c r="L1083" s="10" t="inlineStr">
        <is>
          <t>UBICACIÓN DIGITAL-WEBCOOP</t>
        </is>
      </c>
      <c r="M1083" s="10" t="inlineStr">
        <is>
          <t>SISTEMAS DE BASE DE DATOS</t>
        </is>
      </c>
      <c r="N1083" s="10" t="inlineStr">
        <is>
          <t>APOYO</t>
        </is>
      </c>
      <c r="O1083" s="10" t="inlineStr">
        <is>
          <t>SOFTWARE</t>
        </is>
      </c>
      <c r="P1083" s="10" t="inlineStr">
        <is>
          <t>PUBLICA(1)</t>
        </is>
      </c>
      <c r="Q1083" s="10" t="inlineStr">
        <is>
          <t>ALTA(3)</t>
        </is>
      </c>
      <c r="R1083" s="10" t="inlineStr">
        <is>
          <t>MEDIA(2)</t>
        </is>
      </c>
      <c r="S1083" s="10">
        <f>+(IF(P1083="PUBLICA(1)",1,IF(P1083="USO INTERNO(2)",2,IF(P1083="RESTRINGIDO(3)",3,3))))+(IF(Q1083="BAJA(1)",1,IF(Q1083="MEDIA(2)",2,IF(Q1083="ALTA(3)",3,3))))+(IF(R1083="BAJA(1)",1,IF(R1083="MEDIA(2)",2,IF(R1083="ALTA(3)",3,3))))</f>
        <v/>
      </c>
      <c r="T1083" s="10">
        <f>+IF(S1083&lt;6,"BAJA",IF(S1083&lt;8,"MEDIA","ALTA"))</f>
        <v/>
      </c>
      <c r="U1083" s="10" t="inlineStr">
        <is>
          <t>-</t>
        </is>
      </c>
      <c r="V1083" s="24" t="n">
        <v>45567</v>
      </c>
      <c r="W1083" s="19" t="inlineStr">
        <is>
          <t>N/A</t>
        </is>
      </c>
      <c r="X1083" s="10">
        <f>+IFERROR(IF(VLOOKUP(Tabla2[[#This Row],[ID]],'EVALUACION DE RIESGO'!A:A,1,FALSE)=Tabla2[[#This Row],[ID]],"SI","NO"),"NO")</f>
        <v/>
      </c>
    </row>
    <row r="1084">
      <c r="A1084" s="91" t="inlineStr">
        <is>
          <t>62-GRI</t>
        </is>
      </c>
      <c r="B1084" s="10" t="inlineStr">
        <is>
          <t>ESTRATÉGICO</t>
        </is>
      </c>
      <c r="C1084" s="10" t="inlineStr">
        <is>
          <t>Gestión de Riesgos</t>
        </is>
      </c>
      <c r="D1084" s="10" t="inlineStr">
        <is>
          <t>GRI</t>
        </is>
      </c>
      <c r="E1084" s="10" t="inlineStr">
        <is>
          <t>Gestión de Riesgo de Liquidez</t>
        </is>
      </c>
      <c r="F1084" s="10" t="inlineStr">
        <is>
          <t>-</t>
        </is>
      </c>
      <c r="G1084" s="10" t="inlineStr">
        <is>
          <t>Análisis y elaboración de backtesting de liquidez</t>
        </is>
      </c>
      <c r="H1084" s="10" t="inlineStr">
        <is>
          <t>Reporte de Backtesting de Liquidez</t>
        </is>
      </c>
      <c r="I1084" s="10" t="inlineStr">
        <is>
          <t>consolidación de la información</t>
        </is>
      </c>
      <c r="J1084" s="10" t="inlineStr">
        <is>
          <t>GERENTE DE RIESGOS</t>
        </is>
      </c>
      <c r="K1084" s="10" t="inlineStr">
        <is>
          <t>ANALISTA DE RIESGO DE LIQUIDEZ Y MERCADO</t>
        </is>
      </c>
      <c r="L1084" s="10" t="inlineStr">
        <is>
          <t>UBICACIÓN DIGITAL-EQUIPO DEL RESPONSABLE</t>
        </is>
      </c>
      <c r="M1084" s="10" t="inlineStr">
        <is>
          <t>DOCUMENTO DE ARCHIVO-ELECTRÓNICO</t>
        </is>
      </c>
      <c r="N1084" s="10" t="inlineStr">
        <is>
          <t>PRIMARIOS</t>
        </is>
      </c>
      <c r="O1084" s="10" t="inlineStr">
        <is>
          <t>DOCUMENTOS TÉCNICOS</t>
        </is>
      </c>
      <c r="P1084" s="10" t="inlineStr">
        <is>
          <t>PUBLICA(1)</t>
        </is>
      </c>
      <c r="Q1084" s="10" t="inlineStr">
        <is>
          <t>ALTA(3)</t>
        </is>
      </c>
      <c r="R1084" s="10" t="inlineStr">
        <is>
          <t>MEDIA(2)</t>
        </is>
      </c>
      <c r="S1084" s="10">
        <f>+(IF(P1084="PUBLICA(1)",1,IF(P1084="USO INTERNO(2)",2,IF(P1084="RESTRINGIDO(3)",3,3))))+(IF(Q1084="BAJA(1)",1,IF(Q1084="MEDIA(2)",2,IF(Q1084="ALTA(3)",3,3))))+(IF(R1084="BAJA(1)",1,IF(R1084="MEDIA(2)",2,IF(R1084="ALTA(3)",3,3))))</f>
        <v/>
      </c>
      <c r="T1084" s="10">
        <f>+IF(S1084&lt;6,"BAJA",IF(S1084&lt;8,"MEDIA","ALTA"))</f>
        <v/>
      </c>
      <c r="U1084" s="10" t="inlineStr">
        <is>
          <t>-</t>
        </is>
      </c>
      <c r="V1084" s="24" t="n">
        <v>45567</v>
      </c>
      <c r="W1084" s="19" t="inlineStr">
        <is>
          <t>N/A</t>
        </is>
      </c>
      <c r="X1084" s="10">
        <f>+IFERROR(IF(VLOOKUP(Tabla2[[#This Row],[ID]],'EVALUACION DE RIESGO'!A:A,1,FALSE)=Tabla2[[#This Row],[ID]],"SI","NO"),"NO")</f>
        <v/>
      </c>
    </row>
    <row r="1085">
      <c r="A1085" s="91" t="inlineStr">
        <is>
          <t>63-GRI</t>
        </is>
      </c>
      <c r="B1085" s="10" t="inlineStr">
        <is>
          <t>ESTRATÉGICO</t>
        </is>
      </c>
      <c r="C1085" s="10" t="inlineStr">
        <is>
          <t>Gestión de Riesgos</t>
        </is>
      </c>
      <c r="D1085" s="10" t="inlineStr">
        <is>
          <t>GRI</t>
        </is>
      </c>
      <c r="E1085" s="10" t="inlineStr">
        <is>
          <t>Gestión de Riesgo de Liquidez</t>
        </is>
      </c>
      <c r="F1085" s="10" t="inlineStr">
        <is>
          <t>-</t>
        </is>
      </c>
      <c r="G1085" s="10" t="inlineStr">
        <is>
          <t xml:space="preserve">Consolidación de la información    </t>
        </is>
      </c>
      <c r="H1085" s="10" t="inlineStr">
        <is>
          <t xml:space="preserve">Reporte de Liquidez Estructural </t>
        </is>
      </c>
      <c r="I1085" s="10" t="inlineStr">
        <is>
          <t xml:space="preserve">Análisis de la Liquidez estructural 
</t>
        </is>
      </c>
      <c r="J1085" s="10" t="inlineStr">
        <is>
          <t>GERENTE DE RIESGOS</t>
        </is>
      </c>
      <c r="K1085" s="10" t="inlineStr">
        <is>
          <t>ANALISTA DE RIESGO DE LIQUIDEZ Y MERCADO</t>
        </is>
      </c>
      <c r="L1085" s="10" t="inlineStr">
        <is>
          <t>UBICACIÓN DIGITAL-EQUIPO DEL RESPONSABLE</t>
        </is>
      </c>
      <c r="M1085" s="10" t="inlineStr">
        <is>
          <t>DOCUMENTO DE ARCHIVO-ELECTRÓNICO</t>
        </is>
      </c>
      <c r="N1085" s="10" t="inlineStr">
        <is>
          <t>PRIMARIOS</t>
        </is>
      </c>
      <c r="O1085" s="10" t="inlineStr">
        <is>
          <t>DOCUMENTOS TÉCNICOS</t>
        </is>
      </c>
      <c r="P1085" s="10" t="inlineStr">
        <is>
          <t>PUBLICA(1)</t>
        </is>
      </c>
      <c r="Q1085" s="10" t="inlineStr">
        <is>
          <t>ALTA(3)</t>
        </is>
      </c>
      <c r="R1085" s="10" t="inlineStr">
        <is>
          <t>MEDIA(2)</t>
        </is>
      </c>
      <c r="S1085" s="10">
        <f>+(IF(P1085="PUBLICA(1)",1,IF(P1085="USO INTERNO(2)",2,IF(P1085="RESTRINGIDO(3)",3,3))))+(IF(Q1085="BAJA(1)",1,IF(Q1085="MEDIA(2)",2,IF(Q1085="ALTA(3)",3,3))))+(IF(R1085="BAJA(1)",1,IF(R1085="MEDIA(2)",2,IF(R1085="ALTA(3)",3,3))))</f>
        <v/>
      </c>
      <c r="T1085" s="10">
        <f>+IF(S1085&lt;6,"BAJA",IF(S1085&lt;8,"MEDIA","ALTA"))</f>
        <v/>
      </c>
      <c r="U1085" s="10" t="inlineStr">
        <is>
          <t>-</t>
        </is>
      </c>
      <c r="V1085" s="24" t="n">
        <v>45567</v>
      </c>
      <c r="W1085" s="19" t="inlineStr">
        <is>
          <t>N/A</t>
        </is>
      </c>
      <c r="X1085" s="10">
        <f>+IFERROR(IF(VLOOKUP(Tabla2[[#This Row],[ID]],'EVALUACION DE RIESGO'!A:A,1,FALSE)=Tabla2[[#This Row],[ID]],"SI","NO"),"NO")</f>
        <v/>
      </c>
    </row>
    <row r="1086">
      <c r="A1086" s="91" t="inlineStr">
        <is>
          <t>64-GRI</t>
        </is>
      </c>
      <c r="B1086" s="10" t="inlineStr">
        <is>
          <t>ESTRATÉGICO</t>
        </is>
      </c>
      <c r="C1086" s="10" t="inlineStr">
        <is>
          <t>Gestión de Riesgos</t>
        </is>
      </c>
      <c r="D1086" s="10" t="inlineStr">
        <is>
          <t>GRI</t>
        </is>
      </c>
      <c r="E1086" s="10" t="inlineStr">
        <is>
          <t>Gestión de Riesgo de Liquidez</t>
        </is>
      </c>
      <c r="F1086" s="10" t="inlineStr">
        <is>
          <t>-</t>
        </is>
      </c>
      <c r="G1086" s="10" t="inlineStr">
        <is>
          <t xml:space="preserve">Consolidación de la información    </t>
        </is>
      </c>
      <c r="H1086" s="10" t="inlineStr">
        <is>
          <t>Reporte de liquidez y volatilidad diaria</t>
        </is>
      </c>
      <c r="I1086" s="10" t="inlineStr">
        <is>
          <t xml:space="preserve">Monitoreo de liquidez y volatilidad diaria </t>
        </is>
      </c>
      <c r="J1086" s="10" t="inlineStr">
        <is>
          <t>GERENTE DE RIESGOS</t>
        </is>
      </c>
      <c r="K1086" s="10" t="inlineStr">
        <is>
          <t>ANALISTA DE RIESGO DE LIQUIDEZ Y MERCADO</t>
        </is>
      </c>
      <c r="L1086" s="10" t="inlineStr">
        <is>
          <t>UBICACIÓN DIGITAL-EQUIPO DEL RESPONSABLE</t>
        </is>
      </c>
      <c r="M1086" s="10" t="inlineStr">
        <is>
          <t>DOCUMENTO DE ARCHIVO-ELECTRÓNICO</t>
        </is>
      </c>
      <c r="N1086" s="10" t="inlineStr">
        <is>
          <t>PRIMARIOS</t>
        </is>
      </c>
      <c r="O1086" s="10" t="inlineStr">
        <is>
          <t>DOCUMENTOS TÉCNICOS</t>
        </is>
      </c>
      <c r="P1086" s="10" t="inlineStr">
        <is>
          <t>PUBLICA(1)</t>
        </is>
      </c>
      <c r="Q1086" s="10" t="inlineStr">
        <is>
          <t>ALTA(3)</t>
        </is>
      </c>
      <c r="R1086" s="10" t="inlineStr">
        <is>
          <t>MEDIA(2)</t>
        </is>
      </c>
      <c r="S1086" s="10">
        <f>+(IF(P1086="PUBLICA(1)",1,IF(P1086="USO INTERNO(2)",2,IF(P1086="RESTRINGIDO(3)",3,3))))+(IF(Q1086="BAJA(1)",1,IF(Q1086="MEDIA(2)",2,IF(Q1086="ALTA(3)",3,3))))+(IF(R1086="BAJA(1)",1,IF(R1086="MEDIA(2)",2,IF(R1086="ALTA(3)",3,3))))</f>
        <v/>
      </c>
      <c r="T1086" s="10">
        <f>+IF(S1086&lt;6,"BAJA",IF(S1086&lt;8,"MEDIA","ALTA"))</f>
        <v/>
      </c>
      <c r="U1086" s="10" t="inlineStr">
        <is>
          <t>-</t>
        </is>
      </c>
      <c r="V1086" s="24" t="n">
        <v>45567</v>
      </c>
      <c r="W1086" s="19" t="inlineStr">
        <is>
          <t>N/A</t>
        </is>
      </c>
      <c r="X1086" s="10">
        <f>+IFERROR(IF(VLOOKUP(Tabla2[[#This Row],[ID]],'EVALUACION DE RIESGO'!A:A,1,FALSE)=Tabla2[[#This Row],[ID]],"SI","NO"),"NO")</f>
        <v/>
      </c>
    </row>
    <row r="1087">
      <c r="A1087" s="91" t="inlineStr">
        <is>
          <t>65-GRI</t>
        </is>
      </c>
      <c r="B1087" s="10" t="inlineStr">
        <is>
          <t>ESTRATÉGICO</t>
        </is>
      </c>
      <c r="C1087" s="10" t="inlineStr">
        <is>
          <t>Gestión de Riesgos</t>
        </is>
      </c>
      <c r="D1087" s="10" t="inlineStr">
        <is>
          <t>GRI</t>
        </is>
      </c>
      <c r="E1087" s="10" t="inlineStr">
        <is>
          <t>Gestión de Riesgo de Liquidez</t>
        </is>
      </c>
      <c r="F1087" s="10" t="inlineStr">
        <is>
          <t>-</t>
        </is>
      </c>
      <c r="G1087" s="10" t="inlineStr">
        <is>
          <t xml:space="preserve">Consolidación de la información    </t>
        </is>
      </c>
      <c r="H1087" s="10" t="inlineStr">
        <is>
          <t>Reporte de Brechas de Liquidez Contractual, Esperado, Dinámico, Reporte de Supuestos.</t>
        </is>
      </c>
      <c r="I1087" s="10" t="inlineStr">
        <is>
          <t>Análisis de Brechas de Liquidez</t>
        </is>
      </c>
      <c r="J1087" s="10" t="inlineStr">
        <is>
          <t>GERENTE DE RIESGOS</t>
        </is>
      </c>
      <c r="K1087" s="10" t="inlineStr">
        <is>
          <t>ANALISTA DE RIESGO DE LIQUIDEZ Y MERCADO</t>
        </is>
      </c>
      <c r="L1087" s="10" t="inlineStr">
        <is>
          <t>UBICACIÓN DIGITAL-EQUIPO DEL RESPONSABLE</t>
        </is>
      </c>
      <c r="M1087" s="10" t="inlineStr">
        <is>
          <t>DOCUMENTO DE ARCHIVO-ELECTRÓNICO</t>
        </is>
      </c>
      <c r="N1087" s="10" t="inlineStr">
        <is>
          <t>PRIMARIOS</t>
        </is>
      </c>
      <c r="O1087" s="10" t="inlineStr">
        <is>
          <t>DOCUMENTOS TÉCNICOS</t>
        </is>
      </c>
      <c r="P1087" s="10" t="inlineStr">
        <is>
          <t>PUBLICA(1)</t>
        </is>
      </c>
      <c r="Q1087" s="10" t="inlineStr">
        <is>
          <t>ALTA(3)</t>
        </is>
      </c>
      <c r="R1087" s="10" t="inlineStr">
        <is>
          <t>MEDIA(2)</t>
        </is>
      </c>
      <c r="S1087" s="10">
        <f>+(IF(P1087="PUBLICA(1)",1,IF(P1087="USO INTERNO(2)",2,IF(P1087="RESTRINGIDO(3)",3,3))))+(IF(Q1087="BAJA(1)",1,IF(Q1087="MEDIA(2)",2,IF(Q1087="ALTA(3)",3,3))))+(IF(R1087="BAJA(1)",1,IF(R1087="MEDIA(2)",2,IF(R1087="ALTA(3)",3,3))))</f>
        <v/>
      </c>
      <c r="T1087" s="10">
        <f>+IF(S1087&lt;6,"BAJA",IF(S1087&lt;8,"MEDIA","ALTA"))</f>
        <v/>
      </c>
      <c r="U1087" s="10" t="inlineStr">
        <is>
          <t>-</t>
        </is>
      </c>
      <c r="V1087" s="24" t="n">
        <v>45567</v>
      </c>
      <c r="W1087" s="19" t="inlineStr">
        <is>
          <t>N/A</t>
        </is>
      </c>
      <c r="X1087" s="10">
        <f>+IFERROR(IF(VLOOKUP(Tabla2[[#This Row],[ID]],'EVALUACION DE RIESGO'!A:A,1,FALSE)=Tabla2[[#This Row],[ID]],"SI","NO"),"NO")</f>
        <v/>
      </c>
    </row>
    <row r="1088">
      <c r="A1088" s="91" t="inlineStr">
        <is>
          <t>66-GRI</t>
        </is>
      </c>
      <c r="B1088" s="10" t="inlineStr">
        <is>
          <t>ESTRATÉGICO</t>
        </is>
      </c>
      <c r="C1088" s="10" t="inlineStr">
        <is>
          <t>Gestión de Riesgos</t>
        </is>
      </c>
      <c r="D1088" s="10" t="inlineStr">
        <is>
          <t>GRI</t>
        </is>
      </c>
      <c r="E1088" s="10" t="inlineStr">
        <is>
          <t>Gestión de Riesgo de Liquidez</t>
        </is>
      </c>
      <c r="F1088" s="10" t="inlineStr">
        <is>
          <t>-</t>
        </is>
      </c>
      <c r="G1088" s="10" t="inlineStr">
        <is>
          <t xml:space="preserve">Consolidación de la información    </t>
        </is>
      </c>
      <c r="H1088" s="10" t="inlineStr">
        <is>
          <t>Anexo A de los 100 mayores depositantes</t>
        </is>
      </c>
      <c r="I1088" s="10" t="inlineStr">
        <is>
          <t xml:space="preserve">Análisis de los 100 mayores depositantes </t>
        </is>
      </c>
      <c r="J1088" s="10" t="inlineStr">
        <is>
          <t>GERENTE DE RIESGOS</t>
        </is>
      </c>
      <c r="K1088" s="10" t="inlineStr">
        <is>
          <t>ANALISTA DE RIESGO DE LIQUIDEZ Y MERCADO</t>
        </is>
      </c>
      <c r="L1088" s="10" t="inlineStr">
        <is>
          <t>UBICACIÓN DIGITAL-EQUIPO DEL RESPONSABLE</t>
        </is>
      </c>
      <c r="M1088" s="10" t="inlineStr">
        <is>
          <t>DOCUMENTO DE ARCHIVO-ELECTRÓNICO</t>
        </is>
      </c>
      <c r="N1088" s="10" t="inlineStr">
        <is>
          <t>PRIMARIOS</t>
        </is>
      </c>
      <c r="O1088" s="10" t="inlineStr">
        <is>
          <t>DOCUMENTOS TÉCNICOS</t>
        </is>
      </c>
      <c r="P1088" s="10" t="inlineStr">
        <is>
          <t>PUBLICA(1)</t>
        </is>
      </c>
      <c r="Q1088" s="10" t="inlineStr">
        <is>
          <t>ALTA(3)</t>
        </is>
      </c>
      <c r="R1088" s="10" t="inlineStr">
        <is>
          <t>MEDIA(2)</t>
        </is>
      </c>
      <c r="S1088" s="10">
        <f>+(IF(P1088="PUBLICA(1)",1,IF(P1088="USO INTERNO(2)",2,IF(P1088="RESTRINGIDO(3)",3,3))))+(IF(Q1088="BAJA(1)",1,IF(Q1088="MEDIA(2)",2,IF(Q1088="ALTA(3)",3,3))))+(IF(R1088="BAJA(1)",1,IF(R1088="MEDIA(2)",2,IF(R1088="ALTA(3)",3,3))))</f>
        <v/>
      </c>
      <c r="T1088" s="10">
        <f>+IF(S1088&lt;6,"BAJA",IF(S1088&lt;8,"MEDIA","ALTA"))</f>
        <v/>
      </c>
      <c r="U1088" s="10" t="inlineStr">
        <is>
          <t>-</t>
        </is>
      </c>
      <c r="V1088" s="24" t="n">
        <v>45567</v>
      </c>
      <c r="W1088" s="19" t="inlineStr">
        <is>
          <t>N/A</t>
        </is>
      </c>
      <c r="X1088" s="10">
        <f>+IFERROR(IF(VLOOKUP(Tabla2[[#This Row],[ID]],'EVALUACION DE RIESGO'!A:A,1,FALSE)=Tabla2[[#This Row],[ID]],"SI","NO"),"NO")</f>
        <v/>
      </c>
    </row>
    <row r="1089">
      <c r="A1089" s="91" t="inlineStr">
        <is>
          <t>67-GRI</t>
        </is>
      </c>
      <c r="B1089" s="10" t="inlineStr">
        <is>
          <t>ESTRATÉGICO</t>
        </is>
      </c>
      <c r="C1089" s="10" t="inlineStr">
        <is>
          <t>Gestión de Riesgos</t>
        </is>
      </c>
      <c r="D1089" s="10" t="inlineStr">
        <is>
          <t>GRI</t>
        </is>
      </c>
      <c r="E1089" s="10" t="inlineStr">
        <is>
          <t>Gestión de Riesgo de Liquidez</t>
        </is>
      </c>
      <c r="F1089" s="10" t="inlineStr">
        <is>
          <t>-</t>
        </is>
      </c>
      <c r="G1089" s="10" t="inlineStr">
        <is>
          <t xml:space="preserve">Consolidación de la información    </t>
        </is>
      </c>
      <c r="H1089" s="10" t="inlineStr">
        <is>
          <t>Reporte de Anexos B1, B2 y restringidos de las captaciones por monto de la cuenta 2101, 2103 y 2105.</t>
        </is>
      </c>
      <c r="I1089" s="10" t="inlineStr">
        <is>
          <t xml:space="preserve">Análisis de las Captaciones por monto </t>
        </is>
      </c>
      <c r="J1089" s="10" t="inlineStr">
        <is>
          <t>GERENTE DE RIESGOS</t>
        </is>
      </c>
      <c r="K1089" s="10" t="inlineStr">
        <is>
          <t>ANALISTA DE RIESGO DE LIQUIDEZ Y MERCADO</t>
        </is>
      </c>
      <c r="L1089" s="10" t="inlineStr">
        <is>
          <t>UBICACIÓN DIGITAL-EQUIPO DEL RESPONSABLE</t>
        </is>
      </c>
      <c r="M1089" s="10" t="inlineStr">
        <is>
          <t>DOCUMENTO DE ARCHIVO-ELECTRÓNICO</t>
        </is>
      </c>
      <c r="N1089" s="10" t="inlineStr">
        <is>
          <t>PRIMARIOS</t>
        </is>
      </c>
      <c r="O1089" s="10" t="inlineStr">
        <is>
          <t>DOCUMENTOS TÉCNICOS</t>
        </is>
      </c>
      <c r="P1089" s="10" t="inlineStr">
        <is>
          <t>PUBLICA(1)</t>
        </is>
      </c>
      <c r="Q1089" s="10" t="inlineStr">
        <is>
          <t>ALTA(3)</t>
        </is>
      </c>
      <c r="R1089" s="10" t="inlineStr">
        <is>
          <t>MEDIA(2)</t>
        </is>
      </c>
      <c r="S1089" s="10">
        <f>+(IF(P1089="PUBLICA(1)",1,IF(P1089="USO INTERNO(2)",2,IF(P1089="RESTRINGIDO(3)",3,3))))+(IF(Q1089="BAJA(1)",1,IF(Q1089="MEDIA(2)",2,IF(Q1089="ALTA(3)",3,3))))+(IF(R1089="BAJA(1)",1,IF(R1089="MEDIA(2)",2,IF(R1089="ALTA(3)",3,3))))</f>
        <v/>
      </c>
      <c r="T1089" s="10">
        <f>+IF(S1089&lt;6,"BAJA",IF(S1089&lt;8,"MEDIA","ALTA"))</f>
        <v/>
      </c>
      <c r="U1089" s="10" t="inlineStr">
        <is>
          <t>-</t>
        </is>
      </c>
      <c r="V1089" s="24" t="n">
        <v>45567</v>
      </c>
      <c r="W1089" s="19" t="inlineStr">
        <is>
          <t>N/A</t>
        </is>
      </c>
      <c r="X1089" s="10">
        <f>+IFERROR(IF(VLOOKUP(Tabla2[[#This Row],[ID]],'EVALUACION DE RIESGO'!A:A,1,FALSE)=Tabla2[[#This Row],[ID]],"SI","NO"),"NO")</f>
        <v/>
      </c>
    </row>
    <row r="1090">
      <c r="A1090" s="91" t="inlineStr">
        <is>
          <t>68-GRI</t>
        </is>
      </c>
      <c r="B1090" s="10" t="inlineStr">
        <is>
          <t>ESTRATÉGICO</t>
        </is>
      </c>
      <c r="C1090" s="10" t="inlineStr">
        <is>
          <t>Gestión de Riesgos</t>
        </is>
      </c>
      <c r="D1090" s="10" t="inlineStr">
        <is>
          <t>GRI</t>
        </is>
      </c>
      <c r="E1090" s="10" t="inlineStr">
        <is>
          <t>Gestión de Riesgo de Liquidez</t>
        </is>
      </c>
      <c r="F1090" s="10" t="inlineStr">
        <is>
          <t>-</t>
        </is>
      </c>
      <c r="G1090" s="10" t="inlineStr">
        <is>
          <t xml:space="preserve">Consolidación de la información    </t>
        </is>
      </c>
      <c r="H1090" s="10" t="inlineStr">
        <is>
          <t>Reporte Anexo B3 Obligaciones Financieras</t>
        </is>
      </c>
      <c r="I1090" s="10" t="inlineStr">
        <is>
          <t xml:space="preserve">Monitoreo de las Obligaciones Financieras </t>
        </is>
      </c>
      <c r="J1090" s="10" t="inlineStr">
        <is>
          <t>GERENTE DE RIESGOS</t>
        </is>
      </c>
      <c r="K1090" s="10" t="inlineStr">
        <is>
          <t>ANALISTA DE RIESGO DE LIQUIDEZ Y MERCADO</t>
        </is>
      </c>
      <c r="L1090" s="10" t="inlineStr">
        <is>
          <t>UBICACIÓN DIGITAL-EQUIPO DEL RESPONSABLE</t>
        </is>
      </c>
      <c r="M1090" s="10" t="inlineStr">
        <is>
          <t>DOCUMENTO DE ARCHIVO-ELECTRÓNICO</t>
        </is>
      </c>
      <c r="N1090" s="10" t="inlineStr">
        <is>
          <t>PRIMARIOS</t>
        </is>
      </c>
      <c r="O1090" s="10" t="inlineStr">
        <is>
          <t>DOCUMENTOS TÉCNICOS</t>
        </is>
      </c>
      <c r="P1090" s="10" t="inlineStr">
        <is>
          <t>PUBLICA(1)</t>
        </is>
      </c>
      <c r="Q1090" s="10" t="inlineStr">
        <is>
          <t>ALTA(3)</t>
        </is>
      </c>
      <c r="R1090" s="10" t="inlineStr">
        <is>
          <t>MEDIA(2)</t>
        </is>
      </c>
      <c r="S1090" s="10">
        <f>+(IF(P1090="PUBLICA(1)",1,IF(P1090="USO INTERNO(2)",2,IF(P1090="RESTRINGIDO(3)",3,3))))+(IF(Q1090="BAJA(1)",1,IF(Q1090="MEDIA(2)",2,IF(Q1090="ALTA(3)",3,3))))+(IF(R1090="BAJA(1)",1,IF(R1090="MEDIA(2)",2,IF(R1090="ALTA(3)",3,3))))</f>
        <v/>
      </c>
      <c r="T1090" s="10">
        <f>+IF(S1090&lt;6,"BAJA",IF(S1090&lt;8,"MEDIA","ALTA"))</f>
        <v/>
      </c>
      <c r="U1090" s="10" t="inlineStr">
        <is>
          <t>-</t>
        </is>
      </c>
      <c r="V1090" s="24" t="n">
        <v>45567</v>
      </c>
      <c r="W1090" s="19" t="inlineStr">
        <is>
          <t>N/A</t>
        </is>
      </c>
      <c r="X1090" s="10">
        <f>+IFERROR(IF(VLOOKUP(Tabla2[[#This Row],[ID]],'EVALUACION DE RIESGO'!A:A,1,FALSE)=Tabla2[[#This Row],[ID]],"SI","NO"),"NO")</f>
        <v/>
      </c>
    </row>
    <row r="1091">
      <c r="A1091" s="91" t="inlineStr">
        <is>
          <t>69-GRI</t>
        </is>
      </c>
      <c r="B1091" s="10" t="inlineStr">
        <is>
          <t>ESTRATÉGICO</t>
        </is>
      </c>
      <c r="C1091" s="10" t="inlineStr">
        <is>
          <t>Gestión de Riesgos</t>
        </is>
      </c>
      <c r="D1091" s="10" t="inlineStr">
        <is>
          <t>GRI</t>
        </is>
      </c>
      <c r="E1091" s="10" t="inlineStr">
        <is>
          <t>Gestión de Riesgo de Liquidez</t>
        </is>
      </c>
      <c r="F1091" s="10" t="inlineStr">
        <is>
          <t>-</t>
        </is>
      </c>
      <c r="G1091" s="10" t="inlineStr">
        <is>
          <t xml:space="preserve">Consolidación de la información    </t>
        </is>
      </c>
      <c r="H1091" s="10" t="inlineStr">
        <is>
          <t>Reporte de concentración de inversiones</t>
        </is>
      </c>
      <c r="I1091" s="10" t="inlineStr">
        <is>
          <t xml:space="preserve">Revisión al Portafolio de inversiones </t>
        </is>
      </c>
      <c r="J1091" s="10" t="inlineStr">
        <is>
          <t>GERENTE DE RIESGOS</t>
        </is>
      </c>
      <c r="K1091" s="10" t="inlineStr">
        <is>
          <t>ANALISTA DE RIESGO DE LIQUIDEZ Y MERCADO</t>
        </is>
      </c>
      <c r="L1091" s="10" t="inlineStr">
        <is>
          <t>UBICACIÓN DIGITAL-EQUIPO DEL RESPONSABLE</t>
        </is>
      </c>
      <c r="M1091" s="10" t="inlineStr">
        <is>
          <t>DOCUMENTO DE ARCHIVO-ELECTRÓNICO</t>
        </is>
      </c>
      <c r="N1091" s="10" t="inlineStr">
        <is>
          <t>PRIMARIOS</t>
        </is>
      </c>
      <c r="O1091" s="10" t="inlineStr">
        <is>
          <t>DOCUMENTOS TÉCNICOS</t>
        </is>
      </c>
      <c r="P1091" s="10" t="inlineStr">
        <is>
          <t>PUBLICA(1)</t>
        </is>
      </c>
      <c r="Q1091" s="10" t="inlineStr">
        <is>
          <t>ALTA(3)</t>
        </is>
      </c>
      <c r="R1091" s="10" t="inlineStr">
        <is>
          <t>MEDIA(2)</t>
        </is>
      </c>
      <c r="S1091" s="10">
        <f>+(IF(P1091="PUBLICA(1)",1,IF(P1091="USO INTERNO(2)",2,IF(P1091="RESTRINGIDO(3)",3,3))))+(IF(Q1091="BAJA(1)",1,IF(Q1091="MEDIA(2)",2,IF(Q1091="ALTA(3)",3,3))))+(IF(R1091="BAJA(1)",1,IF(R1091="MEDIA(2)",2,IF(R1091="ALTA(3)",3,3))))</f>
        <v/>
      </c>
      <c r="T1091" s="10">
        <f>+IF(S1091&lt;6,"BAJA",IF(S1091&lt;8,"MEDIA","ALTA"))</f>
        <v/>
      </c>
      <c r="U1091" s="10" t="inlineStr">
        <is>
          <t>-</t>
        </is>
      </c>
      <c r="V1091" s="24" t="n">
        <v>45567</v>
      </c>
      <c r="W1091" s="19" t="inlineStr">
        <is>
          <t>N/A</t>
        </is>
      </c>
      <c r="X1091" s="10">
        <f>+IFERROR(IF(VLOOKUP(Tabla2[[#This Row],[ID]],'EVALUACION DE RIESGO'!A:A,1,FALSE)=Tabla2[[#This Row],[ID]],"SI","NO"),"NO")</f>
        <v/>
      </c>
    </row>
    <row r="1092">
      <c r="A1092" s="91" t="inlineStr">
        <is>
          <t>70-GRI</t>
        </is>
      </c>
      <c r="B1092" s="10" t="inlineStr">
        <is>
          <t>ESTRATÉGICO</t>
        </is>
      </c>
      <c r="C1092" s="10" t="inlineStr">
        <is>
          <t>Gestión de Riesgos</t>
        </is>
      </c>
      <c r="D1092" s="10" t="inlineStr">
        <is>
          <t>GRI</t>
        </is>
      </c>
      <c r="E1092" s="10" t="inlineStr">
        <is>
          <t>Gestión de Riesgo de Liquidez</t>
        </is>
      </c>
      <c r="F1092" s="10" t="inlineStr">
        <is>
          <t>-</t>
        </is>
      </c>
      <c r="G1092" s="10" t="inlineStr">
        <is>
          <t xml:space="preserve">Consolidación de la información    </t>
        </is>
      </c>
      <c r="H1092" s="10" t="inlineStr">
        <is>
          <t xml:space="preserve">Reporte de perdidas esperadas del portafolio de inversiones </t>
        </is>
      </c>
      <c r="I1092" s="10" t="inlineStr">
        <is>
          <t>Cálculo de pérdidas esperadas del portafolio de inversiones</t>
        </is>
      </c>
      <c r="J1092" s="10" t="inlineStr">
        <is>
          <t>GERENTE DE RIESGOS</t>
        </is>
      </c>
      <c r="K1092" s="10" t="inlineStr">
        <is>
          <t>ANALISTA DE RIESGO DE LIQUIDEZ Y MERCADO</t>
        </is>
      </c>
      <c r="L1092" s="10" t="inlineStr">
        <is>
          <t>UBICACIÓN DIGITAL-EQUIPO DEL RESPONSABLE</t>
        </is>
      </c>
      <c r="M1092" s="10" t="inlineStr">
        <is>
          <t>DOCUMENTO DE ARCHIVO-ELECTRÓNICO</t>
        </is>
      </c>
      <c r="N1092" s="10" t="inlineStr">
        <is>
          <t>PRIMARIOS</t>
        </is>
      </c>
      <c r="O1092" s="10" t="inlineStr">
        <is>
          <t>DOCUMENTOS TÉCNICOS</t>
        </is>
      </c>
      <c r="P1092" s="10" t="inlineStr">
        <is>
          <t>PUBLICA(1)</t>
        </is>
      </c>
      <c r="Q1092" s="10" t="inlineStr">
        <is>
          <t>ALTA(3)</t>
        </is>
      </c>
      <c r="R1092" s="10" t="inlineStr">
        <is>
          <t>MEDIA(2)</t>
        </is>
      </c>
      <c r="S1092" s="10">
        <f>+(IF(P1092="PUBLICA(1)",1,IF(P1092="USO INTERNO(2)",2,IF(P1092="RESTRINGIDO(3)",3,3))))+(IF(Q1092="BAJA(1)",1,IF(Q1092="MEDIA(2)",2,IF(Q1092="ALTA(3)",3,3))))+(IF(R1092="BAJA(1)",1,IF(R1092="MEDIA(2)",2,IF(R1092="ALTA(3)",3,3))))</f>
        <v/>
      </c>
      <c r="T1092" s="10">
        <f>+IF(S1092&lt;6,"BAJA",IF(S1092&lt;8,"MEDIA","ALTA"))</f>
        <v/>
      </c>
      <c r="U1092" s="10" t="inlineStr">
        <is>
          <t>-</t>
        </is>
      </c>
      <c r="V1092" s="24" t="n">
        <v>45567</v>
      </c>
      <c r="W1092" s="19" t="inlineStr">
        <is>
          <t>N/A</t>
        </is>
      </c>
      <c r="X1092" s="10">
        <f>+IFERROR(IF(VLOOKUP(Tabla2[[#This Row],[ID]],'EVALUACION DE RIESGO'!A:A,1,FALSE)=Tabla2[[#This Row],[ID]],"SI","NO"),"NO")</f>
        <v/>
      </c>
    </row>
    <row r="1093">
      <c r="A1093" s="91" t="inlineStr">
        <is>
          <t>71-GRI</t>
        </is>
      </c>
      <c r="B1093" s="10" t="inlineStr">
        <is>
          <t>ESTRATÉGICO</t>
        </is>
      </c>
      <c r="C1093" s="10" t="inlineStr">
        <is>
          <t>Gestión de Riesgos</t>
        </is>
      </c>
      <c r="D1093" s="10" t="inlineStr">
        <is>
          <t>GRI</t>
        </is>
      </c>
      <c r="E1093" s="10" t="inlineStr">
        <is>
          <t>Gestión de Riesgo de Liquidez</t>
        </is>
      </c>
      <c r="F1093" s="10" t="inlineStr">
        <is>
          <t>-</t>
        </is>
      </c>
      <c r="G1093" s="10" t="inlineStr">
        <is>
          <t xml:space="preserve">Consolidación de la información    </t>
        </is>
      </c>
      <c r="H1093" s="10" t="inlineStr">
        <is>
          <t>Reporte concentración fondos disponibles</t>
        </is>
      </c>
      <c r="I1093" s="10" t="inlineStr">
        <is>
          <t>Revisión concentración fondos disponibles</t>
        </is>
      </c>
      <c r="J1093" s="10" t="inlineStr">
        <is>
          <t>GERENTE DE RIESGOS</t>
        </is>
      </c>
      <c r="K1093" s="10" t="inlineStr">
        <is>
          <t>ANALISTA DE RIESGO DE LIQUIDEZ Y MERCADO</t>
        </is>
      </c>
      <c r="L1093" s="10" t="inlineStr">
        <is>
          <t>UBICACIÓN DIGITAL-EQUIPO DEL RESPONSABLE</t>
        </is>
      </c>
      <c r="M1093" s="10" t="inlineStr">
        <is>
          <t>DOCUMENTO DE ARCHIVO-ELECTRÓNICO</t>
        </is>
      </c>
      <c r="N1093" s="10" t="inlineStr">
        <is>
          <t>PRIMARIOS</t>
        </is>
      </c>
      <c r="O1093" s="10" t="inlineStr">
        <is>
          <t>DOCUMENTOS TÉCNICOS</t>
        </is>
      </c>
      <c r="P1093" s="10" t="inlineStr">
        <is>
          <t>PUBLICA(1)</t>
        </is>
      </c>
      <c r="Q1093" s="10" t="inlineStr">
        <is>
          <t>ALTA(3)</t>
        </is>
      </c>
      <c r="R1093" s="10" t="inlineStr">
        <is>
          <t>MEDIA(2)</t>
        </is>
      </c>
      <c r="S1093" s="10">
        <f>+(IF(P1093="PUBLICA(1)",1,IF(P1093="USO INTERNO(2)",2,IF(P1093="RESTRINGIDO(3)",3,3))))+(IF(Q1093="BAJA(1)",1,IF(Q1093="MEDIA(2)",2,IF(Q1093="ALTA(3)",3,3))))+(IF(R1093="BAJA(1)",1,IF(R1093="MEDIA(2)",2,IF(R1093="ALTA(3)",3,3))))</f>
        <v/>
      </c>
      <c r="T1093" s="10">
        <f>+IF(S1093&lt;6,"BAJA",IF(S1093&lt;8,"MEDIA","ALTA"))</f>
        <v/>
      </c>
      <c r="U1093" s="10" t="inlineStr">
        <is>
          <t>-</t>
        </is>
      </c>
      <c r="V1093" s="24" t="n">
        <v>45567</v>
      </c>
      <c r="W1093" s="19" t="inlineStr">
        <is>
          <t>N/A</t>
        </is>
      </c>
      <c r="X1093" s="10">
        <f>+IFERROR(IF(VLOOKUP(Tabla2[[#This Row],[ID]],'EVALUACION DE RIESGO'!A:A,1,FALSE)=Tabla2[[#This Row],[ID]],"SI","NO"),"NO")</f>
        <v/>
      </c>
    </row>
    <row r="1094">
      <c r="A1094" s="91" t="inlineStr">
        <is>
          <t>72-GRI</t>
        </is>
      </c>
      <c r="B1094" s="10" t="inlineStr">
        <is>
          <t>ESTRATÉGICO</t>
        </is>
      </c>
      <c r="C1094" s="10" t="inlineStr">
        <is>
          <t>Gestión de Riesgos</t>
        </is>
      </c>
      <c r="D1094" s="10" t="inlineStr">
        <is>
          <t>GRI</t>
        </is>
      </c>
      <c r="E1094" s="10" t="inlineStr">
        <is>
          <t>Gestión de Riesgo de Liquidez</t>
        </is>
      </c>
      <c r="F1094" s="10" t="inlineStr">
        <is>
          <t>-</t>
        </is>
      </c>
      <c r="G1094" s="10" t="inlineStr">
        <is>
          <t xml:space="preserve">Consolidación de la información    </t>
        </is>
      </c>
      <c r="H1094" s="10" t="inlineStr">
        <is>
          <t>Reporte de Alertas Tempranas de Liquidez</t>
        </is>
      </c>
      <c r="I1094" s="10" t="inlineStr">
        <is>
          <t xml:space="preserve">Análisis y elaboración de Alertas Tempranas de liquidez y seguimiento de límites de tolerancia </t>
        </is>
      </c>
      <c r="J1094" s="10" t="inlineStr">
        <is>
          <t>GERENTE DE RIESGOS</t>
        </is>
      </c>
      <c r="K1094" s="10" t="inlineStr">
        <is>
          <t>ANALISTA DE RIESGO DE LIQUIDEZ Y MERCADO</t>
        </is>
      </c>
      <c r="L1094" s="10" t="inlineStr">
        <is>
          <t>UBICACIÓN DIGITAL-EQUIPO DEL RESPONSABLE</t>
        </is>
      </c>
      <c r="M1094" s="10" t="inlineStr">
        <is>
          <t>DOCUMENTO DE ARCHIVO-ELECTRÓNICO</t>
        </is>
      </c>
      <c r="N1094" s="10" t="inlineStr">
        <is>
          <t>PRIMARIOS</t>
        </is>
      </c>
      <c r="O1094" s="10" t="inlineStr">
        <is>
          <t>DOCUMENTOS TÉCNICOS</t>
        </is>
      </c>
      <c r="P1094" s="10" t="inlineStr">
        <is>
          <t>PUBLICA(1)</t>
        </is>
      </c>
      <c r="Q1094" s="10" t="inlineStr">
        <is>
          <t>ALTA(3)</t>
        </is>
      </c>
      <c r="R1094" s="10" t="inlineStr">
        <is>
          <t>MEDIA(2)</t>
        </is>
      </c>
      <c r="S1094" s="10">
        <f>+(IF(P1094="PUBLICA(1)",1,IF(P1094="USO INTERNO(2)",2,IF(P1094="RESTRINGIDO(3)",3,3))))+(IF(Q1094="BAJA(1)",1,IF(Q1094="MEDIA(2)",2,IF(Q1094="ALTA(3)",3,3))))+(IF(R1094="BAJA(1)",1,IF(R1094="MEDIA(2)",2,IF(R1094="ALTA(3)",3,3))))</f>
        <v/>
      </c>
      <c r="T1094" s="10">
        <f>+IF(S1094&lt;6,"BAJA",IF(S1094&lt;8,"MEDIA","ALTA"))</f>
        <v/>
      </c>
      <c r="U1094" s="10" t="inlineStr">
        <is>
          <t>-</t>
        </is>
      </c>
      <c r="V1094" s="24" t="n">
        <v>45567</v>
      </c>
      <c r="W1094" s="19" t="inlineStr">
        <is>
          <t>N/A</t>
        </is>
      </c>
      <c r="X1094" s="10">
        <f>+IFERROR(IF(VLOOKUP(Tabla2[[#This Row],[ID]],'EVALUACION DE RIESGO'!A:A,1,FALSE)=Tabla2[[#This Row],[ID]],"SI","NO"),"NO")</f>
        <v/>
      </c>
    </row>
    <row r="1095">
      <c r="A1095" s="91" t="inlineStr">
        <is>
          <t>73-GRI</t>
        </is>
      </c>
      <c r="B1095" s="10" t="inlineStr">
        <is>
          <t>ESTRATÉGICO</t>
        </is>
      </c>
      <c r="C1095" s="10" t="inlineStr">
        <is>
          <t>Gestión de Riesgos</t>
        </is>
      </c>
      <c r="D1095" s="10" t="inlineStr">
        <is>
          <t>GRI</t>
        </is>
      </c>
      <c r="E1095" s="10" t="inlineStr">
        <is>
          <t>Gestión de Riesgo de Liquidez</t>
        </is>
      </c>
      <c r="F1095" s="10" t="inlineStr">
        <is>
          <t>-</t>
        </is>
      </c>
      <c r="G1095" s="10" t="inlineStr">
        <is>
          <t xml:space="preserve">Consolidación de la información    </t>
        </is>
      </c>
      <c r="H1095" s="10" t="inlineStr">
        <is>
          <t>Reportes de stress testing de liquidez, Reportes de backtesting.</t>
        </is>
      </c>
      <c r="I1095" s="10" t="inlineStr">
        <is>
          <t>Análisis y elaboración de stress testing de liquidez (pruebas de tensión)</t>
        </is>
      </c>
      <c r="J1095" s="10" t="inlineStr">
        <is>
          <t>GERENTE DE RIESGOS</t>
        </is>
      </c>
      <c r="K1095" s="10" t="inlineStr">
        <is>
          <t>ANALISTA DE RIESGO DE LIQUIDEZ Y MERCADO</t>
        </is>
      </c>
      <c r="L1095" s="10" t="inlineStr">
        <is>
          <t>UBICACIÓN DIGITAL-EQUIPO DEL RESPONSABLE</t>
        </is>
      </c>
      <c r="M1095" s="10" t="inlineStr">
        <is>
          <t>DOCUMENTO DE ARCHIVO-ELECTRÓNICO</t>
        </is>
      </c>
      <c r="N1095" s="10" t="inlineStr">
        <is>
          <t>PRIMARIOS</t>
        </is>
      </c>
      <c r="O1095" s="10" t="inlineStr">
        <is>
          <t>DOCUMENTOS TÉCNICOS</t>
        </is>
      </c>
      <c r="P1095" s="10" t="inlineStr">
        <is>
          <t>PUBLICA(1)</t>
        </is>
      </c>
      <c r="Q1095" s="10" t="inlineStr">
        <is>
          <t>ALTA(3)</t>
        </is>
      </c>
      <c r="R1095" s="10" t="inlineStr">
        <is>
          <t>MEDIA(2)</t>
        </is>
      </c>
      <c r="S1095" s="10">
        <f>+(IF(P1095="PUBLICA(1)",1,IF(P1095="USO INTERNO(2)",2,IF(P1095="RESTRINGIDO(3)",3,3))))+(IF(Q1095="BAJA(1)",1,IF(Q1095="MEDIA(2)",2,IF(Q1095="ALTA(3)",3,3))))+(IF(R1095="BAJA(1)",1,IF(R1095="MEDIA(2)",2,IF(R1095="ALTA(3)",3,3))))</f>
        <v/>
      </c>
      <c r="T1095" s="10">
        <f>+IF(S1095&lt;6,"BAJA",IF(S1095&lt;8,"MEDIA","ALTA"))</f>
        <v/>
      </c>
      <c r="U1095" s="10" t="inlineStr">
        <is>
          <t>-</t>
        </is>
      </c>
      <c r="V1095" s="24" t="n">
        <v>45567</v>
      </c>
      <c r="W1095" s="19" t="inlineStr">
        <is>
          <t>N/A</t>
        </is>
      </c>
      <c r="X1095" s="10">
        <f>+IFERROR(IF(VLOOKUP(Tabla2[[#This Row],[ID]],'EVALUACION DE RIESGO'!A:A,1,FALSE)=Tabla2[[#This Row],[ID]],"SI","NO"),"NO")</f>
        <v/>
      </c>
    </row>
    <row r="1096">
      <c r="A1096" s="91" t="inlineStr">
        <is>
          <t>74-GRI</t>
        </is>
      </c>
      <c r="B1096" s="10" t="inlineStr">
        <is>
          <t>ESTRATÉGICO</t>
        </is>
      </c>
      <c r="C1096" s="10" t="inlineStr">
        <is>
          <t>Gestión de Riesgos</t>
        </is>
      </c>
      <c r="D1096" s="10" t="inlineStr">
        <is>
          <t>GRI</t>
        </is>
      </c>
      <c r="E1096" s="10" t="inlineStr">
        <is>
          <t>Gestión de Riesgo de Liquidez</t>
        </is>
      </c>
      <c r="F1096" s="10" t="inlineStr">
        <is>
          <t>-</t>
        </is>
      </c>
      <c r="G1096" s="10" t="inlineStr">
        <is>
          <t xml:space="preserve">Consolidación de la información    </t>
        </is>
      </c>
      <c r="H1096" s="10" t="inlineStr">
        <is>
          <t>Reportes de backtesting de liquidez.</t>
        </is>
      </c>
      <c r="I1096" s="10" t="inlineStr">
        <is>
          <t>Análisis y elaboración de backtesting de liquidez</t>
        </is>
      </c>
      <c r="J1096" s="10" t="inlineStr">
        <is>
          <t>GERENTE DE RIESGOS</t>
        </is>
      </c>
      <c r="K1096" s="10" t="inlineStr">
        <is>
          <t>ANALISTA DE RIESGO DE LIQUIDEZ Y MERCADO</t>
        </is>
      </c>
      <c r="L1096" s="10" t="inlineStr">
        <is>
          <t>UBICACIÓN DIGITAL-EQUIPO DEL RESPONSABLE</t>
        </is>
      </c>
      <c r="M1096" s="10" t="inlineStr">
        <is>
          <t>DOCUMENTO DE ARCHIVO-ELECTRÓNICO</t>
        </is>
      </c>
      <c r="N1096" s="10" t="inlineStr">
        <is>
          <t>PRIMARIOS</t>
        </is>
      </c>
      <c r="O1096" s="10" t="inlineStr">
        <is>
          <t>DOCUMENTOS TÉCNICOS</t>
        </is>
      </c>
      <c r="P1096" s="10" t="inlineStr">
        <is>
          <t>PUBLICA(1)</t>
        </is>
      </c>
      <c r="Q1096" s="10" t="inlineStr">
        <is>
          <t>ALTA(3)</t>
        </is>
      </c>
      <c r="R1096" s="10" t="inlineStr">
        <is>
          <t>MEDIA(2)</t>
        </is>
      </c>
      <c r="S1096" s="10">
        <f>+(IF(P1096="PUBLICA(1)",1,IF(P1096="USO INTERNO(2)",2,IF(P1096="RESTRINGIDO(3)",3,3))))+(IF(Q1096="BAJA(1)",1,IF(Q1096="MEDIA(2)",2,IF(Q1096="ALTA(3)",3,3))))+(IF(R1096="BAJA(1)",1,IF(R1096="MEDIA(2)",2,IF(R1096="ALTA(3)",3,3))))</f>
        <v/>
      </c>
      <c r="T1096" s="10">
        <f>+IF(S1096&lt;6,"BAJA",IF(S1096&lt;8,"MEDIA","ALTA"))</f>
        <v/>
      </c>
      <c r="U1096" s="10" t="inlineStr">
        <is>
          <t>-</t>
        </is>
      </c>
      <c r="V1096" s="24" t="n">
        <v>45567</v>
      </c>
      <c r="W1096" s="19" t="inlineStr">
        <is>
          <t>N/A</t>
        </is>
      </c>
      <c r="X1096" s="10">
        <f>+IFERROR(IF(VLOOKUP(Tabla2[[#This Row],[ID]],'EVALUACION DE RIESGO'!A:A,1,FALSE)=Tabla2[[#This Row],[ID]],"SI","NO"),"NO")</f>
        <v/>
      </c>
    </row>
    <row r="1097">
      <c r="A1097" s="91" t="inlineStr">
        <is>
          <t>75-GRI</t>
        </is>
      </c>
      <c r="B1097" s="10" t="inlineStr">
        <is>
          <t>ESTRATÉGICO</t>
        </is>
      </c>
      <c r="C1097" s="10" t="inlineStr">
        <is>
          <t>Gestión de Riesgos</t>
        </is>
      </c>
      <c r="D1097" s="10" t="inlineStr">
        <is>
          <t>GRI</t>
        </is>
      </c>
      <c r="E1097" s="10" t="inlineStr">
        <is>
          <t>Gestión de Riesgo de Liquidez</t>
        </is>
      </c>
      <c r="F1097" s="10" t="inlineStr">
        <is>
          <t>-</t>
        </is>
      </c>
      <c r="G1097" s="10" t="inlineStr">
        <is>
          <t xml:space="preserve">Consolidación de la información    </t>
        </is>
      </c>
      <c r="H1097" s="10" t="inlineStr">
        <is>
          <t>Hojas de trabajo</t>
        </is>
      </c>
      <c r="I1097" s="10" t="inlineStr">
        <is>
          <t>Consolidacion de información</t>
        </is>
      </c>
      <c r="J1097" s="10" t="inlineStr">
        <is>
          <t>GERENTE DE RIESGOS</t>
        </is>
      </c>
      <c r="K1097" s="10" t="inlineStr">
        <is>
          <t>ANALISTA DE RIESGO DE LIQUIDEZ Y MERCADO</t>
        </is>
      </c>
      <c r="L1097" s="10" t="inlineStr">
        <is>
          <t>UBICACIÓN DIGITAL-EQUIPO DEL RESPONSABLE</t>
        </is>
      </c>
      <c r="M1097" s="10" t="inlineStr">
        <is>
          <t>DOCUMENTO DE ARCHIVO-ELECTRÓNICO</t>
        </is>
      </c>
      <c r="N1097" s="10" t="inlineStr">
        <is>
          <t>PRIMARIOS</t>
        </is>
      </c>
      <c r="O1097" s="10" t="inlineStr">
        <is>
          <t>DOCUMENTOS TÉCNICOS</t>
        </is>
      </c>
      <c r="P1097" s="10" t="inlineStr">
        <is>
          <t>PUBLICA(1)</t>
        </is>
      </c>
      <c r="Q1097" s="10" t="inlineStr">
        <is>
          <t>ALTA(3)</t>
        </is>
      </c>
      <c r="R1097" s="10" t="inlineStr">
        <is>
          <t>MEDIA(2)</t>
        </is>
      </c>
      <c r="S1097" s="10">
        <f>+(IF(P1097="PUBLICA(1)",1,IF(P1097="USO INTERNO(2)",2,IF(P1097="RESTRINGIDO(3)",3,3))))+(IF(Q1097="BAJA(1)",1,IF(Q1097="MEDIA(2)",2,IF(Q1097="ALTA(3)",3,3))))+(IF(R1097="BAJA(1)",1,IF(R1097="MEDIA(2)",2,IF(R1097="ALTA(3)",3,3))))</f>
        <v/>
      </c>
      <c r="T1097" s="10">
        <f>+IF(S1097&lt;6,"BAJA",IF(S1097&lt;8,"MEDIA","ALTA"))</f>
        <v/>
      </c>
      <c r="U1097" s="10" t="inlineStr">
        <is>
          <t>-</t>
        </is>
      </c>
      <c r="V1097" s="24" t="n">
        <v>45567</v>
      </c>
      <c r="W1097" s="19" t="inlineStr">
        <is>
          <t>N/A</t>
        </is>
      </c>
      <c r="X1097" s="10">
        <f>+IFERROR(IF(VLOOKUP(Tabla2[[#This Row],[ID]],'EVALUACION DE RIESGO'!A:A,1,FALSE)=Tabla2[[#This Row],[ID]],"SI","NO"),"NO")</f>
        <v/>
      </c>
    </row>
    <row r="1098">
      <c r="A1098" s="91" t="inlineStr">
        <is>
          <t>76-GRI</t>
        </is>
      </c>
      <c r="B1098" s="10" t="inlineStr">
        <is>
          <t>ESTRATÉGICO</t>
        </is>
      </c>
      <c r="C1098" s="10" t="inlineStr">
        <is>
          <t>Gestión de Riesgos</t>
        </is>
      </c>
      <c r="D1098" s="10" t="inlineStr">
        <is>
          <t>GRI</t>
        </is>
      </c>
      <c r="E1098" s="10" t="inlineStr">
        <is>
          <t>Gestión de Riesgo de Liquidez</t>
        </is>
      </c>
      <c r="F1098" s="10" t="inlineStr">
        <is>
          <t>-</t>
        </is>
      </c>
      <c r="G1098" s="10" t="inlineStr">
        <is>
          <t xml:space="preserve">Consolidación de la información    </t>
        </is>
      </c>
      <c r="H1098" s="10" t="inlineStr">
        <is>
          <t>Informe de gestión de riesgos</t>
        </is>
      </c>
      <c r="I1098" s="10" t="inlineStr">
        <is>
          <t>Comunicación la gestion del riesgo de liquidez</t>
        </is>
      </c>
      <c r="J1098" s="10" t="inlineStr">
        <is>
          <t>GERENTE DE RIESGOS</t>
        </is>
      </c>
      <c r="K1098" s="10" t="inlineStr">
        <is>
          <t>ANALISTA DE RIESGO DE LIQUIDEZ Y MERCADO</t>
        </is>
      </c>
      <c r="L1098" s="10" t="inlineStr">
        <is>
          <t>UBICACIÓN DIGITAL-EQUIPO DEL RESPONSABLE</t>
        </is>
      </c>
      <c r="M1098" s="10" t="inlineStr">
        <is>
          <t>DOCUMENTO DE ARCHIVO-ELECTRÓNICO</t>
        </is>
      </c>
      <c r="N1098" s="10" t="inlineStr">
        <is>
          <t>PRIMARIOS</t>
        </is>
      </c>
      <c r="O1098" s="10" t="inlineStr">
        <is>
          <t>DOCUMENTOS TÉCNICOS</t>
        </is>
      </c>
      <c r="P1098" s="10" t="inlineStr">
        <is>
          <t>PUBLICA(1)</t>
        </is>
      </c>
      <c r="Q1098" s="10" t="inlineStr">
        <is>
          <t>ALTA(3)</t>
        </is>
      </c>
      <c r="R1098" s="10" t="inlineStr">
        <is>
          <t>MEDIA(2)</t>
        </is>
      </c>
      <c r="S1098" s="10">
        <f>+(IF(P1098="PUBLICA(1)",1,IF(P1098="USO INTERNO(2)",2,IF(P1098="RESTRINGIDO(3)",3,3))))+(IF(Q1098="BAJA(1)",1,IF(Q1098="MEDIA(2)",2,IF(Q1098="ALTA(3)",3,3))))+(IF(R1098="BAJA(1)",1,IF(R1098="MEDIA(2)",2,IF(R1098="ALTA(3)",3,3))))</f>
        <v/>
      </c>
      <c r="T1098" s="10">
        <f>+IF(S1098&lt;6,"BAJA",IF(S1098&lt;8,"MEDIA","ALTA"))</f>
        <v/>
      </c>
      <c r="U1098" s="10" t="inlineStr">
        <is>
          <t>-</t>
        </is>
      </c>
      <c r="V1098" s="24" t="n">
        <v>45567</v>
      </c>
      <c r="W1098" s="19" t="inlineStr">
        <is>
          <t>N/A</t>
        </is>
      </c>
      <c r="X1098" s="10">
        <f>+IFERROR(IF(VLOOKUP(Tabla2[[#This Row],[ID]],'EVALUACION DE RIESGO'!A:A,1,FALSE)=Tabla2[[#This Row],[ID]],"SI","NO"),"NO")</f>
        <v/>
      </c>
    </row>
    <row r="1099">
      <c r="A1099" s="91" t="inlineStr">
        <is>
          <t>77-GRI</t>
        </is>
      </c>
      <c r="B1099" s="10" t="inlineStr">
        <is>
          <t>ESTRATÉGICO</t>
        </is>
      </c>
      <c r="C1099" s="10" t="inlineStr">
        <is>
          <t>Gestión de Riesgos</t>
        </is>
      </c>
      <c r="D1099" s="10" t="inlineStr">
        <is>
          <t>GRI</t>
        </is>
      </c>
      <c r="E1099" s="10" t="inlineStr">
        <is>
          <t>Gestión de Riesgo de Liquidez</t>
        </is>
      </c>
      <c r="F1099" s="10" t="inlineStr">
        <is>
          <t>-</t>
        </is>
      </c>
      <c r="G1099" s="10" t="inlineStr">
        <is>
          <t xml:space="preserve">Comunicación  </t>
        </is>
      </c>
      <c r="H1099" s="10" t="inlineStr">
        <is>
          <t>Informe de gestión de riesgos</t>
        </is>
      </c>
      <c r="I1099" s="10" t="inlineStr">
        <is>
          <t>Consolidacion de información</t>
        </is>
      </c>
      <c r="J1099" s="10" t="inlineStr">
        <is>
          <t>GERENTE DE RIESGOS</t>
        </is>
      </c>
      <c r="K1099" s="10" t="inlineStr">
        <is>
          <t>ANALISTA DE RIESGO DE LIQUIDEZ Y MERCADO</t>
        </is>
      </c>
      <c r="L1099" s="10" t="inlineStr">
        <is>
          <t>UBICACIÓN DIGITAL-EQUIPO DEL RESPONSABLE</t>
        </is>
      </c>
      <c r="M1099" s="10" t="inlineStr">
        <is>
          <t>DOCUMENTO DE ARCHIVO-ELECTRÓNICO</t>
        </is>
      </c>
      <c r="N1099" s="10" t="inlineStr">
        <is>
          <t>PRIMARIOS</t>
        </is>
      </c>
      <c r="O1099" s="10" t="inlineStr">
        <is>
          <t>DOCUMENTOS TÉCNICOS</t>
        </is>
      </c>
      <c r="P1099" s="10" t="inlineStr">
        <is>
          <t>PUBLICA(1)</t>
        </is>
      </c>
      <c r="Q1099" s="10" t="inlineStr">
        <is>
          <t>ALTA(3)</t>
        </is>
      </c>
      <c r="R1099" s="10" t="inlineStr">
        <is>
          <t>MEDIA(2)</t>
        </is>
      </c>
      <c r="S1099" s="10">
        <f>+(IF(P1099="PUBLICA(1)",1,IF(P1099="USO INTERNO(2)",2,IF(P1099="RESTRINGIDO(3)",3,3))))+(IF(Q1099="BAJA(1)",1,IF(Q1099="MEDIA(2)",2,IF(Q1099="ALTA(3)",3,3))))+(IF(R1099="BAJA(1)",1,IF(R1099="MEDIA(2)",2,IF(R1099="ALTA(3)",3,3))))</f>
        <v/>
      </c>
      <c r="T1099" s="10">
        <f>+IF(S1099&lt;6,"BAJA",IF(S1099&lt;8,"MEDIA","ALTA"))</f>
        <v/>
      </c>
      <c r="U1099" s="10" t="inlineStr">
        <is>
          <t>-</t>
        </is>
      </c>
      <c r="V1099" s="24" t="n">
        <v>45567</v>
      </c>
      <c r="W1099" s="19" t="inlineStr">
        <is>
          <t>N/A</t>
        </is>
      </c>
      <c r="X1099" s="10">
        <f>+IFERROR(IF(VLOOKUP(Tabla2[[#This Row],[ID]],'EVALUACION DE RIESGO'!A:A,1,FALSE)=Tabla2[[#This Row],[ID]],"SI","NO"),"NO")</f>
        <v/>
      </c>
    </row>
    <row r="1100">
      <c r="A1100" s="91" t="inlineStr">
        <is>
          <t>78-GRI</t>
        </is>
      </c>
      <c r="B1100" s="10" t="inlineStr">
        <is>
          <t>ESTRATÉGICO</t>
        </is>
      </c>
      <c r="C1100" s="10" t="inlineStr">
        <is>
          <t>Gestión de Riesgos</t>
        </is>
      </c>
      <c r="D1100" s="10" t="inlineStr">
        <is>
          <t>GRI</t>
        </is>
      </c>
      <c r="E1100" s="10" t="inlineStr">
        <is>
          <t>Gestión de Riesgo de Liquidez</t>
        </is>
      </c>
      <c r="F1100" s="10" t="inlineStr">
        <is>
          <t>-</t>
        </is>
      </c>
      <c r="G1100" s="10" t="inlineStr">
        <is>
          <t xml:space="preserve">Comunicación  </t>
        </is>
      </c>
      <c r="H1100" s="10" t="inlineStr">
        <is>
          <t xml:space="preserve">Acta del CAIR </t>
        </is>
      </c>
      <c r="I1100" s="10" t="inlineStr">
        <is>
          <t>Archivo del área</t>
        </is>
      </c>
      <c r="J1100" s="10" t="inlineStr">
        <is>
          <t>GERENTE DE RIESGOS</t>
        </is>
      </c>
      <c r="K1100" s="10" t="inlineStr">
        <is>
          <t>ANALISTA DE RIESGO DE LIQUIDEZ Y MERCADO</t>
        </is>
      </c>
      <c r="L1100" s="10" t="inlineStr">
        <is>
          <t>UBICACIÓN DIGITAL-EQUIPO DEL RESPONSABLE</t>
        </is>
      </c>
      <c r="M1100" s="10" t="inlineStr">
        <is>
          <t>DOCUMENTO DE ARCHIVO-ELECTRÓNICO</t>
        </is>
      </c>
      <c r="N1100" s="10" t="inlineStr">
        <is>
          <t>PRIMARIOS</t>
        </is>
      </c>
      <c r="O1100" s="10" t="inlineStr">
        <is>
          <t>OTROS</t>
        </is>
      </c>
      <c r="P1100" s="10" t="inlineStr">
        <is>
          <t>PUBLICA(1)</t>
        </is>
      </c>
      <c r="Q1100" s="10" t="inlineStr">
        <is>
          <t>ALTA(3)</t>
        </is>
      </c>
      <c r="R1100" s="10" t="inlineStr">
        <is>
          <t>MEDIA(2)</t>
        </is>
      </c>
      <c r="S1100" s="10">
        <f>+(IF(P1100="PUBLICA(1)",1,IF(P1100="USO INTERNO(2)",2,IF(P1100="RESTRINGIDO(3)",3,3))))+(IF(Q1100="BAJA(1)",1,IF(Q1100="MEDIA(2)",2,IF(Q1100="ALTA(3)",3,3))))+(IF(R1100="BAJA(1)",1,IF(R1100="MEDIA(2)",2,IF(R1100="ALTA(3)",3,3))))</f>
        <v/>
      </c>
      <c r="T1100" s="10">
        <f>+IF(S1100&lt;6,"BAJA",IF(S1100&lt;8,"MEDIA","ALTA"))</f>
        <v/>
      </c>
      <c r="U1100" s="10" t="inlineStr">
        <is>
          <t>-</t>
        </is>
      </c>
      <c r="V1100" s="24" t="n">
        <v>45567</v>
      </c>
      <c r="W1100" s="19" t="inlineStr">
        <is>
          <t>N/A</t>
        </is>
      </c>
      <c r="X1100" s="10">
        <f>+IFERROR(IF(VLOOKUP(Tabla2[[#This Row],[ID]],'EVALUACION DE RIESGO'!A:A,1,FALSE)=Tabla2[[#This Row],[ID]],"SI","NO"),"NO")</f>
        <v/>
      </c>
    </row>
    <row r="1101">
      <c r="A1101" s="91" t="inlineStr">
        <is>
          <t>79-GRI</t>
        </is>
      </c>
      <c r="B1101" s="10" t="inlineStr">
        <is>
          <t>ESTRATÉGICO</t>
        </is>
      </c>
      <c r="C1101" s="10" t="inlineStr">
        <is>
          <t>Gestión de Riesgos</t>
        </is>
      </c>
      <c r="D1101" s="10" t="inlineStr">
        <is>
          <t>GRI</t>
        </is>
      </c>
      <c r="E1101" s="10" t="inlineStr">
        <is>
          <t>Gestión de Riesgo de Liquidez</t>
        </is>
      </c>
      <c r="F1101" s="10" t="inlineStr">
        <is>
          <t>-</t>
        </is>
      </c>
      <c r="G1101" s="10" t="inlineStr">
        <is>
          <t xml:space="preserve">Comunicación  </t>
        </is>
      </c>
      <c r="H1101" s="10" t="inlineStr">
        <is>
          <t>Resolución del Consejo de Administración</t>
        </is>
      </c>
      <c r="I1101" s="10" t="inlineStr">
        <is>
          <t>Archivo del área</t>
        </is>
      </c>
      <c r="J1101" s="10" t="inlineStr">
        <is>
          <t>GERENTE DE RIESGOS</t>
        </is>
      </c>
      <c r="K1101" s="10" t="inlineStr">
        <is>
          <t>ANALISTA DE RIESGO DE LIQUIDEZ Y MERCADO</t>
        </is>
      </c>
      <c r="L1101" s="10" t="inlineStr">
        <is>
          <t>UBICACIÓN DIGITAL-EQUIPO DEL RESPONSABLE</t>
        </is>
      </c>
      <c r="M1101" s="10" t="inlineStr">
        <is>
          <t>DOCUMENTO DE ARCHIVO-ELECTRÓNICO</t>
        </is>
      </c>
      <c r="N1101" s="10" t="inlineStr">
        <is>
          <t>PRIMARIOS</t>
        </is>
      </c>
      <c r="O1101" s="10" t="inlineStr">
        <is>
          <t>OTROS</t>
        </is>
      </c>
      <c r="P1101" s="10" t="inlineStr">
        <is>
          <t>PUBLICA(1)</t>
        </is>
      </c>
      <c r="Q1101" s="10" t="inlineStr">
        <is>
          <t>ALTA(3)</t>
        </is>
      </c>
      <c r="R1101" s="10" t="inlineStr">
        <is>
          <t>MEDIA(2)</t>
        </is>
      </c>
      <c r="S1101" s="10">
        <f>+(IF(P1101="PUBLICA(1)",1,IF(P1101="USO INTERNO(2)",2,IF(P1101="RESTRINGIDO(3)",3,3))))+(IF(Q1101="BAJA(1)",1,IF(Q1101="MEDIA(2)",2,IF(Q1101="ALTA(3)",3,3))))+(IF(R1101="BAJA(1)",1,IF(R1101="MEDIA(2)",2,IF(R1101="ALTA(3)",3,3))))</f>
        <v/>
      </c>
      <c r="T1101" s="10">
        <f>+IF(S1101&lt;6,"BAJA",IF(S1101&lt;8,"MEDIA","ALTA"))</f>
        <v/>
      </c>
      <c r="U1101" s="10" t="inlineStr">
        <is>
          <t>-</t>
        </is>
      </c>
      <c r="V1101" s="24" t="n">
        <v>45567</v>
      </c>
      <c r="W1101" s="19" t="inlineStr">
        <is>
          <t>N/A</t>
        </is>
      </c>
      <c r="X1101" s="10">
        <f>+IFERROR(IF(VLOOKUP(Tabla2[[#This Row],[ID]],'EVALUACION DE RIESGO'!A:A,1,FALSE)=Tabla2[[#This Row],[ID]],"SI","NO"),"NO")</f>
        <v/>
      </c>
    </row>
    <row r="1102">
      <c r="A1102" s="91" t="inlineStr">
        <is>
          <t>80-GRI</t>
        </is>
      </c>
      <c r="B1102" s="10" t="inlineStr">
        <is>
          <t>ESTRATÉGICO</t>
        </is>
      </c>
      <c r="C1102" s="10" t="inlineStr">
        <is>
          <t>Gestión de Riesgos</t>
        </is>
      </c>
      <c r="D1102" s="10" t="inlineStr">
        <is>
          <t>GRI</t>
        </is>
      </c>
      <c r="E1102" s="10" t="inlineStr">
        <is>
          <t>Gestión de Riesgo de Liquidez</t>
        </is>
      </c>
      <c r="F1102" s="10" t="inlineStr">
        <is>
          <t>-</t>
        </is>
      </c>
      <c r="G1102" s="10" t="inlineStr">
        <is>
          <t>Actualización y seguimiento del Plan de Contingencia de Liquidez</t>
        </is>
      </c>
      <c r="H1102" s="10" t="inlineStr">
        <is>
          <t>Registro de definición indicadores y límites de riesgos.</t>
        </is>
      </c>
      <c r="I1102" s="10" t="inlineStr">
        <is>
          <t>Consolidacion de la Información</t>
        </is>
      </c>
      <c r="J1102" s="10" t="inlineStr">
        <is>
          <t>GERENTE DE RIESGOS</t>
        </is>
      </c>
      <c r="K1102" s="10" t="inlineStr">
        <is>
          <t>ANALISTA DE RIESGO DE LIQUIDEZ Y MERCADO</t>
        </is>
      </c>
      <c r="L1102" s="10" t="inlineStr">
        <is>
          <t>UBICACIÓN DIGITAL-EQUIPO DEL RESPONSABLE</t>
        </is>
      </c>
      <c r="M1102" s="10" t="inlineStr">
        <is>
          <t>DOCUMENTO DE ARCHIVO-ELECTRÓNICO</t>
        </is>
      </c>
      <c r="N1102" s="10" t="inlineStr">
        <is>
          <t>PRIMARIOS</t>
        </is>
      </c>
      <c r="O1102" s="10" t="inlineStr">
        <is>
          <t>DOCUMENTOS TÉCNICOS</t>
        </is>
      </c>
      <c r="P1102" s="10" t="inlineStr">
        <is>
          <t>PUBLICA(1)</t>
        </is>
      </c>
      <c r="Q1102" s="10" t="inlineStr">
        <is>
          <t>ALTA(3)</t>
        </is>
      </c>
      <c r="R1102" s="10" t="inlineStr">
        <is>
          <t>MEDIA(2)</t>
        </is>
      </c>
      <c r="S1102" s="10">
        <f>+(IF(P1102="PUBLICA(1)",1,IF(P1102="USO INTERNO(2)",2,IF(P1102="RESTRINGIDO(3)",3,3))))+(IF(Q1102="BAJA(1)",1,IF(Q1102="MEDIA(2)",2,IF(Q1102="ALTA(3)",3,3))))+(IF(R1102="BAJA(1)",1,IF(R1102="MEDIA(2)",2,IF(R1102="ALTA(3)",3,3))))</f>
        <v/>
      </c>
      <c r="T1102" s="10">
        <f>+IF(S1102&lt;6,"BAJA",IF(S1102&lt;8,"MEDIA","ALTA"))</f>
        <v/>
      </c>
      <c r="U1102" s="10" t="inlineStr">
        <is>
          <t>-</t>
        </is>
      </c>
      <c r="V1102" s="24" t="n">
        <v>45567</v>
      </c>
      <c r="W1102" s="19" t="inlineStr">
        <is>
          <t>N/A</t>
        </is>
      </c>
      <c r="X1102" s="10">
        <f>+IFERROR(IF(VLOOKUP(Tabla2[[#This Row],[ID]],'EVALUACION DE RIESGO'!A:A,1,FALSE)=Tabla2[[#This Row],[ID]],"SI","NO"),"NO")</f>
        <v/>
      </c>
    </row>
    <row r="1103">
      <c r="A1103" s="91" t="inlineStr">
        <is>
          <t>81-GRI</t>
        </is>
      </c>
      <c r="B1103" s="10" t="inlineStr">
        <is>
          <t>ESTRATÉGICO</t>
        </is>
      </c>
      <c r="C1103" s="10" t="inlineStr">
        <is>
          <t>Gestión de Riesgos</t>
        </is>
      </c>
      <c r="D1103" s="10" t="inlineStr">
        <is>
          <t>GRI</t>
        </is>
      </c>
      <c r="E1103" s="10" t="inlineStr">
        <is>
          <t>Gestión de Riesgo de Liquidez</t>
        </is>
      </c>
      <c r="F1103" s="10" t="inlineStr">
        <is>
          <t>-</t>
        </is>
      </c>
      <c r="G1103" s="10" t="inlineStr">
        <is>
          <t>Actualización y seguimiento del Plan de Contingencia de Liquidez</t>
        </is>
      </c>
      <c r="H1103" s="10" t="inlineStr">
        <is>
          <t xml:space="preserve">Plan de Contingencia de Liquidez 
</t>
        </is>
      </c>
      <c r="I1103" s="10" t="inlineStr">
        <is>
          <t xml:space="preserve">Gestión de la Continuidad del Negocio
</t>
        </is>
      </c>
      <c r="J1103" s="10" t="inlineStr">
        <is>
          <t>GERENTE DE RIESGOS</t>
        </is>
      </c>
      <c r="K1103" s="10" t="inlineStr">
        <is>
          <t>ANALISTA DE RIESGO DE LIQUIDEZ Y MERCADO</t>
        </is>
      </c>
      <c r="L1103" s="10" t="inlineStr">
        <is>
          <t>UBICACIÓN DIGITAL-EQUIPO DEL RESPONSABLE</t>
        </is>
      </c>
      <c r="M1103" s="10" t="inlineStr">
        <is>
          <t>DOCUMENTO DE ARCHIVO-ELECTRÓNICO</t>
        </is>
      </c>
      <c r="N1103" s="10" t="inlineStr">
        <is>
          <t>PRIMARIOS</t>
        </is>
      </c>
      <c r="O1103" s="10" t="inlineStr">
        <is>
          <t>NORMATIVA INTERNA</t>
        </is>
      </c>
      <c r="P1103" s="10" t="inlineStr">
        <is>
          <t>PUBLICA(1)</t>
        </is>
      </c>
      <c r="Q1103" s="10" t="inlineStr">
        <is>
          <t>ALTA(3)</t>
        </is>
      </c>
      <c r="R1103" s="10" t="inlineStr">
        <is>
          <t>MEDIA(2)</t>
        </is>
      </c>
      <c r="S1103" s="10">
        <f>+(IF(P1103="PUBLICA(1)",1,IF(P1103="USO INTERNO(2)",2,IF(P1103="RESTRINGIDO(3)",3,3))))+(IF(Q1103="BAJA(1)",1,IF(Q1103="MEDIA(2)",2,IF(Q1103="ALTA(3)",3,3))))+(IF(R1103="BAJA(1)",1,IF(R1103="MEDIA(2)",2,IF(R1103="ALTA(3)",3,3))))</f>
        <v/>
      </c>
      <c r="T1103" s="10">
        <f>+IF(S1103&lt;6,"BAJA",IF(S1103&lt;8,"MEDIA","ALTA"))</f>
        <v/>
      </c>
      <c r="U1103" s="10" t="inlineStr">
        <is>
          <t>-</t>
        </is>
      </c>
      <c r="V1103" s="24" t="n">
        <v>45567</v>
      </c>
      <c r="W1103" s="19" t="inlineStr">
        <is>
          <t>N/A</t>
        </is>
      </c>
      <c r="X1103" s="10">
        <f>+IFERROR(IF(VLOOKUP(Tabla2[[#This Row],[ID]],'EVALUACION DE RIESGO'!A:A,1,FALSE)=Tabla2[[#This Row],[ID]],"SI","NO"),"NO")</f>
        <v/>
      </c>
    </row>
    <row r="1104">
      <c r="A1104" s="91" t="inlineStr">
        <is>
          <t>82-GRI</t>
        </is>
      </c>
      <c r="B1104" s="10" t="inlineStr">
        <is>
          <t>ESTRATÉGICO</t>
        </is>
      </c>
      <c r="C1104" s="10" t="inlineStr">
        <is>
          <t>Gestión de Riesgos</t>
        </is>
      </c>
      <c r="D1104" s="10" t="inlineStr">
        <is>
          <t>GRI</t>
        </is>
      </c>
      <c r="E1104" s="10" t="inlineStr">
        <is>
          <t>Gestión de Riesgo de Liquidez</t>
        </is>
      </c>
      <c r="F1104" s="10" t="inlineStr">
        <is>
          <t>-</t>
        </is>
      </c>
      <c r="G1104" s="10" t="inlineStr">
        <is>
          <t>Actualización y seguimiento del Plan de Contingencia de Liquidez</t>
        </is>
      </c>
      <c r="H1104" s="10" t="inlineStr">
        <is>
          <t>Anexo de activos para la venta</t>
        </is>
      </c>
      <c r="I1104" s="10" t="inlineStr">
        <is>
          <t>Estrategia de contigencia</t>
        </is>
      </c>
      <c r="J1104" s="10" t="inlineStr">
        <is>
          <t>GERENTE DE RIESGOS</t>
        </is>
      </c>
      <c r="K1104" s="10" t="inlineStr">
        <is>
          <t>ANALISTA DE RIESGO DE LIQUIDEZ Y MERCADO</t>
        </is>
      </c>
      <c r="L1104" s="10" t="inlineStr">
        <is>
          <t>UBICACIÓN DIGITAL-EQUIPO DEL RESPONSABLE</t>
        </is>
      </c>
      <c r="M1104" s="10" t="inlineStr">
        <is>
          <t>DOCUMENTO DE ARCHIVO-ELECTRÓNICO</t>
        </is>
      </c>
      <c r="N1104" s="10" t="inlineStr">
        <is>
          <t>PRIMARIOS</t>
        </is>
      </c>
      <c r="O1104" s="10" t="inlineStr">
        <is>
          <t>NORMATIVA INTERNA</t>
        </is>
      </c>
      <c r="P1104" s="10" t="inlineStr">
        <is>
          <t>PUBLICA(1)</t>
        </is>
      </c>
      <c r="Q1104" s="10" t="inlineStr">
        <is>
          <t>ALTA(3)</t>
        </is>
      </c>
      <c r="R1104" s="10" t="inlineStr">
        <is>
          <t>MEDIA(2)</t>
        </is>
      </c>
      <c r="S1104" s="10">
        <f>+(IF(P1104="PUBLICA(1)",1,IF(P1104="USO INTERNO(2)",2,IF(P1104="RESTRINGIDO(3)",3,3))))+(IF(Q1104="BAJA(1)",1,IF(Q1104="MEDIA(2)",2,IF(Q1104="ALTA(3)",3,3))))+(IF(R1104="BAJA(1)",1,IF(R1104="MEDIA(2)",2,IF(R1104="ALTA(3)",3,3))))</f>
        <v/>
      </c>
      <c r="T1104" s="10">
        <f>+IF(S1104&lt;6,"BAJA",IF(S1104&lt;8,"MEDIA","ALTA"))</f>
        <v/>
      </c>
      <c r="U1104" s="10" t="inlineStr">
        <is>
          <t>-</t>
        </is>
      </c>
      <c r="V1104" s="24" t="n">
        <v>45567</v>
      </c>
      <c r="W1104" s="19" t="inlineStr">
        <is>
          <t>N/A</t>
        </is>
      </c>
      <c r="X1104" s="10">
        <f>+IFERROR(IF(VLOOKUP(Tabla2[[#This Row],[ID]],'EVALUACION DE RIESGO'!A:A,1,FALSE)=Tabla2[[#This Row],[ID]],"SI","NO"),"NO")</f>
        <v/>
      </c>
    </row>
    <row r="1105">
      <c r="A1105" s="91" t="inlineStr">
        <is>
          <t>83-GRI</t>
        </is>
      </c>
      <c r="B1105" s="10" t="inlineStr">
        <is>
          <t>ESTRATÉGICO</t>
        </is>
      </c>
      <c r="C1105" s="10" t="inlineStr">
        <is>
          <t>Gestión de Riesgos</t>
        </is>
      </c>
      <c r="D1105" s="10" t="inlineStr">
        <is>
          <t>GRI</t>
        </is>
      </c>
      <c r="E1105" s="10" t="inlineStr">
        <is>
          <t>Gestión de Riesgo de Liquidez</t>
        </is>
      </c>
      <c r="F1105" s="10" t="inlineStr">
        <is>
          <t>-</t>
        </is>
      </c>
      <c r="G1105" s="10" t="inlineStr">
        <is>
          <t>Actualización y seguimiento del Plan de Gestión de Liquidez</t>
        </is>
      </c>
      <c r="H1105" s="10" t="inlineStr">
        <is>
          <t>Metodologías de Riesgo de Liquidez</t>
        </is>
      </c>
      <c r="I1105" s="10" t="inlineStr">
        <is>
          <t>Consolidacion de la Información</t>
        </is>
      </c>
      <c r="J1105" s="10" t="inlineStr">
        <is>
          <t>GERENTE DE RIESGOS</t>
        </is>
      </c>
      <c r="K1105" s="10" t="inlineStr">
        <is>
          <t>ANALISTA DE RIESGO DE LIQUIDEZ Y MERCADO</t>
        </is>
      </c>
      <c r="L1105" s="10" t="inlineStr">
        <is>
          <t>UBICACIÓN DIGITAL-EQUIPO DEL RESPONSABLE</t>
        </is>
      </c>
      <c r="M1105" s="10" t="inlineStr">
        <is>
          <t>DOCUMENTO DE ARCHIVO-ELECTRÓNICO</t>
        </is>
      </c>
      <c r="N1105" s="10" t="inlineStr">
        <is>
          <t>PRIMARIOS</t>
        </is>
      </c>
      <c r="O1105" s="10" t="inlineStr">
        <is>
          <t>NORMATIVA INTERNA</t>
        </is>
      </c>
      <c r="P1105" s="10" t="inlineStr">
        <is>
          <t>PUBLICA(1)</t>
        </is>
      </c>
      <c r="Q1105" s="10" t="inlineStr">
        <is>
          <t>ALTA(3)</t>
        </is>
      </c>
      <c r="R1105" s="10" t="inlineStr">
        <is>
          <t>MEDIA(2)</t>
        </is>
      </c>
      <c r="S1105" s="10">
        <f>+(IF(P1105="PUBLICA(1)",1,IF(P1105="USO INTERNO(2)",2,IF(P1105="RESTRINGIDO(3)",3,3))))+(IF(Q1105="BAJA(1)",1,IF(Q1105="MEDIA(2)",2,IF(Q1105="ALTA(3)",3,3))))+(IF(R1105="BAJA(1)",1,IF(R1105="MEDIA(2)",2,IF(R1105="ALTA(3)",3,3))))</f>
        <v/>
      </c>
      <c r="T1105" s="10">
        <f>+IF(S1105&lt;6,"BAJA",IF(S1105&lt;8,"MEDIA","ALTA"))</f>
        <v/>
      </c>
      <c r="U1105" s="10" t="inlineStr">
        <is>
          <t>-</t>
        </is>
      </c>
      <c r="V1105" s="24" t="n">
        <v>45567</v>
      </c>
      <c r="W1105" s="19" t="inlineStr">
        <is>
          <t>N/A</t>
        </is>
      </c>
      <c r="X1105" s="10">
        <f>+IFERROR(IF(VLOOKUP(Tabla2[[#This Row],[ID]],'EVALUACION DE RIESGO'!A:A,1,FALSE)=Tabla2[[#This Row],[ID]],"SI","NO"),"NO")</f>
        <v/>
      </c>
    </row>
    <row r="1106">
      <c r="A1106" s="91" t="inlineStr">
        <is>
          <t>84-GRI</t>
        </is>
      </c>
      <c r="B1106" s="10" t="inlineStr">
        <is>
          <t>ESTRATÉGICO</t>
        </is>
      </c>
      <c r="C1106" s="10" t="inlineStr">
        <is>
          <t>Gestión de Riesgos</t>
        </is>
      </c>
      <c r="D1106" s="10" t="inlineStr">
        <is>
          <t>GRI</t>
        </is>
      </c>
      <c r="E1106" s="10" t="inlineStr">
        <is>
          <t>Gestión de Riesgo de Liquidez</t>
        </is>
      </c>
      <c r="F1106" s="10" t="inlineStr">
        <is>
          <t>-</t>
        </is>
      </c>
      <c r="G1106" s="10" t="inlineStr">
        <is>
          <t>Actualización y seguimiento del Plan de Gestión de Liquidez</t>
        </is>
      </c>
      <c r="H1106" s="10" t="inlineStr">
        <is>
          <t xml:space="preserve">Plan de Gestión de Riesgo de Liquidez </t>
        </is>
      </c>
      <c r="I1106" s="10" t="inlineStr">
        <is>
          <t>Consolidacion de la Información</t>
        </is>
      </c>
      <c r="J1106" s="10" t="inlineStr">
        <is>
          <t>GERENTE DE RIESGOS</t>
        </is>
      </c>
      <c r="K1106" s="10" t="inlineStr">
        <is>
          <t>ANALISTA DE RIESGO DE LIQUIDEZ Y MERCADO</t>
        </is>
      </c>
      <c r="L1106" s="10" t="inlineStr">
        <is>
          <t>UBICACIÓN DIGITAL-EQUIPO DEL RESPONSABLE</t>
        </is>
      </c>
      <c r="M1106" s="10" t="inlineStr">
        <is>
          <t>DOCUMENTO DE ARCHIVO-ELECTRÓNICO</t>
        </is>
      </c>
      <c r="N1106" s="10" t="inlineStr">
        <is>
          <t>PRIMARIOS</t>
        </is>
      </c>
      <c r="O1106" s="10" t="inlineStr">
        <is>
          <t>NORMATIVA INTERNA</t>
        </is>
      </c>
      <c r="P1106" s="10" t="inlineStr">
        <is>
          <t>PUBLICA(1)</t>
        </is>
      </c>
      <c r="Q1106" s="10" t="inlineStr">
        <is>
          <t>ALTA(3)</t>
        </is>
      </c>
      <c r="R1106" s="10" t="inlineStr">
        <is>
          <t>MEDIA(2)</t>
        </is>
      </c>
      <c r="S1106" s="10">
        <f>+(IF(P1106="PUBLICA(1)",1,IF(P1106="USO INTERNO(2)",2,IF(P1106="RESTRINGIDO(3)",3,3))))+(IF(Q1106="BAJA(1)",1,IF(Q1106="MEDIA(2)",2,IF(Q1106="ALTA(3)",3,3))))+(IF(R1106="BAJA(1)",1,IF(R1106="MEDIA(2)",2,IF(R1106="ALTA(3)",3,3))))</f>
        <v/>
      </c>
      <c r="T1106" s="10">
        <f>+IF(S1106&lt;6,"BAJA",IF(S1106&lt;8,"MEDIA","ALTA"))</f>
        <v/>
      </c>
      <c r="U1106" s="10" t="inlineStr">
        <is>
          <t>-</t>
        </is>
      </c>
      <c r="V1106" s="24" t="n">
        <v>45567</v>
      </c>
      <c r="W1106" s="19" t="inlineStr">
        <is>
          <t>N/A</t>
        </is>
      </c>
      <c r="X1106" s="10">
        <f>+IFERROR(IF(VLOOKUP(Tabla2[[#This Row],[ID]],'EVALUACION DE RIESGO'!A:A,1,FALSE)=Tabla2[[#This Row],[ID]],"SI","NO"),"NO")</f>
        <v/>
      </c>
    </row>
    <row r="1107">
      <c r="A1107" s="91" t="inlineStr">
        <is>
          <t>85-GRI</t>
        </is>
      </c>
      <c r="B1107" s="10" t="inlineStr">
        <is>
          <t>ESTRATÉGICO</t>
        </is>
      </c>
      <c r="C1107" s="10" t="inlineStr">
        <is>
          <t>Gestión de Riesgos</t>
        </is>
      </c>
      <c r="D1107" s="10" t="inlineStr">
        <is>
          <t>GRI</t>
        </is>
      </c>
      <c r="E1107" s="10" t="inlineStr">
        <is>
          <t>Gestión de Riesgo de Conducta de Mercado</t>
        </is>
      </c>
      <c r="F1107" s="10" t="inlineStr">
        <is>
          <t>-</t>
        </is>
      </c>
      <c r="G1107" s="10" t="inlineStr">
        <is>
          <t>Administración del Riesgo de Conducta de Mercado</t>
        </is>
      </c>
      <c r="H1107" s="10" t="inlineStr">
        <is>
          <t>Reporte de Quejas y Reclamos</t>
        </is>
      </c>
      <c r="I1107" s="10" t="inlineStr">
        <is>
          <t>Gestión de Peticiones, Quejas, Reclamos, Requerimientos y Sugerencias - PQRS</t>
        </is>
      </c>
      <c r="J1107" s="10" t="inlineStr">
        <is>
          <t>GERENTE DE RIESGOS</t>
        </is>
      </c>
      <c r="K1107" s="10" t="inlineStr">
        <is>
          <t>ANALISTA DE RIESGO DE LIQUIDEZ Y MERCADO</t>
        </is>
      </c>
      <c r="L1107" s="10" t="inlineStr">
        <is>
          <t>UBICACIÓN DIGITAL-EQUIPO DEL RESPONSABLE</t>
        </is>
      </c>
      <c r="M1107" s="10" t="inlineStr">
        <is>
          <t>DOCUMENTO DE ARCHIVO-ELECTRÓNICO</t>
        </is>
      </c>
      <c r="N1107" s="10" t="inlineStr">
        <is>
          <t>PRIMARIOS</t>
        </is>
      </c>
      <c r="O1107" s="10" t="inlineStr">
        <is>
          <t>DOCUMENTOS TÉCNICOS</t>
        </is>
      </c>
      <c r="P1107" s="10" t="inlineStr">
        <is>
          <t>PUBLICA(1)</t>
        </is>
      </c>
      <c r="Q1107" s="10" t="inlineStr">
        <is>
          <t>ALTA(3)</t>
        </is>
      </c>
      <c r="R1107" s="10" t="inlineStr">
        <is>
          <t>MEDIA(2)</t>
        </is>
      </c>
      <c r="S1107" s="10">
        <f>+(IF(P1107="PUBLICA(1)",1,IF(P1107="USO INTERNO(2)",2,IF(P1107="RESTRINGIDO(3)",3,3))))+(IF(Q1107="BAJA(1)",1,IF(Q1107="MEDIA(2)",2,IF(Q1107="ALTA(3)",3,3))))+(IF(R1107="BAJA(1)",1,IF(R1107="MEDIA(2)",2,IF(R1107="ALTA(3)",3,3))))</f>
        <v/>
      </c>
      <c r="T1107" s="10">
        <f>+IF(S1107&lt;6,"BAJA",IF(S1107&lt;8,"MEDIA","ALTA"))</f>
        <v/>
      </c>
      <c r="U1107" s="10" t="inlineStr">
        <is>
          <t>-</t>
        </is>
      </c>
      <c r="V1107" s="24" t="n">
        <v>45568</v>
      </c>
      <c r="W1107" s="19" t="inlineStr">
        <is>
          <t>N/A</t>
        </is>
      </c>
      <c r="X1107" s="10">
        <f>+IFERROR(IF(VLOOKUP(Tabla2[[#This Row],[ID]],'EVALUACION DE RIESGO'!A:A,1,FALSE)=Tabla2[[#This Row],[ID]],"SI","NO"),"NO")</f>
        <v/>
      </c>
    </row>
    <row r="1108">
      <c r="A1108" s="91" t="inlineStr">
        <is>
          <t>86-GRI</t>
        </is>
      </c>
      <c r="B1108" s="10" t="inlineStr">
        <is>
          <t>ESTRATÉGICO</t>
        </is>
      </c>
      <c r="C1108" s="10" t="inlineStr">
        <is>
          <t>Gestión de Riesgos</t>
        </is>
      </c>
      <c r="D1108" s="10" t="inlineStr">
        <is>
          <t>GRI</t>
        </is>
      </c>
      <c r="E1108" s="10" t="inlineStr">
        <is>
          <t>Gestión de Riesgo de Conducta de Mercado</t>
        </is>
      </c>
      <c r="F1108" s="10" t="inlineStr">
        <is>
          <t>-</t>
        </is>
      </c>
      <c r="G1108" s="10" t="inlineStr">
        <is>
          <t>Administración del Riesgo de Conducta de Mercado</t>
        </is>
      </c>
      <c r="H1108" s="10" t="inlineStr">
        <is>
          <t>Registro de eventos de riesgo de conducta de mercado</t>
        </is>
      </c>
      <c r="I1108" s="10" t="inlineStr">
        <is>
          <t xml:space="preserve">Archivo del departamento </t>
        </is>
      </c>
      <c r="J1108" s="10" t="inlineStr">
        <is>
          <t>GERENTE DE RIESGOS</t>
        </is>
      </c>
      <c r="K1108" s="10" t="inlineStr">
        <is>
          <t>ANALISTA DE RIESGO DE LIQUIDEZ Y MERCADO</t>
        </is>
      </c>
      <c r="L1108" s="10" t="inlineStr">
        <is>
          <t>UBICACIÓN DIGITAL-EQUIPO DEL RESPONSABLE</t>
        </is>
      </c>
      <c r="M1108" s="10" t="inlineStr">
        <is>
          <t>DOCUMENTO DE ARCHIVO-ELECTRÓNICO</t>
        </is>
      </c>
      <c r="N1108" s="10" t="inlineStr">
        <is>
          <t>PRIMARIOS</t>
        </is>
      </c>
      <c r="O1108" s="10" t="inlineStr">
        <is>
          <t>DOCUMENTOS TÉCNICOS</t>
        </is>
      </c>
      <c r="P1108" s="10" t="inlineStr">
        <is>
          <t>PUBLICA(1)</t>
        </is>
      </c>
      <c r="Q1108" s="10" t="inlineStr">
        <is>
          <t>ALTA(3)</t>
        </is>
      </c>
      <c r="R1108" s="10" t="inlineStr">
        <is>
          <t>MEDIA(2)</t>
        </is>
      </c>
      <c r="S1108" s="10">
        <f>+(IF(P1108="PUBLICA(1)",1,IF(P1108="USO INTERNO(2)",2,IF(P1108="RESTRINGIDO(3)",3,3))))+(IF(Q1108="BAJA(1)",1,IF(Q1108="MEDIA(2)",2,IF(Q1108="ALTA(3)",3,3))))+(IF(R1108="BAJA(1)",1,IF(R1108="MEDIA(2)",2,IF(R1108="ALTA(3)",3,3))))</f>
        <v/>
      </c>
      <c r="T1108" s="10">
        <f>+IF(S1108&lt;6,"BAJA",IF(S1108&lt;8,"MEDIA","ALTA"))</f>
        <v/>
      </c>
      <c r="U1108" s="10" t="inlineStr">
        <is>
          <t>-</t>
        </is>
      </c>
      <c r="V1108" s="24" t="n">
        <v>45568</v>
      </c>
      <c r="W1108" s="19" t="inlineStr">
        <is>
          <t>N/A</t>
        </is>
      </c>
      <c r="X1108" s="10">
        <f>+IFERROR(IF(VLOOKUP(Tabla2[[#This Row],[ID]],'EVALUACION DE RIESGO'!A:A,1,FALSE)=Tabla2[[#This Row],[ID]],"SI","NO"),"NO")</f>
        <v/>
      </c>
    </row>
    <row r="1109">
      <c r="A1109" s="91" t="inlineStr">
        <is>
          <t>87-GRI</t>
        </is>
      </c>
      <c r="B1109" s="10" t="inlineStr">
        <is>
          <t>ESTRATÉGICO</t>
        </is>
      </c>
      <c r="C1109" s="10" t="inlineStr">
        <is>
          <t>Gestión de Riesgos</t>
        </is>
      </c>
      <c r="D1109" s="10" t="inlineStr">
        <is>
          <t>GRI</t>
        </is>
      </c>
      <c r="E1109" s="10" t="inlineStr">
        <is>
          <t>Gestión de Riesgo de Conducta de Mercado</t>
        </is>
      </c>
      <c r="F1109" s="10" t="inlineStr">
        <is>
          <t>-</t>
        </is>
      </c>
      <c r="G1109" s="10" t="inlineStr">
        <is>
          <t>Administración del Riesgo de Conducta de Mercado</t>
        </is>
      </c>
      <c r="H1109" s="10" t="inlineStr">
        <is>
          <t xml:space="preserve">
Matriz consolidada de riesgo de conducta de mercado.</t>
        </is>
      </c>
      <c r="I1109" s="10" t="inlineStr">
        <is>
          <t xml:space="preserve">Consolidación y comunicación de la Información </t>
        </is>
      </c>
      <c r="J1109" s="10" t="inlineStr">
        <is>
          <t>GERENTE DE RIESGOS</t>
        </is>
      </c>
      <c r="K1109" s="10" t="inlineStr">
        <is>
          <t>ANALISTA DE RIESGO DE LIQUIDEZ Y MERCADO</t>
        </is>
      </c>
      <c r="L1109" s="10" t="inlineStr">
        <is>
          <t>UBICACIÓN DIGITAL-EQUIPO DEL RESPONSABLE</t>
        </is>
      </c>
      <c r="M1109" s="10" t="inlineStr">
        <is>
          <t>DOCUMENTO DE ARCHIVO-ELECTRÓNICO</t>
        </is>
      </c>
      <c r="N1109" s="10" t="inlineStr">
        <is>
          <t>PRIMARIOS</t>
        </is>
      </c>
      <c r="O1109" s="10" t="inlineStr">
        <is>
          <t>DOCUMENTOS TÉCNICOS</t>
        </is>
      </c>
      <c r="P1109" s="10" t="inlineStr">
        <is>
          <t>PUBLICA(1)</t>
        </is>
      </c>
      <c r="Q1109" s="10" t="inlineStr">
        <is>
          <t>ALTA(3)</t>
        </is>
      </c>
      <c r="R1109" s="10" t="inlineStr">
        <is>
          <t>MEDIA(2)</t>
        </is>
      </c>
      <c r="S1109" s="10">
        <f>+(IF(P1109="PUBLICA(1)",1,IF(P1109="USO INTERNO(2)",2,IF(P1109="RESTRINGIDO(3)",3,3))))+(IF(Q1109="BAJA(1)",1,IF(Q1109="MEDIA(2)",2,IF(Q1109="ALTA(3)",3,3))))+(IF(R1109="BAJA(1)",1,IF(R1109="MEDIA(2)",2,IF(R1109="ALTA(3)",3,3))))</f>
        <v/>
      </c>
      <c r="T1109" s="10">
        <f>+IF(S1109&lt;6,"BAJA",IF(S1109&lt;8,"MEDIA","ALTA"))</f>
        <v/>
      </c>
      <c r="U1109" s="10" t="inlineStr">
        <is>
          <t>-</t>
        </is>
      </c>
      <c r="V1109" s="24" t="n">
        <v>45568</v>
      </c>
      <c r="W1109" s="19" t="inlineStr">
        <is>
          <t>N/A</t>
        </is>
      </c>
      <c r="X1109" s="10">
        <f>+IFERROR(IF(VLOOKUP(Tabla2[[#This Row],[ID]],'EVALUACION DE RIESGO'!A:A,1,FALSE)=Tabla2[[#This Row],[ID]],"SI","NO"),"NO")</f>
        <v/>
      </c>
    </row>
    <row r="1110">
      <c r="A1110" s="91" t="inlineStr">
        <is>
          <t>88-GRI</t>
        </is>
      </c>
      <c r="B1110" s="10" t="inlineStr">
        <is>
          <t>ESTRATÉGICO</t>
        </is>
      </c>
      <c r="C1110" s="10" t="inlineStr">
        <is>
          <t>Gestión de Riesgos</t>
        </is>
      </c>
      <c r="D1110" s="10" t="inlineStr">
        <is>
          <t>GRI</t>
        </is>
      </c>
      <c r="E1110" s="10" t="inlineStr">
        <is>
          <t>Gestión de Riesgo de Conducta de Mercado</t>
        </is>
      </c>
      <c r="F1110" s="10" t="inlineStr">
        <is>
          <t>-</t>
        </is>
      </c>
      <c r="G1110" s="10" t="inlineStr">
        <is>
          <t>Administración del Riesgo de Conducta de Mercado</t>
        </is>
      </c>
      <c r="H1110" s="10" t="inlineStr">
        <is>
          <t>Matriz consolidada de riesgo de conducta de mercado.</t>
        </is>
      </c>
      <c r="I1110" s="10" t="inlineStr">
        <is>
          <t xml:space="preserve">Consolidación y comunicación de la Información </t>
        </is>
      </c>
      <c r="J1110" s="10" t="inlineStr">
        <is>
          <t>GERENTE DE RIESGOS</t>
        </is>
      </c>
      <c r="K1110" s="10" t="inlineStr">
        <is>
          <t>ANALISTA DE RIESGO DE LIQUIDEZ Y MERCADO</t>
        </is>
      </c>
      <c r="L1110" s="10" t="inlineStr">
        <is>
          <t>UBICACIÓN DIGITAL-EQUIPO DEL RESPONSABLE</t>
        </is>
      </c>
      <c r="M1110" s="10" t="inlineStr">
        <is>
          <t>DOCUMENTO DE ARCHIVO-ELECTRÓNICO</t>
        </is>
      </c>
      <c r="N1110" s="10" t="inlineStr">
        <is>
          <t>PRIMARIOS</t>
        </is>
      </c>
      <c r="O1110" s="10" t="inlineStr">
        <is>
          <t>DOCUMENTOS TÉCNICOS</t>
        </is>
      </c>
      <c r="P1110" s="10" t="inlineStr">
        <is>
          <t>PUBLICA(1)</t>
        </is>
      </c>
      <c r="Q1110" s="10" t="inlineStr">
        <is>
          <t>ALTA(3)</t>
        </is>
      </c>
      <c r="R1110" s="10" t="inlineStr">
        <is>
          <t>MEDIA(2)</t>
        </is>
      </c>
      <c r="S1110" s="10">
        <f>+(IF(P1110="PUBLICA(1)",1,IF(P1110="USO INTERNO(2)",2,IF(P1110="RESTRINGIDO(3)",3,3))))+(IF(Q1110="BAJA(1)",1,IF(Q1110="MEDIA(2)",2,IF(Q1110="ALTA(3)",3,3))))+(IF(R1110="BAJA(1)",1,IF(R1110="MEDIA(2)",2,IF(R1110="ALTA(3)",3,3))))</f>
        <v/>
      </c>
      <c r="T1110" s="10">
        <f>+IF(S1110&lt;6,"BAJA",IF(S1110&lt;8,"MEDIA","ALTA"))</f>
        <v/>
      </c>
      <c r="U1110" s="10" t="inlineStr">
        <is>
          <t>-</t>
        </is>
      </c>
      <c r="V1110" s="24" t="n">
        <v>45568</v>
      </c>
      <c r="W1110" s="19" t="inlineStr">
        <is>
          <t>N/A</t>
        </is>
      </c>
      <c r="X1110" s="10">
        <f>+IFERROR(IF(VLOOKUP(Tabla2[[#This Row],[ID]],'EVALUACION DE RIESGO'!A:A,1,FALSE)=Tabla2[[#This Row],[ID]],"SI","NO"),"NO")</f>
        <v/>
      </c>
    </row>
    <row r="1111">
      <c r="A1111" s="91" t="inlineStr">
        <is>
          <t>89-GRI</t>
        </is>
      </c>
      <c r="B1111" s="10" t="inlineStr">
        <is>
          <t>ESTRATÉGICO</t>
        </is>
      </c>
      <c r="C1111" s="10" t="inlineStr">
        <is>
          <t>Gestión de Riesgos</t>
        </is>
      </c>
      <c r="D1111" s="10" t="inlineStr">
        <is>
          <t>GRI</t>
        </is>
      </c>
      <c r="E1111" s="10" t="inlineStr">
        <is>
          <t>Gestión de Riesgo de Conducta de Mercado</t>
        </is>
      </c>
      <c r="F1111" s="10" t="inlineStr">
        <is>
          <t>-</t>
        </is>
      </c>
      <c r="G1111" s="10" t="inlineStr">
        <is>
          <t>Administración del Riesgo de Conducta de Mercado</t>
        </is>
      </c>
      <c r="H1111" s="10" t="inlineStr">
        <is>
          <t>Informe de evaluación de aspectos de conducta de mercado.</t>
        </is>
      </c>
      <c r="I1111" s="10" t="inlineStr">
        <is>
          <t xml:space="preserve">Oferta de productos y servicios financieros </t>
        </is>
      </c>
      <c r="J1111" s="10" t="inlineStr">
        <is>
          <t>GERENTE DE RIESGOS</t>
        </is>
      </c>
      <c r="K1111" s="10" t="inlineStr">
        <is>
          <t>ANALISTA DE RIESGO DE LIQUIDEZ Y MERCADO</t>
        </is>
      </c>
      <c r="L1111" s="10" t="inlineStr">
        <is>
          <t>UBICACIÓN DIGITAL-EQUIPO DEL RESPONSABLE</t>
        </is>
      </c>
      <c r="M1111" s="10" t="inlineStr">
        <is>
          <t>DOCUMENTO DE ARCHIVO-ELECTRÓNICO</t>
        </is>
      </c>
      <c r="N1111" s="10" t="inlineStr">
        <is>
          <t>PRIMARIOS</t>
        </is>
      </c>
      <c r="O1111" s="10" t="inlineStr">
        <is>
          <t>DOCUMENTOS TÉCNICOS</t>
        </is>
      </c>
      <c r="P1111" s="10" t="inlineStr">
        <is>
          <t>PUBLICA(1)</t>
        </is>
      </c>
      <c r="Q1111" s="10" t="inlineStr">
        <is>
          <t>ALTA(3)</t>
        </is>
      </c>
      <c r="R1111" s="10" t="inlineStr">
        <is>
          <t>MEDIA(2)</t>
        </is>
      </c>
      <c r="S1111" s="10">
        <f>+(IF(P1111="PUBLICA(1)",1,IF(P1111="USO INTERNO(2)",2,IF(P1111="RESTRINGIDO(3)",3,3))))+(IF(Q1111="BAJA(1)",1,IF(Q1111="MEDIA(2)",2,IF(Q1111="ALTA(3)",3,3))))+(IF(R1111="BAJA(1)",1,IF(R1111="MEDIA(2)",2,IF(R1111="ALTA(3)",3,3))))</f>
        <v/>
      </c>
      <c r="T1111" s="10">
        <f>+IF(S1111&lt;6,"BAJA",IF(S1111&lt;8,"MEDIA","ALTA"))</f>
        <v/>
      </c>
      <c r="U1111" s="10" t="inlineStr">
        <is>
          <t>-</t>
        </is>
      </c>
      <c r="V1111" s="24" t="n">
        <v>45568</v>
      </c>
      <c r="W1111" s="19" t="inlineStr">
        <is>
          <t>N/A</t>
        </is>
      </c>
      <c r="X1111" s="10">
        <f>+IFERROR(IF(VLOOKUP(Tabla2[[#This Row],[ID]],'EVALUACION DE RIESGO'!A:A,1,FALSE)=Tabla2[[#This Row],[ID]],"SI","NO"),"NO")</f>
        <v/>
      </c>
    </row>
    <row r="1112">
      <c r="A1112" s="91" t="inlineStr">
        <is>
          <t>90-GRI</t>
        </is>
      </c>
      <c r="B1112" s="10" t="inlineStr">
        <is>
          <t>ESTRATÉGICO</t>
        </is>
      </c>
      <c r="C1112" s="10" t="inlineStr">
        <is>
          <t>Gestión de Riesgos</t>
        </is>
      </c>
      <c r="D1112" s="10" t="inlineStr">
        <is>
          <t>GRI</t>
        </is>
      </c>
      <c r="E1112" s="10" t="inlineStr">
        <is>
          <t>Gestión de Riesgo de Conducta de Mercado</t>
        </is>
      </c>
      <c r="F1112" s="10" t="inlineStr">
        <is>
          <t>-</t>
        </is>
      </c>
      <c r="G1112" s="10" t="inlineStr">
        <is>
          <t>Administración del Riesgo de Conducta de Mercado</t>
        </is>
      </c>
      <c r="H1112" s="10" t="inlineStr">
        <is>
          <t>Informe mensual</t>
        </is>
      </c>
      <c r="I1112" s="10" t="inlineStr">
        <is>
          <t>Consolidacion de la Informacion</t>
        </is>
      </c>
      <c r="J1112" s="10" t="inlineStr">
        <is>
          <t>GERENTE DE RIESGOS</t>
        </is>
      </c>
      <c r="K1112" s="10" t="inlineStr">
        <is>
          <t>ANALISTA DE RIESGO DE LIQUIDEZ Y MERCADO</t>
        </is>
      </c>
      <c r="L1112" s="10" t="inlineStr">
        <is>
          <t>UBICACIÓN DIGITAL-EQUIPO DEL RESPONSABLE</t>
        </is>
      </c>
      <c r="M1112" s="10" t="inlineStr">
        <is>
          <t>DOCUMENTO DE ARCHIVO-ELECTRÓNICO</t>
        </is>
      </c>
      <c r="N1112" s="10" t="inlineStr">
        <is>
          <t>PRIMARIOS</t>
        </is>
      </c>
      <c r="O1112" s="10" t="inlineStr">
        <is>
          <t>DOCUMENTOS TÉCNICOS</t>
        </is>
      </c>
      <c r="P1112" s="10" t="inlineStr">
        <is>
          <t>PUBLICA(1)</t>
        </is>
      </c>
      <c r="Q1112" s="10" t="inlineStr">
        <is>
          <t>ALTA(3)</t>
        </is>
      </c>
      <c r="R1112" s="10" t="inlineStr">
        <is>
          <t>MEDIA(2)</t>
        </is>
      </c>
      <c r="S1112" s="10">
        <f>+(IF(P1112="PUBLICA(1)",1,IF(P1112="USO INTERNO(2)",2,IF(P1112="RESTRINGIDO(3)",3,3))))+(IF(Q1112="BAJA(1)",1,IF(Q1112="MEDIA(2)",2,IF(Q1112="ALTA(3)",3,3))))+(IF(R1112="BAJA(1)",1,IF(R1112="MEDIA(2)",2,IF(R1112="ALTA(3)",3,3))))</f>
        <v/>
      </c>
      <c r="T1112" s="10">
        <f>+IF(S1112&lt;6,"BAJA",IF(S1112&lt;8,"MEDIA","ALTA"))</f>
        <v/>
      </c>
      <c r="U1112" s="10" t="inlineStr">
        <is>
          <t>-</t>
        </is>
      </c>
      <c r="V1112" s="24" t="n">
        <v>45568</v>
      </c>
      <c r="W1112" s="19" t="inlineStr">
        <is>
          <t>N/A</t>
        </is>
      </c>
      <c r="X1112" s="10">
        <f>+IFERROR(IF(VLOOKUP(Tabla2[[#This Row],[ID]],'EVALUACION DE RIESGO'!A:A,1,FALSE)=Tabla2[[#This Row],[ID]],"SI","NO"),"NO")</f>
        <v/>
      </c>
    </row>
    <row r="1113">
      <c r="A1113" s="91" t="inlineStr">
        <is>
          <t>91-GRI</t>
        </is>
      </c>
      <c r="B1113" s="10" t="inlineStr">
        <is>
          <t>ESTRATÉGICO</t>
        </is>
      </c>
      <c r="C1113" s="10" t="inlineStr">
        <is>
          <t>Gestión de Riesgos</t>
        </is>
      </c>
      <c r="D1113" s="10" t="inlineStr">
        <is>
          <t>GRI</t>
        </is>
      </c>
      <c r="E1113" s="10" t="inlineStr">
        <is>
          <t>Gestión de Riesgo de Conducta de Mercado</t>
        </is>
      </c>
      <c r="F1113" s="10" t="inlineStr">
        <is>
          <t>-</t>
        </is>
      </c>
      <c r="G1113" s="10" t="inlineStr">
        <is>
          <t>Administración del Riesgo de Conducta de Mercado</t>
        </is>
      </c>
      <c r="H1113" s="10" t="inlineStr">
        <is>
          <t>Acta CAIR</t>
        </is>
      </c>
      <c r="I1113" s="10" t="inlineStr">
        <is>
          <t xml:space="preserve">Archivo del departamento </t>
        </is>
      </c>
      <c r="J1113" s="10" t="inlineStr">
        <is>
          <t>GERENTE DE RIESGOS</t>
        </is>
      </c>
      <c r="K1113" s="10" t="inlineStr">
        <is>
          <t>ANALISTA DE RIESGO DE LIQUIDEZ Y MERCADO</t>
        </is>
      </c>
      <c r="L1113" s="10" t="inlineStr">
        <is>
          <t>UBICACIÓN DIGITAL-EQUIPO DEL RESPONSABLE</t>
        </is>
      </c>
      <c r="M1113" s="10" t="inlineStr">
        <is>
          <t>DOCUMENTO DE ARCHIVO-ELECTRÓNICO</t>
        </is>
      </c>
      <c r="N1113" s="10" t="inlineStr">
        <is>
          <t>PRIMARIOS</t>
        </is>
      </c>
      <c r="O1113" s="10" t="inlineStr">
        <is>
          <t>OTROS</t>
        </is>
      </c>
      <c r="P1113" s="10" t="inlineStr">
        <is>
          <t>PUBLICA(1)</t>
        </is>
      </c>
      <c r="Q1113" s="10" t="inlineStr">
        <is>
          <t>ALTA(3)</t>
        </is>
      </c>
      <c r="R1113" s="10" t="inlineStr">
        <is>
          <t>MEDIA(2)</t>
        </is>
      </c>
      <c r="S1113" s="10">
        <f>+(IF(P1113="PUBLICA(1)",1,IF(P1113="USO INTERNO(2)",2,IF(P1113="RESTRINGIDO(3)",3,3))))+(IF(Q1113="BAJA(1)",1,IF(Q1113="MEDIA(2)",2,IF(Q1113="ALTA(3)",3,3))))+(IF(R1113="BAJA(1)",1,IF(R1113="MEDIA(2)",2,IF(R1113="ALTA(3)",3,3))))</f>
        <v/>
      </c>
      <c r="T1113" s="10">
        <f>+IF(S1113&lt;6,"BAJA",IF(S1113&lt;8,"MEDIA","ALTA"))</f>
        <v/>
      </c>
      <c r="U1113" s="10" t="inlineStr">
        <is>
          <t>-</t>
        </is>
      </c>
      <c r="V1113" s="24" t="n">
        <v>45568</v>
      </c>
      <c r="W1113" s="19" t="inlineStr">
        <is>
          <t>N/A</t>
        </is>
      </c>
      <c r="X1113" s="10">
        <f>+IFERROR(IF(VLOOKUP(Tabla2[[#This Row],[ID]],'EVALUACION DE RIESGO'!A:A,1,FALSE)=Tabla2[[#This Row],[ID]],"SI","NO"),"NO")</f>
        <v/>
      </c>
    </row>
    <row r="1114">
      <c r="A1114" s="91" t="inlineStr">
        <is>
          <t>92-GRI</t>
        </is>
      </c>
      <c r="B1114" s="10" t="inlineStr">
        <is>
          <t>ESTRATÉGICO</t>
        </is>
      </c>
      <c r="C1114" s="10" t="inlineStr">
        <is>
          <t>Gestión de Riesgos</t>
        </is>
      </c>
      <c r="D1114" s="10" t="inlineStr">
        <is>
          <t>GRI</t>
        </is>
      </c>
      <c r="E1114" s="10" t="inlineStr">
        <is>
          <t>Gestión de Riesgo de Conducta de Mercado</t>
        </is>
      </c>
      <c r="F1114" s="10" t="inlineStr">
        <is>
          <t>-</t>
        </is>
      </c>
      <c r="G1114" s="10" t="inlineStr">
        <is>
          <t>Administración del Riesgo de Conducta de Mercado</t>
        </is>
      </c>
      <c r="H1114" s="10" t="inlineStr">
        <is>
          <t>Acta del Consejo de Administración</t>
        </is>
      </c>
      <c r="I1114" s="10" t="inlineStr">
        <is>
          <t>Archivo de actas Consejo de Administración</t>
        </is>
      </c>
      <c r="J1114" s="10" t="inlineStr">
        <is>
          <t>GERENTE DE RIESGOS</t>
        </is>
      </c>
      <c r="K1114" s="10" t="inlineStr">
        <is>
          <t>ANALISTA DE RIESGO DE LIQUIDEZ Y MERCADO</t>
        </is>
      </c>
      <c r="L1114" s="10" t="inlineStr">
        <is>
          <t>UBICACIÓN DIGITAL-EQUIPO DEL RESPONSABLE</t>
        </is>
      </c>
      <c r="M1114" s="10" t="inlineStr">
        <is>
          <t>DOCUMENTO DE ARCHIVO-ELECTRÓNICO</t>
        </is>
      </c>
      <c r="N1114" s="10" t="inlineStr">
        <is>
          <t>PRIMARIOS</t>
        </is>
      </c>
      <c r="O1114" s="10" t="inlineStr">
        <is>
          <t>OTROS</t>
        </is>
      </c>
      <c r="P1114" s="10" t="inlineStr">
        <is>
          <t>PUBLICA(1)</t>
        </is>
      </c>
      <c r="Q1114" s="10" t="inlineStr">
        <is>
          <t>ALTA(3)</t>
        </is>
      </c>
      <c r="R1114" s="10" t="inlineStr">
        <is>
          <t>MEDIA(2)</t>
        </is>
      </c>
      <c r="S1114" s="10">
        <f>+(IF(P1114="PUBLICA(1)",1,IF(P1114="USO INTERNO(2)",2,IF(P1114="RESTRINGIDO(3)",3,3))))+(IF(Q1114="BAJA(1)",1,IF(Q1114="MEDIA(2)",2,IF(Q1114="ALTA(3)",3,3))))+(IF(R1114="BAJA(1)",1,IF(R1114="MEDIA(2)",2,IF(R1114="ALTA(3)",3,3))))</f>
        <v/>
      </c>
      <c r="T1114" s="10">
        <f>+IF(S1114&lt;6,"BAJA",IF(S1114&lt;8,"MEDIA","ALTA"))</f>
        <v/>
      </c>
      <c r="U1114" s="10" t="inlineStr">
        <is>
          <t>-</t>
        </is>
      </c>
      <c r="V1114" s="24" t="n">
        <v>45568</v>
      </c>
      <c r="W1114" s="19" t="inlineStr">
        <is>
          <t>N/A</t>
        </is>
      </c>
      <c r="X1114" s="10">
        <f>+IFERROR(IF(VLOOKUP(Tabla2[[#This Row],[ID]],'EVALUACION DE RIESGO'!A:A,1,FALSE)=Tabla2[[#This Row],[ID]],"SI","NO"),"NO")</f>
        <v/>
      </c>
    </row>
    <row r="1115">
      <c r="A1115" s="91" t="inlineStr">
        <is>
          <t>93-GRI</t>
        </is>
      </c>
      <c r="B1115" s="10" t="inlineStr">
        <is>
          <t>ESTRATÉGICO</t>
        </is>
      </c>
      <c r="C1115" s="10" t="inlineStr">
        <is>
          <t>Gestión de Riesgos</t>
        </is>
      </c>
      <c r="D1115" s="10" t="inlineStr">
        <is>
          <t>GRI</t>
        </is>
      </c>
      <c r="E1115" s="10" t="inlineStr">
        <is>
          <t>Gestión de Riesgo de Conducta de Mercado</t>
        </is>
      </c>
      <c r="F1115" s="10" t="inlineStr">
        <is>
          <t>-</t>
        </is>
      </c>
      <c r="G1115" s="10" t="inlineStr">
        <is>
          <t>Administración del Riesgo de Conducta de Mercado</t>
        </is>
      </c>
      <c r="H1115" s="10" t="inlineStr">
        <is>
          <t>Acta del Consejo de Vigilancia</t>
        </is>
      </c>
      <c r="I1115" s="10" t="inlineStr">
        <is>
          <t>Archivo de actas Consejo de Vigilancia</t>
        </is>
      </c>
      <c r="J1115" s="10" t="inlineStr">
        <is>
          <t>GERENTE DE RIESGOS</t>
        </is>
      </c>
      <c r="K1115" s="10" t="inlineStr">
        <is>
          <t>ANALISTA DE RIESGO DE LIQUIDEZ Y MERCADO</t>
        </is>
      </c>
      <c r="L1115" s="10" t="inlineStr">
        <is>
          <t>UBICACIÓN DIGITAL-EQUIPO DEL RESPONSABLE</t>
        </is>
      </c>
      <c r="M1115" s="10" t="inlineStr">
        <is>
          <t>DOCUMENTO DE ARCHIVO-ELECTRÓNICO</t>
        </is>
      </c>
      <c r="N1115" s="10" t="inlineStr">
        <is>
          <t>PRIMARIOS</t>
        </is>
      </c>
      <c r="O1115" s="10" t="inlineStr">
        <is>
          <t>OTROS</t>
        </is>
      </c>
      <c r="P1115" s="10" t="inlineStr">
        <is>
          <t>PUBLICA(1)</t>
        </is>
      </c>
      <c r="Q1115" s="10" t="inlineStr">
        <is>
          <t>ALTA(3)</t>
        </is>
      </c>
      <c r="R1115" s="10" t="inlineStr">
        <is>
          <t>MEDIA(2)</t>
        </is>
      </c>
      <c r="S1115" s="10">
        <f>+(IF(P1115="PUBLICA(1)",1,IF(P1115="USO INTERNO(2)",2,IF(P1115="RESTRINGIDO(3)",3,3))))+(IF(Q1115="BAJA(1)",1,IF(Q1115="MEDIA(2)",2,IF(Q1115="ALTA(3)",3,3))))+(IF(R1115="BAJA(1)",1,IF(R1115="MEDIA(2)",2,IF(R1115="ALTA(3)",3,3))))</f>
        <v/>
      </c>
      <c r="T1115" s="10">
        <f>+IF(S1115&lt;6,"BAJA",IF(S1115&lt;8,"MEDIA","ALTA"))</f>
        <v/>
      </c>
      <c r="U1115" s="10" t="inlineStr">
        <is>
          <t>-</t>
        </is>
      </c>
      <c r="V1115" s="24" t="n">
        <v>45568</v>
      </c>
      <c r="W1115" s="19" t="inlineStr">
        <is>
          <t>N/A</t>
        </is>
      </c>
      <c r="X1115" s="10">
        <f>+IFERROR(IF(VLOOKUP(Tabla2[[#This Row],[ID]],'EVALUACION DE RIESGO'!A:A,1,FALSE)=Tabla2[[#This Row],[ID]],"SI","NO"),"NO")</f>
        <v/>
      </c>
    </row>
    <row r="1116">
      <c r="A1116" s="91" t="inlineStr">
        <is>
          <t>94-GRI</t>
        </is>
      </c>
      <c r="B1116" s="10" t="inlineStr">
        <is>
          <t>ESTRATÉGICO</t>
        </is>
      </c>
      <c r="C1116" s="10" t="inlineStr">
        <is>
          <t>Gestión de Riesgos</t>
        </is>
      </c>
      <c r="D1116" s="10" t="inlineStr">
        <is>
          <t>GRI</t>
        </is>
      </c>
      <c r="E1116" s="10" t="inlineStr">
        <is>
          <t>Gestión de Riesgo de Mercado</t>
        </is>
      </c>
      <c r="F1116" s="10" t="inlineStr">
        <is>
          <t>-</t>
        </is>
      </c>
      <c r="G1116" s="10" t="inlineStr">
        <is>
          <t>Análisis de Brechas de sensibilidad</t>
        </is>
      </c>
      <c r="H1116" s="10" t="inlineStr">
        <is>
          <t>Registro de información del mercado</t>
        </is>
      </c>
      <c r="I1116" s="10" t="inlineStr">
        <is>
          <t xml:space="preserve">Consolidación de la información  </t>
        </is>
      </c>
      <c r="J1116" s="10" t="inlineStr">
        <is>
          <t>GERENTE DE RIESGOS</t>
        </is>
      </c>
      <c r="K1116" s="10" t="inlineStr">
        <is>
          <t>ANALISTA DE RIESGO DE LIQUIDEZ Y MERCADO</t>
        </is>
      </c>
      <c r="L1116" s="10" t="inlineStr">
        <is>
          <t>UBICACIÓN DIGITAL-EQUIPO DEL RESPONSABLE</t>
        </is>
      </c>
      <c r="M1116" s="10" t="inlineStr">
        <is>
          <t>DOCUMENTO DE ARCHIVO-ELECTRÓNICO</t>
        </is>
      </c>
      <c r="N1116" s="10" t="inlineStr">
        <is>
          <t>PRIMARIOS</t>
        </is>
      </c>
      <c r="O1116" s="10" t="inlineStr">
        <is>
          <t>DOCUMENTOS TÉCNICOS</t>
        </is>
      </c>
      <c r="P1116" s="10" t="inlineStr">
        <is>
          <t>PUBLICA(1)</t>
        </is>
      </c>
      <c r="Q1116" s="10" t="inlineStr">
        <is>
          <t>ALTA(3)</t>
        </is>
      </c>
      <c r="R1116" s="10" t="inlineStr">
        <is>
          <t>MEDIA(2)</t>
        </is>
      </c>
      <c r="S1116" s="10">
        <f>+(IF(P1116="PUBLICA(1)",1,IF(P1116="USO INTERNO(2)",2,IF(P1116="RESTRINGIDO(3)",3,3))))+(IF(Q1116="BAJA(1)",1,IF(Q1116="MEDIA(2)",2,IF(Q1116="ALTA(3)",3,3))))+(IF(R1116="BAJA(1)",1,IF(R1116="MEDIA(2)",2,IF(R1116="ALTA(3)",3,3))))</f>
        <v/>
      </c>
      <c r="T1116" s="10">
        <f>+IF(S1116&lt;6,"BAJA",IF(S1116&lt;8,"MEDIA","ALTA"))</f>
        <v/>
      </c>
      <c r="U1116" s="10" t="inlineStr">
        <is>
          <t>-</t>
        </is>
      </c>
      <c r="V1116" s="24" t="n">
        <v>45568</v>
      </c>
      <c r="W1116" s="19" t="inlineStr">
        <is>
          <t>N/A</t>
        </is>
      </c>
      <c r="X1116" s="10">
        <f>+IFERROR(IF(VLOOKUP(Tabla2[[#This Row],[ID]],'EVALUACION DE RIESGO'!A:A,1,FALSE)=Tabla2[[#This Row],[ID]],"SI","NO"),"NO")</f>
        <v/>
      </c>
    </row>
    <row r="1117">
      <c r="A1117" s="91" t="inlineStr">
        <is>
          <t>95-GRI</t>
        </is>
      </c>
      <c r="B1117" s="10" t="inlineStr">
        <is>
          <t>ESTRATÉGICO</t>
        </is>
      </c>
      <c r="C1117" s="10" t="inlineStr">
        <is>
          <t>Gestión de Riesgos</t>
        </is>
      </c>
      <c r="D1117" s="10" t="inlineStr">
        <is>
          <t>GRI</t>
        </is>
      </c>
      <c r="E1117" s="10" t="inlineStr">
        <is>
          <t>Gestión de Riesgo de Mercado</t>
        </is>
      </c>
      <c r="F1117" s="10" t="inlineStr">
        <is>
          <t>-</t>
        </is>
      </c>
      <c r="G1117" s="10" t="inlineStr">
        <is>
          <t>Análisis de Brechas de sensibilidad</t>
        </is>
      </c>
      <c r="H1117" s="10" t="inlineStr">
        <is>
          <t>Reporte de Brechas de Sensibilidad</t>
        </is>
      </c>
      <c r="I1117" s="10" t="inlineStr">
        <is>
          <t xml:space="preserve">Consolidación de la información  </t>
        </is>
      </c>
      <c r="J1117" s="10" t="inlineStr">
        <is>
          <t>GERENTE DE RIESGOS</t>
        </is>
      </c>
      <c r="K1117" s="10" t="inlineStr">
        <is>
          <t>ANALISTA DE RIESGO DE LIQUIDEZ Y MERCADO</t>
        </is>
      </c>
      <c r="L1117" s="10" t="inlineStr">
        <is>
          <t>UBICACIÓN DIGITAL-EQUIPO DEL RESPONSABLE</t>
        </is>
      </c>
      <c r="M1117" s="10" t="inlineStr">
        <is>
          <t>DOCUMENTO DE ARCHIVO-ELECTRÓNICO</t>
        </is>
      </c>
      <c r="N1117" s="10" t="inlineStr">
        <is>
          <t>PRIMARIOS</t>
        </is>
      </c>
      <c r="O1117" s="10" t="inlineStr">
        <is>
          <t>DOCUMENTOS TÉCNICOS</t>
        </is>
      </c>
      <c r="P1117" s="10" t="inlineStr">
        <is>
          <t>PUBLICA(1)</t>
        </is>
      </c>
      <c r="Q1117" s="10" t="inlineStr">
        <is>
          <t>ALTA(3)</t>
        </is>
      </c>
      <c r="R1117" s="10" t="inlineStr">
        <is>
          <t>MEDIA(2)</t>
        </is>
      </c>
      <c r="S1117" s="10">
        <f>+(IF(P1117="PUBLICA(1)",1,IF(P1117="USO INTERNO(2)",2,IF(P1117="RESTRINGIDO(3)",3,3))))+(IF(Q1117="BAJA(1)",1,IF(Q1117="MEDIA(2)",2,IF(Q1117="ALTA(3)",3,3))))+(IF(R1117="BAJA(1)",1,IF(R1117="MEDIA(2)",2,IF(R1117="ALTA(3)",3,3))))</f>
        <v/>
      </c>
      <c r="T1117" s="10">
        <f>+IF(S1117&lt;6,"BAJA",IF(S1117&lt;8,"MEDIA","ALTA"))</f>
        <v/>
      </c>
      <c r="U1117" s="10" t="inlineStr">
        <is>
          <t>-</t>
        </is>
      </c>
      <c r="V1117" s="24" t="n">
        <v>45568</v>
      </c>
      <c r="W1117" s="19" t="inlineStr">
        <is>
          <t>N/A</t>
        </is>
      </c>
      <c r="X1117" s="10">
        <f>+IFERROR(IF(VLOOKUP(Tabla2[[#This Row],[ID]],'EVALUACION DE RIESGO'!A:A,1,FALSE)=Tabla2[[#This Row],[ID]],"SI","NO"),"NO")</f>
        <v/>
      </c>
    </row>
    <row r="1118">
      <c r="A1118" s="91" t="inlineStr">
        <is>
          <t>96-GRI</t>
        </is>
      </c>
      <c r="B1118" s="10" t="inlineStr">
        <is>
          <t>ESTRATÉGICO</t>
        </is>
      </c>
      <c r="C1118" s="10" t="inlineStr">
        <is>
          <t>Gestión de Riesgos</t>
        </is>
      </c>
      <c r="D1118" s="10" t="inlineStr">
        <is>
          <t>GRI</t>
        </is>
      </c>
      <c r="E1118" s="10" t="inlineStr">
        <is>
          <t>Gestión de Riesgo de Mercado</t>
        </is>
      </c>
      <c r="F1118" s="10" t="inlineStr">
        <is>
          <t>-</t>
        </is>
      </c>
      <c r="G1118" s="10" t="inlineStr">
        <is>
          <t>Análisis de la Sensibilidad al margen financiero y valor patrimonial</t>
        </is>
      </c>
      <c r="H1118" s="10" t="inlineStr">
        <is>
          <t>Tasa activa y pasiva referencial del BCE.</t>
        </is>
      </c>
      <c r="I1118" s="10" t="inlineStr">
        <is>
          <t>Información Externo</t>
        </is>
      </c>
      <c r="J1118" s="10" t="inlineStr">
        <is>
          <t>GERENTE DE RIESGOS</t>
        </is>
      </c>
      <c r="K1118" s="10" t="inlineStr">
        <is>
          <t>ANALISTA DE RIESGO DE LIQUIDEZ Y MERCADO</t>
        </is>
      </c>
      <c r="L1118" s="10" t="inlineStr">
        <is>
          <t>UBICACIÓN DIGITAL-EQUIPO DEL RESPONSABLE</t>
        </is>
      </c>
      <c r="M1118" s="10" t="inlineStr">
        <is>
          <t>DOCUMENTO DE ARCHIVO-ELECTRÓNICO</t>
        </is>
      </c>
      <c r="N1118" s="10" t="inlineStr">
        <is>
          <t>PRIMARIOS</t>
        </is>
      </c>
      <c r="O1118" s="10" t="inlineStr">
        <is>
          <t>INFORMACIÓN DE TERCEROS</t>
        </is>
      </c>
      <c r="P1118" s="10" t="inlineStr">
        <is>
          <t>PUBLICA(1)</t>
        </is>
      </c>
      <c r="Q1118" s="10" t="inlineStr">
        <is>
          <t>ALTA(3)</t>
        </is>
      </c>
      <c r="R1118" s="10" t="inlineStr">
        <is>
          <t>MEDIA(2)</t>
        </is>
      </c>
      <c r="S1118" s="10">
        <f>+(IF(P1118="PUBLICA(1)",1,IF(P1118="USO INTERNO(2)",2,IF(P1118="RESTRINGIDO(3)",3,3))))+(IF(Q1118="BAJA(1)",1,IF(Q1118="MEDIA(2)",2,IF(Q1118="ALTA(3)",3,3))))+(IF(R1118="BAJA(1)",1,IF(R1118="MEDIA(2)",2,IF(R1118="ALTA(3)",3,3))))</f>
        <v/>
      </c>
      <c r="T1118" s="10">
        <f>+IF(S1118&lt;6,"BAJA",IF(S1118&lt;8,"MEDIA","ALTA"))</f>
        <v/>
      </c>
      <c r="U1118" s="10" t="inlineStr">
        <is>
          <t>-</t>
        </is>
      </c>
      <c r="V1118" s="24" t="n">
        <v>45568</v>
      </c>
      <c r="W1118" s="19" t="inlineStr">
        <is>
          <t>N/A</t>
        </is>
      </c>
      <c r="X1118" s="10">
        <f>+IFERROR(IF(VLOOKUP(Tabla2[[#This Row],[ID]],'EVALUACION DE RIESGO'!A:A,1,FALSE)=Tabla2[[#This Row],[ID]],"SI","NO"),"NO")</f>
        <v/>
      </c>
    </row>
    <row r="1119">
      <c r="A1119" s="91" t="inlineStr">
        <is>
          <t>97-GRI</t>
        </is>
      </c>
      <c r="B1119" s="10" t="inlineStr">
        <is>
          <t>ESTRATÉGICO</t>
        </is>
      </c>
      <c r="C1119" s="10" t="inlineStr">
        <is>
          <t>Gestión de Riesgos</t>
        </is>
      </c>
      <c r="D1119" s="10" t="inlineStr">
        <is>
          <t>GRI</t>
        </is>
      </c>
      <c r="E1119" s="10" t="inlineStr">
        <is>
          <t>Gestión de Riesgo de Mercado</t>
        </is>
      </c>
      <c r="F1119" s="10" t="inlineStr">
        <is>
          <t>-</t>
        </is>
      </c>
      <c r="G1119" s="10" t="inlineStr">
        <is>
          <t>Análisis de la Sensibilidad al margen financiero y valor patrimonial</t>
        </is>
      </c>
      <c r="H1119" s="10" t="inlineStr">
        <is>
          <t>Patrimonio Técnico Constituido del formulario 229.</t>
        </is>
      </c>
      <c r="I1119" s="10" t="inlineStr">
        <is>
          <t>Consolidación de la información</t>
        </is>
      </c>
      <c r="J1119" s="10" t="inlineStr">
        <is>
          <t>GERENTE DE RIESGOS</t>
        </is>
      </c>
      <c r="K1119" s="10" t="inlineStr">
        <is>
          <t>ANALISTA DE RIESGO DE LIQUIDEZ Y MERCADO</t>
        </is>
      </c>
      <c r="L1119" s="10" t="inlineStr">
        <is>
          <t>UBICACIÓN DIGITAL-EQUIPO DEL RESPONSABLE</t>
        </is>
      </c>
      <c r="M1119" s="10" t="inlineStr">
        <is>
          <t>DOCUMENTO DE ARCHIVO-ELECTRÓNICO</t>
        </is>
      </c>
      <c r="N1119" s="10" t="inlineStr">
        <is>
          <t>PRIMARIOS</t>
        </is>
      </c>
      <c r="O1119" s="10" t="inlineStr">
        <is>
          <t>DOCUMENTOS TÉCNICOS</t>
        </is>
      </c>
      <c r="P1119" s="10" t="inlineStr">
        <is>
          <t>PUBLICA(1)</t>
        </is>
      </c>
      <c r="Q1119" s="10" t="inlineStr">
        <is>
          <t>ALTA(3)</t>
        </is>
      </c>
      <c r="R1119" s="10" t="inlineStr">
        <is>
          <t>MEDIA(2)</t>
        </is>
      </c>
      <c r="S1119" s="10">
        <f>+(IF(P1119="PUBLICA(1)",1,IF(P1119="USO INTERNO(2)",2,IF(P1119="RESTRINGIDO(3)",3,3))))+(IF(Q1119="BAJA(1)",1,IF(Q1119="MEDIA(2)",2,IF(Q1119="ALTA(3)",3,3))))+(IF(R1119="BAJA(1)",1,IF(R1119="MEDIA(2)",2,IF(R1119="ALTA(3)",3,3))))</f>
        <v/>
      </c>
      <c r="T1119" s="10">
        <f>+IF(S1119&lt;6,"BAJA",IF(S1119&lt;8,"MEDIA","ALTA"))</f>
        <v/>
      </c>
      <c r="U1119" s="10" t="inlineStr">
        <is>
          <t>-</t>
        </is>
      </c>
      <c r="V1119" s="24" t="n">
        <v>45568</v>
      </c>
      <c r="W1119" s="19" t="inlineStr">
        <is>
          <t>N/A</t>
        </is>
      </c>
      <c r="X1119" s="10">
        <f>+IFERROR(IF(VLOOKUP(Tabla2[[#This Row],[ID]],'EVALUACION DE RIESGO'!A:A,1,FALSE)=Tabla2[[#This Row],[ID]],"SI","NO"),"NO")</f>
        <v/>
      </c>
    </row>
    <row r="1120">
      <c r="A1120" s="91" t="inlineStr">
        <is>
          <t>98-GRI</t>
        </is>
      </c>
      <c r="B1120" s="10" t="inlineStr">
        <is>
          <t>ESTRATÉGICO</t>
        </is>
      </c>
      <c r="C1120" s="10" t="inlineStr">
        <is>
          <t>Gestión de Riesgos</t>
        </is>
      </c>
      <c r="D1120" s="10" t="inlineStr">
        <is>
          <t>GRI</t>
        </is>
      </c>
      <c r="E1120" s="10" t="inlineStr">
        <is>
          <t>Gestión de Riesgo de Mercado</t>
        </is>
      </c>
      <c r="F1120" s="10" t="inlineStr">
        <is>
          <t>-</t>
        </is>
      </c>
      <c r="G1120" s="10" t="inlineStr">
        <is>
          <t>Análisis de la Sensibilidad al margen financiero y valor patrimonial</t>
        </is>
      </c>
      <c r="H1120" s="10" t="inlineStr">
        <is>
          <t>Registros de información del mercado.</t>
        </is>
      </c>
      <c r="I1120" s="10" t="inlineStr">
        <is>
          <t>Software de Liquidez y Mercado</t>
        </is>
      </c>
      <c r="J1120" s="10" t="inlineStr">
        <is>
          <t>GERENTE DE RIESGOS</t>
        </is>
      </c>
      <c r="K1120" s="10" t="inlineStr">
        <is>
          <t>ANALISTA DE RIESGO DE LIQUIDEZ Y MERCADO</t>
        </is>
      </c>
      <c r="L1120" s="10" t="inlineStr">
        <is>
          <t>UBICACIÓN DIGITAL-WEBCOOP</t>
        </is>
      </c>
      <c r="M1120" s="10" t="inlineStr">
        <is>
          <t>SISTEMAS DE BASE DE DATOS</t>
        </is>
      </c>
      <c r="N1120" s="10" t="inlineStr">
        <is>
          <t>APOYO</t>
        </is>
      </c>
      <c r="O1120" s="10" t="inlineStr">
        <is>
          <t>SOFTWARE</t>
        </is>
      </c>
      <c r="P1120" s="10" t="inlineStr">
        <is>
          <t>PUBLICA(1)</t>
        </is>
      </c>
      <c r="Q1120" s="10" t="inlineStr">
        <is>
          <t>ALTA(3)</t>
        </is>
      </c>
      <c r="R1120" s="10" t="inlineStr">
        <is>
          <t>MEDIA(2)</t>
        </is>
      </c>
      <c r="S1120" s="10">
        <f>+(IF(P1120="PUBLICA(1)",1,IF(P1120="USO INTERNO(2)",2,IF(P1120="RESTRINGIDO(3)",3,3))))+(IF(Q1120="BAJA(1)",1,IF(Q1120="MEDIA(2)",2,IF(Q1120="ALTA(3)",3,3))))+(IF(R1120="BAJA(1)",1,IF(R1120="MEDIA(2)",2,IF(R1120="ALTA(3)",3,3))))</f>
        <v/>
      </c>
      <c r="T1120" s="10">
        <f>+IF(S1120&lt;6,"BAJA",IF(S1120&lt;8,"MEDIA","ALTA"))</f>
        <v/>
      </c>
      <c r="U1120" s="10" t="inlineStr">
        <is>
          <t>-</t>
        </is>
      </c>
      <c r="V1120" s="24" t="n">
        <v>45568</v>
      </c>
      <c r="W1120" s="19" t="inlineStr">
        <is>
          <t>N/A</t>
        </is>
      </c>
      <c r="X1120" s="10">
        <f>+IFERROR(IF(VLOOKUP(Tabla2[[#This Row],[ID]],'EVALUACION DE RIESGO'!A:A,1,FALSE)=Tabla2[[#This Row],[ID]],"SI","NO"),"NO")</f>
        <v/>
      </c>
    </row>
    <row r="1121">
      <c r="A1121" s="91" t="inlineStr">
        <is>
          <t>99-GRI</t>
        </is>
      </c>
      <c r="B1121" s="10" t="inlineStr">
        <is>
          <t>ESTRATÉGICO</t>
        </is>
      </c>
      <c r="C1121" s="10" t="inlineStr">
        <is>
          <t>Gestión de Riesgos</t>
        </is>
      </c>
      <c r="D1121" s="10" t="inlineStr">
        <is>
          <t>GRI</t>
        </is>
      </c>
      <c r="E1121" s="10" t="inlineStr">
        <is>
          <t>Gestión de Riesgo de Mercado</t>
        </is>
      </c>
      <c r="F1121" s="10" t="inlineStr">
        <is>
          <t>-</t>
        </is>
      </c>
      <c r="G1121" s="10" t="inlineStr">
        <is>
          <t>Análisis de la Sensibilidad al margen financiero y valor patrimonial</t>
        </is>
      </c>
      <c r="H1121" s="10" t="inlineStr">
        <is>
          <t>Reportes de sensibilidad al margen financiero y valor patrimonial</t>
        </is>
      </c>
      <c r="I1121" s="10" t="inlineStr">
        <is>
          <t xml:space="preserve">Consolidación de la información  </t>
        </is>
      </c>
      <c r="J1121" s="10" t="inlineStr">
        <is>
          <t>GERENTE DE RIESGOS</t>
        </is>
      </c>
      <c r="K1121" s="10" t="inlineStr">
        <is>
          <t>ANALISTA DE RIESGO DE LIQUIDEZ Y MERCADO</t>
        </is>
      </c>
      <c r="L1121" s="10" t="inlineStr">
        <is>
          <t>UBICACIÓN DIGITAL-EQUIPO DEL RESPONSABLE</t>
        </is>
      </c>
      <c r="M1121" s="10" t="inlineStr">
        <is>
          <t>DOCUMENTO DE ARCHIVO-ELECTRÓNICO</t>
        </is>
      </c>
      <c r="N1121" s="10" t="inlineStr">
        <is>
          <t>PRIMARIOS</t>
        </is>
      </c>
      <c r="O1121" s="10" t="inlineStr">
        <is>
          <t>DOCUMENTOS TÉCNICOS</t>
        </is>
      </c>
      <c r="P1121" s="10" t="inlineStr">
        <is>
          <t>PUBLICA(1)</t>
        </is>
      </c>
      <c r="Q1121" s="10" t="inlineStr">
        <is>
          <t>ALTA(3)</t>
        </is>
      </c>
      <c r="R1121" s="10" t="inlineStr">
        <is>
          <t>MEDIA(2)</t>
        </is>
      </c>
      <c r="S1121" s="10">
        <f>+(IF(P1121="PUBLICA(1)",1,IF(P1121="USO INTERNO(2)",2,IF(P1121="RESTRINGIDO(3)",3,3))))+(IF(Q1121="BAJA(1)",1,IF(Q1121="MEDIA(2)",2,IF(Q1121="ALTA(3)",3,3))))+(IF(R1121="BAJA(1)",1,IF(R1121="MEDIA(2)",2,IF(R1121="ALTA(3)",3,3))))</f>
        <v/>
      </c>
      <c r="T1121" s="10">
        <f>+IF(S1121&lt;6,"BAJA",IF(S1121&lt;8,"MEDIA","ALTA"))</f>
        <v/>
      </c>
      <c r="U1121" s="10" t="inlineStr">
        <is>
          <t>-</t>
        </is>
      </c>
      <c r="V1121" s="24" t="n">
        <v>45568</v>
      </c>
      <c r="W1121" s="19" t="inlineStr">
        <is>
          <t>N/A</t>
        </is>
      </c>
      <c r="X1121" s="10">
        <f>+IFERROR(IF(VLOOKUP(Tabla2[[#This Row],[ID]],'EVALUACION DE RIESGO'!A:A,1,FALSE)=Tabla2[[#This Row],[ID]],"SI","NO"),"NO")</f>
        <v/>
      </c>
    </row>
    <row r="1122">
      <c r="A1122" s="91" t="inlineStr">
        <is>
          <t>100-GRI</t>
        </is>
      </c>
      <c r="B1122" s="10" t="inlineStr">
        <is>
          <t>ESTRATÉGICO</t>
        </is>
      </c>
      <c r="C1122" s="10" t="inlineStr">
        <is>
          <t>Gestión de Riesgos</t>
        </is>
      </c>
      <c r="D1122" s="10" t="inlineStr">
        <is>
          <t>GRI</t>
        </is>
      </c>
      <c r="E1122" s="10" t="inlineStr">
        <is>
          <t>Gestión de Riesgo de Mercado</t>
        </is>
      </c>
      <c r="F1122" s="10" t="inlineStr">
        <is>
          <t>-</t>
        </is>
      </c>
      <c r="G1122" s="10" t="inlineStr">
        <is>
          <t>Análisis de escenarios de estrés</t>
        </is>
      </c>
      <c r="H1122" s="10" t="inlineStr">
        <is>
          <t>Patrimonio Técnico Constituido del formulario 229.</t>
        </is>
      </c>
      <c r="I1122" s="10" t="inlineStr">
        <is>
          <t>Balance</t>
        </is>
      </c>
      <c r="J1122" s="10" t="inlineStr">
        <is>
          <t>GERENTE DE RIESGOS</t>
        </is>
      </c>
      <c r="K1122" s="10" t="inlineStr">
        <is>
          <t>ANALISTA DE RIESGO DE LIQUIDEZ Y MERCADO</t>
        </is>
      </c>
      <c r="L1122" s="10" t="inlineStr">
        <is>
          <t>UBICACIÓN DIGITAL-EQUIPO DEL RESPONSABLE</t>
        </is>
      </c>
      <c r="M1122" s="10" t="inlineStr">
        <is>
          <t>DOCUMENTO DE ARCHIVO-ELECTRÓNICO</t>
        </is>
      </c>
      <c r="N1122" s="10" t="inlineStr">
        <is>
          <t>PRIMARIOS</t>
        </is>
      </c>
      <c r="O1122" s="10" t="inlineStr">
        <is>
          <t>DOCUMENTOS TÉCNICOS</t>
        </is>
      </c>
      <c r="P1122" s="10" t="inlineStr">
        <is>
          <t>PUBLICA(1)</t>
        </is>
      </c>
      <c r="Q1122" s="10" t="inlineStr">
        <is>
          <t>ALTA(3)</t>
        </is>
      </c>
      <c r="R1122" s="10" t="inlineStr">
        <is>
          <t>MEDIA(2)</t>
        </is>
      </c>
      <c r="S1122" s="10">
        <f>+(IF(P1122="PUBLICA(1)",1,IF(P1122="USO INTERNO(2)",2,IF(P1122="RESTRINGIDO(3)",3,3))))+(IF(Q1122="BAJA(1)",1,IF(Q1122="MEDIA(2)",2,IF(Q1122="ALTA(3)",3,3))))+(IF(R1122="BAJA(1)",1,IF(R1122="MEDIA(2)",2,IF(R1122="ALTA(3)",3,3))))</f>
        <v/>
      </c>
      <c r="T1122" s="10">
        <f>+IF(S1122&lt;6,"BAJA",IF(S1122&lt;8,"MEDIA","ALTA"))</f>
        <v/>
      </c>
      <c r="U1122" s="10" t="inlineStr">
        <is>
          <t>-</t>
        </is>
      </c>
      <c r="V1122" s="24" t="n">
        <v>45568</v>
      </c>
      <c r="W1122" s="19" t="inlineStr">
        <is>
          <t>N/A</t>
        </is>
      </c>
      <c r="X1122" s="10">
        <f>+IFERROR(IF(VLOOKUP(Tabla2[[#This Row],[ID]],'EVALUACION DE RIESGO'!A:A,1,FALSE)=Tabla2[[#This Row],[ID]],"SI","NO"),"NO")</f>
        <v/>
      </c>
    </row>
    <row r="1123">
      <c r="A1123" s="91" t="inlineStr">
        <is>
          <t>101-GRI</t>
        </is>
      </c>
      <c r="B1123" s="10" t="inlineStr">
        <is>
          <t>ESTRATÉGICO</t>
        </is>
      </c>
      <c r="C1123" s="10" t="inlineStr">
        <is>
          <t>Gestión de Riesgos</t>
        </is>
      </c>
      <c r="D1123" s="10" t="inlineStr">
        <is>
          <t>GRI</t>
        </is>
      </c>
      <c r="E1123" s="10" t="inlineStr">
        <is>
          <t>Gestión de Riesgo de Mercado</t>
        </is>
      </c>
      <c r="F1123" s="10" t="inlineStr">
        <is>
          <t>-</t>
        </is>
      </c>
      <c r="G1123" s="10" t="inlineStr">
        <is>
          <t>Análisis de escenarios de estrés</t>
        </is>
      </c>
      <c r="H1123" s="10" t="inlineStr">
        <is>
          <t>Registros de información del mercado</t>
        </is>
      </c>
      <c r="I1123" s="10" t="inlineStr">
        <is>
          <t>Software de Liquidez y Mercado</t>
        </is>
      </c>
      <c r="J1123" s="10" t="inlineStr">
        <is>
          <t>GERENTE DE RIESGOS</t>
        </is>
      </c>
      <c r="K1123" s="10" t="inlineStr">
        <is>
          <t>ANALISTA DE RIESGO DE LIQUIDEZ Y MERCADO</t>
        </is>
      </c>
      <c r="L1123" s="10" t="inlineStr">
        <is>
          <t>UBICACIÓN DIGITAL-WEBCOOP</t>
        </is>
      </c>
      <c r="M1123" s="10" t="inlineStr">
        <is>
          <t>SISTEMAS DE BASE DE DATOS</t>
        </is>
      </c>
      <c r="N1123" s="10" t="inlineStr">
        <is>
          <t>APOYO</t>
        </is>
      </c>
      <c r="O1123" s="10" t="inlineStr">
        <is>
          <t>SOFTWARE</t>
        </is>
      </c>
      <c r="P1123" s="10" t="inlineStr">
        <is>
          <t>PUBLICA(1)</t>
        </is>
      </c>
      <c r="Q1123" s="10" t="inlineStr">
        <is>
          <t>ALTA(3)</t>
        </is>
      </c>
      <c r="R1123" s="10" t="inlineStr">
        <is>
          <t>MEDIA(2)</t>
        </is>
      </c>
      <c r="S1123" s="10">
        <f>+(IF(P1123="PUBLICA(1)",1,IF(P1123="USO INTERNO(2)",2,IF(P1123="RESTRINGIDO(3)",3,3))))+(IF(Q1123="BAJA(1)",1,IF(Q1123="MEDIA(2)",2,IF(Q1123="ALTA(3)",3,3))))+(IF(R1123="BAJA(1)",1,IF(R1123="MEDIA(2)",2,IF(R1123="ALTA(3)",3,3))))</f>
        <v/>
      </c>
      <c r="T1123" s="10">
        <f>+IF(S1123&lt;6,"BAJA",IF(S1123&lt;8,"MEDIA","ALTA"))</f>
        <v/>
      </c>
      <c r="U1123" s="10" t="inlineStr">
        <is>
          <t>-</t>
        </is>
      </c>
      <c r="V1123" s="24" t="n">
        <v>45568</v>
      </c>
      <c r="W1123" s="19" t="inlineStr">
        <is>
          <t>N/A</t>
        </is>
      </c>
      <c r="X1123" s="10">
        <f>+IFERROR(IF(VLOOKUP(Tabla2[[#This Row],[ID]],'EVALUACION DE RIESGO'!A:A,1,FALSE)=Tabla2[[#This Row],[ID]],"SI","NO"),"NO")</f>
        <v/>
      </c>
    </row>
    <row r="1124">
      <c r="A1124" s="91" t="inlineStr">
        <is>
          <t>102-GRI</t>
        </is>
      </c>
      <c r="B1124" s="10" t="inlineStr">
        <is>
          <t>ESTRATÉGICO</t>
        </is>
      </c>
      <c r="C1124" s="10" t="inlineStr">
        <is>
          <t>Gestión de Riesgos</t>
        </is>
      </c>
      <c r="D1124" s="10" t="inlineStr">
        <is>
          <t>GRI</t>
        </is>
      </c>
      <c r="E1124" s="10" t="inlineStr">
        <is>
          <t>Gestión de Riesgo de Mercado</t>
        </is>
      </c>
      <c r="F1124" s="10" t="inlineStr">
        <is>
          <t>-</t>
        </is>
      </c>
      <c r="G1124" s="10" t="inlineStr">
        <is>
          <t>Análisis de escenarios de estrés</t>
        </is>
      </c>
      <c r="H1124" s="10" t="inlineStr">
        <is>
          <t>Reportes estresados de sensibilidad al margen financiero y valor patrimonial</t>
        </is>
      </c>
      <c r="I1124" s="10" t="inlineStr">
        <is>
          <t xml:space="preserve">Consolidación de la información  </t>
        </is>
      </c>
      <c r="J1124" s="10" t="inlineStr">
        <is>
          <t>GERENTE DE RIESGOS</t>
        </is>
      </c>
      <c r="K1124" s="10" t="inlineStr">
        <is>
          <t>ANALISTA DE RIESGO DE LIQUIDEZ Y MERCADO</t>
        </is>
      </c>
      <c r="L1124" s="10" t="inlineStr">
        <is>
          <t>UBICACIÓN DIGITAL-EQUIPO DEL RESPONSABLE</t>
        </is>
      </c>
      <c r="M1124" s="10" t="inlineStr">
        <is>
          <t>DOCUMENTO DE ARCHIVO-ELECTRÓNICO</t>
        </is>
      </c>
      <c r="N1124" s="10" t="inlineStr">
        <is>
          <t>PRIMARIOS</t>
        </is>
      </c>
      <c r="O1124" s="10" t="inlineStr">
        <is>
          <t>DOCUMENTOS TÉCNICOS</t>
        </is>
      </c>
      <c r="P1124" s="10" t="inlineStr">
        <is>
          <t>PUBLICA(1)</t>
        </is>
      </c>
      <c r="Q1124" s="10" t="inlineStr">
        <is>
          <t>ALTA(3)</t>
        </is>
      </c>
      <c r="R1124" s="10" t="inlineStr">
        <is>
          <t>MEDIA(2)</t>
        </is>
      </c>
      <c r="S1124" s="10">
        <f>+(IF(P1124="PUBLICA(1)",1,IF(P1124="USO INTERNO(2)",2,IF(P1124="RESTRINGIDO(3)",3,3))))+(IF(Q1124="BAJA(1)",1,IF(Q1124="MEDIA(2)",2,IF(Q1124="ALTA(3)",3,3))))+(IF(R1124="BAJA(1)",1,IF(R1124="MEDIA(2)",2,IF(R1124="ALTA(3)",3,3))))</f>
        <v/>
      </c>
      <c r="T1124" s="10">
        <f>+IF(S1124&lt;6,"BAJA",IF(S1124&lt;8,"MEDIA","ALTA"))</f>
        <v/>
      </c>
      <c r="U1124" s="10" t="inlineStr">
        <is>
          <t>-</t>
        </is>
      </c>
      <c r="V1124" s="24" t="n">
        <v>45568</v>
      </c>
      <c r="W1124" s="19" t="inlineStr">
        <is>
          <t>N/A</t>
        </is>
      </c>
      <c r="X1124" s="10">
        <f>+IFERROR(IF(VLOOKUP(Tabla2[[#This Row],[ID]],'EVALUACION DE RIESGO'!A:A,1,FALSE)=Tabla2[[#This Row],[ID]],"SI","NO"),"NO")</f>
        <v/>
      </c>
    </row>
    <row r="1125">
      <c r="A1125" s="91" t="inlineStr">
        <is>
          <t>103-GRI</t>
        </is>
      </c>
      <c r="B1125" s="10" t="inlineStr">
        <is>
          <t>ESTRATÉGICO</t>
        </is>
      </c>
      <c r="C1125" s="10" t="inlineStr">
        <is>
          <t>Gestión de Riesgos</t>
        </is>
      </c>
      <c r="D1125" s="10" t="inlineStr">
        <is>
          <t>GRI</t>
        </is>
      </c>
      <c r="E1125" s="10" t="inlineStr">
        <is>
          <t>Gestión de Riesgo de Mercado</t>
        </is>
      </c>
      <c r="F1125" s="10" t="inlineStr">
        <is>
          <t>-</t>
        </is>
      </c>
      <c r="G1125" s="10" t="inlineStr">
        <is>
          <t>Análisis de información del mercado (Cooperativas Segmento 1)</t>
        </is>
      </c>
      <c r="H1125" s="10" t="inlineStr">
        <is>
          <t>Boletín Financiero Segmento 1</t>
        </is>
      </c>
      <c r="I1125" s="10" t="inlineStr">
        <is>
          <t>Externo</t>
        </is>
      </c>
      <c r="J1125" s="10" t="inlineStr">
        <is>
          <t>GERENTE DE RIESGOS</t>
        </is>
      </c>
      <c r="K1125" s="10" t="inlineStr">
        <is>
          <t>ANALISTA DE RIESGO DE LIQUIDEZ Y MERCADO</t>
        </is>
      </c>
      <c r="L1125" s="10" t="inlineStr">
        <is>
          <t>UBICACIÓN DIGITAL-EQUIPO DEL RESPONSABLE</t>
        </is>
      </c>
      <c r="M1125" s="10" t="inlineStr">
        <is>
          <t>DOCUMENTO DE ARCHIVO-ELECTRÓNICO</t>
        </is>
      </c>
      <c r="N1125" s="10" t="inlineStr">
        <is>
          <t>PRIMARIOS</t>
        </is>
      </c>
      <c r="O1125" s="10" t="inlineStr">
        <is>
          <t>INFORMACIÓN DE TERCEROS</t>
        </is>
      </c>
      <c r="P1125" s="10" t="inlineStr">
        <is>
          <t>PUBLICA(1)</t>
        </is>
      </c>
      <c r="Q1125" s="10" t="inlineStr">
        <is>
          <t>ALTA(3)</t>
        </is>
      </c>
      <c r="R1125" s="10" t="inlineStr">
        <is>
          <t>MEDIA(2)</t>
        </is>
      </c>
      <c r="S1125" s="10">
        <f>+(IF(P1125="PUBLICA(1)",1,IF(P1125="USO INTERNO(2)",2,IF(P1125="RESTRINGIDO(3)",3,3))))+(IF(Q1125="BAJA(1)",1,IF(Q1125="MEDIA(2)",2,IF(Q1125="ALTA(3)",3,3))))+(IF(R1125="BAJA(1)",1,IF(R1125="MEDIA(2)",2,IF(R1125="ALTA(3)",3,3))))</f>
        <v/>
      </c>
      <c r="T1125" s="10">
        <f>+IF(S1125&lt;6,"BAJA",IF(S1125&lt;8,"MEDIA","ALTA"))</f>
        <v/>
      </c>
      <c r="U1125" s="10" t="inlineStr">
        <is>
          <t>-</t>
        </is>
      </c>
      <c r="V1125" s="24" t="n">
        <v>45568</v>
      </c>
      <c r="W1125" s="19" t="inlineStr">
        <is>
          <t>N/A</t>
        </is>
      </c>
      <c r="X1125" s="10">
        <f>+IFERROR(IF(VLOOKUP(Tabla2[[#This Row],[ID]],'EVALUACION DE RIESGO'!A:A,1,FALSE)=Tabla2[[#This Row],[ID]],"SI","NO"),"NO")</f>
        <v/>
      </c>
    </row>
    <row r="1126">
      <c r="A1126" s="91" t="inlineStr">
        <is>
          <t>104-GRI</t>
        </is>
      </c>
      <c r="B1126" s="10" t="inlineStr">
        <is>
          <t>ESTRATÉGICO</t>
        </is>
      </c>
      <c r="C1126" s="10" t="inlineStr">
        <is>
          <t>Gestión de Riesgos</t>
        </is>
      </c>
      <c r="D1126" s="10" t="inlineStr">
        <is>
          <t>GRI</t>
        </is>
      </c>
      <c r="E1126" s="10" t="inlineStr">
        <is>
          <t>Gestión de Riesgo de Mercado</t>
        </is>
      </c>
      <c r="F1126" s="10" t="inlineStr">
        <is>
          <t>-</t>
        </is>
      </c>
      <c r="G1126" s="10" t="inlineStr">
        <is>
          <t>Análisis de información del mercado (Cooperativas Segmento 1)</t>
        </is>
      </c>
      <c r="H1126" s="10" t="inlineStr">
        <is>
          <t>Boletín Patrimonio Técnico Segmento 1</t>
        </is>
      </c>
      <c r="I1126" s="10" t="inlineStr">
        <is>
          <t>Externo</t>
        </is>
      </c>
      <c r="J1126" s="10" t="inlineStr">
        <is>
          <t>GERENTE DE RIESGOS</t>
        </is>
      </c>
      <c r="K1126" s="10" t="inlineStr">
        <is>
          <t>ANALISTA DE RIESGO DE LIQUIDEZ Y MERCADO</t>
        </is>
      </c>
      <c r="L1126" s="10" t="inlineStr">
        <is>
          <t>UBICACIÓN DIGITAL-EQUIPO DEL RESPONSABLE</t>
        </is>
      </c>
      <c r="M1126" s="10" t="inlineStr">
        <is>
          <t>DOCUMENTO DE ARCHIVO-ELECTRÓNICO</t>
        </is>
      </c>
      <c r="N1126" s="10" t="inlineStr">
        <is>
          <t>PRIMARIOS</t>
        </is>
      </c>
      <c r="O1126" s="10" t="inlineStr">
        <is>
          <t>INFORMACIÓN DE TERCEROS</t>
        </is>
      </c>
      <c r="P1126" s="10" t="inlineStr">
        <is>
          <t>PUBLICA(1)</t>
        </is>
      </c>
      <c r="Q1126" s="10" t="inlineStr">
        <is>
          <t>ALTA(3)</t>
        </is>
      </c>
      <c r="R1126" s="10" t="inlineStr">
        <is>
          <t>MEDIA(2)</t>
        </is>
      </c>
      <c r="S1126" s="10">
        <f>+(IF(P1126="PUBLICA(1)",1,IF(P1126="USO INTERNO(2)",2,IF(P1126="RESTRINGIDO(3)",3,3))))+(IF(Q1126="BAJA(1)",1,IF(Q1126="MEDIA(2)",2,IF(Q1126="ALTA(3)",3,3))))+(IF(R1126="BAJA(1)",1,IF(R1126="MEDIA(2)",2,IF(R1126="ALTA(3)",3,3))))</f>
        <v/>
      </c>
      <c r="T1126" s="10">
        <f>+IF(S1126&lt;6,"BAJA",IF(S1126&lt;8,"MEDIA","ALTA"))</f>
        <v/>
      </c>
      <c r="U1126" s="10" t="inlineStr">
        <is>
          <t>-</t>
        </is>
      </c>
      <c r="V1126" s="24" t="n">
        <v>45568</v>
      </c>
      <c r="W1126" s="19" t="inlineStr">
        <is>
          <t>N/A</t>
        </is>
      </c>
      <c r="X1126" s="10">
        <f>+IFERROR(IF(VLOOKUP(Tabla2[[#This Row],[ID]],'EVALUACION DE RIESGO'!A:A,1,FALSE)=Tabla2[[#This Row],[ID]],"SI","NO"),"NO")</f>
        <v/>
      </c>
    </row>
    <row r="1127">
      <c r="A1127" s="91" t="inlineStr">
        <is>
          <t>105-GRI</t>
        </is>
      </c>
      <c r="B1127" s="10" t="inlineStr">
        <is>
          <t>ESTRATÉGICO</t>
        </is>
      </c>
      <c r="C1127" s="10" t="inlineStr">
        <is>
          <t>Gestión de Riesgos</t>
        </is>
      </c>
      <c r="D1127" s="10" t="inlineStr">
        <is>
          <t>GRI</t>
        </is>
      </c>
      <c r="E1127" s="10" t="inlineStr">
        <is>
          <t>Gestión de Riesgo de Mercado</t>
        </is>
      </c>
      <c r="F1127" s="10" t="inlineStr">
        <is>
          <t>-</t>
        </is>
      </c>
      <c r="G1127" s="10" t="inlineStr">
        <is>
          <t>Análisis de información del mercado (Cooperativas Segmento 1)</t>
        </is>
      </c>
      <c r="H1127" s="10" t="inlineStr">
        <is>
          <t>Herramienta de Power BI.</t>
        </is>
      </c>
      <c r="I1127" s="10" t="inlineStr">
        <is>
          <t>Generación de reportes</t>
        </is>
      </c>
      <c r="J1127" s="10" t="inlineStr">
        <is>
          <t>GERENTE DE RIESGOS</t>
        </is>
      </c>
      <c r="K1127" s="10" t="inlineStr">
        <is>
          <t>ANALISTA DE RIESGO DE LIQUIDEZ Y MERCADO</t>
        </is>
      </c>
      <c r="L1127" s="10" t="inlineStr">
        <is>
          <t>UBICACIÓN DIGITAL-WEBCOOP</t>
        </is>
      </c>
      <c r="M1127" s="10" t="inlineStr">
        <is>
          <t>SISTEMAS DE BASE DE DATOS</t>
        </is>
      </c>
      <c r="N1127" s="10" t="inlineStr">
        <is>
          <t>APOYO</t>
        </is>
      </c>
      <c r="O1127" s="10" t="inlineStr">
        <is>
          <t>SOFTWARE</t>
        </is>
      </c>
      <c r="P1127" s="10" t="inlineStr">
        <is>
          <t>PUBLICA(1)</t>
        </is>
      </c>
      <c r="Q1127" s="10" t="inlineStr">
        <is>
          <t>ALTA(3)</t>
        </is>
      </c>
      <c r="R1127" s="10" t="inlineStr">
        <is>
          <t>MEDIA(2)</t>
        </is>
      </c>
      <c r="S1127" s="10">
        <f>+(IF(P1127="PUBLICA(1)",1,IF(P1127="USO INTERNO(2)",2,IF(P1127="RESTRINGIDO(3)",3,3))))+(IF(Q1127="BAJA(1)",1,IF(Q1127="MEDIA(2)",2,IF(Q1127="ALTA(3)",3,3))))+(IF(R1127="BAJA(1)",1,IF(R1127="MEDIA(2)",2,IF(R1127="ALTA(3)",3,3))))</f>
        <v/>
      </c>
      <c r="T1127" s="10">
        <f>+IF(S1127&lt;6,"BAJA",IF(S1127&lt;8,"MEDIA","ALTA"))</f>
        <v/>
      </c>
      <c r="U1127" s="10" t="inlineStr">
        <is>
          <t>-</t>
        </is>
      </c>
      <c r="V1127" s="24" t="n">
        <v>45568</v>
      </c>
      <c r="W1127" s="19" t="inlineStr">
        <is>
          <t>N/A</t>
        </is>
      </c>
      <c r="X1127" s="10">
        <f>+IFERROR(IF(VLOOKUP(Tabla2[[#This Row],[ID]],'EVALUACION DE RIESGO'!A:A,1,FALSE)=Tabla2[[#This Row],[ID]],"SI","NO"),"NO")</f>
        <v/>
      </c>
    </row>
    <row r="1128">
      <c r="A1128" s="91" t="inlineStr">
        <is>
          <t>106-GRI</t>
        </is>
      </c>
      <c r="B1128" s="10" t="inlineStr">
        <is>
          <t>ESTRATÉGICO</t>
        </is>
      </c>
      <c r="C1128" s="10" t="inlineStr">
        <is>
          <t>Gestión de Riesgos</t>
        </is>
      </c>
      <c r="D1128" s="10" t="inlineStr">
        <is>
          <t>GRI</t>
        </is>
      </c>
      <c r="E1128" s="10" t="inlineStr">
        <is>
          <t>Gestión de Riesgo de Mercado</t>
        </is>
      </c>
      <c r="F1128" s="10" t="inlineStr">
        <is>
          <t>-</t>
        </is>
      </c>
      <c r="G1128" s="10" t="inlineStr">
        <is>
          <t>Análisis de información del mercado (Cooperativas Segmento 1)</t>
        </is>
      </c>
      <c r="H1128" s="10" t="inlineStr">
        <is>
          <t>Base Histórica de Indicadores y Saldos del Segmento 1.</t>
        </is>
      </c>
      <c r="I1128" s="10" t="inlineStr">
        <is>
          <t>Externo</t>
        </is>
      </c>
      <c r="J1128" s="10" t="inlineStr">
        <is>
          <t>GERENTE DE RIESGOS</t>
        </is>
      </c>
      <c r="K1128" s="10" t="inlineStr">
        <is>
          <t>ANALISTA DE RIESGO DE LIQUIDEZ Y MERCADO</t>
        </is>
      </c>
      <c r="L1128" s="10" t="inlineStr">
        <is>
          <t>UBICACIÓN DIGITAL-EQUIPO DEL RESPONSABLE</t>
        </is>
      </c>
      <c r="M1128" s="10" t="inlineStr">
        <is>
          <t>DOCUMENTO DE ARCHIVO-ELECTRÓNICO</t>
        </is>
      </c>
      <c r="N1128" s="10" t="inlineStr">
        <is>
          <t>PRIMARIOS</t>
        </is>
      </c>
      <c r="O1128" s="10" t="inlineStr">
        <is>
          <t>INFORMACIÓN DE TERCEROS</t>
        </is>
      </c>
      <c r="P1128" s="10" t="inlineStr">
        <is>
          <t>PUBLICA(1)</t>
        </is>
      </c>
      <c r="Q1128" s="10" t="inlineStr">
        <is>
          <t>ALTA(3)</t>
        </is>
      </c>
      <c r="R1128" s="10" t="inlineStr">
        <is>
          <t>MEDIA(2)</t>
        </is>
      </c>
      <c r="S1128" s="10">
        <f>+(IF(P1128="PUBLICA(1)",1,IF(P1128="USO INTERNO(2)",2,IF(P1128="RESTRINGIDO(3)",3,3))))+(IF(Q1128="BAJA(1)",1,IF(Q1128="MEDIA(2)",2,IF(Q1128="ALTA(3)",3,3))))+(IF(R1128="BAJA(1)",1,IF(R1128="MEDIA(2)",2,IF(R1128="ALTA(3)",3,3))))</f>
        <v/>
      </c>
      <c r="T1128" s="10">
        <f>+IF(S1128&lt;6,"BAJA",IF(S1128&lt;8,"MEDIA","ALTA"))</f>
        <v/>
      </c>
      <c r="U1128" s="10" t="inlineStr">
        <is>
          <t>-</t>
        </is>
      </c>
      <c r="V1128" s="24" t="n">
        <v>45568</v>
      </c>
      <c r="W1128" s="19" t="inlineStr">
        <is>
          <t>N/A</t>
        </is>
      </c>
      <c r="X1128" s="10">
        <f>+IFERROR(IF(VLOOKUP(Tabla2[[#This Row],[ID]],'EVALUACION DE RIESGO'!A:A,1,FALSE)=Tabla2[[#This Row],[ID]],"SI","NO"),"NO")</f>
        <v/>
      </c>
    </row>
    <row r="1129">
      <c r="A1129" s="91" t="inlineStr">
        <is>
          <t>107-GRI</t>
        </is>
      </c>
      <c r="B1129" s="10" t="inlineStr">
        <is>
          <t>ESTRATÉGICO</t>
        </is>
      </c>
      <c r="C1129" s="10" t="inlineStr">
        <is>
          <t>Gestión de Riesgos</t>
        </is>
      </c>
      <c r="D1129" s="10" t="inlineStr">
        <is>
          <t>GRI</t>
        </is>
      </c>
      <c r="E1129" s="10" t="inlineStr">
        <is>
          <t>Gestión de Riesgo de Mercado</t>
        </is>
      </c>
      <c r="F1129" s="10" t="inlineStr">
        <is>
          <t>-</t>
        </is>
      </c>
      <c r="G1129" s="10" t="inlineStr">
        <is>
          <t>Monitoreo de tasas</t>
        </is>
      </c>
      <c r="H1129" s="10" t="inlineStr">
        <is>
          <t>Reporte de las tasas de interés activa y pasiva referenciales del BCE.</t>
        </is>
      </c>
      <c r="I1129" s="10" t="inlineStr">
        <is>
          <t>Externo</t>
        </is>
      </c>
      <c r="J1129" s="10" t="inlineStr">
        <is>
          <t>GERENTE DE RIESGOS</t>
        </is>
      </c>
      <c r="K1129" s="10" t="inlineStr">
        <is>
          <t>ANALISTA DE RIESGO DE LIQUIDEZ Y MERCADO</t>
        </is>
      </c>
      <c r="L1129" s="10" t="inlineStr">
        <is>
          <t>UBICACIÓN DIGITAL-EQUIPO DEL RESPONSABLE</t>
        </is>
      </c>
      <c r="M1129" s="10" t="inlineStr">
        <is>
          <t>DOCUMENTO DE ARCHIVO-ELECTRÓNICO</t>
        </is>
      </c>
      <c r="N1129" s="10" t="inlineStr">
        <is>
          <t>PRIMARIOS</t>
        </is>
      </c>
      <c r="O1129" s="10" t="inlineStr">
        <is>
          <t>INFORMACIÓN DE TERCEROS</t>
        </is>
      </c>
      <c r="P1129" s="10" t="inlineStr">
        <is>
          <t>PUBLICA(1)</t>
        </is>
      </c>
      <c r="Q1129" s="10" t="inlineStr">
        <is>
          <t>ALTA(3)</t>
        </is>
      </c>
      <c r="R1129" s="10" t="inlineStr">
        <is>
          <t>MEDIA(2)</t>
        </is>
      </c>
      <c r="S1129" s="10">
        <f>+(IF(P1129="PUBLICA(1)",1,IF(P1129="USO INTERNO(2)",2,IF(P1129="RESTRINGIDO(3)",3,3))))+(IF(Q1129="BAJA(1)",1,IF(Q1129="MEDIA(2)",2,IF(Q1129="ALTA(3)",3,3))))+(IF(R1129="BAJA(1)",1,IF(R1129="MEDIA(2)",2,IF(R1129="ALTA(3)",3,3))))</f>
        <v/>
      </c>
      <c r="T1129" s="10">
        <f>+IF(S1129&lt;6,"BAJA",IF(S1129&lt;8,"MEDIA","ALTA"))</f>
        <v/>
      </c>
      <c r="U1129" s="10" t="inlineStr">
        <is>
          <t>-</t>
        </is>
      </c>
      <c r="V1129" s="24" t="n">
        <v>45568</v>
      </c>
      <c r="W1129" s="19" t="inlineStr">
        <is>
          <t>N/A</t>
        </is>
      </c>
      <c r="X1129" s="10">
        <f>+IFERROR(IF(VLOOKUP(Tabla2[[#This Row],[ID]],'EVALUACION DE RIESGO'!A:A,1,FALSE)=Tabla2[[#This Row],[ID]],"SI","NO"),"NO")</f>
        <v/>
      </c>
    </row>
    <row r="1130">
      <c r="A1130" s="91" t="inlineStr">
        <is>
          <t>108-GRI</t>
        </is>
      </c>
      <c r="B1130" s="10" t="inlineStr">
        <is>
          <t>ESTRATÉGICO</t>
        </is>
      </c>
      <c r="C1130" s="10" t="inlineStr">
        <is>
          <t>Gestión de Riesgos</t>
        </is>
      </c>
      <c r="D1130" s="10" t="inlineStr">
        <is>
          <t>GRI</t>
        </is>
      </c>
      <c r="E1130" s="10" t="inlineStr">
        <is>
          <t>Gestión de Riesgo de Mercado</t>
        </is>
      </c>
      <c r="F1130" s="10" t="inlineStr">
        <is>
          <t>-</t>
        </is>
      </c>
      <c r="G1130" s="10" t="inlineStr">
        <is>
          <t>Monitoreo de tasas</t>
        </is>
      </c>
      <c r="H1130" s="10" t="inlineStr">
        <is>
          <t>Reporte de Captaciones, Crédito, Inversiones y Obligaciones Financieras.</t>
        </is>
      </c>
      <c r="I1130" s="10" t="inlineStr">
        <is>
          <t>Procesos batch</t>
        </is>
      </c>
      <c r="J1130" s="10" t="inlineStr">
        <is>
          <t>GERENTE DE RIESGOS</t>
        </is>
      </c>
      <c r="K1130" s="10" t="inlineStr">
        <is>
          <t>ANALISTA DE RIESGO DE LIQUIDEZ Y MERCADO</t>
        </is>
      </c>
      <c r="L1130" s="10" t="inlineStr">
        <is>
          <t>UBICACIÓN DIGITAL-EQUIPO DEL RESPONSABLE</t>
        </is>
      </c>
      <c r="M1130" s="10" t="inlineStr">
        <is>
          <t>DOCUMENTO DE ARCHIVO-ELECTRÓNICO</t>
        </is>
      </c>
      <c r="N1130" s="10" t="inlineStr">
        <is>
          <t>PRIMARIOS</t>
        </is>
      </c>
      <c r="O1130" s="10" t="inlineStr">
        <is>
          <t>DOCUMENTOS TÉCNICOS</t>
        </is>
      </c>
      <c r="P1130" s="10" t="inlineStr">
        <is>
          <t>PUBLICA(1)</t>
        </is>
      </c>
      <c r="Q1130" s="10" t="inlineStr">
        <is>
          <t>ALTA(3)</t>
        </is>
      </c>
      <c r="R1130" s="10" t="inlineStr">
        <is>
          <t>MEDIA(2)</t>
        </is>
      </c>
      <c r="S1130" s="10">
        <f>+(IF(P1130="PUBLICA(1)",1,IF(P1130="USO INTERNO(2)",2,IF(P1130="RESTRINGIDO(3)",3,3))))+(IF(Q1130="BAJA(1)",1,IF(Q1130="MEDIA(2)",2,IF(Q1130="ALTA(3)",3,3))))+(IF(R1130="BAJA(1)",1,IF(R1130="MEDIA(2)",2,IF(R1130="ALTA(3)",3,3))))</f>
        <v/>
      </c>
      <c r="T1130" s="10">
        <f>+IF(S1130&lt;6,"BAJA",IF(S1130&lt;8,"MEDIA","ALTA"))</f>
        <v/>
      </c>
      <c r="U1130" s="10" t="inlineStr">
        <is>
          <t>-</t>
        </is>
      </c>
      <c r="V1130" s="24" t="n">
        <v>45568</v>
      </c>
      <c r="W1130" s="19" t="inlineStr">
        <is>
          <t>N/A</t>
        </is>
      </c>
      <c r="X1130" s="10">
        <f>+IFERROR(IF(VLOOKUP(Tabla2[[#This Row],[ID]],'EVALUACION DE RIESGO'!A:A,1,FALSE)=Tabla2[[#This Row],[ID]],"SI","NO"),"NO")</f>
        <v/>
      </c>
    </row>
    <row r="1131">
      <c r="A1131" s="91" t="inlineStr">
        <is>
          <t>109-GRI</t>
        </is>
      </c>
      <c r="B1131" s="10" t="inlineStr">
        <is>
          <t>ESTRATÉGICO</t>
        </is>
      </c>
      <c r="C1131" s="10" t="inlineStr">
        <is>
          <t>Gestión de Riesgos</t>
        </is>
      </c>
      <c r="D1131" s="10" t="inlineStr">
        <is>
          <t>GRI</t>
        </is>
      </c>
      <c r="E1131" s="10" t="inlineStr">
        <is>
          <t>Gestión de Riesgo de Mercado</t>
        </is>
      </c>
      <c r="F1131" s="10" t="inlineStr">
        <is>
          <t>-</t>
        </is>
      </c>
      <c r="G1131" s="10" t="inlineStr">
        <is>
          <t>Monitoreo de tasas</t>
        </is>
      </c>
      <c r="H1131" s="10" t="inlineStr">
        <is>
          <t>Reporte de tasas</t>
        </is>
      </c>
      <c r="I1131" s="10" t="inlineStr">
        <is>
          <t xml:space="preserve">Consolidación de la información  </t>
        </is>
      </c>
      <c r="J1131" s="10" t="inlineStr">
        <is>
          <t>GERENTE DE RIESGOS</t>
        </is>
      </c>
      <c r="K1131" s="10" t="inlineStr">
        <is>
          <t>ANALISTA DE RIESGO DE LIQUIDEZ Y MERCADO</t>
        </is>
      </c>
      <c r="L1131" s="10" t="inlineStr">
        <is>
          <t>UBICACIÓN DIGITAL-EQUIPO DEL RESPONSABLE</t>
        </is>
      </c>
      <c r="M1131" s="10" t="inlineStr">
        <is>
          <t>DOCUMENTO DE ARCHIVO-ELECTRÓNICO</t>
        </is>
      </c>
      <c r="N1131" s="10" t="inlineStr">
        <is>
          <t>PRIMARIOS</t>
        </is>
      </c>
      <c r="O1131" s="10" t="inlineStr">
        <is>
          <t>DOCUMENTOS TÉCNICOS</t>
        </is>
      </c>
      <c r="P1131" s="10" t="inlineStr">
        <is>
          <t>PUBLICA(1)</t>
        </is>
      </c>
      <c r="Q1131" s="10" t="inlineStr">
        <is>
          <t>ALTA(3)</t>
        </is>
      </c>
      <c r="R1131" s="10" t="inlineStr">
        <is>
          <t>MEDIA(2)</t>
        </is>
      </c>
      <c r="S1131" s="10">
        <f>+(IF(P1131="PUBLICA(1)",1,IF(P1131="USO INTERNO(2)",2,IF(P1131="RESTRINGIDO(3)",3,3))))+(IF(Q1131="BAJA(1)",1,IF(Q1131="MEDIA(2)",2,IF(Q1131="ALTA(3)",3,3))))+(IF(R1131="BAJA(1)",1,IF(R1131="MEDIA(2)",2,IF(R1131="ALTA(3)",3,3))))</f>
        <v/>
      </c>
      <c r="T1131" s="10">
        <f>+IF(S1131&lt;6,"BAJA",IF(S1131&lt;8,"MEDIA","ALTA"))</f>
        <v/>
      </c>
      <c r="U1131" s="10" t="inlineStr">
        <is>
          <t>-</t>
        </is>
      </c>
      <c r="V1131" s="24" t="n">
        <v>45568</v>
      </c>
      <c r="W1131" s="19" t="inlineStr">
        <is>
          <t>N/A</t>
        </is>
      </c>
      <c r="X1131" s="10">
        <f>+IFERROR(IF(VLOOKUP(Tabla2[[#This Row],[ID]],'EVALUACION DE RIESGO'!A:A,1,FALSE)=Tabla2[[#This Row],[ID]],"SI","NO"),"NO")</f>
        <v/>
      </c>
    </row>
    <row r="1132">
      <c r="A1132" s="91" t="inlineStr">
        <is>
          <t>110-GRI</t>
        </is>
      </c>
      <c r="B1132" s="10" t="inlineStr">
        <is>
          <t>ESTRATÉGICO</t>
        </is>
      </c>
      <c r="C1132" s="10" t="inlineStr">
        <is>
          <t>Gestión de Riesgos</t>
        </is>
      </c>
      <c r="D1132" s="10" t="inlineStr">
        <is>
          <t>GRI</t>
        </is>
      </c>
      <c r="E1132" s="10" t="inlineStr">
        <is>
          <t>Gestión de Riesgo de Mercado</t>
        </is>
      </c>
      <c r="F1132" s="10" t="inlineStr">
        <is>
          <t>-</t>
        </is>
      </c>
      <c r="G1132" s="10" t="inlineStr">
        <is>
          <t>Análisis de Tasas de Interés</t>
        </is>
      </c>
      <c r="H1132" s="10" t="inlineStr">
        <is>
          <t xml:space="preserve">Reporte de tasas
</t>
        </is>
      </c>
      <c r="I1132" s="10" t="inlineStr">
        <is>
          <t xml:space="preserve">Consolidación de la información  </t>
        </is>
      </c>
      <c r="J1132" s="10" t="inlineStr">
        <is>
          <t>GERENTE DE RIESGOS</t>
        </is>
      </c>
      <c r="K1132" s="10" t="inlineStr">
        <is>
          <t>ANALISTA DE RIESGO DE LIQUIDEZ Y MERCADO</t>
        </is>
      </c>
      <c r="L1132" s="10" t="inlineStr">
        <is>
          <t>UBICACIÓN DIGITAL-EQUIPO DEL RESPONSABLE</t>
        </is>
      </c>
      <c r="M1132" s="10" t="inlineStr">
        <is>
          <t>DOCUMENTO DE ARCHIVO-ELECTRÓNICO</t>
        </is>
      </c>
      <c r="N1132" s="10" t="inlineStr">
        <is>
          <t>PRIMARIOS</t>
        </is>
      </c>
      <c r="O1132" s="10" t="inlineStr">
        <is>
          <t>DOCUMENTOS TÉCNICOS</t>
        </is>
      </c>
      <c r="P1132" s="10" t="inlineStr">
        <is>
          <t>PUBLICA(1)</t>
        </is>
      </c>
      <c r="Q1132" s="10" t="inlineStr">
        <is>
          <t>ALTA(3)</t>
        </is>
      </c>
      <c r="R1132" s="10" t="inlineStr">
        <is>
          <t>MEDIA(2)</t>
        </is>
      </c>
      <c r="S1132" s="10">
        <f>+(IF(P1132="PUBLICA(1)",1,IF(P1132="USO INTERNO(2)",2,IF(P1132="RESTRINGIDO(3)",3,3))))+(IF(Q1132="BAJA(1)",1,IF(Q1132="MEDIA(2)",2,IF(Q1132="ALTA(3)",3,3))))+(IF(R1132="BAJA(1)",1,IF(R1132="MEDIA(2)",2,IF(R1132="ALTA(3)",3,3))))</f>
        <v/>
      </c>
      <c r="T1132" s="10">
        <f>+IF(S1132&lt;6,"BAJA",IF(S1132&lt;8,"MEDIA","ALTA"))</f>
        <v/>
      </c>
      <c r="U1132" s="10" t="inlineStr">
        <is>
          <t>-</t>
        </is>
      </c>
      <c r="V1132" s="24" t="n">
        <v>45568</v>
      </c>
      <c r="W1132" s="19" t="inlineStr">
        <is>
          <t>N/A</t>
        </is>
      </c>
      <c r="X1132" s="10">
        <f>+IFERROR(IF(VLOOKUP(Tabla2[[#This Row],[ID]],'EVALUACION DE RIESGO'!A:A,1,FALSE)=Tabla2[[#This Row],[ID]],"SI","NO"),"NO")</f>
        <v/>
      </c>
    </row>
    <row r="1133">
      <c r="A1133" s="91" t="inlineStr">
        <is>
          <t>111-GRI</t>
        </is>
      </c>
      <c r="B1133" s="10" t="inlineStr">
        <is>
          <t>ESTRATÉGICO</t>
        </is>
      </c>
      <c r="C1133" s="10" t="inlineStr">
        <is>
          <t>Gestión de Riesgos</t>
        </is>
      </c>
      <c r="D1133" s="10" t="inlineStr">
        <is>
          <t>GRI</t>
        </is>
      </c>
      <c r="E1133" s="10" t="inlineStr">
        <is>
          <t>Gestión de Riesgo de Mercado</t>
        </is>
      </c>
      <c r="F1133" s="10" t="inlineStr">
        <is>
          <t>-</t>
        </is>
      </c>
      <c r="G1133" s="10" t="inlineStr">
        <is>
          <t>Análisis de Tasas de Interés</t>
        </is>
      </c>
      <c r="H1133" s="10" t="inlineStr">
        <is>
          <t xml:space="preserve">Base histórica de balances
</t>
        </is>
      </c>
      <c r="I1133" s="10" t="inlineStr">
        <is>
          <t xml:space="preserve">Consolidación de la información  </t>
        </is>
      </c>
      <c r="J1133" s="10" t="inlineStr">
        <is>
          <t>GERENTE DE RIESGOS</t>
        </is>
      </c>
      <c r="K1133" s="10" t="inlineStr">
        <is>
          <t>ANALISTA DE RIESGO DE LIQUIDEZ Y MERCADO</t>
        </is>
      </c>
      <c r="L1133" s="10" t="inlineStr">
        <is>
          <t>UBICACIÓN DIGITAL-EQUIPO DEL RESPONSABLE</t>
        </is>
      </c>
      <c r="M1133" s="10" t="inlineStr">
        <is>
          <t>DOCUMENTO DE ARCHIVO-ELECTRÓNICO</t>
        </is>
      </c>
      <c r="N1133" s="10" t="inlineStr">
        <is>
          <t>PRIMARIOS</t>
        </is>
      </c>
      <c r="O1133" s="10" t="inlineStr">
        <is>
          <t>DOCUMENTOS TÉCNICOS</t>
        </is>
      </c>
      <c r="P1133" s="10" t="inlineStr">
        <is>
          <t>PUBLICA(1)</t>
        </is>
      </c>
      <c r="Q1133" s="10" t="inlineStr">
        <is>
          <t>ALTA(3)</t>
        </is>
      </c>
      <c r="R1133" s="10" t="inlineStr">
        <is>
          <t>MEDIA(2)</t>
        </is>
      </c>
      <c r="S1133" s="10">
        <f>+(IF(P1133="PUBLICA(1)",1,IF(P1133="USO INTERNO(2)",2,IF(P1133="RESTRINGIDO(3)",3,3))))+(IF(Q1133="BAJA(1)",1,IF(Q1133="MEDIA(2)",2,IF(Q1133="ALTA(3)",3,3))))+(IF(R1133="BAJA(1)",1,IF(R1133="MEDIA(2)",2,IF(R1133="ALTA(3)",3,3))))</f>
        <v/>
      </c>
      <c r="T1133" s="10">
        <f>+IF(S1133&lt;6,"BAJA",IF(S1133&lt;8,"MEDIA","ALTA"))</f>
        <v/>
      </c>
      <c r="U1133" s="10" t="inlineStr">
        <is>
          <t>-</t>
        </is>
      </c>
      <c r="V1133" s="24" t="n">
        <v>45568</v>
      </c>
      <c r="W1133" s="19" t="inlineStr">
        <is>
          <t>N/A</t>
        </is>
      </c>
      <c r="X1133" s="10">
        <f>+IFERROR(IF(VLOOKUP(Tabla2[[#This Row],[ID]],'EVALUACION DE RIESGO'!A:A,1,FALSE)=Tabla2[[#This Row],[ID]],"SI","NO"),"NO")</f>
        <v/>
      </c>
    </row>
    <row r="1134">
      <c r="A1134" s="91" t="inlineStr">
        <is>
          <t>112-GRI</t>
        </is>
      </c>
      <c r="B1134" s="10" t="inlineStr">
        <is>
          <t>ESTRATÉGICO</t>
        </is>
      </c>
      <c r="C1134" s="10" t="inlineStr">
        <is>
          <t>Gestión de Riesgos</t>
        </is>
      </c>
      <c r="D1134" s="10" t="inlineStr">
        <is>
          <t>GRI</t>
        </is>
      </c>
      <c r="E1134" s="10" t="inlineStr">
        <is>
          <t>Gestión de Riesgo de Mercado</t>
        </is>
      </c>
      <c r="F1134" s="10" t="inlineStr">
        <is>
          <t>-</t>
        </is>
      </c>
      <c r="G1134" s="10" t="inlineStr">
        <is>
          <t>Análisis de Tasas de Interés</t>
        </is>
      </c>
      <c r="H1134" s="10" t="inlineStr">
        <is>
          <t>Tasas activas efectivas máximas por segmento del BCE</t>
        </is>
      </c>
      <c r="I1134" s="10" t="inlineStr">
        <is>
          <t>Externo</t>
        </is>
      </c>
      <c r="J1134" s="10" t="inlineStr">
        <is>
          <t>GERENTE DE RIESGOS</t>
        </is>
      </c>
      <c r="K1134" s="10" t="inlineStr">
        <is>
          <t>ANALISTA DE RIESGO DE LIQUIDEZ Y MERCADO</t>
        </is>
      </c>
      <c r="L1134" s="10" t="inlineStr">
        <is>
          <t>UBICACIÓN DIGITAL-EQUIPO DEL RESPONSABLE</t>
        </is>
      </c>
      <c r="M1134" s="10" t="inlineStr">
        <is>
          <t>DOCUMENTO DE ARCHIVO-ELECTRÓNICO</t>
        </is>
      </c>
      <c r="N1134" s="10" t="inlineStr">
        <is>
          <t>PRIMARIOS</t>
        </is>
      </c>
      <c r="O1134" s="10" t="inlineStr">
        <is>
          <t>INFORMACIÓN DE TERCEROS</t>
        </is>
      </c>
      <c r="P1134" s="10" t="inlineStr">
        <is>
          <t>PUBLICA(1)</t>
        </is>
      </c>
      <c r="Q1134" s="10" t="inlineStr">
        <is>
          <t>ALTA(3)</t>
        </is>
      </c>
      <c r="R1134" s="10" t="inlineStr">
        <is>
          <t>MEDIA(2)</t>
        </is>
      </c>
      <c r="S1134" s="10">
        <f>+(IF(P1134="PUBLICA(1)",1,IF(P1134="USO INTERNO(2)",2,IF(P1134="RESTRINGIDO(3)",3,3))))+(IF(Q1134="BAJA(1)",1,IF(Q1134="MEDIA(2)",2,IF(Q1134="ALTA(3)",3,3))))+(IF(R1134="BAJA(1)",1,IF(R1134="MEDIA(2)",2,IF(R1134="ALTA(3)",3,3))))</f>
        <v/>
      </c>
      <c r="T1134" s="10">
        <f>+IF(S1134&lt;6,"BAJA",IF(S1134&lt;8,"MEDIA","ALTA"))</f>
        <v/>
      </c>
      <c r="U1134" s="10" t="inlineStr">
        <is>
          <t>-</t>
        </is>
      </c>
      <c r="V1134" s="24" t="n">
        <v>45568</v>
      </c>
      <c r="W1134" s="19" t="inlineStr">
        <is>
          <t>N/A</t>
        </is>
      </c>
      <c r="X1134" s="10">
        <f>+IFERROR(IF(VLOOKUP(Tabla2[[#This Row],[ID]],'EVALUACION DE RIESGO'!A:A,1,FALSE)=Tabla2[[#This Row],[ID]],"SI","NO"),"NO")</f>
        <v/>
      </c>
    </row>
    <row r="1135">
      <c r="A1135" s="91" t="inlineStr">
        <is>
          <t>113-GRI</t>
        </is>
      </c>
      <c r="B1135" s="10" t="inlineStr">
        <is>
          <t>ESTRATÉGICO</t>
        </is>
      </c>
      <c r="C1135" s="10" t="inlineStr">
        <is>
          <t>Gestión de Riesgos</t>
        </is>
      </c>
      <c r="D1135" s="10" t="inlineStr">
        <is>
          <t>GRI</t>
        </is>
      </c>
      <c r="E1135" s="10" t="inlineStr">
        <is>
          <t>Gestión de Riesgo de Mercado</t>
        </is>
      </c>
      <c r="F1135" s="10" t="inlineStr">
        <is>
          <t>-</t>
        </is>
      </c>
      <c r="G1135" s="10" t="inlineStr">
        <is>
          <t>Análisis de Tasas de Interés</t>
        </is>
      </c>
      <c r="H1135" s="10" t="inlineStr">
        <is>
          <t>Base Histórica de Indicadores y Saldos del Segmento 1</t>
        </is>
      </c>
      <c r="I1135" s="10" t="inlineStr">
        <is>
          <t>Análisis de información del mercado (Cooperativas Segmento 1)</t>
        </is>
      </c>
      <c r="J1135" s="10" t="inlineStr">
        <is>
          <t>GERENTE DE RIESGOS</t>
        </is>
      </c>
      <c r="K1135" s="10" t="inlineStr">
        <is>
          <t>ANALISTA DE RIESGO DE LIQUIDEZ Y MERCADO</t>
        </is>
      </c>
      <c r="L1135" s="10" t="inlineStr">
        <is>
          <t>UBICACIÓN DIGITAL-EQUIPO DEL RESPONSABLE</t>
        </is>
      </c>
      <c r="M1135" s="10" t="inlineStr">
        <is>
          <t>DOCUMENTO DE ARCHIVO-ELECTRÓNICO</t>
        </is>
      </c>
      <c r="N1135" s="10" t="inlineStr">
        <is>
          <t>PRIMARIOS</t>
        </is>
      </c>
      <c r="O1135" s="10" t="inlineStr">
        <is>
          <t>INFORMACIÓN DE TERCEROS</t>
        </is>
      </c>
      <c r="P1135" s="10" t="inlineStr">
        <is>
          <t>PUBLICA(1)</t>
        </is>
      </c>
      <c r="Q1135" s="10" t="inlineStr">
        <is>
          <t>ALTA(3)</t>
        </is>
      </c>
      <c r="R1135" s="10" t="inlineStr">
        <is>
          <t>MEDIA(2)</t>
        </is>
      </c>
      <c r="S1135" s="10">
        <f>+(IF(P1135="PUBLICA(1)",1,IF(P1135="USO INTERNO(2)",2,IF(P1135="RESTRINGIDO(3)",3,3))))+(IF(Q1135="BAJA(1)",1,IF(Q1135="MEDIA(2)",2,IF(Q1135="ALTA(3)",3,3))))+(IF(R1135="BAJA(1)",1,IF(R1135="MEDIA(2)",2,IF(R1135="ALTA(3)",3,3))))</f>
        <v/>
      </c>
      <c r="T1135" s="10">
        <f>+IF(S1135&lt;6,"BAJA",IF(S1135&lt;8,"MEDIA","ALTA"))</f>
        <v/>
      </c>
      <c r="U1135" s="10" t="inlineStr">
        <is>
          <t>-</t>
        </is>
      </c>
      <c r="V1135" s="24" t="n">
        <v>45568</v>
      </c>
      <c r="W1135" s="19" t="inlineStr">
        <is>
          <t>N/A</t>
        </is>
      </c>
      <c r="X1135" s="10">
        <f>+IFERROR(IF(VLOOKUP(Tabla2[[#This Row],[ID]],'EVALUACION DE RIESGO'!A:A,1,FALSE)=Tabla2[[#This Row],[ID]],"SI","NO"),"NO")</f>
        <v/>
      </c>
    </row>
    <row r="1136">
      <c r="A1136" s="91" t="inlineStr">
        <is>
          <t>114-GRI</t>
        </is>
      </c>
      <c r="B1136" s="10" t="inlineStr">
        <is>
          <t>ESTRATÉGICO</t>
        </is>
      </c>
      <c r="C1136" s="10" t="inlineStr">
        <is>
          <t>Gestión de Riesgos</t>
        </is>
      </c>
      <c r="D1136" s="10" t="inlineStr">
        <is>
          <t>GRI</t>
        </is>
      </c>
      <c r="E1136" s="10" t="inlineStr">
        <is>
          <t>Gestión de Riesgo de Mercado</t>
        </is>
      </c>
      <c r="F1136" s="10" t="inlineStr">
        <is>
          <t>-</t>
        </is>
      </c>
      <c r="G1136" s="10" t="inlineStr">
        <is>
          <t>Análisis de Tasas de Interés</t>
        </is>
      </c>
      <c r="H1136" s="10" t="inlineStr">
        <is>
          <t>Herramienta de Tasas de Interés</t>
        </is>
      </c>
      <c r="I1136" s="10" t="inlineStr">
        <is>
          <t xml:space="preserve">Consolidación de la información  </t>
        </is>
      </c>
      <c r="J1136" s="10" t="inlineStr">
        <is>
          <t>GERENTE DE RIESGOS</t>
        </is>
      </c>
      <c r="K1136" s="10" t="inlineStr">
        <is>
          <t>ANALISTA DE RIESGO DE LIQUIDEZ Y MERCADO</t>
        </is>
      </c>
      <c r="L1136" s="10" t="inlineStr">
        <is>
          <t>UBICACIÓN DIGITAL-EQUIPO DEL RESPONSABLE</t>
        </is>
      </c>
      <c r="M1136" s="10" t="inlineStr">
        <is>
          <t>DOCUMENTO DE ARCHIVO-ELECTRÓNICO</t>
        </is>
      </c>
      <c r="N1136" s="10" t="inlineStr">
        <is>
          <t>PRIMARIOS</t>
        </is>
      </c>
      <c r="O1136" s="10" t="inlineStr">
        <is>
          <t>DOCUMENTOS TÉCNICOS</t>
        </is>
      </c>
      <c r="P1136" s="10" t="inlineStr">
        <is>
          <t>PUBLICA(1)</t>
        </is>
      </c>
      <c r="Q1136" s="10" t="inlineStr">
        <is>
          <t>ALTA(3)</t>
        </is>
      </c>
      <c r="R1136" s="10" t="inlineStr">
        <is>
          <t>MEDIA(2)</t>
        </is>
      </c>
      <c r="S1136" s="10">
        <f>+(IF(P1136="PUBLICA(1)",1,IF(P1136="USO INTERNO(2)",2,IF(P1136="RESTRINGIDO(3)",3,3))))+(IF(Q1136="BAJA(1)",1,IF(Q1136="MEDIA(2)",2,IF(Q1136="ALTA(3)",3,3))))+(IF(R1136="BAJA(1)",1,IF(R1136="MEDIA(2)",2,IF(R1136="ALTA(3)",3,3))))</f>
        <v/>
      </c>
      <c r="T1136" s="10">
        <f>+IF(S1136&lt;6,"BAJA",IF(S1136&lt;8,"MEDIA","ALTA"))</f>
        <v/>
      </c>
      <c r="U1136" s="10" t="inlineStr">
        <is>
          <t>-</t>
        </is>
      </c>
      <c r="V1136" s="24" t="n">
        <v>45568</v>
      </c>
      <c r="W1136" s="19" t="inlineStr">
        <is>
          <t>N/A</t>
        </is>
      </c>
      <c r="X1136" s="10">
        <f>+IFERROR(IF(VLOOKUP(Tabla2[[#This Row],[ID]],'EVALUACION DE RIESGO'!A:A,1,FALSE)=Tabla2[[#This Row],[ID]],"SI","NO"),"NO")</f>
        <v/>
      </c>
    </row>
    <row r="1137">
      <c r="A1137" s="91" t="inlineStr">
        <is>
          <t>115-GRI</t>
        </is>
      </c>
      <c r="B1137" s="10" t="inlineStr">
        <is>
          <t>ESTRATÉGICO</t>
        </is>
      </c>
      <c r="C1137" s="10" t="inlineStr">
        <is>
          <t>Gestión de Riesgos</t>
        </is>
      </c>
      <c r="D1137" s="10" t="inlineStr">
        <is>
          <t>GRI</t>
        </is>
      </c>
      <c r="E1137" s="10" t="inlineStr">
        <is>
          <t>Gestión de Riesgo de Mercado</t>
        </is>
      </c>
      <c r="F1137" s="10" t="inlineStr">
        <is>
          <t>-</t>
        </is>
      </c>
      <c r="G1137" s="10" t="inlineStr">
        <is>
          <t>Consolidación de la información</t>
        </is>
      </c>
      <c r="H1137" s="10" t="inlineStr">
        <is>
          <t>Reporte de brechas de sensibilidad</t>
        </is>
      </c>
      <c r="I1137" s="10" t="inlineStr">
        <is>
          <t xml:space="preserve">Análisis de Brechas de sensibilidad </t>
        </is>
      </c>
      <c r="J1137" s="10" t="inlineStr">
        <is>
          <t>GERENTE DE RIESGOS</t>
        </is>
      </c>
      <c r="K1137" s="10" t="inlineStr">
        <is>
          <t>ANALISTA DE RIESGO DE LIQUIDEZ Y MERCADO</t>
        </is>
      </c>
      <c r="L1137" s="10" t="inlineStr">
        <is>
          <t>UBICACIÓN DIGITAL-EQUIPO DEL RESPONSABLE</t>
        </is>
      </c>
      <c r="M1137" s="10" t="inlineStr">
        <is>
          <t>DOCUMENTO DE ARCHIVO-ELECTRÓNICO</t>
        </is>
      </c>
      <c r="N1137" s="10" t="inlineStr">
        <is>
          <t>PRIMARIOS</t>
        </is>
      </c>
      <c r="O1137" s="10" t="inlineStr">
        <is>
          <t>DOCUMENTOS TÉCNICOS</t>
        </is>
      </c>
      <c r="P1137" s="10" t="inlineStr">
        <is>
          <t>PUBLICA(1)</t>
        </is>
      </c>
      <c r="Q1137" s="10" t="inlineStr">
        <is>
          <t>ALTA(3)</t>
        </is>
      </c>
      <c r="R1137" s="10" t="inlineStr">
        <is>
          <t>MEDIA(2)</t>
        </is>
      </c>
      <c r="S1137" s="10">
        <f>+(IF(P1137="PUBLICA(1)",1,IF(P1137="USO INTERNO(2)",2,IF(P1137="RESTRINGIDO(3)",3,3))))+(IF(Q1137="BAJA(1)",1,IF(Q1137="MEDIA(2)",2,IF(Q1137="ALTA(3)",3,3))))+(IF(R1137="BAJA(1)",1,IF(R1137="MEDIA(2)",2,IF(R1137="ALTA(3)",3,3))))</f>
        <v/>
      </c>
      <c r="T1137" s="10">
        <f>+IF(S1137&lt;6,"BAJA",IF(S1137&lt;8,"MEDIA","ALTA"))</f>
        <v/>
      </c>
      <c r="U1137" s="10" t="inlineStr">
        <is>
          <t>-</t>
        </is>
      </c>
      <c r="V1137" s="24" t="n">
        <v>45568</v>
      </c>
      <c r="W1137" s="19" t="inlineStr">
        <is>
          <t>N/A</t>
        </is>
      </c>
      <c r="X1137" s="10">
        <f>+IFERROR(IF(VLOOKUP(Tabla2[[#This Row],[ID]],'EVALUACION DE RIESGO'!A:A,1,FALSE)=Tabla2[[#This Row],[ID]],"SI","NO"),"NO")</f>
        <v/>
      </c>
    </row>
    <row r="1138">
      <c r="A1138" s="91" t="inlineStr">
        <is>
          <t>116-GRI</t>
        </is>
      </c>
      <c r="B1138" s="10" t="inlineStr">
        <is>
          <t>ESTRATÉGICO</t>
        </is>
      </c>
      <c r="C1138" s="10" t="inlineStr">
        <is>
          <t>Gestión de Riesgos</t>
        </is>
      </c>
      <c r="D1138" s="10" t="inlineStr">
        <is>
          <t>GRI</t>
        </is>
      </c>
      <c r="E1138" s="10" t="inlineStr">
        <is>
          <t>Gestión de Riesgo de Mercado</t>
        </is>
      </c>
      <c r="F1138" s="10" t="inlineStr">
        <is>
          <t>-</t>
        </is>
      </c>
      <c r="G1138" s="10" t="inlineStr">
        <is>
          <t>Consolidación de la información</t>
        </is>
      </c>
      <c r="H1138" s="10" t="inlineStr">
        <is>
          <t>Reportes sensibilidad al margen financiero y valor patrimonial</t>
        </is>
      </c>
      <c r="I1138" s="10" t="inlineStr">
        <is>
          <t xml:space="preserve">Análisis de sensibilidad al margen financiero y valor patrimonial </t>
        </is>
      </c>
      <c r="J1138" s="10" t="inlineStr">
        <is>
          <t>GERENTE DE RIESGOS</t>
        </is>
      </c>
      <c r="K1138" s="10" t="inlineStr">
        <is>
          <t>ANALISTA DE RIESGO DE LIQUIDEZ Y MERCADO</t>
        </is>
      </c>
      <c r="L1138" s="10" t="inlineStr">
        <is>
          <t>UBICACIÓN DIGITAL-EQUIPO DEL RESPONSABLE</t>
        </is>
      </c>
      <c r="M1138" s="10" t="inlineStr">
        <is>
          <t>DOCUMENTO DE ARCHIVO-ELECTRÓNICO</t>
        </is>
      </c>
      <c r="N1138" s="10" t="inlineStr">
        <is>
          <t>PRIMARIOS</t>
        </is>
      </c>
      <c r="O1138" s="10" t="inlineStr">
        <is>
          <t>DOCUMENTOS TÉCNICOS</t>
        </is>
      </c>
      <c r="P1138" s="10" t="inlineStr">
        <is>
          <t>PUBLICA(1)</t>
        </is>
      </c>
      <c r="Q1138" s="10" t="inlineStr">
        <is>
          <t>ALTA(3)</t>
        </is>
      </c>
      <c r="R1138" s="10" t="inlineStr">
        <is>
          <t>MEDIA(2)</t>
        </is>
      </c>
      <c r="S1138" s="10">
        <f>+(IF(P1138="PUBLICA(1)",1,IF(P1138="USO INTERNO(2)",2,IF(P1138="RESTRINGIDO(3)",3,3))))+(IF(Q1138="BAJA(1)",1,IF(Q1138="MEDIA(2)",2,IF(Q1138="ALTA(3)",3,3))))+(IF(R1138="BAJA(1)",1,IF(R1138="MEDIA(2)",2,IF(R1138="ALTA(3)",3,3))))</f>
        <v/>
      </c>
      <c r="T1138" s="10">
        <f>+IF(S1138&lt;6,"BAJA",IF(S1138&lt;8,"MEDIA","ALTA"))</f>
        <v/>
      </c>
      <c r="U1138" s="10" t="inlineStr">
        <is>
          <t>-</t>
        </is>
      </c>
      <c r="V1138" s="24" t="n">
        <v>45568</v>
      </c>
      <c r="W1138" s="19" t="inlineStr">
        <is>
          <t>N/A</t>
        </is>
      </c>
      <c r="X1138" s="10">
        <f>+IFERROR(IF(VLOOKUP(Tabla2[[#This Row],[ID]],'EVALUACION DE RIESGO'!A:A,1,FALSE)=Tabla2[[#This Row],[ID]],"SI","NO"),"NO")</f>
        <v/>
      </c>
    </row>
    <row r="1139">
      <c r="A1139" s="91" t="inlineStr">
        <is>
          <t>117-GRI</t>
        </is>
      </c>
      <c r="B1139" s="10" t="inlineStr">
        <is>
          <t>ESTRATÉGICO</t>
        </is>
      </c>
      <c r="C1139" s="10" t="inlineStr">
        <is>
          <t>Gestión de Riesgos</t>
        </is>
      </c>
      <c r="D1139" s="10" t="inlineStr">
        <is>
          <t>GRI</t>
        </is>
      </c>
      <c r="E1139" s="10" t="inlineStr">
        <is>
          <t>Gestión de Riesgo de Mercado</t>
        </is>
      </c>
      <c r="F1139" s="10" t="inlineStr">
        <is>
          <t>-</t>
        </is>
      </c>
      <c r="G1139" s="10" t="inlineStr">
        <is>
          <t>Consolidación de la información</t>
        </is>
      </c>
      <c r="H1139" s="10" t="inlineStr">
        <is>
          <t>Reportes estresados de sensibilidad al margen financiero y valor patrimonial</t>
        </is>
      </c>
      <c r="I1139" s="10" t="inlineStr">
        <is>
          <t>Análisis de escenarios de estrés</t>
        </is>
      </c>
      <c r="J1139" s="10" t="inlineStr">
        <is>
          <t>GERENTE DE RIESGOS</t>
        </is>
      </c>
      <c r="K1139" s="10" t="inlineStr">
        <is>
          <t>ANALISTA DE RIESGO DE LIQUIDEZ Y MERCADO</t>
        </is>
      </c>
      <c r="L1139" s="10" t="inlineStr">
        <is>
          <t>UBICACIÓN DIGITAL-EQUIPO DEL RESPONSABLE</t>
        </is>
      </c>
      <c r="M1139" s="10" t="inlineStr">
        <is>
          <t>DOCUMENTO DE ARCHIVO-ELECTRÓNICO</t>
        </is>
      </c>
      <c r="N1139" s="10" t="inlineStr">
        <is>
          <t>PRIMARIOS</t>
        </is>
      </c>
      <c r="O1139" s="10" t="inlineStr">
        <is>
          <t>DOCUMENTOS TÉCNICOS</t>
        </is>
      </c>
      <c r="P1139" s="10" t="inlineStr">
        <is>
          <t>PUBLICA(1)</t>
        </is>
      </c>
      <c r="Q1139" s="10" t="inlineStr">
        <is>
          <t>ALTA(3)</t>
        </is>
      </c>
      <c r="R1139" s="10" t="inlineStr">
        <is>
          <t>MEDIA(2)</t>
        </is>
      </c>
      <c r="S1139" s="10">
        <f>+(IF(P1139="PUBLICA(1)",1,IF(P1139="USO INTERNO(2)",2,IF(P1139="RESTRINGIDO(3)",3,3))))+(IF(Q1139="BAJA(1)",1,IF(Q1139="MEDIA(2)",2,IF(Q1139="ALTA(3)",3,3))))+(IF(R1139="BAJA(1)",1,IF(R1139="MEDIA(2)",2,IF(R1139="ALTA(3)",3,3))))</f>
        <v/>
      </c>
      <c r="T1139" s="10">
        <f>+IF(S1139&lt;6,"BAJA",IF(S1139&lt;8,"MEDIA","ALTA"))</f>
        <v/>
      </c>
      <c r="U1139" s="10" t="inlineStr">
        <is>
          <t>-</t>
        </is>
      </c>
      <c r="V1139" s="24" t="n">
        <v>45568</v>
      </c>
      <c r="W1139" s="19" t="inlineStr">
        <is>
          <t>N/A</t>
        </is>
      </c>
      <c r="X1139" s="10">
        <f>+IFERROR(IF(VLOOKUP(Tabla2[[#This Row],[ID]],'EVALUACION DE RIESGO'!A:A,1,FALSE)=Tabla2[[#This Row],[ID]],"SI","NO"),"NO")</f>
        <v/>
      </c>
    </row>
    <row r="1140">
      <c r="A1140" s="91" t="inlineStr">
        <is>
          <t>118-GRI</t>
        </is>
      </c>
      <c r="B1140" s="10" t="inlineStr">
        <is>
          <t>ESTRATÉGICO</t>
        </is>
      </c>
      <c r="C1140" s="10" t="inlineStr">
        <is>
          <t>Gestión de Riesgos</t>
        </is>
      </c>
      <c r="D1140" s="10" t="inlineStr">
        <is>
          <t>GRI</t>
        </is>
      </c>
      <c r="E1140" s="10" t="inlineStr">
        <is>
          <t>Gestión de Riesgo de Mercado</t>
        </is>
      </c>
      <c r="F1140" s="10" t="inlineStr">
        <is>
          <t>-</t>
        </is>
      </c>
      <c r="G1140" s="10" t="inlineStr">
        <is>
          <t>Consolidación de la información</t>
        </is>
      </c>
      <c r="H1140" s="10" t="inlineStr">
        <is>
          <t>Reporte de tasas</t>
        </is>
      </c>
      <c r="I1140" s="10" t="inlineStr">
        <is>
          <t>Monitoreo de tasas</t>
        </is>
      </c>
      <c r="J1140" s="10" t="inlineStr">
        <is>
          <t>GERENTE DE RIESGOS</t>
        </is>
      </c>
      <c r="K1140" s="10" t="inlineStr">
        <is>
          <t>ANALISTA DE RIESGO DE LIQUIDEZ Y MERCADO</t>
        </is>
      </c>
      <c r="L1140" s="10" t="inlineStr">
        <is>
          <t>UBICACIÓN DIGITAL-EQUIPO DEL RESPONSABLE</t>
        </is>
      </c>
      <c r="M1140" s="10" t="inlineStr">
        <is>
          <t>DOCUMENTO DE ARCHIVO-ELECTRÓNICO</t>
        </is>
      </c>
      <c r="N1140" s="10" t="inlineStr">
        <is>
          <t>PRIMARIOS</t>
        </is>
      </c>
      <c r="O1140" s="10" t="inlineStr">
        <is>
          <t>DOCUMENTOS TÉCNICOS</t>
        </is>
      </c>
      <c r="P1140" s="10" t="inlineStr">
        <is>
          <t>PUBLICA(1)</t>
        </is>
      </c>
      <c r="Q1140" s="10" t="inlineStr">
        <is>
          <t>ALTA(3)</t>
        </is>
      </c>
      <c r="R1140" s="10" t="inlineStr">
        <is>
          <t>MEDIA(2)</t>
        </is>
      </c>
      <c r="S1140" s="10">
        <f>+(IF(P1140="PUBLICA(1)",1,IF(P1140="USO INTERNO(2)",2,IF(P1140="RESTRINGIDO(3)",3,3))))+(IF(Q1140="BAJA(1)",1,IF(Q1140="MEDIA(2)",2,IF(Q1140="ALTA(3)",3,3))))+(IF(R1140="BAJA(1)",1,IF(R1140="MEDIA(2)",2,IF(R1140="ALTA(3)",3,3))))</f>
        <v/>
      </c>
      <c r="T1140" s="10">
        <f>+IF(S1140&lt;6,"BAJA",IF(S1140&lt;8,"MEDIA","ALTA"))</f>
        <v/>
      </c>
      <c r="U1140" s="10" t="inlineStr">
        <is>
          <t>-</t>
        </is>
      </c>
      <c r="V1140" s="24" t="n">
        <v>45568</v>
      </c>
      <c r="W1140" s="19" t="inlineStr">
        <is>
          <t>N/A</t>
        </is>
      </c>
      <c r="X1140" s="10">
        <f>+IFERROR(IF(VLOOKUP(Tabla2[[#This Row],[ID]],'EVALUACION DE RIESGO'!A:A,1,FALSE)=Tabla2[[#This Row],[ID]],"SI","NO"),"NO")</f>
        <v/>
      </c>
    </row>
    <row r="1141">
      <c r="A1141" s="91" t="inlineStr">
        <is>
          <t>119-GRI</t>
        </is>
      </c>
      <c r="B1141" s="10" t="inlineStr">
        <is>
          <t>ESTRATÉGICO</t>
        </is>
      </c>
      <c r="C1141" s="10" t="inlineStr">
        <is>
          <t>Gestión de Riesgos</t>
        </is>
      </c>
      <c r="D1141" s="10" t="inlineStr">
        <is>
          <t>GRI</t>
        </is>
      </c>
      <c r="E1141" s="10" t="inlineStr">
        <is>
          <t>Gestión de Riesgo de Mercado</t>
        </is>
      </c>
      <c r="F1141" s="10" t="inlineStr">
        <is>
          <t>-</t>
        </is>
      </c>
      <c r="G1141" s="10" t="inlineStr">
        <is>
          <t>Consolidación de la información</t>
        </is>
      </c>
      <c r="H1141" s="10" t="inlineStr">
        <is>
          <t>Formulario 229</t>
        </is>
      </c>
      <c r="I1141" s="10" t="inlineStr">
        <is>
          <t>Balance</t>
        </is>
      </c>
      <c r="J1141" s="10" t="inlineStr">
        <is>
          <t>GERENTE DE RIESGOS</t>
        </is>
      </c>
      <c r="K1141" s="10" t="inlineStr">
        <is>
          <t>ANALISTA DE RIESGO DE LIQUIDEZ Y MERCADO</t>
        </is>
      </c>
      <c r="L1141" s="10" t="inlineStr">
        <is>
          <t>UBICACIÓN DIGITAL-EQUIPO DEL RESPONSABLE</t>
        </is>
      </c>
      <c r="M1141" s="10" t="inlineStr">
        <is>
          <t>DOCUMENTO DE ARCHIVO-ELECTRÓNICO</t>
        </is>
      </c>
      <c r="N1141" s="10" t="inlineStr">
        <is>
          <t>PRIMARIOS</t>
        </is>
      </c>
      <c r="O1141" s="10" t="inlineStr">
        <is>
          <t>DOCUMENTOS TÉCNICOS</t>
        </is>
      </c>
      <c r="P1141" s="10" t="inlineStr">
        <is>
          <t>PUBLICA(1)</t>
        </is>
      </c>
      <c r="Q1141" s="10" t="inlineStr">
        <is>
          <t>ALTA(3)</t>
        </is>
      </c>
      <c r="R1141" s="10" t="inlineStr">
        <is>
          <t>MEDIA(2)</t>
        </is>
      </c>
      <c r="S1141" s="10">
        <f>+(IF(P1141="PUBLICA(1)",1,IF(P1141="USO INTERNO(2)",2,IF(P1141="RESTRINGIDO(3)",3,3))))+(IF(Q1141="BAJA(1)",1,IF(Q1141="MEDIA(2)",2,IF(Q1141="ALTA(3)",3,3))))+(IF(R1141="BAJA(1)",1,IF(R1141="MEDIA(2)",2,IF(R1141="ALTA(3)",3,3))))</f>
        <v/>
      </c>
      <c r="T1141" s="10">
        <f>+IF(S1141&lt;6,"BAJA",IF(S1141&lt;8,"MEDIA","ALTA"))</f>
        <v/>
      </c>
      <c r="U1141" s="10" t="inlineStr">
        <is>
          <t>-</t>
        </is>
      </c>
      <c r="V1141" s="24" t="n">
        <v>45568</v>
      </c>
      <c r="W1141" s="19" t="inlineStr">
        <is>
          <t>N/A</t>
        </is>
      </c>
      <c r="X1141" s="10">
        <f>+IFERROR(IF(VLOOKUP(Tabla2[[#This Row],[ID]],'EVALUACION DE RIESGO'!A:A,1,FALSE)=Tabla2[[#This Row],[ID]],"SI","NO"),"NO")</f>
        <v/>
      </c>
    </row>
    <row r="1142">
      <c r="A1142" s="91" t="inlineStr">
        <is>
          <t>120-GRI</t>
        </is>
      </c>
      <c r="B1142" s="10" t="inlineStr">
        <is>
          <t>ESTRATÉGICO</t>
        </is>
      </c>
      <c r="C1142" s="10" t="inlineStr">
        <is>
          <t>Gestión de Riesgos</t>
        </is>
      </c>
      <c r="D1142" s="10" t="inlineStr">
        <is>
          <t>GRI</t>
        </is>
      </c>
      <c r="E1142" s="10" t="inlineStr">
        <is>
          <t>Gestión de Riesgo de Mercado</t>
        </is>
      </c>
      <c r="F1142" s="10" t="inlineStr">
        <is>
          <t>-</t>
        </is>
      </c>
      <c r="G1142" s="10" t="inlineStr">
        <is>
          <t>Consolidación de la información</t>
        </is>
      </c>
      <c r="H1142" s="10" t="inlineStr">
        <is>
          <t>Reportes de la Inflación del consumidor</t>
        </is>
      </c>
      <c r="I1142" s="10" t="inlineStr">
        <is>
          <t>INEC</t>
        </is>
      </c>
      <c r="J1142" s="10" t="inlineStr">
        <is>
          <t>GERENTE DE RIESGOS</t>
        </is>
      </c>
      <c r="K1142" s="10" t="inlineStr">
        <is>
          <t>ANALISTA DE RIESGO DE LIQUIDEZ Y MERCADO</t>
        </is>
      </c>
      <c r="L1142" s="10" t="inlineStr">
        <is>
          <t>UBICACIÓN DIGITAL-EQUIPO DEL RESPONSABLE</t>
        </is>
      </c>
      <c r="M1142" s="10" t="inlineStr">
        <is>
          <t>DOCUMENTO DE ARCHIVO-ELECTRÓNICO</t>
        </is>
      </c>
      <c r="N1142" s="10" t="inlineStr">
        <is>
          <t>PRIMARIOS</t>
        </is>
      </c>
      <c r="O1142" s="10" t="inlineStr">
        <is>
          <t>INFORMACIÓN DE TERCEROS</t>
        </is>
      </c>
      <c r="P1142" s="10" t="inlineStr">
        <is>
          <t>PUBLICA(1)</t>
        </is>
      </c>
      <c r="Q1142" s="10" t="inlineStr">
        <is>
          <t>ALTA(3)</t>
        </is>
      </c>
      <c r="R1142" s="10" t="inlineStr">
        <is>
          <t>MEDIA(2)</t>
        </is>
      </c>
      <c r="S1142" s="10">
        <f>+(IF(P1142="PUBLICA(1)",1,IF(P1142="USO INTERNO(2)",2,IF(P1142="RESTRINGIDO(3)",3,3))))+(IF(Q1142="BAJA(1)",1,IF(Q1142="MEDIA(2)",2,IF(Q1142="ALTA(3)",3,3))))+(IF(R1142="BAJA(1)",1,IF(R1142="MEDIA(2)",2,IF(R1142="ALTA(3)",3,3))))</f>
        <v/>
      </c>
      <c r="T1142" s="10">
        <f>+IF(S1142&lt;6,"BAJA",IF(S1142&lt;8,"MEDIA","ALTA"))</f>
        <v/>
      </c>
      <c r="U1142" s="10" t="inlineStr">
        <is>
          <t>-</t>
        </is>
      </c>
      <c r="V1142" s="24" t="n">
        <v>45568</v>
      </c>
      <c r="W1142" s="19" t="inlineStr">
        <is>
          <t>N/A</t>
        </is>
      </c>
      <c r="X1142" s="10">
        <f>+IFERROR(IF(VLOOKUP(Tabla2[[#This Row],[ID]],'EVALUACION DE RIESGO'!A:A,1,FALSE)=Tabla2[[#This Row],[ID]],"SI","NO"),"NO")</f>
        <v/>
      </c>
    </row>
    <row r="1143">
      <c r="A1143" s="91" t="inlineStr">
        <is>
          <t>121-GRI</t>
        </is>
      </c>
      <c r="B1143" s="10" t="inlineStr">
        <is>
          <t>ESTRATÉGICO</t>
        </is>
      </c>
      <c r="C1143" s="10" t="inlineStr">
        <is>
          <t>Gestión de Riesgos</t>
        </is>
      </c>
      <c r="D1143" s="10" t="inlineStr">
        <is>
          <t>GRI</t>
        </is>
      </c>
      <c r="E1143" s="10" t="inlineStr">
        <is>
          <t>Gestión de Riesgo de Mercado</t>
        </is>
      </c>
      <c r="F1143" s="10" t="inlineStr">
        <is>
          <t>-</t>
        </is>
      </c>
      <c r="G1143" s="10" t="inlineStr">
        <is>
          <t>Consolidación de la información</t>
        </is>
      </c>
      <c r="H1143" s="10" t="inlineStr">
        <is>
          <t>Reportes de la canasta básica familiar y canasta vital.</t>
        </is>
      </c>
      <c r="I1143" s="10" t="inlineStr">
        <is>
          <t>INEC</t>
        </is>
      </c>
      <c r="J1143" s="10" t="inlineStr">
        <is>
          <t>GERENTE DE RIESGOS</t>
        </is>
      </c>
      <c r="K1143" s="10" t="inlineStr">
        <is>
          <t>ANALISTA DE RIESGO DE LIQUIDEZ Y MERCADO</t>
        </is>
      </c>
      <c r="L1143" s="10" t="inlineStr">
        <is>
          <t>UBICACIÓN DIGITAL-EQUIPO DEL RESPONSABLE</t>
        </is>
      </c>
      <c r="M1143" s="10" t="inlineStr">
        <is>
          <t>DOCUMENTO DE ARCHIVO-ELECTRÓNICO</t>
        </is>
      </c>
      <c r="N1143" s="10" t="inlineStr">
        <is>
          <t>PRIMARIOS</t>
        </is>
      </c>
      <c r="O1143" s="10" t="inlineStr">
        <is>
          <t>INFORMACIÓN DE TERCEROS</t>
        </is>
      </c>
      <c r="P1143" s="10" t="inlineStr">
        <is>
          <t>PUBLICA(1)</t>
        </is>
      </c>
      <c r="Q1143" s="10" t="inlineStr">
        <is>
          <t>ALTA(3)</t>
        </is>
      </c>
      <c r="R1143" s="10" t="inlineStr">
        <is>
          <t>MEDIA(2)</t>
        </is>
      </c>
      <c r="S1143" s="10">
        <f>+(IF(P1143="PUBLICA(1)",1,IF(P1143="USO INTERNO(2)",2,IF(P1143="RESTRINGIDO(3)",3,3))))+(IF(Q1143="BAJA(1)",1,IF(Q1143="MEDIA(2)",2,IF(Q1143="ALTA(3)",3,3))))+(IF(R1143="BAJA(1)",1,IF(R1143="MEDIA(2)",2,IF(R1143="ALTA(3)",3,3))))</f>
        <v/>
      </c>
      <c r="T1143" s="10">
        <f>+IF(S1143&lt;6,"BAJA",IF(S1143&lt;8,"MEDIA","ALTA"))</f>
        <v/>
      </c>
      <c r="U1143" s="10" t="inlineStr">
        <is>
          <t>-</t>
        </is>
      </c>
      <c r="V1143" s="24" t="n">
        <v>45568</v>
      </c>
      <c r="W1143" s="19" t="inlineStr">
        <is>
          <t>N/A</t>
        </is>
      </c>
      <c r="X1143" s="10">
        <f>+IFERROR(IF(VLOOKUP(Tabla2[[#This Row],[ID]],'EVALUACION DE RIESGO'!A:A,1,FALSE)=Tabla2[[#This Row],[ID]],"SI","NO"),"NO")</f>
        <v/>
      </c>
    </row>
    <row r="1144">
      <c r="A1144" s="91" t="inlineStr">
        <is>
          <t>122-GRI</t>
        </is>
      </c>
      <c r="B1144" s="10" t="inlineStr">
        <is>
          <t>ESTRATÉGICO</t>
        </is>
      </c>
      <c r="C1144" s="10" t="inlineStr">
        <is>
          <t>Gestión de Riesgos</t>
        </is>
      </c>
      <c r="D1144" s="10" t="inlineStr">
        <is>
          <t>GRI</t>
        </is>
      </c>
      <c r="E1144" s="10" t="inlineStr">
        <is>
          <t>Gestión de Riesgo de Mercado</t>
        </is>
      </c>
      <c r="F1144" s="10" t="inlineStr">
        <is>
          <t>-</t>
        </is>
      </c>
      <c r="G1144" s="10" t="inlineStr">
        <is>
          <t>Consolidación de la información</t>
        </is>
      </c>
      <c r="H1144" s="10" t="inlineStr">
        <is>
          <t>Boletines Mensuales de la SEPS.</t>
        </is>
      </c>
      <c r="I1144" s="10" t="inlineStr">
        <is>
          <t>Portal Web de la SEPS</t>
        </is>
      </c>
      <c r="J1144" s="10" t="inlineStr">
        <is>
          <t>GERENTE DE RIESGOS</t>
        </is>
      </c>
      <c r="K1144" s="10" t="inlineStr">
        <is>
          <t>ANALISTA DE RIESGO DE LIQUIDEZ Y MERCADO</t>
        </is>
      </c>
      <c r="L1144" s="10" t="inlineStr">
        <is>
          <t>UBICACIÓN DIGITAL-EQUIPO DEL RESPONSABLE</t>
        </is>
      </c>
      <c r="M1144" s="10" t="inlineStr">
        <is>
          <t>DOCUMENTO DE ARCHIVO-ELECTRÓNICO</t>
        </is>
      </c>
      <c r="N1144" s="10" t="inlineStr">
        <is>
          <t>PRIMARIOS</t>
        </is>
      </c>
      <c r="O1144" s="10" t="inlineStr">
        <is>
          <t>INFORMACIÓN DE TERCEROS</t>
        </is>
      </c>
      <c r="P1144" s="10" t="inlineStr">
        <is>
          <t>PUBLICA(1)</t>
        </is>
      </c>
      <c r="Q1144" s="10" t="inlineStr">
        <is>
          <t>ALTA(3)</t>
        </is>
      </c>
      <c r="R1144" s="10" t="inlineStr">
        <is>
          <t>MEDIA(2)</t>
        </is>
      </c>
      <c r="S1144" s="10">
        <f>+(IF(P1144="PUBLICA(1)",1,IF(P1144="USO INTERNO(2)",2,IF(P1144="RESTRINGIDO(3)",3,3))))+(IF(Q1144="BAJA(1)",1,IF(Q1144="MEDIA(2)",2,IF(Q1144="ALTA(3)",3,3))))+(IF(R1144="BAJA(1)",1,IF(R1144="MEDIA(2)",2,IF(R1144="ALTA(3)",3,3))))</f>
        <v/>
      </c>
      <c r="T1144" s="10">
        <f>+IF(S1144&lt;6,"BAJA",IF(S1144&lt;8,"MEDIA","ALTA"))</f>
        <v/>
      </c>
      <c r="U1144" s="10" t="inlineStr">
        <is>
          <t>-</t>
        </is>
      </c>
      <c r="V1144" s="24" t="n">
        <v>45568</v>
      </c>
      <c r="W1144" s="19" t="inlineStr">
        <is>
          <t>N/A</t>
        </is>
      </c>
      <c r="X1144" s="10">
        <f>+IFERROR(IF(VLOOKUP(Tabla2[[#This Row],[ID]],'EVALUACION DE RIESGO'!A:A,1,FALSE)=Tabla2[[#This Row],[ID]],"SI","NO"),"NO")</f>
        <v/>
      </c>
    </row>
    <row r="1145">
      <c r="A1145" s="91" t="inlineStr">
        <is>
          <t>123-GRI</t>
        </is>
      </c>
      <c r="B1145" s="10" t="inlineStr">
        <is>
          <t>ESTRATÉGICO</t>
        </is>
      </c>
      <c r="C1145" s="10" t="inlineStr">
        <is>
          <t>Gestión de Riesgos</t>
        </is>
      </c>
      <c r="D1145" s="10" t="inlineStr">
        <is>
          <t>GRI</t>
        </is>
      </c>
      <c r="E1145" s="10" t="inlineStr">
        <is>
          <t>Gestión de Riesgo de Mercado</t>
        </is>
      </c>
      <c r="F1145" s="10" t="inlineStr">
        <is>
          <t>-</t>
        </is>
      </c>
      <c r="G1145" s="10" t="inlineStr">
        <is>
          <t>Consolidación de la información</t>
        </is>
      </c>
      <c r="H1145" s="10" t="inlineStr">
        <is>
          <t xml:space="preserve">Informe de Riesgos </t>
        </is>
      </c>
      <c r="I1145" s="10" t="inlineStr">
        <is>
          <t>comunicación</t>
        </is>
      </c>
      <c r="J1145" s="10" t="inlineStr">
        <is>
          <t>GERENTE DE RIESGOS</t>
        </is>
      </c>
      <c r="K1145" s="10" t="inlineStr">
        <is>
          <t>ANALISTA DE RIESGO DE LIQUIDEZ Y MERCADO</t>
        </is>
      </c>
      <c r="L1145" s="10" t="inlineStr">
        <is>
          <t>UBICACIÓN DIGITAL-EQUIPO DEL RESPONSABLE</t>
        </is>
      </c>
      <c r="M1145" s="10" t="inlineStr">
        <is>
          <t>DOCUMENTO DE ARCHIVO-ELECTRÓNICO</t>
        </is>
      </c>
      <c r="N1145" s="10" t="inlineStr">
        <is>
          <t>PRIMARIOS</t>
        </is>
      </c>
      <c r="O1145" s="10" t="inlineStr">
        <is>
          <t>DOCUMENTOS TÉCNICOS</t>
        </is>
      </c>
      <c r="P1145" s="10" t="inlineStr">
        <is>
          <t>PUBLICA(1)</t>
        </is>
      </c>
      <c r="Q1145" s="10" t="inlineStr">
        <is>
          <t>ALTA(3)</t>
        </is>
      </c>
      <c r="R1145" s="10" t="inlineStr">
        <is>
          <t>MEDIA(2)</t>
        </is>
      </c>
      <c r="S1145" s="10">
        <f>+(IF(P1145="PUBLICA(1)",1,IF(P1145="USO INTERNO(2)",2,IF(P1145="RESTRINGIDO(3)",3,3))))+(IF(Q1145="BAJA(1)",1,IF(Q1145="MEDIA(2)",2,IF(Q1145="ALTA(3)",3,3))))+(IF(R1145="BAJA(1)",1,IF(R1145="MEDIA(2)",2,IF(R1145="ALTA(3)",3,3))))</f>
        <v/>
      </c>
      <c r="T1145" s="10">
        <f>+IF(S1145&lt;6,"BAJA",IF(S1145&lt;8,"MEDIA","ALTA"))</f>
        <v/>
      </c>
      <c r="U1145" s="10" t="inlineStr">
        <is>
          <t>-</t>
        </is>
      </c>
      <c r="V1145" s="24" t="n">
        <v>45568</v>
      </c>
      <c r="W1145" s="19" t="inlineStr">
        <is>
          <t>N/A</t>
        </is>
      </c>
      <c r="X1145" s="10">
        <f>+IFERROR(IF(VLOOKUP(Tabla2[[#This Row],[ID]],'EVALUACION DE RIESGO'!A:A,1,FALSE)=Tabla2[[#This Row],[ID]],"SI","NO"),"NO")</f>
        <v/>
      </c>
    </row>
    <row r="1146">
      <c r="A1146" s="91" t="inlineStr">
        <is>
          <t>124-GRI</t>
        </is>
      </c>
      <c r="B1146" s="10" t="inlineStr">
        <is>
          <t>ESTRATÉGICO</t>
        </is>
      </c>
      <c r="C1146" s="10" t="inlineStr">
        <is>
          <t>Gestión de Riesgos</t>
        </is>
      </c>
      <c r="D1146" s="10" t="inlineStr">
        <is>
          <t>GRI</t>
        </is>
      </c>
      <c r="E1146" s="10" t="inlineStr">
        <is>
          <t>Gestión de Riesgo de Mercado</t>
        </is>
      </c>
      <c r="F1146" s="10" t="inlineStr">
        <is>
          <t>-</t>
        </is>
      </c>
      <c r="G1146" s="10" t="inlineStr">
        <is>
          <t>Comunicación</t>
        </is>
      </c>
      <c r="H1146" s="10" t="inlineStr">
        <is>
          <t>Informe de Riesgos</t>
        </is>
      </c>
      <c r="I1146" s="10" t="inlineStr">
        <is>
          <t>Consolidación de Información</t>
        </is>
      </c>
      <c r="J1146" s="10" t="inlineStr">
        <is>
          <t>GERENTE DE RIESGOS</t>
        </is>
      </c>
      <c r="K1146" s="10" t="inlineStr">
        <is>
          <t>ANALISTA DE RIESGO DE LIQUIDEZ Y MERCADO</t>
        </is>
      </c>
      <c r="L1146" s="10" t="inlineStr">
        <is>
          <t>UBICACIÓN DIGITAL-EQUIPO DEL RESPONSABLE</t>
        </is>
      </c>
      <c r="M1146" s="10" t="inlineStr">
        <is>
          <t>DOCUMENTO DE ARCHIVO-ELECTRÓNICO</t>
        </is>
      </c>
      <c r="N1146" s="10" t="inlineStr">
        <is>
          <t>PRIMARIOS</t>
        </is>
      </c>
      <c r="O1146" s="10" t="inlineStr">
        <is>
          <t>DOCUMENTOS TÉCNICOS</t>
        </is>
      </c>
      <c r="P1146" s="10" t="inlineStr">
        <is>
          <t>PUBLICA(1)</t>
        </is>
      </c>
      <c r="Q1146" s="10" t="inlineStr">
        <is>
          <t>ALTA(3)</t>
        </is>
      </c>
      <c r="R1146" s="10" t="inlineStr">
        <is>
          <t>MEDIA(2)</t>
        </is>
      </c>
      <c r="S1146" s="10">
        <f>+(IF(P1146="PUBLICA(1)",1,IF(P1146="USO INTERNO(2)",2,IF(P1146="RESTRINGIDO(3)",3,3))))+(IF(Q1146="BAJA(1)",1,IF(Q1146="MEDIA(2)",2,IF(Q1146="ALTA(3)",3,3))))+(IF(R1146="BAJA(1)",1,IF(R1146="MEDIA(2)",2,IF(R1146="ALTA(3)",3,3))))</f>
        <v/>
      </c>
      <c r="T1146" s="10">
        <f>+IF(S1146&lt;6,"BAJA",IF(S1146&lt;8,"MEDIA","ALTA"))</f>
        <v/>
      </c>
      <c r="U1146" s="10" t="inlineStr">
        <is>
          <t>-</t>
        </is>
      </c>
      <c r="V1146" s="24" t="n">
        <v>45568</v>
      </c>
      <c r="W1146" s="19" t="inlineStr">
        <is>
          <t>N/A</t>
        </is>
      </c>
      <c r="X1146" s="10">
        <f>+IFERROR(IF(VLOOKUP(Tabla2[[#This Row],[ID]],'EVALUACION DE RIESGO'!A:A,1,FALSE)=Tabla2[[#This Row],[ID]],"SI","NO"),"NO")</f>
        <v/>
      </c>
    </row>
    <row r="1147">
      <c r="A1147" s="91" t="inlineStr">
        <is>
          <t>125-GRI</t>
        </is>
      </c>
      <c r="B1147" s="10" t="inlineStr">
        <is>
          <t>ESTRATÉGICO</t>
        </is>
      </c>
      <c r="C1147" s="10" t="inlineStr">
        <is>
          <t>Gestión de Riesgos</t>
        </is>
      </c>
      <c r="D1147" s="10" t="inlineStr">
        <is>
          <t>GRI</t>
        </is>
      </c>
      <c r="E1147" s="10" t="inlineStr">
        <is>
          <t>Gestión de Riesgo de Mercado</t>
        </is>
      </c>
      <c r="F1147" s="10" t="inlineStr">
        <is>
          <t>-</t>
        </is>
      </c>
      <c r="G1147" s="10" t="inlineStr">
        <is>
          <t>Comunicación</t>
        </is>
      </c>
      <c r="H1147" s="10" t="inlineStr">
        <is>
          <t xml:space="preserve">Acta del CAIR </t>
        </is>
      </c>
      <c r="I1147" s="10" t="inlineStr">
        <is>
          <t>Archivo del Secretario del Comité</t>
        </is>
      </c>
      <c r="J1147" s="10" t="inlineStr">
        <is>
          <t>GERENTE DE RIESGOS</t>
        </is>
      </c>
      <c r="K1147" s="10" t="inlineStr">
        <is>
          <t>ANALISTA DE RIESGO DE LIQUIDEZ Y MERCADO</t>
        </is>
      </c>
      <c r="L1147" s="10" t="inlineStr">
        <is>
          <t>UBICACIÓN DIGITAL-EQUIPO DEL RESPONSABLE</t>
        </is>
      </c>
      <c r="M1147" s="10" t="inlineStr">
        <is>
          <t>DOCUMENTO DE ARCHIVO-ELECTRÓNICO</t>
        </is>
      </c>
      <c r="N1147" s="10" t="inlineStr">
        <is>
          <t>PRIMARIOS</t>
        </is>
      </c>
      <c r="O1147" s="10" t="inlineStr">
        <is>
          <t>OTROS</t>
        </is>
      </c>
      <c r="P1147" s="10" t="inlineStr">
        <is>
          <t>PUBLICA(1)</t>
        </is>
      </c>
      <c r="Q1147" s="10" t="inlineStr">
        <is>
          <t>ALTA(3)</t>
        </is>
      </c>
      <c r="R1147" s="10" t="inlineStr">
        <is>
          <t>MEDIA(2)</t>
        </is>
      </c>
      <c r="S1147" s="10">
        <f>+(IF(P1147="PUBLICA(1)",1,IF(P1147="USO INTERNO(2)",2,IF(P1147="RESTRINGIDO(3)",3,3))))+(IF(Q1147="BAJA(1)",1,IF(Q1147="MEDIA(2)",2,IF(Q1147="ALTA(3)",3,3))))+(IF(R1147="BAJA(1)",1,IF(R1147="MEDIA(2)",2,IF(R1147="ALTA(3)",3,3))))</f>
        <v/>
      </c>
      <c r="T1147" s="10">
        <f>+IF(S1147&lt;6,"BAJA",IF(S1147&lt;8,"MEDIA","ALTA"))</f>
        <v/>
      </c>
      <c r="U1147" s="10" t="inlineStr">
        <is>
          <t>-</t>
        </is>
      </c>
      <c r="V1147" s="24" t="n">
        <v>45568</v>
      </c>
      <c r="W1147" s="19" t="inlineStr">
        <is>
          <t>N/A</t>
        </is>
      </c>
      <c r="X1147" s="10">
        <f>+IFERROR(IF(VLOOKUP(Tabla2[[#This Row],[ID]],'EVALUACION DE RIESGO'!A:A,1,FALSE)=Tabla2[[#This Row],[ID]],"SI","NO"),"NO")</f>
        <v/>
      </c>
    </row>
    <row r="1148">
      <c r="A1148" s="91" t="inlineStr">
        <is>
          <t>126-GRI</t>
        </is>
      </c>
      <c r="B1148" s="10" t="inlineStr">
        <is>
          <t>ESTRATÉGICO</t>
        </is>
      </c>
      <c r="C1148" s="10" t="inlineStr">
        <is>
          <t>Gestión de Riesgos</t>
        </is>
      </c>
      <c r="D1148" s="10" t="inlineStr">
        <is>
          <t>GRI</t>
        </is>
      </c>
      <c r="E1148" s="10" t="inlineStr">
        <is>
          <t>Gestión de Riesgo de Mercado</t>
        </is>
      </c>
      <c r="F1148" s="10" t="inlineStr">
        <is>
          <t>-</t>
        </is>
      </c>
      <c r="G1148" s="10" t="inlineStr">
        <is>
          <t>Comunicación</t>
        </is>
      </c>
      <c r="H1148" s="10" t="inlineStr">
        <is>
          <t xml:space="preserve">Acta del Consejo de Administración </t>
        </is>
      </c>
      <c r="I1148" s="10" t="inlineStr">
        <is>
          <t>Archivo de Actas del Consejo de Administración</t>
        </is>
      </c>
      <c r="J1148" s="10" t="inlineStr">
        <is>
          <t>GERENTE DE RIESGOS</t>
        </is>
      </c>
      <c r="K1148" s="10" t="inlineStr">
        <is>
          <t>ANALISTA DE RIESGO DE LIQUIDEZ Y MERCADO</t>
        </is>
      </c>
      <c r="L1148" s="10" t="inlineStr">
        <is>
          <t>UBICACIÓN DIGITAL-EQUIPO DEL RESPONSABLE</t>
        </is>
      </c>
      <c r="M1148" s="10" t="inlineStr">
        <is>
          <t>DOCUMENTO DE ARCHIVO-ELECTRÓNICO</t>
        </is>
      </c>
      <c r="N1148" s="10" t="inlineStr">
        <is>
          <t>PRIMARIOS</t>
        </is>
      </c>
      <c r="O1148" s="10" t="inlineStr">
        <is>
          <t>OTROS</t>
        </is>
      </c>
      <c r="P1148" s="10" t="inlineStr">
        <is>
          <t>PUBLICA(1)</t>
        </is>
      </c>
      <c r="Q1148" s="10" t="inlineStr">
        <is>
          <t>ALTA(3)</t>
        </is>
      </c>
      <c r="R1148" s="10" t="inlineStr">
        <is>
          <t>MEDIA(2)</t>
        </is>
      </c>
      <c r="S1148" s="10">
        <f>+(IF(P1148="PUBLICA(1)",1,IF(P1148="USO INTERNO(2)",2,IF(P1148="RESTRINGIDO(3)",3,3))))+(IF(Q1148="BAJA(1)",1,IF(Q1148="MEDIA(2)",2,IF(Q1148="ALTA(3)",3,3))))+(IF(R1148="BAJA(1)",1,IF(R1148="MEDIA(2)",2,IF(R1148="ALTA(3)",3,3))))</f>
        <v/>
      </c>
      <c r="T1148" s="10">
        <f>+IF(S1148&lt;6,"BAJA",IF(S1148&lt;8,"MEDIA","ALTA"))</f>
        <v/>
      </c>
      <c r="U1148" s="10" t="inlineStr">
        <is>
          <t>-</t>
        </is>
      </c>
      <c r="V1148" s="24" t="n">
        <v>45568</v>
      </c>
      <c r="W1148" s="19" t="inlineStr">
        <is>
          <t>N/A</t>
        </is>
      </c>
      <c r="X1148" s="10">
        <f>+IFERROR(IF(VLOOKUP(Tabla2[[#This Row],[ID]],'EVALUACION DE RIESGO'!A:A,1,FALSE)=Tabla2[[#This Row],[ID]],"SI","NO"),"NO")</f>
        <v/>
      </c>
    </row>
    <row r="1149">
      <c r="A1149" s="91" t="inlineStr">
        <is>
          <t>127-GRI</t>
        </is>
      </c>
      <c r="B1149" s="10" t="inlineStr">
        <is>
          <t>ESTRATÉGICO</t>
        </is>
      </c>
      <c r="C1149" s="10" t="inlineStr">
        <is>
          <t>Gestión de Riesgos</t>
        </is>
      </c>
      <c r="D1149" s="10" t="inlineStr">
        <is>
          <t>GRI</t>
        </is>
      </c>
      <c r="E1149" s="10" t="inlineStr">
        <is>
          <t>Gestión de Riesgo Operativo</t>
        </is>
      </c>
      <c r="F1149" s="10" t="inlineStr">
        <is>
          <t>-</t>
        </is>
      </c>
      <c r="G1149" s="10" t="inlineStr">
        <is>
          <t>Administración de eventos de riesgo operativo</t>
        </is>
      </c>
      <c r="H1149" s="10" t="inlineStr">
        <is>
          <t>Registro de eventos de riesgo operativo</t>
        </is>
      </c>
      <c r="I1149" s="10" t="inlineStr">
        <is>
          <t>Archivo de excel</t>
        </is>
      </c>
      <c r="J1149" s="10" t="inlineStr">
        <is>
          <t>GERENTE DE RIESGOS</t>
        </is>
      </c>
      <c r="K1149" s="10" t="inlineStr">
        <is>
          <t>ANALISTA DE RIESGO OPERATIVO</t>
        </is>
      </c>
      <c r="L1149" s="10" t="inlineStr">
        <is>
          <t>UBICACIÓN DIGITAL-EQUIPO DEL RESPONSABLE</t>
        </is>
      </c>
      <c r="M1149" s="10" t="inlineStr">
        <is>
          <t>DOCUMENTO DE ARCHIVO-ELECTRÓNICO</t>
        </is>
      </c>
      <c r="N1149" s="10" t="inlineStr">
        <is>
          <t>PRIMARIOS</t>
        </is>
      </c>
      <c r="O1149" s="10" t="inlineStr">
        <is>
          <t>DOCUMENTOS TÉCNICOS</t>
        </is>
      </c>
      <c r="P1149" s="10" t="inlineStr">
        <is>
          <t>PUBLICA(1)</t>
        </is>
      </c>
      <c r="Q1149" s="10" t="inlineStr">
        <is>
          <t>ALTA(3)</t>
        </is>
      </c>
      <c r="R1149" s="10" t="inlineStr">
        <is>
          <t>MEDIA(2)</t>
        </is>
      </c>
      <c r="S1149" s="10">
        <f>+(IF(P1149="PUBLICA(1)",1,IF(P1149="USO INTERNO(2)",2,IF(P1149="RESTRINGIDO(3)",3,3))))+(IF(Q1149="BAJA(1)",1,IF(Q1149="MEDIA(2)",2,IF(Q1149="ALTA(3)",3,3))))+(IF(R1149="BAJA(1)",1,IF(R1149="MEDIA(2)",2,IF(R1149="ALTA(3)",3,3))))</f>
        <v/>
      </c>
      <c r="T1149" s="10">
        <f>+IF(S1149&lt;6,"BAJA",IF(S1149&lt;8,"MEDIA","ALTA"))</f>
        <v/>
      </c>
      <c r="U1149" s="10" t="inlineStr">
        <is>
          <t>-</t>
        </is>
      </c>
      <c r="V1149" s="24" t="n">
        <v>45580</v>
      </c>
      <c r="W1149" s="19" t="inlineStr">
        <is>
          <t>N/A</t>
        </is>
      </c>
      <c r="X1149" s="10">
        <f>+IFERROR(IF(VLOOKUP(Tabla2[[#This Row],[ID]],'EVALUACION DE RIESGO'!A:A,1,FALSE)=Tabla2[[#This Row],[ID]],"SI","NO"),"NO")</f>
        <v/>
      </c>
    </row>
    <row r="1150">
      <c r="A1150" s="91" t="inlineStr">
        <is>
          <t>128-GRI</t>
        </is>
      </c>
      <c r="B1150" s="10" t="inlineStr">
        <is>
          <t>ESTRATÉGICO</t>
        </is>
      </c>
      <c r="C1150" s="10" t="inlineStr">
        <is>
          <t>Gestión de Riesgos</t>
        </is>
      </c>
      <c r="D1150" s="10" t="inlineStr">
        <is>
          <t>GRI</t>
        </is>
      </c>
      <c r="E1150" s="10" t="inlineStr">
        <is>
          <t>Gestión de Riesgo Operativo</t>
        </is>
      </c>
      <c r="F1150" s="10" t="inlineStr">
        <is>
          <t>-</t>
        </is>
      </c>
      <c r="G1150" s="10" t="inlineStr">
        <is>
          <t>Administración de eventos de riesgo operativo</t>
        </is>
      </c>
      <c r="H1150" s="10" t="inlineStr">
        <is>
          <t>Matriz de Riesgo Operativo</t>
        </is>
      </c>
      <c r="I1150" s="10" t="inlineStr">
        <is>
          <t>Información consolidada de los eventos</t>
        </is>
      </c>
      <c r="J1150" s="10" t="inlineStr">
        <is>
          <t>GERENTE DE RIESGOS</t>
        </is>
      </c>
      <c r="K1150" s="10" t="inlineStr">
        <is>
          <t>ANALISTA DE RIESGO OPERATIVO</t>
        </is>
      </c>
      <c r="L1150" s="10" t="inlineStr">
        <is>
          <t>UBICACIÓN DIGITAL-EQUIPO DEL RESPONSABLE</t>
        </is>
      </c>
      <c r="M1150" s="10" t="inlineStr">
        <is>
          <t>DOCUMENTO DE ARCHIVO-ELECTRÓNICO</t>
        </is>
      </c>
      <c r="N1150" s="10" t="inlineStr">
        <is>
          <t>PRIMARIOS</t>
        </is>
      </c>
      <c r="O1150" s="10" t="inlineStr">
        <is>
          <t>DOCUMENTOS TÉCNICOS</t>
        </is>
      </c>
      <c r="P1150" s="10" t="inlineStr">
        <is>
          <t>PUBLICA(1)</t>
        </is>
      </c>
      <c r="Q1150" s="10" t="inlineStr">
        <is>
          <t>ALTA(3)</t>
        </is>
      </c>
      <c r="R1150" s="10" t="inlineStr">
        <is>
          <t>MEDIA(2)</t>
        </is>
      </c>
      <c r="S1150" s="10">
        <f>+(IF(P1150="PUBLICA(1)",1,IF(P1150="USO INTERNO(2)",2,IF(P1150="RESTRINGIDO(3)",3,3))))+(IF(Q1150="BAJA(1)",1,IF(Q1150="MEDIA(2)",2,IF(Q1150="ALTA(3)",3,3))))+(IF(R1150="BAJA(1)",1,IF(R1150="MEDIA(2)",2,IF(R1150="ALTA(3)",3,3))))</f>
        <v/>
      </c>
      <c r="T1150" s="10">
        <f>+IF(S1150&lt;6,"BAJA",IF(S1150&lt;8,"MEDIA","ALTA"))</f>
        <v/>
      </c>
      <c r="U1150" s="10" t="inlineStr">
        <is>
          <t>-</t>
        </is>
      </c>
      <c r="V1150" s="24" t="n">
        <v>45588</v>
      </c>
      <c r="W1150" s="19" t="inlineStr">
        <is>
          <t>N/A</t>
        </is>
      </c>
      <c r="X1150" s="10">
        <f>+IFERROR(IF(VLOOKUP(Tabla2[[#This Row],[ID]],'EVALUACION DE RIESGO'!A:A,1,FALSE)=Tabla2[[#This Row],[ID]],"SI","NO"),"NO")</f>
        <v/>
      </c>
    </row>
    <row r="1151">
      <c r="A1151" s="91" t="inlineStr">
        <is>
          <t>129-GRI</t>
        </is>
      </c>
      <c r="B1151" s="10" t="inlineStr">
        <is>
          <t>ESTRATÉGICO</t>
        </is>
      </c>
      <c r="C1151" s="10" t="inlineStr">
        <is>
          <t>Gestión de Riesgos</t>
        </is>
      </c>
      <c r="D1151" s="10" t="inlineStr">
        <is>
          <t>GRI</t>
        </is>
      </c>
      <c r="E1151" s="10" t="inlineStr">
        <is>
          <t>Gestión de Riesgo Operativo</t>
        </is>
      </c>
      <c r="F1151" s="10" t="inlineStr">
        <is>
          <t>-</t>
        </is>
      </c>
      <c r="G1151" s="10" t="inlineStr">
        <is>
          <t>Administración de eventos de riesgo operativo</t>
        </is>
      </c>
      <c r="H1151" s="10" t="inlineStr">
        <is>
          <t>Matriz de Riesgo operativo de eventos materializados</t>
        </is>
      </c>
      <c r="I1151" s="10" t="inlineStr">
        <is>
          <t>Información consolidada de los eventos</t>
        </is>
      </c>
      <c r="J1151" s="10" t="inlineStr">
        <is>
          <t>GERENTE DE RIESGOS</t>
        </is>
      </c>
      <c r="K1151" s="10" t="inlineStr">
        <is>
          <t>ANALISTA DE RIESGO OPERATIVO</t>
        </is>
      </c>
      <c r="L1151" s="10" t="inlineStr">
        <is>
          <t>UBICACIÓN DIGITAL-EQUIPO DEL RESPONSABLE</t>
        </is>
      </c>
      <c r="M1151" s="10" t="inlineStr">
        <is>
          <t>DOCUMENTO DE ARCHIVO-ELECTRÓNICO</t>
        </is>
      </c>
      <c r="N1151" s="10" t="inlineStr">
        <is>
          <t>PRIMARIOS</t>
        </is>
      </c>
      <c r="O1151" s="10" t="inlineStr">
        <is>
          <t>DOCUMENTOS TÉCNICOS</t>
        </is>
      </c>
      <c r="P1151" s="10" t="inlineStr">
        <is>
          <t>PUBLICA(1)</t>
        </is>
      </c>
      <c r="Q1151" s="10" t="inlineStr">
        <is>
          <t>ALTA(3)</t>
        </is>
      </c>
      <c r="R1151" s="10" t="inlineStr">
        <is>
          <t>MEDIA(2)</t>
        </is>
      </c>
      <c r="S1151" s="10">
        <f>+(IF(P1151="PUBLICA(1)",1,IF(P1151="USO INTERNO(2)",2,IF(P1151="RESTRINGIDO(3)",3,3))))+(IF(Q1151="BAJA(1)",1,IF(Q1151="MEDIA(2)",2,IF(Q1151="ALTA(3)",3,3))))+(IF(R1151="BAJA(1)",1,IF(R1151="MEDIA(2)",2,IF(R1151="ALTA(3)",3,3))))</f>
        <v/>
      </c>
      <c r="T1151" s="10">
        <f>+IF(S1151&lt;6,"BAJA",IF(S1151&lt;8,"MEDIA","ALTA"))</f>
        <v/>
      </c>
      <c r="U1151" s="10" t="inlineStr">
        <is>
          <t>-</t>
        </is>
      </c>
      <c r="V1151" s="24" t="n">
        <v>45588</v>
      </c>
      <c r="W1151" s="19" t="inlineStr">
        <is>
          <t>N/A</t>
        </is>
      </c>
      <c r="X1151" s="10">
        <f>+IFERROR(IF(VLOOKUP(Tabla2[[#This Row],[ID]],'EVALUACION DE RIESGO'!A:A,1,FALSE)=Tabla2[[#This Row],[ID]],"SI","NO"),"NO")</f>
        <v/>
      </c>
    </row>
    <row r="1152">
      <c r="A1152" s="91" t="inlineStr">
        <is>
          <t>130-GRI</t>
        </is>
      </c>
      <c r="B1152" s="10" t="inlineStr">
        <is>
          <t>ESTRATÉGICO</t>
        </is>
      </c>
      <c r="C1152" s="10" t="inlineStr">
        <is>
          <t>Gestión de Riesgos</t>
        </is>
      </c>
      <c r="D1152" s="10" t="inlineStr">
        <is>
          <t>GRI</t>
        </is>
      </c>
      <c r="E1152" s="10" t="inlineStr">
        <is>
          <t>Gestión de Riesgo Operativo</t>
        </is>
      </c>
      <c r="F1152" s="10" t="inlineStr">
        <is>
          <t>-</t>
        </is>
      </c>
      <c r="G1152" s="10" t="inlineStr">
        <is>
          <t>Administración de eventos de riesgo operativo</t>
        </is>
      </c>
      <c r="H1152" s="10" t="inlineStr">
        <is>
          <t>Matriz de resultados de las visitas a oficinas</t>
        </is>
      </c>
      <c r="I1152" s="10" t="inlineStr">
        <is>
          <t>Información consolidada de las observaciones</t>
        </is>
      </c>
      <c r="J1152" s="10" t="inlineStr">
        <is>
          <t>GERENTE DE RIESGOS</t>
        </is>
      </c>
      <c r="K1152" s="10" t="inlineStr">
        <is>
          <t>ANALISTA DE RIESGO OPERATIVO</t>
        </is>
      </c>
      <c r="L1152" s="10" t="inlineStr">
        <is>
          <t>UBICACIÓN DIGITAL-EQUIPO DEL RESPONSABLE</t>
        </is>
      </c>
      <c r="M1152" s="10" t="inlineStr">
        <is>
          <t>DOCUMENTO DE ARCHIVO-ELECTRÓNICO</t>
        </is>
      </c>
      <c r="N1152" s="10" t="inlineStr">
        <is>
          <t>PRIMARIOS</t>
        </is>
      </c>
      <c r="O1152" s="10" t="inlineStr">
        <is>
          <t>DOCUMENTOS TÉCNICOS</t>
        </is>
      </c>
      <c r="P1152" s="10" t="inlineStr">
        <is>
          <t>PUBLICA(1)</t>
        </is>
      </c>
      <c r="Q1152" s="10" t="inlineStr">
        <is>
          <t>ALTA(3)</t>
        </is>
      </c>
      <c r="R1152" s="10" t="inlineStr">
        <is>
          <t>MEDIA(2)</t>
        </is>
      </c>
      <c r="S1152" s="10">
        <f>+(IF(P1152="PUBLICA(1)",1,IF(P1152="USO INTERNO(2)",2,IF(P1152="RESTRINGIDO(3)",3,3))))+(IF(Q1152="BAJA(1)",1,IF(Q1152="MEDIA(2)",2,IF(Q1152="ALTA(3)",3,3))))+(IF(R1152="BAJA(1)",1,IF(R1152="MEDIA(2)",2,IF(R1152="ALTA(3)",3,3))))</f>
        <v/>
      </c>
      <c r="T1152" s="10">
        <f>+IF(S1152&lt;6,"BAJA",IF(S1152&lt;8,"MEDIA","ALTA"))</f>
        <v/>
      </c>
      <c r="U1152" s="10" t="inlineStr">
        <is>
          <t>-</t>
        </is>
      </c>
      <c r="V1152" s="24" t="n">
        <v>45588</v>
      </c>
      <c r="W1152" s="19" t="inlineStr">
        <is>
          <t>N/A</t>
        </is>
      </c>
      <c r="X1152" s="10">
        <f>+IFERROR(IF(VLOOKUP(Tabla2[[#This Row],[ID]],'EVALUACION DE RIESGO'!A:A,1,FALSE)=Tabla2[[#This Row],[ID]],"SI","NO"),"NO")</f>
        <v/>
      </c>
    </row>
    <row r="1153">
      <c r="A1153" s="91" t="inlineStr">
        <is>
          <t>131-GRI</t>
        </is>
      </c>
      <c r="B1153" s="10" t="inlineStr">
        <is>
          <t>ESTRATÉGICO</t>
        </is>
      </c>
      <c r="C1153" s="10" t="inlineStr">
        <is>
          <t>Gestión de Riesgos</t>
        </is>
      </c>
      <c r="D1153" s="10" t="inlineStr">
        <is>
          <t>GRI</t>
        </is>
      </c>
      <c r="E1153" s="10" t="inlineStr">
        <is>
          <t>Gestión de Riesgo Operativo</t>
        </is>
      </c>
      <c r="F1153" s="10" t="inlineStr">
        <is>
          <t>-</t>
        </is>
      </c>
      <c r="G1153" s="10" t="inlineStr">
        <is>
          <t>Actualización de matrices de riesgo operativo</t>
        </is>
      </c>
      <c r="H1153" s="10" t="inlineStr">
        <is>
          <t>Manuales de Procesos</t>
        </is>
      </c>
      <c r="I1153" s="10" t="inlineStr">
        <is>
          <t>Documento interno</t>
        </is>
      </c>
      <c r="J1153" s="10" t="inlineStr">
        <is>
          <t>GERENTE DE RIESGOS</t>
        </is>
      </c>
      <c r="K1153" s="10" t="inlineStr">
        <is>
          <t>ANALISTA DE RIESGO OPERATIVO</t>
        </is>
      </c>
      <c r="L1153" s="10" t="inlineStr">
        <is>
          <t>UBICACIÓN DIGITAL-EQUIPO DEL RESPONSABLE</t>
        </is>
      </c>
      <c r="M1153" s="10" t="inlineStr">
        <is>
          <t>DOCUMENTO DE ARCHIVO-ELECTRÓNICO</t>
        </is>
      </c>
      <c r="N1153" s="10" t="inlineStr">
        <is>
          <t>PRIMARIOS</t>
        </is>
      </c>
      <c r="O1153" s="10" t="inlineStr">
        <is>
          <t>DOCUMENTOS TÉCNICOS</t>
        </is>
      </c>
      <c r="P1153" s="10" t="inlineStr">
        <is>
          <t>PUBLICA(1)</t>
        </is>
      </c>
      <c r="Q1153" s="10" t="inlineStr">
        <is>
          <t>ALTA(3)</t>
        </is>
      </c>
      <c r="R1153" s="10" t="inlineStr">
        <is>
          <t>MEDIA(2)</t>
        </is>
      </c>
      <c r="S1153" s="10">
        <f>+(IF(P1153="PUBLICA(1)",1,IF(P1153="USO INTERNO(2)",2,IF(P1153="RESTRINGIDO(3)",3,3))))+(IF(Q1153="BAJA(1)",1,IF(Q1153="MEDIA(2)",2,IF(Q1153="ALTA(3)",3,3))))+(IF(R1153="BAJA(1)",1,IF(R1153="MEDIA(2)",2,IF(R1153="ALTA(3)",3,3))))</f>
        <v/>
      </c>
      <c r="T1153" s="10">
        <f>+IF(S1153&lt;6,"BAJA",IF(S1153&lt;8,"MEDIA","ALTA"))</f>
        <v/>
      </c>
      <c r="U1153" s="10" t="inlineStr">
        <is>
          <t>-</t>
        </is>
      </c>
      <c r="V1153" s="24" t="n">
        <v>45588</v>
      </c>
      <c r="W1153" s="19" t="inlineStr">
        <is>
          <t>N/A</t>
        </is>
      </c>
      <c r="X1153" s="10">
        <f>+IFERROR(IF(VLOOKUP(Tabla2[[#This Row],[ID]],'EVALUACION DE RIESGO'!A:A,1,FALSE)=Tabla2[[#This Row],[ID]],"SI","NO"),"NO")</f>
        <v/>
      </c>
    </row>
    <row r="1154">
      <c r="A1154" s="91" t="inlineStr">
        <is>
          <t>132-GRI</t>
        </is>
      </c>
      <c r="B1154" s="10" t="inlineStr">
        <is>
          <t>ESTRATÉGICO</t>
        </is>
      </c>
      <c r="C1154" s="10" t="inlineStr">
        <is>
          <t>Gestión de Riesgos</t>
        </is>
      </c>
      <c r="D1154" s="10" t="inlineStr">
        <is>
          <t>GRI</t>
        </is>
      </c>
      <c r="E1154" s="10" t="inlineStr">
        <is>
          <t>Gestión de Riesgo Operativo</t>
        </is>
      </c>
      <c r="F1154" s="10" t="inlineStr">
        <is>
          <t>-</t>
        </is>
      </c>
      <c r="G1154" s="10" t="inlineStr">
        <is>
          <t>Actualización de matrices de riesgo operativo</t>
        </is>
      </c>
      <c r="H1154" s="10" t="inlineStr">
        <is>
          <t>Matriz de Riesgos Institucional</t>
        </is>
      </c>
      <c r="I1154" s="10" t="inlineStr">
        <is>
          <t>Información consolidada de los eventos</t>
        </is>
      </c>
      <c r="J1154" s="10" t="inlineStr">
        <is>
          <t>GERENTE DE RIESGOS</t>
        </is>
      </c>
      <c r="K1154" s="10" t="inlineStr">
        <is>
          <t>ANALISTA DE RIESGO OPERATIVO</t>
        </is>
      </c>
      <c r="L1154" s="10" t="inlineStr">
        <is>
          <t>UBICACIÓN DIGITAL-EQUIPO DEL RESPONSABLE</t>
        </is>
      </c>
      <c r="M1154" s="10" t="inlineStr">
        <is>
          <t>DOCUMENTO DE ARCHIVO-ELECTRÓNICO</t>
        </is>
      </c>
      <c r="N1154" s="10" t="inlineStr">
        <is>
          <t>PRIMARIOS</t>
        </is>
      </c>
      <c r="O1154" s="10" t="inlineStr">
        <is>
          <t>DOCUMENTOS TÉCNICOS</t>
        </is>
      </c>
      <c r="P1154" s="10" t="inlineStr">
        <is>
          <t>PUBLICA(1)</t>
        </is>
      </c>
      <c r="Q1154" s="10" t="inlineStr">
        <is>
          <t>ALTA(3)</t>
        </is>
      </c>
      <c r="R1154" s="10" t="inlineStr">
        <is>
          <t>MEDIA(2)</t>
        </is>
      </c>
      <c r="S1154" s="10">
        <f>+(IF(P1154="PUBLICA(1)",1,IF(P1154="USO INTERNO(2)",2,IF(P1154="RESTRINGIDO(3)",3,3))))+(IF(Q1154="BAJA(1)",1,IF(Q1154="MEDIA(2)",2,IF(Q1154="ALTA(3)",3,3))))+(IF(R1154="BAJA(1)",1,IF(R1154="MEDIA(2)",2,IF(R1154="ALTA(3)",3,3))))</f>
        <v/>
      </c>
      <c r="T1154" s="10">
        <f>+IF(S1154&lt;6,"BAJA",IF(S1154&lt;8,"MEDIA","ALTA"))</f>
        <v/>
      </c>
      <c r="U1154" s="10" t="inlineStr">
        <is>
          <t>-</t>
        </is>
      </c>
      <c r="V1154" s="24" t="n">
        <v>45588</v>
      </c>
      <c r="W1154" s="19" t="inlineStr">
        <is>
          <t>N/A</t>
        </is>
      </c>
      <c r="X1154" s="10">
        <f>+IFERROR(IF(VLOOKUP(Tabla2[[#This Row],[ID]],'EVALUACION DE RIESGO'!A:A,1,FALSE)=Tabla2[[#This Row],[ID]],"SI","NO"),"NO")</f>
        <v/>
      </c>
    </row>
    <row r="1155">
      <c r="A1155" s="91" t="inlineStr">
        <is>
          <t>133-GRI</t>
        </is>
      </c>
      <c r="B1155" s="10" t="inlineStr">
        <is>
          <t>ESTRATÉGICO</t>
        </is>
      </c>
      <c r="C1155" s="10" t="inlineStr">
        <is>
          <t>Gestión de Riesgos</t>
        </is>
      </c>
      <c r="D1155" s="10" t="inlineStr">
        <is>
          <t>GRI</t>
        </is>
      </c>
      <c r="E1155" s="10" t="inlineStr">
        <is>
          <t>Gestión de Riesgo Operativo</t>
        </is>
      </c>
      <c r="F1155" s="10" t="inlineStr">
        <is>
          <t>-</t>
        </is>
      </c>
      <c r="G1155" s="10" t="inlineStr">
        <is>
          <t>Actualización de matrices de riesgo operativo</t>
        </is>
      </c>
      <c r="H1155" s="10" t="inlineStr">
        <is>
          <t>Informe de resultado de las matrices de riesgo.</t>
        </is>
      </c>
      <c r="I1155" s="10" t="inlineStr">
        <is>
          <t>Informe consolidado de las matrices</t>
        </is>
      </c>
      <c r="J1155" s="10" t="inlineStr">
        <is>
          <t>GERENTE DE RIESGOS</t>
        </is>
      </c>
      <c r="K1155" s="10" t="inlineStr">
        <is>
          <t>ANALISTA DE RIESGO OPERATIVO</t>
        </is>
      </c>
      <c r="L1155" s="10" t="inlineStr">
        <is>
          <t>UBICACIÓN DIGITAL-EQUIPO DEL RESPONSABLE</t>
        </is>
      </c>
      <c r="M1155" s="10" t="inlineStr">
        <is>
          <t>DOCUMENTO DE ARCHIVO-ELECTRÓNICO</t>
        </is>
      </c>
      <c r="N1155" s="10" t="inlineStr">
        <is>
          <t>PRIMARIOS</t>
        </is>
      </c>
      <c r="O1155" s="10" t="inlineStr">
        <is>
          <t>DOCUMENTOS TÉCNICOS</t>
        </is>
      </c>
      <c r="P1155" s="10" t="inlineStr">
        <is>
          <t>PUBLICA(1)</t>
        </is>
      </c>
      <c r="Q1155" s="10" t="inlineStr">
        <is>
          <t>ALTA(3)</t>
        </is>
      </c>
      <c r="R1155" s="10" t="inlineStr">
        <is>
          <t>MEDIA(2)</t>
        </is>
      </c>
      <c r="S1155" s="10">
        <f>+(IF(P1155="PUBLICA(1)",1,IF(P1155="USO INTERNO(2)",2,IF(P1155="RESTRINGIDO(3)",3,3))))+(IF(Q1155="BAJA(1)",1,IF(Q1155="MEDIA(2)",2,IF(Q1155="ALTA(3)",3,3))))+(IF(R1155="BAJA(1)",1,IF(R1155="MEDIA(2)",2,IF(R1155="ALTA(3)",3,3))))</f>
        <v/>
      </c>
      <c r="T1155" s="10">
        <f>+IF(S1155&lt;6,"BAJA",IF(S1155&lt;8,"MEDIA","ALTA"))</f>
        <v/>
      </c>
      <c r="U1155" s="10" t="inlineStr">
        <is>
          <t>-</t>
        </is>
      </c>
      <c r="V1155" s="24" t="n">
        <v>45588</v>
      </c>
      <c r="W1155" s="19" t="inlineStr">
        <is>
          <t>N/A</t>
        </is>
      </c>
      <c r="X1155" s="10">
        <f>+IFERROR(IF(VLOOKUP(Tabla2[[#This Row],[ID]],'EVALUACION DE RIESGO'!A:A,1,FALSE)=Tabla2[[#This Row],[ID]],"SI","NO"),"NO")</f>
        <v/>
      </c>
    </row>
    <row r="1156">
      <c r="A1156" s="91" t="inlineStr">
        <is>
          <t>134-GRI</t>
        </is>
      </c>
      <c r="B1156" s="10" t="inlineStr">
        <is>
          <t>ESTRATÉGICO</t>
        </is>
      </c>
      <c r="C1156" s="10" t="inlineStr">
        <is>
          <t>Gestión de Riesgos</t>
        </is>
      </c>
      <c r="D1156" s="10" t="inlineStr">
        <is>
          <t>GRI</t>
        </is>
      </c>
      <c r="E1156" s="10" t="inlineStr">
        <is>
          <t>Gestión de Riesgo Operativo</t>
        </is>
      </c>
      <c r="F1156" s="10" t="inlineStr">
        <is>
          <t>-</t>
        </is>
      </c>
      <c r="G1156" s="10" t="inlineStr">
        <is>
          <t>Actualización de matrices de riesgo operativo</t>
        </is>
      </c>
      <c r="H1156" s="10" t="inlineStr">
        <is>
          <t xml:space="preserve">Seguimento de planes de acción </t>
        </is>
      </c>
      <c r="I1156" s="10" t="inlineStr">
        <is>
          <t>Información consolidada de planes de acción</t>
        </is>
      </c>
      <c r="J1156" s="10" t="inlineStr">
        <is>
          <t>GERENTE DE RIESGOS</t>
        </is>
      </c>
      <c r="K1156" s="10" t="inlineStr">
        <is>
          <t>ANALISTA DE RIESGO OPERATIVO</t>
        </is>
      </c>
      <c r="L1156" s="10" t="inlineStr">
        <is>
          <t>UBICACIÓN DIGITAL-EQUIPO DEL RESPONSABLE</t>
        </is>
      </c>
      <c r="M1156" s="10" t="inlineStr">
        <is>
          <t>DOCUMENTO DE ARCHIVO-ELECTRÓNICO</t>
        </is>
      </c>
      <c r="N1156" s="10" t="inlineStr">
        <is>
          <t>PRIMARIOS</t>
        </is>
      </c>
      <c r="O1156" s="10" t="inlineStr">
        <is>
          <t>DOCUMENTOS TÉCNICOS</t>
        </is>
      </c>
      <c r="P1156" s="10" t="inlineStr">
        <is>
          <t>PUBLICA(1)</t>
        </is>
      </c>
      <c r="Q1156" s="10" t="inlineStr">
        <is>
          <t>ALTA(3)</t>
        </is>
      </c>
      <c r="R1156" s="10" t="inlineStr">
        <is>
          <t>MEDIA(2)</t>
        </is>
      </c>
      <c r="S1156" s="10">
        <f>+(IF(P1156="PUBLICA(1)",1,IF(P1156="USO INTERNO(2)",2,IF(P1156="RESTRINGIDO(3)",3,3))))+(IF(Q1156="BAJA(1)",1,IF(Q1156="MEDIA(2)",2,IF(Q1156="ALTA(3)",3,3))))+(IF(R1156="BAJA(1)",1,IF(R1156="MEDIA(2)",2,IF(R1156="ALTA(3)",3,3))))</f>
        <v/>
      </c>
      <c r="T1156" s="10">
        <f>+IF(S1156&lt;6,"BAJA",IF(S1156&lt;8,"MEDIA","ALTA"))</f>
        <v/>
      </c>
      <c r="U1156" s="10" t="inlineStr">
        <is>
          <t>-</t>
        </is>
      </c>
      <c r="V1156" s="24" t="n">
        <v>45588</v>
      </c>
      <c r="W1156" s="19" t="inlineStr">
        <is>
          <t>N/A</t>
        </is>
      </c>
      <c r="X1156" s="10">
        <f>+IFERROR(IF(VLOOKUP(Tabla2[[#This Row],[ID]],'EVALUACION DE RIESGO'!A:A,1,FALSE)=Tabla2[[#This Row],[ID]],"SI","NO"),"NO")</f>
        <v/>
      </c>
    </row>
    <row r="1157">
      <c r="A1157" s="91" t="inlineStr">
        <is>
          <t>135-GRI</t>
        </is>
      </c>
      <c r="B1157" s="10" t="inlineStr">
        <is>
          <t>ESTRATÉGICO</t>
        </is>
      </c>
      <c r="C1157" s="10" t="inlineStr">
        <is>
          <t>Gestión de Riesgos</t>
        </is>
      </c>
      <c r="D1157" s="10" t="inlineStr">
        <is>
          <t>GRI</t>
        </is>
      </c>
      <c r="E1157" s="10" t="inlineStr">
        <is>
          <t>Gestión de Riesgo Operativo</t>
        </is>
      </c>
      <c r="F1157" s="10" t="inlineStr">
        <is>
          <t>-</t>
        </is>
      </c>
      <c r="G1157" s="10" t="inlineStr">
        <is>
          <t xml:space="preserve">Análisis de casos especiales de orden legal   </t>
        </is>
      </c>
      <c r="H1157" s="10" t="inlineStr">
        <is>
          <t xml:space="preserve">Informe del departamento Jurídico 
</t>
        </is>
      </c>
      <c r="I1157" s="10" t="inlineStr">
        <is>
          <t>Informe del área Juridico</t>
        </is>
      </c>
      <c r="J1157" s="10" t="inlineStr">
        <is>
          <t>GERENTE DE RIESGOS</t>
        </is>
      </c>
      <c r="K1157" s="10" t="inlineStr">
        <is>
          <t>ANALISTA DE RIESGO OPERATIVO</t>
        </is>
      </c>
      <c r="L1157" s="10" t="inlineStr">
        <is>
          <t>UBICACIÓN DIGITAL-EQUIPO DEL RESPONSABLE</t>
        </is>
      </c>
      <c r="M1157" s="10" t="inlineStr">
        <is>
          <t>DOCUMENTO DE ARCHIVO-ELECTRÓNICO</t>
        </is>
      </c>
      <c r="N1157" s="10" t="inlineStr">
        <is>
          <t>PRIMARIOS</t>
        </is>
      </c>
      <c r="O1157" s="10" t="inlineStr">
        <is>
          <t>DOCUMENTOS TÉCNICOS</t>
        </is>
      </c>
      <c r="P1157" s="10" t="inlineStr">
        <is>
          <t>PUBLICA(1)</t>
        </is>
      </c>
      <c r="Q1157" s="10" t="inlineStr">
        <is>
          <t>ALTA(3)</t>
        </is>
      </c>
      <c r="R1157" s="10" t="inlineStr">
        <is>
          <t>MEDIA(2)</t>
        </is>
      </c>
      <c r="S1157" s="10">
        <f>+(IF(P1157="PUBLICA(1)",1,IF(P1157="USO INTERNO(2)",2,IF(P1157="RESTRINGIDO(3)",3,3))))+(IF(Q1157="BAJA(1)",1,IF(Q1157="MEDIA(2)",2,IF(Q1157="ALTA(3)",3,3))))+(IF(R1157="BAJA(1)",1,IF(R1157="MEDIA(2)",2,IF(R1157="ALTA(3)",3,3))))</f>
        <v/>
      </c>
      <c r="T1157" s="10">
        <f>+IF(S1157&lt;6,"BAJA",IF(S1157&lt;8,"MEDIA","ALTA"))</f>
        <v/>
      </c>
      <c r="U1157" s="10" t="inlineStr">
        <is>
          <t>-</t>
        </is>
      </c>
      <c r="V1157" s="24" t="n">
        <v>45588</v>
      </c>
      <c r="W1157" s="19" t="inlineStr">
        <is>
          <t>N/A</t>
        </is>
      </c>
      <c r="X1157" s="10">
        <f>+IFERROR(IF(VLOOKUP(Tabla2[[#This Row],[ID]],'EVALUACION DE RIESGO'!A:A,1,FALSE)=Tabla2[[#This Row],[ID]],"SI","NO"),"NO")</f>
        <v/>
      </c>
    </row>
    <row r="1158">
      <c r="A1158" s="91" t="inlineStr">
        <is>
          <t>136-GRI</t>
        </is>
      </c>
      <c r="B1158" s="10" t="inlineStr">
        <is>
          <t>ESTRATÉGICO</t>
        </is>
      </c>
      <c r="C1158" s="10" t="inlineStr">
        <is>
          <t>Gestión de Riesgos</t>
        </is>
      </c>
      <c r="D1158" s="10" t="inlineStr">
        <is>
          <t>GRI</t>
        </is>
      </c>
      <c r="E1158" s="10" t="inlineStr">
        <is>
          <t>Gestión de Riesgo Operativo</t>
        </is>
      </c>
      <c r="F1158" s="10" t="inlineStr">
        <is>
          <t>-</t>
        </is>
      </c>
      <c r="G1158" s="10" t="inlineStr">
        <is>
          <t xml:space="preserve">Análisis de casos especiales de orden legal   </t>
        </is>
      </c>
      <c r="H1158" s="10" t="inlineStr">
        <is>
          <t>Matriz de Riesgo Legal</t>
        </is>
      </c>
      <c r="I1158" s="10" t="inlineStr">
        <is>
          <t>Monitoreo de los avances</t>
        </is>
      </c>
      <c r="J1158" s="10" t="inlineStr">
        <is>
          <t>GERENTE DE RIESGOS</t>
        </is>
      </c>
      <c r="K1158" s="10" t="inlineStr">
        <is>
          <t>ANALISTA DE RIESGO OPERATIVO</t>
        </is>
      </c>
      <c r="L1158" s="10" t="inlineStr">
        <is>
          <t>UBICACIÓN DIGITAL-EQUIPO DEL RESPONSABLE</t>
        </is>
      </c>
      <c r="M1158" s="10" t="inlineStr">
        <is>
          <t>DOCUMENTO DE ARCHIVO-ELECTRÓNICO</t>
        </is>
      </c>
      <c r="N1158" s="10" t="inlineStr">
        <is>
          <t>PRIMARIOS</t>
        </is>
      </c>
      <c r="O1158" s="10" t="inlineStr">
        <is>
          <t>DOCUMENTOS TÉCNICOS</t>
        </is>
      </c>
      <c r="P1158" s="10" t="inlineStr">
        <is>
          <t>PUBLICA(1)</t>
        </is>
      </c>
      <c r="Q1158" s="10" t="inlineStr">
        <is>
          <t>ALTA(3)</t>
        </is>
      </c>
      <c r="R1158" s="10" t="inlineStr">
        <is>
          <t>MEDIA(2)</t>
        </is>
      </c>
      <c r="S1158" s="10">
        <f>+(IF(P1158="PUBLICA(1)",1,IF(P1158="USO INTERNO(2)",2,IF(P1158="RESTRINGIDO(3)",3,3))))+(IF(Q1158="BAJA(1)",1,IF(Q1158="MEDIA(2)",2,IF(Q1158="ALTA(3)",3,3))))+(IF(R1158="BAJA(1)",1,IF(R1158="MEDIA(2)",2,IF(R1158="ALTA(3)",3,3))))</f>
        <v/>
      </c>
      <c r="T1158" s="10">
        <f>+IF(S1158&lt;6,"BAJA",IF(S1158&lt;8,"MEDIA","ALTA"))</f>
        <v/>
      </c>
      <c r="U1158" s="10" t="inlineStr">
        <is>
          <t>-</t>
        </is>
      </c>
      <c r="V1158" s="24" t="n">
        <v>45588</v>
      </c>
      <c r="W1158" s="19" t="inlineStr">
        <is>
          <t>N/A</t>
        </is>
      </c>
      <c r="X1158" s="10">
        <f>+IFERROR(IF(VLOOKUP(Tabla2[[#This Row],[ID]],'EVALUACION DE RIESGO'!A:A,1,FALSE)=Tabla2[[#This Row],[ID]],"SI","NO"),"NO")</f>
        <v/>
      </c>
    </row>
    <row r="1159">
      <c r="A1159" s="91" t="inlineStr">
        <is>
          <t>137-GRI</t>
        </is>
      </c>
      <c r="B1159" s="10" t="inlineStr">
        <is>
          <t>ESTRATÉGICO</t>
        </is>
      </c>
      <c r="C1159" s="10" t="inlineStr">
        <is>
          <t>Gestión de Riesgos</t>
        </is>
      </c>
      <c r="D1159" s="10" t="inlineStr">
        <is>
          <t>GRI</t>
        </is>
      </c>
      <c r="E1159" s="10" t="inlineStr">
        <is>
          <t>Gestión de Riesgo Operativo</t>
        </is>
      </c>
      <c r="F1159" s="10" t="inlineStr">
        <is>
          <t>-</t>
        </is>
      </c>
      <c r="G1159" s="10" t="inlineStr">
        <is>
          <t xml:space="preserve">Análisis de casos especiales de orden legal   </t>
        </is>
      </c>
      <c r="H1159" s="10" t="inlineStr">
        <is>
          <t>Reporte de análisis a los procesos legales</t>
        </is>
      </c>
      <c r="I1159" s="10" t="inlineStr">
        <is>
          <t>Monitoreo de los avances</t>
        </is>
      </c>
      <c r="J1159" s="10" t="inlineStr">
        <is>
          <t>GERENTE DE RIESGOS</t>
        </is>
      </c>
      <c r="K1159" s="10" t="inlineStr">
        <is>
          <t>ANALISTA DE RIESGO OPERATIVO</t>
        </is>
      </c>
      <c r="L1159" s="10" t="inlineStr">
        <is>
          <t>UBICACIÓN DIGITAL-EQUIPO DEL RESPONSABLE</t>
        </is>
      </c>
      <c r="M1159" s="10" t="inlineStr">
        <is>
          <t>DOCUMENTO DE ARCHIVO-ELECTRÓNICO</t>
        </is>
      </c>
      <c r="N1159" s="10" t="inlineStr">
        <is>
          <t>PRIMARIOS</t>
        </is>
      </c>
      <c r="O1159" s="10" t="inlineStr">
        <is>
          <t>DOCUMENTOS TÉCNICOS</t>
        </is>
      </c>
      <c r="P1159" s="10" t="inlineStr">
        <is>
          <t>PUBLICA(1)</t>
        </is>
      </c>
      <c r="Q1159" s="10" t="inlineStr">
        <is>
          <t>ALTA(3)</t>
        </is>
      </c>
      <c r="R1159" s="10" t="inlineStr">
        <is>
          <t>MEDIA(2)</t>
        </is>
      </c>
      <c r="S1159" s="10">
        <f>+(IF(P1159="PUBLICA(1)",1,IF(P1159="USO INTERNO(2)",2,IF(P1159="RESTRINGIDO(3)",3,3))))+(IF(Q1159="BAJA(1)",1,IF(Q1159="MEDIA(2)",2,IF(Q1159="ALTA(3)",3,3))))+(IF(R1159="BAJA(1)",1,IF(R1159="MEDIA(2)",2,IF(R1159="ALTA(3)",3,3))))</f>
        <v/>
      </c>
      <c r="T1159" s="10">
        <f>+IF(S1159&lt;6,"BAJA",IF(S1159&lt;8,"MEDIA","ALTA"))</f>
        <v/>
      </c>
      <c r="U1159" s="10" t="inlineStr">
        <is>
          <t>-</t>
        </is>
      </c>
      <c r="V1159" s="24" t="n">
        <v>45588</v>
      </c>
      <c r="W1159" s="19" t="inlineStr">
        <is>
          <t>N/A</t>
        </is>
      </c>
      <c r="X1159" s="10">
        <f>+IFERROR(IF(VLOOKUP(Tabla2[[#This Row],[ID]],'EVALUACION DE RIESGO'!A:A,1,FALSE)=Tabla2[[#This Row],[ID]],"SI","NO"),"NO")</f>
        <v/>
      </c>
    </row>
    <row r="1160">
      <c r="A1160" s="91" t="inlineStr">
        <is>
          <t>138-GRI</t>
        </is>
      </c>
      <c r="B1160" s="10" t="inlineStr">
        <is>
          <t>ESTRATÉGICO</t>
        </is>
      </c>
      <c r="C1160" s="10" t="inlineStr">
        <is>
          <t>Gestión de Riesgos</t>
        </is>
      </c>
      <c r="D1160" s="10" t="inlineStr">
        <is>
          <t>GRI</t>
        </is>
      </c>
      <c r="E1160" s="10" t="inlineStr">
        <is>
          <t>Gestión de Riesgo Operativo</t>
        </is>
      </c>
      <c r="F1160" s="10" t="inlineStr">
        <is>
          <t>-</t>
        </is>
      </c>
      <c r="G1160" s="10" t="inlineStr">
        <is>
          <t xml:space="preserve">Análisis de nuevos productos o servicios </t>
        </is>
      </c>
      <c r="H1160" s="10" t="inlineStr">
        <is>
          <t xml:space="preserve">Propuesta de creación de productos y servicios  </t>
        </is>
      </c>
      <c r="I1160" s="10" t="inlineStr">
        <is>
          <t>Proyecto de propuesta</t>
        </is>
      </c>
      <c r="J1160" s="10" t="inlineStr">
        <is>
          <t>GERENTE DE RIESGOS</t>
        </is>
      </c>
      <c r="K1160" s="10" t="inlineStr">
        <is>
          <t>ANALISTA DE RIESGO OPERATIVO</t>
        </is>
      </c>
      <c r="L1160" s="10" t="inlineStr">
        <is>
          <t>UBICACIÓN DIGITAL-EQUIPO DEL RESPONSABLE</t>
        </is>
      </c>
      <c r="M1160" s="10" t="inlineStr">
        <is>
          <t>DOCUMENTO DE ARCHIVO-ELECTRÓNICO</t>
        </is>
      </c>
      <c r="N1160" s="10" t="inlineStr">
        <is>
          <t>PRIMARIOS</t>
        </is>
      </c>
      <c r="O1160" s="10" t="inlineStr">
        <is>
          <t>DOCUMENTOS TÉCNICOS</t>
        </is>
      </c>
      <c r="P1160" s="10" t="inlineStr">
        <is>
          <t>PUBLICA(1)</t>
        </is>
      </c>
      <c r="Q1160" s="10" t="inlineStr">
        <is>
          <t>ALTA(3)</t>
        </is>
      </c>
      <c r="R1160" s="10" t="inlineStr">
        <is>
          <t>MEDIA(2)</t>
        </is>
      </c>
      <c r="S1160" s="10">
        <f>+(IF(P1160="PUBLICA(1)",1,IF(P1160="USO INTERNO(2)",2,IF(P1160="RESTRINGIDO(3)",3,3))))+(IF(Q1160="BAJA(1)",1,IF(Q1160="MEDIA(2)",2,IF(Q1160="ALTA(3)",3,3))))+(IF(R1160="BAJA(1)",1,IF(R1160="MEDIA(2)",2,IF(R1160="ALTA(3)",3,3))))</f>
        <v/>
      </c>
      <c r="T1160" s="10">
        <f>+IF(S1160&lt;6,"BAJA",IF(S1160&lt;8,"MEDIA","ALTA"))</f>
        <v/>
      </c>
      <c r="U1160" s="10" t="inlineStr">
        <is>
          <t>-</t>
        </is>
      </c>
      <c r="V1160" s="24" t="n">
        <v>45588</v>
      </c>
      <c r="W1160" s="19" t="inlineStr">
        <is>
          <t>N/A</t>
        </is>
      </c>
      <c r="X1160" s="10">
        <f>+IFERROR(IF(VLOOKUP(Tabla2[[#This Row],[ID]],'EVALUACION DE RIESGO'!A:A,1,FALSE)=Tabla2[[#This Row],[ID]],"SI","NO"),"NO")</f>
        <v/>
      </c>
    </row>
    <row r="1161">
      <c r="A1161" s="91" t="inlineStr">
        <is>
          <t>139-GRI</t>
        </is>
      </c>
      <c r="B1161" s="10" t="inlineStr">
        <is>
          <t>ESTRATÉGICO</t>
        </is>
      </c>
      <c r="C1161" s="10" t="inlineStr">
        <is>
          <t>Gestión de Riesgos</t>
        </is>
      </c>
      <c r="D1161" s="10" t="inlineStr">
        <is>
          <t>GRI</t>
        </is>
      </c>
      <c r="E1161" s="10" t="inlineStr">
        <is>
          <t>Gestión de Riesgo Operativo</t>
        </is>
      </c>
      <c r="F1161" s="10" t="inlineStr">
        <is>
          <t>-</t>
        </is>
      </c>
      <c r="G1161" s="10" t="inlineStr">
        <is>
          <t xml:space="preserve">Análisis de nuevos productos o servicios </t>
        </is>
      </c>
      <c r="H1161" s="10" t="inlineStr">
        <is>
          <t>Informe de Riesgos</t>
        </is>
      </c>
      <c r="I1161" s="10" t="inlineStr">
        <is>
          <t>Documento factibilidad y matriz</t>
        </is>
      </c>
      <c r="J1161" s="10" t="inlineStr">
        <is>
          <t>GERENTE DE RIESGOS</t>
        </is>
      </c>
      <c r="K1161" s="10" t="inlineStr">
        <is>
          <t>ANALISTA DE RIESGO OPERATIVO</t>
        </is>
      </c>
      <c r="L1161" s="10" t="inlineStr">
        <is>
          <t>UBICACIÓN DIGITAL-EQUIPO DEL RESPONSABLE</t>
        </is>
      </c>
      <c r="M1161" s="10" t="inlineStr">
        <is>
          <t>DOCUMENTO DE ARCHIVO-ELECTRÓNICO</t>
        </is>
      </c>
      <c r="N1161" s="10" t="inlineStr">
        <is>
          <t>PRIMARIOS</t>
        </is>
      </c>
      <c r="O1161" s="10" t="inlineStr">
        <is>
          <t>DOCUMENTOS TÉCNICOS</t>
        </is>
      </c>
      <c r="P1161" s="10" t="inlineStr">
        <is>
          <t>PUBLICA(1)</t>
        </is>
      </c>
      <c r="Q1161" s="10" t="inlineStr">
        <is>
          <t>ALTA(3)</t>
        </is>
      </c>
      <c r="R1161" s="10" t="inlineStr">
        <is>
          <t>MEDIA(2)</t>
        </is>
      </c>
      <c r="S1161" s="10">
        <f>+(IF(P1161="PUBLICA(1)",1,IF(P1161="USO INTERNO(2)",2,IF(P1161="RESTRINGIDO(3)",3,3))))+(IF(Q1161="BAJA(1)",1,IF(Q1161="MEDIA(2)",2,IF(Q1161="ALTA(3)",3,3))))+(IF(R1161="BAJA(1)",1,IF(R1161="MEDIA(2)",2,IF(R1161="ALTA(3)",3,3))))</f>
        <v/>
      </c>
      <c r="T1161" s="10">
        <f>+IF(S1161&lt;6,"BAJA",IF(S1161&lt;8,"MEDIA","ALTA"))</f>
        <v/>
      </c>
      <c r="U1161" s="10" t="inlineStr">
        <is>
          <t>-</t>
        </is>
      </c>
      <c r="V1161" s="24" t="n">
        <v>45588</v>
      </c>
      <c r="W1161" s="19" t="inlineStr">
        <is>
          <t>N/A</t>
        </is>
      </c>
      <c r="X1161" s="10">
        <f>+IFERROR(IF(VLOOKUP(Tabla2[[#This Row],[ID]],'EVALUACION DE RIESGO'!A:A,1,FALSE)=Tabla2[[#This Row],[ID]],"SI","NO"),"NO")</f>
        <v/>
      </c>
    </row>
    <row r="1162">
      <c r="A1162" s="91" t="inlineStr">
        <is>
          <t>140-GRI</t>
        </is>
      </c>
      <c r="B1162" s="10" t="inlineStr">
        <is>
          <t>ESTRATÉGICO</t>
        </is>
      </c>
      <c r="C1162" s="10" t="inlineStr">
        <is>
          <t>Gestión de Riesgos</t>
        </is>
      </c>
      <c r="D1162" s="10" t="inlineStr">
        <is>
          <t>GRI</t>
        </is>
      </c>
      <c r="E1162" s="10" t="inlineStr">
        <is>
          <t>Gestión de Riesgo Operativo</t>
        </is>
      </c>
      <c r="F1162" s="10" t="inlineStr">
        <is>
          <t>-</t>
        </is>
      </c>
      <c r="G1162" s="10" t="inlineStr">
        <is>
          <t>Consolidación de la información</t>
        </is>
      </c>
      <c r="H1162" s="10" t="inlineStr">
        <is>
          <t>Matriz de Riesgo operativo de eventos materializados</t>
        </is>
      </c>
      <c r="I1162" s="10" t="inlineStr">
        <is>
          <t>Información consolidada</t>
        </is>
      </c>
      <c r="J1162" s="10" t="inlineStr">
        <is>
          <t>GERENTE DE RIESGOS</t>
        </is>
      </c>
      <c r="K1162" s="10" t="inlineStr">
        <is>
          <t>ANALISTA DE RIESGO OPERATIVO</t>
        </is>
      </c>
      <c r="L1162" s="10" t="inlineStr">
        <is>
          <t>UBICACIÓN DIGITAL-EQUIPO DEL RESPONSABLE</t>
        </is>
      </c>
      <c r="M1162" s="10" t="inlineStr">
        <is>
          <t>DOCUMENTO DE ARCHIVO-ELECTRÓNICO</t>
        </is>
      </c>
      <c r="N1162" s="10" t="inlineStr">
        <is>
          <t>PRIMARIOS</t>
        </is>
      </c>
      <c r="O1162" s="10" t="inlineStr">
        <is>
          <t>DOCUMENTOS TÉCNICOS</t>
        </is>
      </c>
      <c r="P1162" s="10" t="inlineStr">
        <is>
          <t>PUBLICA(1)</t>
        </is>
      </c>
      <c r="Q1162" s="10" t="inlineStr">
        <is>
          <t>ALTA(3)</t>
        </is>
      </c>
      <c r="R1162" s="10" t="inlineStr">
        <is>
          <t>MEDIA(2)</t>
        </is>
      </c>
      <c r="S1162" s="10">
        <f>+(IF(P1162="PUBLICA(1)",1,IF(P1162="USO INTERNO(2)",2,IF(P1162="RESTRINGIDO(3)",3,3))))+(IF(Q1162="BAJA(1)",1,IF(Q1162="MEDIA(2)",2,IF(Q1162="ALTA(3)",3,3))))+(IF(R1162="BAJA(1)",1,IF(R1162="MEDIA(2)",2,IF(R1162="ALTA(3)",3,3))))</f>
        <v/>
      </c>
      <c r="T1162" s="10">
        <f>+IF(S1162&lt;6,"BAJA",IF(S1162&lt;8,"MEDIA","ALTA"))</f>
        <v/>
      </c>
      <c r="U1162" s="10" t="inlineStr">
        <is>
          <t>-</t>
        </is>
      </c>
      <c r="V1162" s="24" t="n">
        <v>45588</v>
      </c>
      <c r="W1162" s="19" t="inlineStr">
        <is>
          <t>N/A</t>
        </is>
      </c>
      <c r="X1162" s="10">
        <f>+IFERROR(IF(VLOOKUP(Tabla2[[#This Row],[ID]],'EVALUACION DE RIESGO'!A:A,1,FALSE)=Tabla2[[#This Row],[ID]],"SI","NO"),"NO")</f>
        <v/>
      </c>
    </row>
    <row r="1163">
      <c r="A1163" s="91" t="inlineStr">
        <is>
          <t>141-GRI</t>
        </is>
      </c>
      <c r="B1163" s="10" t="inlineStr">
        <is>
          <t>ESTRATÉGICO</t>
        </is>
      </c>
      <c r="C1163" s="10" t="inlineStr">
        <is>
          <t>Gestión de Riesgos</t>
        </is>
      </c>
      <c r="D1163" s="10" t="inlineStr">
        <is>
          <t>GRI</t>
        </is>
      </c>
      <c r="E1163" s="10" t="inlineStr">
        <is>
          <t>Gestión de Riesgo Operativo</t>
        </is>
      </c>
      <c r="F1163" s="10" t="inlineStr">
        <is>
          <t>-</t>
        </is>
      </c>
      <c r="G1163" s="10" t="inlineStr">
        <is>
          <t>Consolidación de la información</t>
        </is>
      </c>
      <c r="H1163" s="10" t="inlineStr">
        <is>
          <t>Matriz de resultados de las visitas a oficinas</t>
        </is>
      </c>
      <c r="I1163" s="10" t="inlineStr">
        <is>
          <t>Información consolidada</t>
        </is>
      </c>
      <c r="J1163" s="10" t="inlineStr">
        <is>
          <t>GERENTE DE RIESGOS</t>
        </is>
      </c>
      <c r="K1163" s="10" t="inlineStr">
        <is>
          <t>ANALISTA DE RIESGO OPERATIVO</t>
        </is>
      </c>
      <c r="L1163" s="10" t="inlineStr">
        <is>
          <t>UBICACIÓN DIGITAL-EQUIPO DEL RESPONSABLE</t>
        </is>
      </c>
      <c r="M1163" s="10" t="inlineStr">
        <is>
          <t>DOCUMENTO DE ARCHIVO-ELECTRÓNICO</t>
        </is>
      </c>
      <c r="N1163" s="10" t="inlineStr">
        <is>
          <t>PRIMARIOS</t>
        </is>
      </c>
      <c r="O1163" s="10" t="inlineStr">
        <is>
          <t>DOCUMENTOS TÉCNICOS</t>
        </is>
      </c>
      <c r="P1163" s="10" t="inlineStr">
        <is>
          <t>PUBLICA(1)</t>
        </is>
      </c>
      <c r="Q1163" s="10" t="inlineStr">
        <is>
          <t>ALTA(3)</t>
        </is>
      </c>
      <c r="R1163" s="10" t="inlineStr">
        <is>
          <t>MEDIA(2)</t>
        </is>
      </c>
      <c r="S1163" s="10">
        <f>+(IF(P1163="PUBLICA(1)",1,IF(P1163="USO INTERNO(2)",2,IF(P1163="RESTRINGIDO(3)",3,3))))+(IF(Q1163="BAJA(1)",1,IF(Q1163="MEDIA(2)",2,IF(Q1163="ALTA(3)",3,3))))+(IF(R1163="BAJA(1)",1,IF(R1163="MEDIA(2)",2,IF(R1163="ALTA(3)",3,3))))</f>
        <v/>
      </c>
      <c r="T1163" s="10">
        <f>+IF(S1163&lt;6,"BAJA",IF(S1163&lt;8,"MEDIA","ALTA"))</f>
        <v/>
      </c>
      <c r="U1163" s="10" t="inlineStr">
        <is>
          <t>-</t>
        </is>
      </c>
      <c r="V1163" s="24" t="n">
        <v>45588</v>
      </c>
      <c r="W1163" s="19" t="inlineStr">
        <is>
          <t>N/A</t>
        </is>
      </c>
      <c r="X1163" s="10">
        <f>+IFERROR(IF(VLOOKUP(Tabla2[[#This Row],[ID]],'EVALUACION DE RIESGO'!A:A,1,FALSE)=Tabla2[[#This Row],[ID]],"SI","NO"),"NO")</f>
        <v/>
      </c>
    </row>
    <row r="1164">
      <c r="A1164" s="91" t="inlineStr">
        <is>
          <t>142-GRI</t>
        </is>
      </c>
      <c r="B1164" s="10" t="inlineStr">
        <is>
          <t>ESTRATÉGICO</t>
        </is>
      </c>
      <c r="C1164" s="10" t="inlineStr">
        <is>
          <t>Gestión de Riesgos</t>
        </is>
      </c>
      <c r="D1164" s="10" t="inlineStr">
        <is>
          <t>GRI</t>
        </is>
      </c>
      <c r="E1164" s="10" t="inlineStr">
        <is>
          <t>Gestión de Riesgo Operativo</t>
        </is>
      </c>
      <c r="F1164" s="10" t="inlineStr">
        <is>
          <t>-</t>
        </is>
      </c>
      <c r="G1164" s="10" t="inlineStr">
        <is>
          <t>Consolidación de la información</t>
        </is>
      </c>
      <c r="H1164" s="10" t="inlineStr">
        <is>
          <t>Reporte de análisis a los procesos legales</t>
        </is>
      </c>
      <c r="I1164" s="10" t="inlineStr">
        <is>
          <t>Información consolidada</t>
        </is>
      </c>
      <c r="J1164" s="10" t="inlineStr">
        <is>
          <t>GERENTE DE RIESGOS</t>
        </is>
      </c>
      <c r="K1164" s="10" t="inlineStr">
        <is>
          <t>ANALISTA DE RIESGO OPERATIVO</t>
        </is>
      </c>
      <c r="L1164" s="10" t="inlineStr">
        <is>
          <t>UBICACIÓN DIGITAL-EQUIPO DEL RESPONSABLE</t>
        </is>
      </c>
      <c r="M1164" s="10" t="inlineStr">
        <is>
          <t>DOCUMENTO DE ARCHIVO-ELECTRÓNICO</t>
        </is>
      </c>
      <c r="N1164" s="10" t="inlineStr">
        <is>
          <t>PRIMARIOS</t>
        </is>
      </c>
      <c r="O1164" s="10" t="inlineStr">
        <is>
          <t>DOCUMENTOS TÉCNICOS</t>
        </is>
      </c>
      <c r="P1164" s="10" t="inlineStr">
        <is>
          <t>PUBLICA(1)</t>
        </is>
      </c>
      <c r="Q1164" s="10" t="inlineStr">
        <is>
          <t>ALTA(3)</t>
        </is>
      </c>
      <c r="R1164" s="10" t="inlineStr">
        <is>
          <t>MEDIA(2)</t>
        </is>
      </c>
      <c r="S1164" s="10">
        <f>+(IF(P1164="PUBLICA(1)",1,IF(P1164="USO INTERNO(2)",2,IF(P1164="RESTRINGIDO(3)",3,3))))+(IF(Q1164="BAJA(1)",1,IF(Q1164="MEDIA(2)",2,IF(Q1164="ALTA(3)",3,3))))+(IF(R1164="BAJA(1)",1,IF(R1164="MEDIA(2)",2,IF(R1164="ALTA(3)",3,3))))</f>
        <v/>
      </c>
      <c r="T1164" s="10">
        <f>+IF(S1164&lt;6,"BAJA",IF(S1164&lt;8,"MEDIA","ALTA"))</f>
        <v/>
      </c>
      <c r="U1164" s="10" t="inlineStr">
        <is>
          <t>-</t>
        </is>
      </c>
      <c r="V1164" s="24" t="n">
        <v>45588</v>
      </c>
      <c r="W1164" s="19" t="inlineStr">
        <is>
          <t>N/A</t>
        </is>
      </c>
      <c r="X1164" s="10">
        <f>+IFERROR(IF(VLOOKUP(Tabla2[[#This Row],[ID]],'EVALUACION DE RIESGO'!A:A,1,FALSE)=Tabla2[[#This Row],[ID]],"SI","NO"),"NO")</f>
        <v/>
      </c>
    </row>
    <row r="1165">
      <c r="A1165" s="91" t="inlineStr">
        <is>
          <t>143-GRI</t>
        </is>
      </c>
      <c r="B1165" s="10" t="inlineStr">
        <is>
          <t>ESTRATÉGICO</t>
        </is>
      </c>
      <c r="C1165" s="10" t="inlineStr">
        <is>
          <t>Gestión de Riesgos</t>
        </is>
      </c>
      <c r="D1165" s="10" t="inlineStr">
        <is>
          <t>GRI</t>
        </is>
      </c>
      <c r="E1165" s="10" t="inlineStr">
        <is>
          <t>Gestión de Riesgo Operativo</t>
        </is>
      </c>
      <c r="F1165" s="10" t="inlineStr">
        <is>
          <t>-</t>
        </is>
      </c>
      <c r="G1165" s="10" t="inlineStr">
        <is>
          <t>Consolidación de la información</t>
        </is>
      </c>
      <c r="H1165" s="10" t="inlineStr">
        <is>
          <t>Informe mensual de Riesgos</t>
        </is>
      </c>
      <c r="I1165" s="10" t="inlineStr">
        <is>
          <t>Información consolidada</t>
        </is>
      </c>
      <c r="J1165" s="10" t="inlineStr">
        <is>
          <t>GERENTE DE RIESGOS</t>
        </is>
      </c>
      <c r="K1165" s="10" t="inlineStr">
        <is>
          <t>ANALISTA DE RIESGO OPERATIVO</t>
        </is>
      </c>
      <c r="L1165" s="10" t="inlineStr">
        <is>
          <t>UBICACIÓN DIGITAL-EQUIPO DEL RESPONSABLE</t>
        </is>
      </c>
      <c r="M1165" s="10" t="inlineStr">
        <is>
          <t>DOCUMENTO DE ARCHIVO-ELECTRÓNICO</t>
        </is>
      </c>
      <c r="N1165" s="10" t="inlineStr">
        <is>
          <t>PRIMARIOS</t>
        </is>
      </c>
      <c r="O1165" s="10" t="inlineStr">
        <is>
          <t>DOCUMENTOS TÉCNICOS</t>
        </is>
      </c>
      <c r="P1165" s="10" t="inlineStr">
        <is>
          <t>PUBLICA(1)</t>
        </is>
      </c>
      <c r="Q1165" s="10" t="inlineStr">
        <is>
          <t>ALTA(3)</t>
        </is>
      </c>
      <c r="R1165" s="10" t="inlineStr">
        <is>
          <t>MEDIA(2)</t>
        </is>
      </c>
      <c r="S1165" s="10">
        <f>+(IF(P1165="PUBLICA(1)",1,IF(P1165="USO INTERNO(2)",2,IF(P1165="RESTRINGIDO(3)",3,3))))+(IF(Q1165="BAJA(1)",1,IF(Q1165="MEDIA(2)",2,IF(Q1165="ALTA(3)",3,3))))+(IF(R1165="BAJA(1)",1,IF(R1165="MEDIA(2)",2,IF(R1165="ALTA(3)",3,3))))</f>
        <v/>
      </c>
      <c r="T1165" s="10">
        <f>+IF(S1165&lt;6,"BAJA",IF(S1165&lt;8,"MEDIA","ALTA"))</f>
        <v/>
      </c>
      <c r="U1165" s="10" t="inlineStr">
        <is>
          <t>-</t>
        </is>
      </c>
      <c r="V1165" s="24" t="n">
        <v>45588</v>
      </c>
      <c r="W1165" s="19" t="inlineStr">
        <is>
          <t>N/A</t>
        </is>
      </c>
      <c r="X1165" s="10">
        <f>+IFERROR(IF(VLOOKUP(Tabla2[[#This Row],[ID]],'EVALUACION DE RIESGO'!A:A,1,FALSE)=Tabla2[[#This Row],[ID]],"SI","NO"),"NO")</f>
        <v/>
      </c>
    </row>
    <row r="1166">
      <c r="A1166" s="91" t="inlineStr">
        <is>
          <t>144-GRI</t>
        </is>
      </c>
      <c r="B1166" s="10" t="inlineStr">
        <is>
          <t>ESTRATÉGICO</t>
        </is>
      </c>
      <c r="C1166" s="10" t="inlineStr">
        <is>
          <t>Gestión de Riesgos</t>
        </is>
      </c>
      <c r="D1166" s="10" t="inlineStr">
        <is>
          <t>GRI</t>
        </is>
      </c>
      <c r="E1166" s="10" t="inlineStr">
        <is>
          <t>Gestión de Riesgo Operativo</t>
        </is>
      </c>
      <c r="F1166" s="10" t="inlineStr">
        <is>
          <t>-</t>
        </is>
      </c>
      <c r="G1166" s="10" t="inlineStr">
        <is>
          <t>Comunicación</t>
        </is>
      </c>
      <c r="H1166" s="10" t="inlineStr">
        <is>
          <t xml:space="preserve">Informe de resultado de las matrices de riesgo.
</t>
        </is>
      </c>
      <c r="I1166" s="10" t="inlineStr">
        <is>
          <t>Información de comunicación</t>
        </is>
      </c>
      <c r="J1166" s="10" t="inlineStr">
        <is>
          <t>GERENTE DE RIESGOS</t>
        </is>
      </c>
      <c r="K1166" s="10" t="inlineStr">
        <is>
          <t>ANALISTA DE RIESGO OPERATIVO</t>
        </is>
      </c>
      <c r="L1166" s="10" t="inlineStr">
        <is>
          <t>UBICACIÓN DIGITAL-EQUIPO DEL RESPONSABLE</t>
        </is>
      </c>
      <c r="M1166" s="10" t="inlineStr">
        <is>
          <t>DOCUMENTO DE ARCHIVO-ELECTRÓNICO</t>
        </is>
      </c>
      <c r="N1166" s="10" t="inlineStr">
        <is>
          <t>PRIMARIOS</t>
        </is>
      </c>
      <c r="O1166" s="10" t="inlineStr">
        <is>
          <t>DOCUMENTOS TÉCNICOS</t>
        </is>
      </c>
      <c r="P1166" s="10" t="inlineStr">
        <is>
          <t>PUBLICA(1)</t>
        </is>
      </c>
      <c r="Q1166" s="10" t="inlineStr">
        <is>
          <t>ALTA(3)</t>
        </is>
      </c>
      <c r="R1166" s="10" t="inlineStr">
        <is>
          <t>MEDIA(2)</t>
        </is>
      </c>
      <c r="S1166" s="10">
        <f>+(IF(P1166="PUBLICA(1)",1,IF(P1166="USO INTERNO(2)",2,IF(P1166="RESTRINGIDO(3)",3,3))))+(IF(Q1166="BAJA(1)",1,IF(Q1166="MEDIA(2)",2,IF(Q1166="ALTA(3)",3,3))))+(IF(R1166="BAJA(1)",1,IF(R1166="MEDIA(2)",2,IF(R1166="ALTA(3)",3,3))))</f>
        <v/>
      </c>
      <c r="T1166" s="10">
        <f>+IF(S1166&lt;6,"BAJA",IF(S1166&lt;8,"MEDIA","ALTA"))</f>
        <v/>
      </c>
      <c r="U1166" s="10" t="inlineStr">
        <is>
          <t>-</t>
        </is>
      </c>
      <c r="V1166" s="24" t="n">
        <v>45588</v>
      </c>
      <c r="W1166" s="19" t="inlineStr">
        <is>
          <t>N/A</t>
        </is>
      </c>
      <c r="X1166" s="10">
        <f>+IFERROR(IF(VLOOKUP(Tabla2[[#This Row],[ID]],'EVALUACION DE RIESGO'!A:A,1,FALSE)=Tabla2[[#This Row],[ID]],"SI","NO"),"NO")</f>
        <v/>
      </c>
    </row>
    <row r="1167">
      <c r="A1167" s="91" t="inlineStr">
        <is>
          <t>145-GRI</t>
        </is>
      </c>
      <c r="B1167" s="10" t="inlineStr">
        <is>
          <t>ESTRATÉGICO</t>
        </is>
      </c>
      <c r="C1167" s="10" t="inlineStr">
        <is>
          <t>Gestión de Riesgos</t>
        </is>
      </c>
      <c r="D1167" s="10" t="inlineStr">
        <is>
          <t>GRI</t>
        </is>
      </c>
      <c r="E1167" s="10" t="inlineStr">
        <is>
          <t>Gestión de Riesgo Operativo</t>
        </is>
      </c>
      <c r="F1167" s="10" t="inlineStr">
        <is>
          <t>-</t>
        </is>
      </c>
      <c r="G1167" s="10" t="inlineStr">
        <is>
          <t>Comunicación</t>
        </is>
      </c>
      <c r="H1167" s="10" t="inlineStr">
        <is>
          <t xml:space="preserve">Informe mensual de Riesgos </t>
        </is>
      </c>
      <c r="I1167" s="10" t="inlineStr">
        <is>
          <t>Información de comunicación</t>
        </is>
      </c>
      <c r="J1167" s="10" t="inlineStr">
        <is>
          <t>GERENTE DE RIESGOS</t>
        </is>
      </c>
      <c r="K1167" s="10" t="inlineStr">
        <is>
          <t>ANALISTA DE RIESGO OPERATIVO</t>
        </is>
      </c>
      <c r="L1167" s="10" t="inlineStr">
        <is>
          <t>UBICACIÓN DIGITAL-EQUIPO DEL RESPONSABLE</t>
        </is>
      </c>
      <c r="M1167" s="10" t="inlineStr">
        <is>
          <t>DOCUMENTO DE ARCHIVO-ELECTRÓNICO</t>
        </is>
      </c>
      <c r="N1167" s="10" t="inlineStr">
        <is>
          <t>PRIMARIOS</t>
        </is>
      </c>
      <c r="O1167" s="10" t="inlineStr">
        <is>
          <t>DOCUMENTOS TÉCNICOS</t>
        </is>
      </c>
      <c r="P1167" s="10" t="inlineStr">
        <is>
          <t>PUBLICA(1)</t>
        </is>
      </c>
      <c r="Q1167" s="10" t="inlineStr">
        <is>
          <t>ALTA(3)</t>
        </is>
      </c>
      <c r="R1167" s="10" t="inlineStr">
        <is>
          <t>MEDIA(2)</t>
        </is>
      </c>
      <c r="S1167" s="10">
        <f>+(IF(P1167="PUBLICA(1)",1,IF(P1167="USO INTERNO(2)",2,IF(P1167="RESTRINGIDO(3)",3,3))))+(IF(Q1167="BAJA(1)",1,IF(Q1167="MEDIA(2)",2,IF(Q1167="ALTA(3)",3,3))))+(IF(R1167="BAJA(1)",1,IF(R1167="MEDIA(2)",2,IF(R1167="ALTA(3)",3,3))))</f>
        <v/>
      </c>
      <c r="T1167" s="10">
        <f>+IF(S1167&lt;6,"BAJA",IF(S1167&lt;8,"MEDIA","ALTA"))</f>
        <v/>
      </c>
      <c r="U1167" s="10" t="inlineStr">
        <is>
          <t>-</t>
        </is>
      </c>
      <c r="V1167" s="24" t="n">
        <v>45588</v>
      </c>
      <c r="W1167" s="19" t="inlineStr">
        <is>
          <t>N/A</t>
        </is>
      </c>
      <c r="X1167" s="10">
        <f>+IFERROR(IF(VLOOKUP(Tabla2[[#This Row],[ID]],'EVALUACION DE RIESGO'!A:A,1,FALSE)=Tabla2[[#This Row],[ID]],"SI","NO"),"NO")</f>
        <v/>
      </c>
    </row>
    <row r="1168">
      <c r="A1168" s="91" t="inlineStr">
        <is>
          <t>146-GRI</t>
        </is>
      </c>
      <c r="B1168" s="10" t="inlineStr">
        <is>
          <t>ESTRATÉGICO</t>
        </is>
      </c>
      <c r="C1168" s="10" t="inlineStr">
        <is>
          <t>Gestión de Riesgos</t>
        </is>
      </c>
      <c r="D1168" s="10" t="inlineStr">
        <is>
          <t>GRI</t>
        </is>
      </c>
      <c r="E1168" s="10" t="inlineStr">
        <is>
          <t>Gestión de Riesgo Operativo</t>
        </is>
      </c>
      <c r="F1168" s="10" t="inlineStr">
        <is>
          <t>-</t>
        </is>
      </c>
      <c r="G1168" s="10" t="inlineStr">
        <is>
          <t>Comunicación</t>
        </is>
      </c>
      <c r="H1168" s="10" t="inlineStr">
        <is>
          <t>Acta del CAIR</t>
        </is>
      </c>
      <c r="I1168" s="10" t="inlineStr">
        <is>
          <t>Información de comunicación</t>
        </is>
      </c>
      <c r="J1168" s="10" t="inlineStr">
        <is>
          <t>GERENTE DE RIESGOS</t>
        </is>
      </c>
      <c r="K1168" s="10" t="inlineStr">
        <is>
          <t>ANALISTA DE RIESGO OPERATIVO</t>
        </is>
      </c>
      <c r="L1168" s="10" t="inlineStr">
        <is>
          <t>UBICACIÓN DIGITAL-EQUIPO DEL RESPONSABLE</t>
        </is>
      </c>
      <c r="M1168" s="10" t="inlineStr">
        <is>
          <t>DOCUMENTO DE ARCHIVO-ELECTRÓNICO</t>
        </is>
      </c>
      <c r="N1168" s="10" t="inlineStr">
        <is>
          <t>PRIMARIOS</t>
        </is>
      </c>
      <c r="O1168" s="10" t="inlineStr">
        <is>
          <t>DOCUMENTOS TÉCNICOS</t>
        </is>
      </c>
      <c r="P1168" s="10" t="inlineStr">
        <is>
          <t>PUBLICA(1)</t>
        </is>
      </c>
      <c r="Q1168" s="10" t="inlineStr">
        <is>
          <t>ALTA(3)</t>
        </is>
      </c>
      <c r="R1168" s="10" t="inlineStr">
        <is>
          <t>MEDIA(2)</t>
        </is>
      </c>
      <c r="S1168" s="10">
        <f>+(IF(P1168="PUBLICA(1)",1,IF(P1168="USO INTERNO(2)",2,IF(P1168="RESTRINGIDO(3)",3,3))))+(IF(Q1168="BAJA(1)",1,IF(Q1168="MEDIA(2)",2,IF(Q1168="ALTA(3)",3,3))))+(IF(R1168="BAJA(1)",1,IF(R1168="MEDIA(2)",2,IF(R1168="ALTA(3)",3,3))))</f>
        <v/>
      </c>
      <c r="T1168" s="10">
        <f>+IF(S1168&lt;6,"BAJA",IF(S1168&lt;8,"MEDIA","ALTA"))</f>
        <v/>
      </c>
      <c r="U1168" s="10" t="inlineStr">
        <is>
          <t>-</t>
        </is>
      </c>
      <c r="V1168" s="24" t="n">
        <v>45588</v>
      </c>
      <c r="W1168" s="19" t="inlineStr">
        <is>
          <t>N/A</t>
        </is>
      </c>
      <c r="X1168" s="10">
        <f>+IFERROR(IF(VLOOKUP(Tabla2[[#This Row],[ID]],'EVALUACION DE RIESGO'!A:A,1,FALSE)=Tabla2[[#This Row],[ID]],"SI","NO"),"NO")</f>
        <v/>
      </c>
    </row>
    <row r="1169">
      <c r="A1169" s="91" t="inlineStr">
        <is>
          <t>147-GRI</t>
        </is>
      </c>
      <c r="B1169" s="10" t="inlineStr">
        <is>
          <t>ESTRATÉGICO</t>
        </is>
      </c>
      <c r="C1169" s="10" t="inlineStr">
        <is>
          <t>Gestión de Riesgos</t>
        </is>
      </c>
      <c r="D1169" s="10" t="inlineStr">
        <is>
          <t>GRI</t>
        </is>
      </c>
      <c r="E1169" s="10" t="inlineStr">
        <is>
          <t>Gestión de Riesgo Operativo</t>
        </is>
      </c>
      <c r="F1169" s="10" t="inlineStr">
        <is>
          <t>-</t>
        </is>
      </c>
      <c r="G1169" s="10" t="inlineStr">
        <is>
          <t>Comunicación</t>
        </is>
      </c>
      <c r="H1169" s="10" t="inlineStr">
        <is>
          <t xml:space="preserve">Acta del Consejo de Administración </t>
        </is>
      </c>
      <c r="I1169" s="10" t="inlineStr">
        <is>
          <t>Información de comunicación</t>
        </is>
      </c>
      <c r="J1169" s="10" t="inlineStr">
        <is>
          <t>GERENTE DE RIESGOS</t>
        </is>
      </c>
      <c r="K1169" s="10" t="inlineStr">
        <is>
          <t>ANALISTA DE RIESGO OPERATIVO</t>
        </is>
      </c>
      <c r="L1169" s="10" t="inlineStr">
        <is>
          <t>UBICACIÓN DIGITAL-EQUIPO DEL RESPONSABLE</t>
        </is>
      </c>
      <c r="M1169" s="10" t="inlineStr">
        <is>
          <t>DOCUMENTO DE ARCHIVO-ELECTRÓNICO</t>
        </is>
      </c>
      <c r="N1169" s="10" t="inlineStr">
        <is>
          <t>PRIMARIOS</t>
        </is>
      </c>
      <c r="O1169" s="10" t="inlineStr">
        <is>
          <t>DOCUMENTOS TÉCNICOS</t>
        </is>
      </c>
      <c r="P1169" s="10" t="inlineStr">
        <is>
          <t>PUBLICA(1)</t>
        </is>
      </c>
      <c r="Q1169" s="10" t="inlineStr">
        <is>
          <t>ALTA(3)</t>
        </is>
      </c>
      <c r="R1169" s="10" t="inlineStr">
        <is>
          <t>MEDIA(2)</t>
        </is>
      </c>
      <c r="S1169" s="10">
        <f>+(IF(P1169="PUBLICA(1)",1,IF(P1169="USO INTERNO(2)",2,IF(P1169="RESTRINGIDO(3)",3,3))))+(IF(Q1169="BAJA(1)",1,IF(Q1169="MEDIA(2)",2,IF(Q1169="ALTA(3)",3,3))))+(IF(R1169="BAJA(1)",1,IF(R1169="MEDIA(2)",2,IF(R1169="ALTA(3)",3,3))))</f>
        <v/>
      </c>
      <c r="T1169" s="10">
        <f>+IF(S1169&lt;6,"BAJA",IF(S1169&lt;8,"MEDIA","ALTA"))</f>
        <v/>
      </c>
      <c r="U1169" s="10" t="inlineStr">
        <is>
          <t>-</t>
        </is>
      </c>
      <c r="V1169" s="24" t="n">
        <v>45588</v>
      </c>
      <c r="W1169" s="19" t="inlineStr">
        <is>
          <t>N/A</t>
        </is>
      </c>
      <c r="X1169" s="10">
        <f>+IFERROR(IF(VLOOKUP(Tabla2[[#This Row],[ID]],'EVALUACION DE RIESGO'!A:A,1,FALSE)=Tabla2[[#This Row],[ID]],"SI","NO"),"NO")</f>
        <v/>
      </c>
    </row>
    <row r="1170">
      <c r="A1170" s="91" t="inlineStr">
        <is>
          <t>148-GRI</t>
        </is>
      </c>
      <c r="B1170" s="10" t="inlineStr">
        <is>
          <t>ESTRATÉGICO</t>
        </is>
      </c>
      <c r="C1170" s="10" t="inlineStr">
        <is>
          <t>Gestión de Riesgos</t>
        </is>
      </c>
      <c r="D1170" s="10" t="inlineStr">
        <is>
          <t>GRI</t>
        </is>
      </c>
      <c r="E1170" s="10" t="inlineStr">
        <is>
          <t>Gestión de Riesgo Operativo</t>
        </is>
      </c>
      <c r="F1170" s="10" t="inlineStr">
        <is>
          <t>-</t>
        </is>
      </c>
      <c r="G1170" s="10" t="inlineStr">
        <is>
          <t>Comunicación</t>
        </is>
      </c>
      <c r="H1170" s="10" t="inlineStr">
        <is>
          <t xml:space="preserve">Informe de resultado de la capacitación </t>
        </is>
      </c>
      <c r="I1170" s="10" t="inlineStr">
        <is>
          <t>Información de comunicación</t>
        </is>
      </c>
      <c r="J1170" s="10" t="inlineStr">
        <is>
          <t>GERENTE DE RIESGOS</t>
        </is>
      </c>
      <c r="K1170" s="10" t="inlineStr">
        <is>
          <t>ANALISTA DE RIESGO OPERATIVO</t>
        </is>
      </c>
      <c r="L1170" s="10" t="inlineStr">
        <is>
          <t>UBICACIÓN DIGITAL-EQUIPO DEL RESPONSABLE</t>
        </is>
      </c>
      <c r="M1170" s="10" t="inlineStr">
        <is>
          <t>DOCUMENTO DE ARCHIVO-ELECTRÓNICO</t>
        </is>
      </c>
      <c r="N1170" s="10" t="inlineStr">
        <is>
          <t>PRIMARIOS</t>
        </is>
      </c>
      <c r="O1170" s="10" t="inlineStr">
        <is>
          <t>DOCUMENTOS TÉCNICOS</t>
        </is>
      </c>
      <c r="P1170" s="10" t="inlineStr">
        <is>
          <t>PUBLICA(1)</t>
        </is>
      </c>
      <c r="Q1170" s="10" t="inlineStr">
        <is>
          <t>ALTA(3)</t>
        </is>
      </c>
      <c r="R1170" s="10" t="inlineStr">
        <is>
          <t>MEDIA(2)</t>
        </is>
      </c>
      <c r="S1170" s="10">
        <f>+(IF(P1170="PUBLICA(1)",1,IF(P1170="USO INTERNO(2)",2,IF(P1170="RESTRINGIDO(3)",3,3))))+(IF(Q1170="BAJA(1)",1,IF(Q1170="MEDIA(2)",2,IF(Q1170="ALTA(3)",3,3))))+(IF(R1170="BAJA(1)",1,IF(R1170="MEDIA(2)",2,IF(R1170="ALTA(3)",3,3))))</f>
        <v/>
      </c>
      <c r="T1170" s="10">
        <f>+IF(S1170&lt;6,"BAJA",IF(S1170&lt;8,"MEDIA","ALTA"))</f>
        <v/>
      </c>
      <c r="U1170" s="10" t="inlineStr">
        <is>
          <t>-</t>
        </is>
      </c>
      <c r="V1170" s="24" t="n">
        <v>45588</v>
      </c>
      <c r="W1170" s="19" t="inlineStr">
        <is>
          <t>N/A</t>
        </is>
      </c>
      <c r="X1170" s="10">
        <f>+IFERROR(IF(VLOOKUP(Tabla2[[#This Row],[ID]],'EVALUACION DE RIESGO'!A:A,1,FALSE)=Tabla2[[#This Row],[ID]],"SI","NO"),"NO")</f>
        <v/>
      </c>
    </row>
    <row r="1171">
      <c r="A1171" s="91" t="inlineStr">
        <is>
          <t>149-GRI</t>
        </is>
      </c>
      <c r="B1171" s="10" t="inlineStr">
        <is>
          <t>ESTRATÉGICO</t>
        </is>
      </c>
      <c r="C1171" s="10" t="inlineStr">
        <is>
          <t>Gestión de Riesgos</t>
        </is>
      </c>
      <c r="D1171" s="10" t="inlineStr">
        <is>
          <t>GRI</t>
        </is>
      </c>
      <c r="E1171" s="10" t="inlineStr">
        <is>
          <t>Gestión de Continuidad del Negocio</t>
        </is>
      </c>
      <c r="F1171" s="10" t="inlineStr">
        <is>
          <t>-</t>
        </is>
      </c>
      <c r="G1171" s="10" t="inlineStr">
        <is>
          <t xml:space="preserve">Preparación del Proceso    </t>
        </is>
      </c>
      <c r="H1171" s="10" t="inlineStr">
        <is>
          <t>Referencias Normativas</t>
        </is>
      </c>
      <c r="I1171" s="10" t="inlineStr">
        <is>
          <t>Normas externas</t>
        </is>
      </c>
      <c r="J1171" s="10" t="inlineStr">
        <is>
          <t>GERENTE DE RIESGOS</t>
        </is>
      </c>
      <c r="K1171" s="10" t="inlineStr">
        <is>
          <t>ANALISTA DE RIESGO OPERATIVO</t>
        </is>
      </c>
      <c r="L1171" s="10" t="inlineStr">
        <is>
          <t>UBICACIÓN DIGITAL-EQUIPO DEL RESPONSABLE</t>
        </is>
      </c>
      <c r="M1171" s="10" t="inlineStr">
        <is>
          <t>DOCUMENTO DE ARCHIVO-ELECTRÓNICO</t>
        </is>
      </c>
      <c r="N1171" s="10" t="inlineStr">
        <is>
          <t>PRIMARIOS</t>
        </is>
      </c>
      <c r="O1171" s="10" t="inlineStr">
        <is>
          <t>DOCUMENTOS TÉCNICOS</t>
        </is>
      </c>
      <c r="P1171" s="10" t="inlineStr">
        <is>
          <t>PUBLICA(1)</t>
        </is>
      </c>
      <c r="Q1171" s="10" t="inlineStr">
        <is>
          <t>ALTA(3)</t>
        </is>
      </c>
      <c r="R1171" s="10" t="inlineStr">
        <is>
          <t>MEDIA(2)</t>
        </is>
      </c>
      <c r="S1171" s="10">
        <f>+(IF(P1171="PUBLICA(1)",1,IF(P1171="USO INTERNO(2)",2,IF(P1171="RESTRINGIDO(3)",3,3))))+(IF(Q1171="BAJA(1)",1,IF(Q1171="MEDIA(2)",2,IF(Q1171="ALTA(3)",3,3))))+(IF(R1171="BAJA(1)",1,IF(R1171="MEDIA(2)",2,IF(R1171="ALTA(3)",3,3))))</f>
        <v/>
      </c>
      <c r="T1171" s="10">
        <f>+IF(S1171&lt;6,"BAJA",IF(S1171&lt;8,"MEDIA","ALTA"))</f>
        <v/>
      </c>
      <c r="U1171" s="10" t="inlineStr">
        <is>
          <t>-</t>
        </is>
      </c>
      <c r="V1171" s="24" t="n">
        <v>45588</v>
      </c>
      <c r="W1171" s="19" t="inlineStr">
        <is>
          <t>N/A</t>
        </is>
      </c>
      <c r="X1171" s="10">
        <f>+IFERROR(IF(VLOOKUP(Tabla2[[#This Row],[ID]],'EVALUACION DE RIESGO'!A:A,1,FALSE)=Tabla2[[#This Row],[ID]],"SI","NO"),"NO")</f>
        <v/>
      </c>
    </row>
    <row r="1172">
      <c r="A1172" s="91" t="inlineStr">
        <is>
          <t>150-GRI</t>
        </is>
      </c>
      <c r="B1172" s="10" t="inlineStr">
        <is>
          <t>ESTRATÉGICO</t>
        </is>
      </c>
      <c r="C1172" s="10" t="inlineStr">
        <is>
          <t>Gestión de Riesgos</t>
        </is>
      </c>
      <c r="D1172" s="10" t="inlineStr">
        <is>
          <t>GRI</t>
        </is>
      </c>
      <c r="E1172" s="10" t="inlineStr">
        <is>
          <t>Gestión de Continuidad del Negocio</t>
        </is>
      </c>
      <c r="F1172" s="10" t="inlineStr">
        <is>
          <t>-</t>
        </is>
      </c>
      <c r="G1172" s="10" t="inlineStr">
        <is>
          <t xml:space="preserve">Preparación del Proceso    </t>
        </is>
      </c>
      <c r="H1172" s="10" t="inlineStr">
        <is>
          <t>Ficha calificación procesos criticos</t>
        </is>
      </c>
      <c r="I1172" s="10" t="inlineStr">
        <is>
          <t>Informe de Análisis de Riesgos</t>
        </is>
      </c>
      <c r="J1172" s="10" t="inlineStr">
        <is>
          <t>GERENTE DE RIESGOS</t>
        </is>
      </c>
      <c r="K1172" s="10" t="inlineStr">
        <is>
          <t>ANALISTA DE RIESGO OPERATIVO</t>
        </is>
      </c>
      <c r="L1172" s="10" t="inlineStr">
        <is>
          <t>UBICACIÓN DIGITAL-EQUIPO DEL RESPONSABLE</t>
        </is>
      </c>
      <c r="M1172" s="10" t="inlineStr">
        <is>
          <t>DOCUMENTO DE ARCHIVO-ELECTRÓNICO</t>
        </is>
      </c>
      <c r="N1172" s="10" t="inlineStr">
        <is>
          <t>PRIMARIOS</t>
        </is>
      </c>
      <c r="O1172" s="10" t="inlineStr">
        <is>
          <t>DOCUMENTOS TÉCNICOS</t>
        </is>
      </c>
      <c r="P1172" s="10" t="inlineStr">
        <is>
          <t>PUBLICA(1)</t>
        </is>
      </c>
      <c r="Q1172" s="10" t="inlineStr">
        <is>
          <t>ALTA(3)</t>
        </is>
      </c>
      <c r="R1172" s="10" t="inlineStr">
        <is>
          <t>MEDIA(2)</t>
        </is>
      </c>
      <c r="S1172" s="10">
        <f>+(IF(P1172="PUBLICA(1)",1,IF(P1172="USO INTERNO(2)",2,IF(P1172="RESTRINGIDO(3)",3,3))))+(IF(Q1172="BAJA(1)",1,IF(Q1172="MEDIA(2)",2,IF(Q1172="ALTA(3)",3,3))))+(IF(R1172="BAJA(1)",1,IF(R1172="MEDIA(2)",2,IF(R1172="ALTA(3)",3,3))))</f>
        <v/>
      </c>
      <c r="T1172" s="10">
        <f>+IF(S1172&lt;6,"BAJA",IF(S1172&lt;8,"MEDIA","ALTA"))</f>
        <v/>
      </c>
      <c r="U1172" s="10" t="inlineStr">
        <is>
          <t>-</t>
        </is>
      </c>
      <c r="V1172" s="24" t="n">
        <v>45588</v>
      </c>
      <c r="W1172" s="19" t="inlineStr">
        <is>
          <t>N/A</t>
        </is>
      </c>
      <c r="X1172" s="10">
        <f>+IFERROR(IF(VLOOKUP(Tabla2[[#This Row],[ID]],'EVALUACION DE RIESGO'!A:A,1,FALSE)=Tabla2[[#This Row],[ID]],"SI","NO"),"NO")</f>
        <v/>
      </c>
    </row>
    <row r="1173">
      <c r="A1173" s="91" t="inlineStr">
        <is>
          <t>151-GRI</t>
        </is>
      </c>
      <c r="B1173" s="10" t="inlineStr">
        <is>
          <t>ESTRATÉGICO</t>
        </is>
      </c>
      <c r="C1173" s="10" t="inlineStr">
        <is>
          <t>Gestión de Riesgos</t>
        </is>
      </c>
      <c r="D1173" s="10" t="inlineStr">
        <is>
          <t>GRI</t>
        </is>
      </c>
      <c r="E1173" s="10" t="inlineStr">
        <is>
          <t>Gestión de Continuidad del Negocio</t>
        </is>
      </c>
      <c r="F1173" s="10" t="inlineStr">
        <is>
          <t>-</t>
        </is>
      </c>
      <c r="G1173" s="10" t="inlineStr">
        <is>
          <t xml:space="preserve">Preparación del Proceso    </t>
        </is>
      </c>
      <c r="H1173" s="10" t="inlineStr">
        <is>
          <t>Ficha de recursos de procesos criticos</t>
        </is>
      </c>
      <c r="I1173" s="10" t="inlineStr">
        <is>
          <t>Informe de Análisis de Riesgos</t>
        </is>
      </c>
      <c r="J1173" s="10" t="inlineStr">
        <is>
          <t>GERENTE DE RIESGOS</t>
        </is>
      </c>
      <c r="K1173" s="10" t="inlineStr">
        <is>
          <t>ANALISTA DE RIESGO OPERATIVO</t>
        </is>
      </c>
      <c r="L1173" s="10" t="inlineStr">
        <is>
          <t>UBICACIÓN DIGITAL-EQUIPO DEL RESPONSABLE</t>
        </is>
      </c>
      <c r="M1173" s="10" t="inlineStr">
        <is>
          <t>DOCUMENTO DE ARCHIVO-ELECTRÓNICO</t>
        </is>
      </c>
      <c r="N1173" s="10" t="inlineStr">
        <is>
          <t>PRIMARIOS</t>
        </is>
      </c>
      <c r="O1173" s="10" t="inlineStr">
        <is>
          <t>DOCUMENTOS TÉCNICOS</t>
        </is>
      </c>
      <c r="P1173" s="10" t="inlineStr">
        <is>
          <t>PUBLICA(1)</t>
        </is>
      </c>
      <c r="Q1173" s="10" t="inlineStr">
        <is>
          <t>ALTA(3)</t>
        </is>
      </c>
      <c r="R1173" s="10" t="inlineStr">
        <is>
          <t>MEDIA(2)</t>
        </is>
      </c>
      <c r="S1173" s="10">
        <f>+(IF(P1173="PUBLICA(1)",1,IF(P1173="USO INTERNO(2)",2,IF(P1173="RESTRINGIDO(3)",3,3))))+(IF(Q1173="BAJA(1)",1,IF(Q1173="MEDIA(2)",2,IF(Q1173="ALTA(3)",3,3))))+(IF(R1173="BAJA(1)",1,IF(R1173="MEDIA(2)",2,IF(R1173="ALTA(3)",3,3))))</f>
        <v/>
      </c>
      <c r="T1173" s="10">
        <f>+IF(S1173&lt;6,"BAJA",IF(S1173&lt;8,"MEDIA","ALTA"))</f>
        <v/>
      </c>
      <c r="U1173" s="10" t="inlineStr">
        <is>
          <t>-</t>
        </is>
      </c>
      <c r="V1173" s="24" t="n">
        <v>45588</v>
      </c>
      <c r="W1173" s="19" t="inlineStr">
        <is>
          <t>N/A</t>
        </is>
      </c>
      <c r="X1173" s="10">
        <f>+IFERROR(IF(VLOOKUP(Tabla2[[#This Row],[ID]],'EVALUACION DE RIESGO'!A:A,1,FALSE)=Tabla2[[#This Row],[ID]],"SI","NO"),"NO")</f>
        <v/>
      </c>
    </row>
    <row r="1174">
      <c r="A1174" s="91" t="inlineStr">
        <is>
          <t>152-GRI</t>
        </is>
      </c>
      <c r="B1174" s="10" t="inlineStr">
        <is>
          <t>ESTRATÉGICO</t>
        </is>
      </c>
      <c r="C1174" s="10" t="inlineStr">
        <is>
          <t>Gestión de Riesgos</t>
        </is>
      </c>
      <c r="D1174" s="10" t="inlineStr">
        <is>
          <t>GRI</t>
        </is>
      </c>
      <c r="E1174" s="10" t="inlineStr">
        <is>
          <t>Gestión de Continuidad del Negocio</t>
        </is>
      </c>
      <c r="F1174" s="10" t="inlineStr">
        <is>
          <t>-</t>
        </is>
      </c>
      <c r="G1174" s="10" t="inlineStr">
        <is>
          <t xml:space="preserve">Preparación del Proceso    </t>
        </is>
      </c>
      <c r="H1174" s="10" t="inlineStr">
        <is>
          <t>Ficha de tiempos y aplicaciones requeridas</t>
        </is>
      </c>
      <c r="I1174" s="10" t="inlineStr">
        <is>
          <t>Informe de Análisis de Riesgos - BIA</t>
        </is>
      </c>
      <c r="J1174" s="10" t="inlineStr">
        <is>
          <t>GERENTE DE RIESGOS</t>
        </is>
      </c>
      <c r="K1174" s="10" t="inlineStr">
        <is>
          <t>ANALISTA DE RIESGO OPERATIVO</t>
        </is>
      </c>
      <c r="L1174" s="10" t="inlineStr">
        <is>
          <t>UBICACIÓN DIGITAL-EQUIPO DEL RESPONSABLE</t>
        </is>
      </c>
      <c r="M1174" s="10" t="inlineStr">
        <is>
          <t>DOCUMENTO DE ARCHIVO-ELECTRÓNICO</t>
        </is>
      </c>
      <c r="N1174" s="10" t="inlineStr">
        <is>
          <t>PRIMARIOS</t>
        </is>
      </c>
      <c r="O1174" s="10" t="inlineStr">
        <is>
          <t>DOCUMENTOS TÉCNICOS</t>
        </is>
      </c>
      <c r="P1174" s="10" t="inlineStr">
        <is>
          <t>PUBLICA(1)</t>
        </is>
      </c>
      <c r="Q1174" s="10" t="inlineStr">
        <is>
          <t>ALTA(3)</t>
        </is>
      </c>
      <c r="R1174" s="10" t="inlineStr">
        <is>
          <t>MEDIA(2)</t>
        </is>
      </c>
      <c r="S1174" s="10">
        <f>+(IF(P1174="PUBLICA(1)",1,IF(P1174="USO INTERNO(2)",2,IF(P1174="RESTRINGIDO(3)",3,3))))+(IF(Q1174="BAJA(1)",1,IF(Q1174="MEDIA(2)",2,IF(Q1174="ALTA(3)",3,3))))+(IF(R1174="BAJA(1)",1,IF(R1174="MEDIA(2)",2,IF(R1174="ALTA(3)",3,3))))</f>
        <v/>
      </c>
      <c r="T1174" s="10">
        <f>+IF(S1174&lt;6,"BAJA",IF(S1174&lt;8,"MEDIA","ALTA"))</f>
        <v/>
      </c>
      <c r="U1174" s="10" t="inlineStr">
        <is>
          <t>-</t>
        </is>
      </c>
      <c r="V1174" s="24" t="n">
        <v>45588</v>
      </c>
      <c r="W1174" s="19" t="inlineStr">
        <is>
          <t>N/A</t>
        </is>
      </c>
      <c r="X1174" s="10">
        <f>+IFERROR(IF(VLOOKUP(Tabla2[[#This Row],[ID]],'EVALUACION DE RIESGO'!A:A,1,FALSE)=Tabla2[[#This Row],[ID]],"SI","NO"),"NO")</f>
        <v/>
      </c>
    </row>
    <row r="1175">
      <c r="A1175" s="91" t="inlineStr">
        <is>
          <t>153-GRI</t>
        </is>
      </c>
      <c r="B1175" s="10" t="inlineStr">
        <is>
          <t>ESTRATÉGICO</t>
        </is>
      </c>
      <c r="C1175" s="10" t="inlineStr">
        <is>
          <t>Gestión de Riesgos</t>
        </is>
      </c>
      <c r="D1175" s="10" t="inlineStr">
        <is>
          <t>GRI</t>
        </is>
      </c>
      <c r="E1175" s="10" t="inlineStr">
        <is>
          <t>Gestión de Continuidad del Negocio</t>
        </is>
      </c>
      <c r="F1175" s="10" t="inlineStr">
        <is>
          <t>-</t>
        </is>
      </c>
      <c r="G1175" s="10" t="inlineStr">
        <is>
          <t xml:space="preserve">Preparación del Proceso    </t>
        </is>
      </c>
      <c r="H1175" s="10" t="inlineStr">
        <is>
          <t>Anexos detalle de información de equipos</t>
        </is>
      </c>
      <c r="I1175" s="10" t="inlineStr">
        <is>
          <t>Informe de Análisis de Riesgos - BIA</t>
        </is>
      </c>
      <c r="J1175" s="10" t="inlineStr">
        <is>
          <t>GERENTE DE RIESGOS</t>
        </is>
      </c>
      <c r="K1175" s="10" t="inlineStr">
        <is>
          <t>ANALISTA DE RIESGO OPERATIVO</t>
        </is>
      </c>
      <c r="L1175" s="10" t="inlineStr">
        <is>
          <t>UBICACIÓN DIGITAL-EQUIPO DEL RESPONSABLE</t>
        </is>
      </c>
      <c r="M1175" s="10" t="inlineStr">
        <is>
          <t>DOCUMENTO DE ARCHIVO-ELECTRÓNICO</t>
        </is>
      </c>
      <c r="N1175" s="10" t="inlineStr">
        <is>
          <t>PRIMARIOS</t>
        </is>
      </c>
      <c r="O1175" s="10" t="inlineStr">
        <is>
          <t>DOCUMENTOS TÉCNICOS</t>
        </is>
      </c>
      <c r="P1175" s="10" t="inlineStr">
        <is>
          <t>PUBLICA(1)</t>
        </is>
      </c>
      <c r="Q1175" s="10" t="inlineStr">
        <is>
          <t>ALTA(3)</t>
        </is>
      </c>
      <c r="R1175" s="10" t="inlineStr">
        <is>
          <t>MEDIA(2)</t>
        </is>
      </c>
      <c r="S1175" s="10">
        <f>+(IF(P1175="PUBLICA(1)",1,IF(P1175="USO INTERNO(2)",2,IF(P1175="RESTRINGIDO(3)",3,3))))+(IF(Q1175="BAJA(1)",1,IF(Q1175="MEDIA(2)",2,IF(Q1175="ALTA(3)",3,3))))+(IF(R1175="BAJA(1)",1,IF(R1175="MEDIA(2)",2,IF(R1175="ALTA(3)",3,3))))</f>
        <v/>
      </c>
      <c r="T1175" s="10">
        <f>+IF(S1175&lt;6,"BAJA",IF(S1175&lt;8,"MEDIA","ALTA"))</f>
        <v/>
      </c>
      <c r="U1175" s="10" t="inlineStr">
        <is>
          <t>-</t>
        </is>
      </c>
      <c r="V1175" s="24" t="n">
        <v>45588</v>
      </c>
      <c r="W1175" s="19" t="inlineStr">
        <is>
          <t>N/A</t>
        </is>
      </c>
      <c r="X1175" s="10">
        <f>+IFERROR(IF(VLOOKUP(Tabla2[[#This Row],[ID]],'EVALUACION DE RIESGO'!A:A,1,FALSE)=Tabla2[[#This Row],[ID]],"SI","NO"),"NO")</f>
        <v/>
      </c>
    </row>
    <row r="1176">
      <c r="A1176" s="91" t="inlineStr">
        <is>
          <t>154-GRI</t>
        </is>
      </c>
      <c r="B1176" s="10" t="inlineStr">
        <is>
          <t>ESTRATÉGICO</t>
        </is>
      </c>
      <c r="C1176" s="10" t="inlineStr">
        <is>
          <t>Gestión de Riesgos</t>
        </is>
      </c>
      <c r="D1176" s="10" t="inlineStr">
        <is>
          <t>GRI</t>
        </is>
      </c>
      <c r="E1176" s="10" t="inlineStr">
        <is>
          <t>Gestión de Continuidad del Negocio</t>
        </is>
      </c>
      <c r="F1176" s="10" t="inlineStr">
        <is>
          <t>-</t>
        </is>
      </c>
      <c r="G1176" s="10" t="inlineStr">
        <is>
          <t xml:space="preserve">Preparación del Proceso    </t>
        </is>
      </c>
      <c r="H1176" s="10" t="inlineStr">
        <is>
          <t>Anexo de proveedores criticos</t>
        </is>
      </c>
      <c r="I1176" s="10" t="inlineStr">
        <is>
          <t>Informe de Análisis de Riesgos - BIA</t>
        </is>
      </c>
      <c r="J1176" s="10" t="inlineStr">
        <is>
          <t>GERENTE DE RIESGOS</t>
        </is>
      </c>
      <c r="K1176" s="10" t="inlineStr">
        <is>
          <t>ANALISTA DE RIESGO OPERATIVO</t>
        </is>
      </c>
      <c r="L1176" s="10" t="inlineStr">
        <is>
          <t>UBICACIÓN DIGITAL-EQUIPO DEL RESPONSABLE</t>
        </is>
      </c>
      <c r="M1176" s="10" t="inlineStr">
        <is>
          <t>DOCUMENTO DE ARCHIVO-ELECTRÓNICO</t>
        </is>
      </c>
      <c r="N1176" s="10" t="inlineStr">
        <is>
          <t>PRIMARIOS</t>
        </is>
      </c>
      <c r="O1176" s="10" t="inlineStr">
        <is>
          <t>DOCUMENTOS TÉCNICOS</t>
        </is>
      </c>
      <c r="P1176" s="10" t="inlineStr">
        <is>
          <t>PUBLICA(1)</t>
        </is>
      </c>
      <c r="Q1176" s="10" t="inlineStr">
        <is>
          <t>ALTA(3)</t>
        </is>
      </c>
      <c r="R1176" s="10" t="inlineStr">
        <is>
          <t>MEDIA(2)</t>
        </is>
      </c>
      <c r="S1176" s="10">
        <f>+(IF(P1176="PUBLICA(1)",1,IF(P1176="USO INTERNO(2)",2,IF(P1176="RESTRINGIDO(3)",3,3))))+(IF(Q1176="BAJA(1)",1,IF(Q1176="MEDIA(2)",2,IF(Q1176="ALTA(3)",3,3))))+(IF(R1176="BAJA(1)",1,IF(R1176="MEDIA(2)",2,IF(R1176="ALTA(3)",3,3))))</f>
        <v/>
      </c>
      <c r="T1176" s="10">
        <f>+IF(S1176&lt;6,"BAJA",IF(S1176&lt;8,"MEDIA","ALTA"))</f>
        <v/>
      </c>
      <c r="U1176" s="10" t="inlineStr">
        <is>
          <t>-</t>
        </is>
      </c>
      <c r="V1176" s="24" t="n">
        <v>45588</v>
      </c>
      <c r="W1176" s="19" t="inlineStr">
        <is>
          <t>N/A</t>
        </is>
      </c>
      <c r="X1176" s="10">
        <f>+IFERROR(IF(VLOOKUP(Tabla2[[#This Row],[ID]],'EVALUACION DE RIESGO'!A:A,1,FALSE)=Tabla2[[#This Row],[ID]],"SI","NO"),"NO")</f>
        <v/>
      </c>
    </row>
    <row r="1177">
      <c r="A1177" s="91" t="inlineStr">
        <is>
          <t>155-GRI</t>
        </is>
      </c>
      <c r="B1177" s="10" t="inlineStr">
        <is>
          <t>ESTRATÉGICO</t>
        </is>
      </c>
      <c r="C1177" s="10" t="inlineStr">
        <is>
          <t>Gestión de Riesgos</t>
        </is>
      </c>
      <c r="D1177" s="10" t="inlineStr">
        <is>
          <t>GRI</t>
        </is>
      </c>
      <c r="E1177" s="10" t="inlineStr">
        <is>
          <t>Gestión de Continuidad del Negocio</t>
        </is>
      </c>
      <c r="F1177" s="10" t="inlineStr">
        <is>
          <t>-</t>
        </is>
      </c>
      <c r="G1177" s="10" t="inlineStr">
        <is>
          <t xml:space="preserve">Analizar Riesgos </t>
        </is>
      </c>
      <c r="H1177" s="10" t="inlineStr">
        <is>
          <t>Determinación de Potecial de impacto económico</t>
        </is>
      </c>
      <c r="I1177" s="10" t="inlineStr">
        <is>
          <t>Informe de Análisis de Riesgos - BIA</t>
        </is>
      </c>
      <c r="J1177" s="10" t="inlineStr">
        <is>
          <t>GERENTE DE RIESGOS</t>
        </is>
      </c>
      <c r="K1177" s="10" t="inlineStr">
        <is>
          <t>ANALISTA DE RIESGO OPERATIVO</t>
        </is>
      </c>
      <c r="L1177" s="10" t="inlineStr">
        <is>
          <t>UBICACIÓN DIGITAL-EQUIPO DEL RESPONSABLE</t>
        </is>
      </c>
      <c r="M1177" s="10" t="inlineStr">
        <is>
          <t>DOCUMENTO DE ARCHIVO-ELECTRÓNICO</t>
        </is>
      </c>
      <c r="N1177" s="10" t="inlineStr">
        <is>
          <t>PRIMARIOS</t>
        </is>
      </c>
      <c r="O1177" s="10" t="inlineStr">
        <is>
          <t>DOCUMENTOS TÉCNICOS</t>
        </is>
      </c>
      <c r="P1177" s="10" t="inlineStr">
        <is>
          <t>PUBLICA(1)</t>
        </is>
      </c>
      <c r="Q1177" s="10" t="inlineStr">
        <is>
          <t>ALTA(3)</t>
        </is>
      </c>
      <c r="R1177" s="10" t="inlineStr">
        <is>
          <t>MEDIA(2)</t>
        </is>
      </c>
      <c r="S1177" s="10">
        <f>+(IF(P1177="PUBLICA(1)",1,IF(P1177="USO INTERNO(2)",2,IF(P1177="RESTRINGIDO(3)",3,3))))+(IF(Q1177="BAJA(1)",1,IF(Q1177="MEDIA(2)",2,IF(Q1177="ALTA(3)",3,3))))+(IF(R1177="BAJA(1)",1,IF(R1177="MEDIA(2)",2,IF(R1177="ALTA(3)",3,3))))</f>
        <v/>
      </c>
      <c r="T1177" s="10">
        <f>+IF(S1177&lt;6,"BAJA",IF(S1177&lt;8,"MEDIA","ALTA"))</f>
        <v/>
      </c>
      <c r="U1177" s="10" t="inlineStr">
        <is>
          <t>-</t>
        </is>
      </c>
      <c r="V1177" s="24" t="n">
        <v>45588</v>
      </c>
      <c r="W1177" s="19" t="inlineStr">
        <is>
          <t>N/A</t>
        </is>
      </c>
      <c r="X1177" s="10">
        <f>+IFERROR(IF(VLOOKUP(Tabla2[[#This Row],[ID]],'EVALUACION DE RIESGO'!A:A,1,FALSE)=Tabla2[[#This Row],[ID]],"SI","NO"),"NO")</f>
        <v/>
      </c>
    </row>
    <row r="1178">
      <c r="A1178" s="91" t="inlineStr">
        <is>
          <t>156-GRI</t>
        </is>
      </c>
      <c r="B1178" s="10" t="inlineStr">
        <is>
          <t>ESTRATÉGICO</t>
        </is>
      </c>
      <c r="C1178" s="10" t="inlineStr">
        <is>
          <t>Gestión de Riesgos</t>
        </is>
      </c>
      <c r="D1178" s="10" t="inlineStr">
        <is>
          <t>GRI</t>
        </is>
      </c>
      <c r="E1178" s="10" t="inlineStr">
        <is>
          <t>Gestión de Continuidad del Negocio</t>
        </is>
      </c>
      <c r="F1178" s="10" t="inlineStr">
        <is>
          <t>-</t>
        </is>
      </c>
      <c r="G1178" s="10" t="inlineStr">
        <is>
          <t xml:space="preserve">Analizar Riesgos </t>
        </is>
      </c>
      <c r="H1178" s="10" t="inlineStr">
        <is>
          <t>Analisis de evaluación de Riesgos</t>
        </is>
      </c>
      <c r="I1178" s="10" t="inlineStr">
        <is>
          <t>Informe de Análisis de Riesgos - BIA</t>
        </is>
      </c>
      <c r="J1178" s="10" t="inlineStr">
        <is>
          <t>GERENTE DE RIESGOS</t>
        </is>
      </c>
      <c r="K1178" s="10" t="inlineStr">
        <is>
          <t>ANALISTA DE RIESGO OPERATIVO</t>
        </is>
      </c>
      <c r="L1178" s="10" t="inlineStr">
        <is>
          <t>UBICACIÓN DIGITAL-EQUIPO DEL RESPONSABLE</t>
        </is>
      </c>
      <c r="M1178" s="10" t="inlineStr">
        <is>
          <t>DOCUMENTO DE ARCHIVO-ELECTRÓNICO</t>
        </is>
      </c>
      <c r="N1178" s="10" t="inlineStr">
        <is>
          <t>PRIMARIOS</t>
        </is>
      </c>
      <c r="O1178" s="10" t="inlineStr">
        <is>
          <t>DOCUMENTOS TÉCNICOS</t>
        </is>
      </c>
      <c r="P1178" s="10" t="inlineStr">
        <is>
          <t>PUBLICA(1)</t>
        </is>
      </c>
      <c r="Q1178" s="10" t="inlineStr">
        <is>
          <t>ALTA(3)</t>
        </is>
      </c>
      <c r="R1178" s="10" t="inlineStr">
        <is>
          <t>MEDIA(2)</t>
        </is>
      </c>
      <c r="S1178" s="10">
        <f>+(IF(P1178="PUBLICA(1)",1,IF(P1178="USO INTERNO(2)",2,IF(P1178="RESTRINGIDO(3)",3,3))))+(IF(Q1178="BAJA(1)",1,IF(Q1178="MEDIA(2)",2,IF(Q1178="ALTA(3)",3,3))))+(IF(R1178="BAJA(1)",1,IF(R1178="MEDIA(2)",2,IF(R1178="ALTA(3)",3,3))))</f>
        <v/>
      </c>
      <c r="T1178" s="10">
        <f>+IF(S1178&lt;6,"BAJA",IF(S1178&lt;8,"MEDIA","ALTA"))</f>
        <v/>
      </c>
      <c r="U1178" s="10" t="inlineStr">
        <is>
          <t>-</t>
        </is>
      </c>
      <c r="V1178" s="24" t="n">
        <v>45588</v>
      </c>
      <c r="W1178" s="19" t="inlineStr">
        <is>
          <t>N/A</t>
        </is>
      </c>
      <c r="X1178" s="10">
        <f>+IFERROR(IF(VLOOKUP(Tabla2[[#This Row],[ID]],'EVALUACION DE RIESGO'!A:A,1,FALSE)=Tabla2[[#This Row],[ID]],"SI","NO"),"NO")</f>
        <v/>
      </c>
    </row>
    <row r="1179">
      <c r="A1179" s="91" t="inlineStr">
        <is>
          <t>157-GRI</t>
        </is>
      </c>
      <c r="B1179" s="10" t="inlineStr">
        <is>
          <t>ESTRATÉGICO</t>
        </is>
      </c>
      <c r="C1179" s="10" t="inlineStr">
        <is>
          <t>Gestión de Riesgos</t>
        </is>
      </c>
      <c r="D1179" s="10" t="inlineStr">
        <is>
          <t>GRI</t>
        </is>
      </c>
      <c r="E1179" s="10" t="inlineStr">
        <is>
          <t>Gestión de Continuidad del Negocio</t>
        </is>
      </c>
      <c r="F1179" s="10" t="inlineStr">
        <is>
          <t>-</t>
        </is>
      </c>
      <c r="G1179" s="10" t="inlineStr">
        <is>
          <t xml:space="preserve">Analizar Riesgos </t>
        </is>
      </c>
      <c r="H1179" s="10" t="inlineStr">
        <is>
          <t>Planificación Estratégica</t>
        </is>
      </c>
      <c r="I1179" s="10" t="inlineStr">
        <is>
          <t>Plan Estratégico</t>
        </is>
      </c>
      <c r="J1179" s="10" t="inlineStr">
        <is>
          <t>GERENTE DE RIESGOS</t>
        </is>
      </c>
      <c r="K1179" s="10" t="inlineStr">
        <is>
          <t>ANALISTA DE RIESGO OPERATIVO</t>
        </is>
      </c>
      <c r="L1179" s="10" t="inlineStr">
        <is>
          <t>UBICACIÓN DIGITAL-EQUIPO DEL RESPONSABLE</t>
        </is>
      </c>
      <c r="M1179" s="10" t="inlineStr">
        <is>
          <t>DOCUMENTO DE ARCHIVO-ELECTRÓNICO</t>
        </is>
      </c>
      <c r="N1179" s="10" t="inlineStr">
        <is>
          <t>PRIMARIOS</t>
        </is>
      </c>
      <c r="O1179" s="10" t="inlineStr">
        <is>
          <t>DOCUMENTOS TÉCNICOS</t>
        </is>
      </c>
      <c r="P1179" s="10" t="inlineStr">
        <is>
          <t>PUBLICA(1)</t>
        </is>
      </c>
      <c r="Q1179" s="10" t="inlineStr">
        <is>
          <t>ALTA(3)</t>
        </is>
      </c>
      <c r="R1179" s="10" t="inlineStr">
        <is>
          <t>MEDIA(2)</t>
        </is>
      </c>
      <c r="S1179" s="10">
        <f>+(IF(P1179="PUBLICA(1)",1,IF(P1179="USO INTERNO(2)",2,IF(P1179="RESTRINGIDO(3)",3,3))))+(IF(Q1179="BAJA(1)",1,IF(Q1179="MEDIA(2)",2,IF(Q1179="ALTA(3)",3,3))))+(IF(R1179="BAJA(1)",1,IF(R1179="MEDIA(2)",2,IF(R1179="ALTA(3)",3,3))))</f>
        <v/>
      </c>
      <c r="T1179" s="10">
        <f>+IF(S1179&lt;6,"BAJA",IF(S1179&lt;8,"MEDIA","ALTA"))</f>
        <v/>
      </c>
      <c r="U1179" s="10" t="inlineStr">
        <is>
          <t>-</t>
        </is>
      </c>
      <c r="V1179" s="24" t="n">
        <v>45588</v>
      </c>
      <c r="W1179" s="19" t="inlineStr">
        <is>
          <t>N/A</t>
        </is>
      </c>
      <c r="X1179" s="10">
        <f>+IFERROR(IF(VLOOKUP(Tabla2[[#This Row],[ID]],'EVALUACION DE RIESGO'!A:A,1,FALSE)=Tabla2[[#This Row],[ID]],"SI","NO"),"NO")</f>
        <v/>
      </c>
    </row>
    <row r="1180">
      <c r="A1180" s="91" t="inlineStr">
        <is>
          <t>158-GRI</t>
        </is>
      </c>
      <c r="B1180" s="10" t="inlineStr">
        <is>
          <t>ESTRATÉGICO</t>
        </is>
      </c>
      <c r="C1180" s="10" t="inlineStr">
        <is>
          <t>Gestión de Riesgos</t>
        </is>
      </c>
      <c r="D1180" s="10" t="inlineStr">
        <is>
          <t>GRI</t>
        </is>
      </c>
      <c r="E1180" s="10" t="inlineStr">
        <is>
          <t>Gestión de Continuidad del Negocio</t>
        </is>
      </c>
      <c r="F1180" s="10" t="inlineStr">
        <is>
          <t>-</t>
        </is>
      </c>
      <c r="G1180" s="10" t="inlineStr">
        <is>
          <t xml:space="preserve">Analizar Riesgos </t>
        </is>
      </c>
      <c r="H1180" s="10" t="inlineStr">
        <is>
          <t xml:space="preserve">Inventario de Procesos  </t>
        </is>
      </c>
      <c r="I1180" s="10" t="inlineStr">
        <is>
          <t>Portafolio de inventario</t>
        </is>
      </c>
      <c r="J1180" s="10" t="inlineStr">
        <is>
          <t>GERENTE DE RIESGOS</t>
        </is>
      </c>
      <c r="K1180" s="10" t="inlineStr">
        <is>
          <t>ANALISTA DE RIESGO OPERATIVO</t>
        </is>
      </c>
      <c r="L1180" s="10" t="inlineStr">
        <is>
          <t>UBICACIÓN DIGITAL-EQUIPO DEL RESPONSABLE</t>
        </is>
      </c>
      <c r="M1180" s="10" t="inlineStr">
        <is>
          <t>DOCUMENTO DE ARCHIVO-ELECTRÓNICO</t>
        </is>
      </c>
      <c r="N1180" s="10" t="inlineStr">
        <is>
          <t>PRIMARIOS</t>
        </is>
      </c>
      <c r="O1180" s="10" t="inlineStr">
        <is>
          <t>DOCUMENTOS TÉCNICOS</t>
        </is>
      </c>
      <c r="P1180" s="10" t="inlineStr">
        <is>
          <t>PUBLICA(1)</t>
        </is>
      </c>
      <c r="Q1180" s="10" t="inlineStr">
        <is>
          <t>ALTA(3)</t>
        </is>
      </c>
      <c r="R1180" s="10" t="inlineStr">
        <is>
          <t>MEDIA(2)</t>
        </is>
      </c>
      <c r="S1180" s="10">
        <f>+(IF(P1180="PUBLICA(1)",1,IF(P1180="USO INTERNO(2)",2,IF(P1180="RESTRINGIDO(3)",3,3))))+(IF(Q1180="BAJA(1)",1,IF(Q1180="MEDIA(2)",2,IF(Q1180="ALTA(3)",3,3))))+(IF(R1180="BAJA(1)",1,IF(R1180="MEDIA(2)",2,IF(R1180="ALTA(3)",3,3))))</f>
        <v/>
      </c>
      <c r="T1180" s="10">
        <f>+IF(S1180&lt;6,"BAJA",IF(S1180&lt;8,"MEDIA","ALTA"))</f>
        <v/>
      </c>
      <c r="U1180" s="10" t="inlineStr">
        <is>
          <t>-</t>
        </is>
      </c>
      <c r="V1180" s="24" t="n">
        <v>45588</v>
      </c>
      <c r="W1180" s="19" t="inlineStr">
        <is>
          <t>N/A</t>
        </is>
      </c>
      <c r="X1180" s="10">
        <f>+IFERROR(IF(VLOOKUP(Tabla2[[#This Row],[ID]],'EVALUACION DE RIESGO'!A:A,1,FALSE)=Tabla2[[#This Row],[ID]],"SI","NO"),"NO")</f>
        <v/>
      </c>
    </row>
    <row r="1181">
      <c r="A1181" s="91" t="inlineStr">
        <is>
          <t>159-GRI</t>
        </is>
      </c>
      <c r="B1181" s="10" t="inlineStr">
        <is>
          <t>ESTRATÉGICO</t>
        </is>
      </c>
      <c r="C1181" s="10" t="inlineStr">
        <is>
          <t>Gestión de Riesgos</t>
        </is>
      </c>
      <c r="D1181" s="10" t="inlineStr">
        <is>
          <t>GRI</t>
        </is>
      </c>
      <c r="E1181" s="10" t="inlineStr">
        <is>
          <t>Gestión de Continuidad del Negocio</t>
        </is>
      </c>
      <c r="F1181" s="10" t="inlineStr">
        <is>
          <t>-</t>
        </is>
      </c>
      <c r="G1181" s="10" t="inlineStr">
        <is>
          <t xml:space="preserve">Analizar Riesgos </t>
        </is>
      </c>
      <c r="H1181" s="10" t="inlineStr">
        <is>
          <t>Referencias Normativas</t>
        </is>
      </c>
      <c r="I1181" s="10" t="inlineStr">
        <is>
          <t>Documento interno</t>
        </is>
      </c>
      <c r="J1181" s="10" t="inlineStr">
        <is>
          <t>GERENTE DE RIESGOS</t>
        </is>
      </c>
      <c r="K1181" s="10" t="inlineStr">
        <is>
          <t>ANALISTA DE RIESGO OPERATIVO</t>
        </is>
      </c>
      <c r="L1181" s="10" t="inlineStr">
        <is>
          <t>UBICACIÓN DIGITAL-EQUIPO DEL RESPONSABLE</t>
        </is>
      </c>
      <c r="M1181" s="10" t="inlineStr">
        <is>
          <t>DOCUMENTO DE ARCHIVO-ELECTRÓNICO</t>
        </is>
      </c>
      <c r="N1181" s="10" t="inlineStr">
        <is>
          <t>PRIMARIOS</t>
        </is>
      </c>
      <c r="O1181" s="10" t="inlineStr">
        <is>
          <t>DOCUMENTOS TÉCNICOS</t>
        </is>
      </c>
      <c r="P1181" s="10" t="inlineStr">
        <is>
          <t>PUBLICA(1)</t>
        </is>
      </c>
      <c r="Q1181" s="10" t="inlineStr">
        <is>
          <t>ALTA(3)</t>
        </is>
      </c>
      <c r="R1181" s="10" t="inlineStr">
        <is>
          <t>MEDIA(2)</t>
        </is>
      </c>
      <c r="S1181" s="10">
        <f>+(IF(P1181="PUBLICA(1)",1,IF(P1181="USO INTERNO(2)",2,IF(P1181="RESTRINGIDO(3)",3,3))))+(IF(Q1181="BAJA(1)",1,IF(Q1181="MEDIA(2)",2,IF(Q1181="ALTA(3)",3,3))))+(IF(R1181="BAJA(1)",1,IF(R1181="MEDIA(2)",2,IF(R1181="ALTA(3)",3,3))))</f>
        <v/>
      </c>
      <c r="T1181" s="10">
        <f>+IF(S1181&lt;6,"BAJA",IF(S1181&lt;8,"MEDIA","ALTA"))</f>
        <v/>
      </c>
      <c r="U1181" s="10" t="inlineStr">
        <is>
          <t>-</t>
        </is>
      </c>
      <c r="V1181" s="24" t="n">
        <v>45588</v>
      </c>
      <c r="W1181" s="19" t="inlineStr">
        <is>
          <t>N/A</t>
        </is>
      </c>
      <c r="X1181" s="10">
        <f>+IFERROR(IF(VLOOKUP(Tabla2[[#This Row],[ID]],'EVALUACION DE RIESGO'!A:A,1,FALSE)=Tabla2[[#This Row],[ID]],"SI","NO"),"NO")</f>
        <v/>
      </c>
    </row>
    <row r="1182">
      <c r="A1182" s="91" t="inlineStr">
        <is>
          <t>160-GRI</t>
        </is>
      </c>
      <c r="B1182" s="10" t="inlineStr">
        <is>
          <t>ESTRATÉGICO</t>
        </is>
      </c>
      <c r="C1182" s="10" t="inlineStr">
        <is>
          <t>Gestión de Riesgos</t>
        </is>
      </c>
      <c r="D1182" s="10" t="inlineStr">
        <is>
          <t>GRI</t>
        </is>
      </c>
      <c r="E1182" s="10" t="inlineStr">
        <is>
          <t>Gestión de Continuidad del Negocio</t>
        </is>
      </c>
      <c r="F1182" s="10" t="inlineStr">
        <is>
          <t>-</t>
        </is>
      </c>
      <c r="G1182" s="10" t="inlineStr">
        <is>
          <t xml:space="preserve">Analizar Riesgos </t>
        </is>
      </c>
      <c r="H1182" s="10" t="inlineStr">
        <is>
          <t xml:space="preserve">Informe de Análisis de Riesgos, Resolución CAIR </t>
        </is>
      </c>
      <c r="I1182" s="10" t="inlineStr">
        <is>
          <t>Informe de Análisis de Riesgos - BIA</t>
        </is>
      </c>
      <c r="J1182" s="10" t="inlineStr">
        <is>
          <t>GERENTE DE RIESGOS</t>
        </is>
      </c>
      <c r="K1182" s="10" t="inlineStr">
        <is>
          <t>ANALISTA DE RIESGO OPERATIVO</t>
        </is>
      </c>
      <c r="L1182" s="10" t="inlineStr">
        <is>
          <t>UBICACIÓN DIGITAL-EQUIPO DEL RESPONSABLE</t>
        </is>
      </c>
      <c r="M1182" s="10" t="inlineStr">
        <is>
          <t>DOCUMENTO DE ARCHIVO-ELECTRÓNICO</t>
        </is>
      </c>
      <c r="N1182" s="10" t="inlineStr">
        <is>
          <t>PRIMARIOS</t>
        </is>
      </c>
      <c r="O1182" s="10" t="inlineStr">
        <is>
          <t>DOCUMENTOS TÉCNICOS</t>
        </is>
      </c>
      <c r="P1182" s="10" t="inlineStr">
        <is>
          <t>PUBLICA(1)</t>
        </is>
      </c>
      <c r="Q1182" s="10" t="inlineStr">
        <is>
          <t>ALTA(3)</t>
        </is>
      </c>
      <c r="R1182" s="10" t="inlineStr">
        <is>
          <t>MEDIA(2)</t>
        </is>
      </c>
      <c r="S1182" s="10">
        <f>+(IF(P1182="PUBLICA(1)",1,IF(P1182="USO INTERNO(2)",2,IF(P1182="RESTRINGIDO(3)",3,3))))+(IF(Q1182="BAJA(1)",1,IF(Q1182="MEDIA(2)",2,IF(Q1182="ALTA(3)",3,3))))+(IF(R1182="BAJA(1)",1,IF(R1182="MEDIA(2)",2,IF(R1182="ALTA(3)",3,3))))</f>
        <v/>
      </c>
      <c r="T1182" s="10">
        <f>+IF(S1182&lt;6,"BAJA",IF(S1182&lt;8,"MEDIA","ALTA"))</f>
        <v/>
      </c>
      <c r="U1182" s="10" t="inlineStr">
        <is>
          <t>-</t>
        </is>
      </c>
      <c r="V1182" s="24" t="n">
        <v>45588</v>
      </c>
      <c r="W1182" s="19" t="inlineStr">
        <is>
          <t>N/A</t>
        </is>
      </c>
      <c r="X1182" s="10">
        <f>+IFERROR(IF(VLOOKUP(Tabla2[[#This Row],[ID]],'EVALUACION DE RIESGO'!A:A,1,FALSE)=Tabla2[[#This Row],[ID]],"SI","NO"),"NO")</f>
        <v/>
      </c>
    </row>
    <row r="1183">
      <c r="A1183" s="91" t="inlineStr">
        <is>
          <t>161-GRI</t>
        </is>
      </c>
      <c r="B1183" s="10" t="inlineStr">
        <is>
          <t>ESTRATÉGICO</t>
        </is>
      </c>
      <c r="C1183" s="10" t="inlineStr">
        <is>
          <t>Gestión de Riesgos</t>
        </is>
      </c>
      <c r="D1183" s="10" t="inlineStr">
        <is>
          <t>GRI</t>
        </is>
      </c>
      <c r="E1183" s="10" t="inlineStr">
        <is>
          <t>Gestión de Continuidad del Negocio</t>
        </is>
      </c>
      <c r="F1183" s="10" t="inlineStr">
        <is>
          <t>-</t>
        </is>
      </c>
      <c r="G1183" s="10" t="inlineStr">
        <is>
          <t xml:space="preserve">Analizar Riesgos </t>
        </is>
      </c>
      <c r="H1183" s="10" t="inlineStr">
        <is>
          <t>Informe de Análisis de Riesgos</t>
        </is>
      </c>
      <c r="I1183" s="10" t="inlineStr">
        <is>
          <t>Informe de Análisis de Riesgos - BIA</t>
        </is>
      </c>
      <c r="J1183" s="10" t="inlineStr">
        <is>
          <t>GERENTE DE RIESGOS</t>
        </is>
      </c>
      <c r="K1183" s="10" t="inlineStr">
        <is>
          <t>ANALISTA DE RIESGO OPERATIVO</t>
        </is>
      </c>
      <c r="L1183" s="10" t="inlineStr">
        <is>
          <t>UBICACIÓN DIGITAL-EQUIPO DEL RESPONSABLE</t>
        </is>
      </c>
      <c r="M1183" s="10" t="inlineStr">
        <is>
          <t>DOCUMENTO DE ARCHIVO-ELECTRÓNICO</t>
        </is>
      </c>
      <c r="N1183" s="10" t="inlineStr">
        <is>
          <t>PRIMARIOS</t>
        </is>
      </c>
      <c r="O1183" s="10" t="inlineStr">
        <is>
          <t>DOCUMENTOS TÉCNICOS</t>
        </is>
      </c>
      <c r="P1183" s="10" t="inlineStr">
        <is>
          <t>PUBLICA(1)</t>
        </is>
      </c>
      <c r="Q1183" s="10" t="inlineStr">
        <is>
          <t>ALTA(3)</t>
        </is>
      </c>
      <c r="R1183" s="10" t="inlineStr">
        <is>
          <t>MEDIA(2)</t>
        </is>
      </c>
      <c r="S1183" s="10">
        <f>+(IF(P1183="PUBLICA(1)",1,IF(P1183="USO INTERNO(2)",2,IF(P1183="RESTRINGIDO(3)",3,3))))+(IF(Q1183="BAJA(1)",1,IF(Q1183="MEDIA(2)",2,IF(Q1183="ALTA(3)",3,3))))+(IF(R1183="BAJA(1)",1,IF(R1183="MEDIA(2)",2,IF(R1183="ALTA(3)",3,3))))</f>
        <v/>
      </c>
      <c r="T1183" s="10">
        <f>+IF(S1183&lt;6,"BAJA",IF(S1183&lt;8,"MEDIA","ALTA"))</f>
        <v/>
      </c>
      <c r="U1183" s="10" t="inlineStr">
        <is>
          <t>-</t>
        </is>
      </c>
      <c r="V1183" s="24" t="n">
        <v>45588</v>
      </c>
      <c r="W1183" s="19" t="inlineStr">
        <is>
          <t>N/A</t>
        </is>
      </c>
      <c r="X1183" s="10">
        <f>+IFERROR(IF(VLOOKUP(Tabla2[[#This Row],[ID]],'EVALUACION DE RIESGO'!A:A,1,FALSE)=Tabla2[[#This Row],[ID]],"SI","NO"),"NO")</f>
        <v/>
      </c>
    </row>
    <row r="1184">
      <c r="A1184" s="91" t="inlineStr">
        <is>
          <t>162-GRI</t>
        </is>
      </c>
      <c r="B1184" s="10" t="inlineStr">
        <is>
          <t>ESTRATÉGICO</t>
        </is>
      </c>
      <c r="C1184" s="10" t="inlineStr">
        <is>
          <t>Gestión de Riesgos</t>
        </is>
      </c>
      <c r="D1184" s="10" t="inlineStr">
        <is>
          <t>GRI</t>
        </is>
      </c>
      <c r="E1184" s="10" t="inlineStr">
        <is>
          <t>Gestión de Continuidad del Negocio</t>
        </is>
      </c>
      <c r="F1184" s="10" t="inlineStr">
        <is>
          <t>-</t>
        </is>
      </c>
      <c r="G1184" s="10" t="inlineStr">
        <is>
          <t xml:space="preserve">Definición de Políticas, Objetivos y Estrategias de Continuidad  </t>
        </is>
      </c>
      <c r="H1184" s="10" t="inlineStr">
        <is>
          <t>Informe de Análisis de Riesgos, Resolución CAIR</t>
        </is>
      </c>
      <c r="I1184" s="10" t="inlineStr">
        <is>
          <t>Informe de Análisis de Riesgos - BIA</t>
        </is>
      </c>
      <c r="J1184" s="10" t="inlineStr">
        <is>
          <t>GERENTE DE RIESGOS</t>
        </is>
      </c>
      <c r="K1184" s="10" t="inlineStr">
        <is>
          <t>ANALISTA DE RIESGO OPERATIVO</t>
        </is>
      </c>
      <c r="L1184" s="10" t="inlineStr">
        <is>
          <t>UBICACIÓN DIGITAL-EQUIPO DEL RESPONSABLE</t>
        </is>
      </c>
      <c r="M1184" s="10" t="inlineStr">
        <is>
          <t>DOCUMENTO DE ARCHIVO-ELECTRÓNICO</t>
        </is>
      </c>
      <c r="N1184" s="10" t="inlineStr">
        <is>
          <t>PRIMARIOS</t>
        </is>
      </c>
      <c r="O1184" s="10" t="inlineStr">
        <is>
          <t>DOCUMENTOS TÉCNICOS</t>
        </is>
      </c>
      <c r="P1184" s="10" t="inlineStr">
        <is>
          <t>PUBLICA(1)</t>
        </is>
      </c>
      <c r="Q1184" s="10" t="inlineStr">
        <is>
          <t>ALTA(3)</t>
        </is>
      </c>
      <c r="R1184" s="10" t="inlineStr">
        <is>
          <t>MEDIA(2)</t>
        </is>
      </c>
      <c r="S1184" s="10">
        <f>+(IF(P1184="PUBLICA(1)",1,IF(P1184="USO INTERNO(2)",2,IF(P1184="RESTRINGIDO(3)",3,3))))+(IF(Q1184="BAJA(1)",1,IF(Q1184="MEDIA(2)",2,IF(Q1184="ALTA(3)",3,3))))+(IF(R1184="BAJA(1)",1,IF(R1184="MEDIA(2)",2,IF(R1184="ALTA(3)",3,3))))</f>
        <v/>
      </c>
      <c r="T1184" s="10">
        <f>+IF(S1184&lt;6,"BAJA",IF(S1184&lt;8,"MEDIA","ALTA"))</f>
        <v/>
      </c>
      <c r="U1184" s="10" t="inlineStr">
        <is>
          <t>-</t>
        </is>
      </c>
      <c r="V1184" s="24" t="n">
        <v>45588</v>
      </c>
      <c r="W1184" s="19" t="inlineStr">
        <is>
          <t>N/A</t>
        </is>
      </c>
      <c r="X1184" s="10">
        <f>+IFERROR(IF(VLOOKUP(Tabla2[[#This Row],[ID]],'EVALUACION DE RIESGO'!A:A,1,FALSE)=Tabla2[[#This Row],[ID]],"SI","NO"),"NO")</f>
        <v/>
      </c>
    </row>
    <row r="1185">
      <c r="A1185" s="91" t="inlineStr">
        <is>
          <t>163-GRI</t>
        </is>
      </c>
      <c r="B1185" s="10" t="inlineStr">
        <is>
          <t>ESTRATÉGICO</t>
        </is>
      </c>
      <c r="C1185" s="10" t="inlineStr">
        <is>
          <t>Gestión de Riesgos</t>
        </is>
      </c>
      <c r="D1185" s="10" t="inlineStr">
        <is>
          <t>GRI</t>
        </is>
      </c>
      <c r="E1185" s="10" t="inlineStr">
        <is>
          <t>Gestión de Continuidad del Negocio</t>
        </is>
      </c>
      <c r="F1185" s="10" t="inlineStr">
        <is>
          <t>-</t>
        </is>
      </c>
      <c r="G1185" s="10" t="inlineStr">
        <is>
          <t xml:space="preserve">Definición de Políticas, Objetivos y Estrategias de Continuidad  </t>
        </is>
      </c>
      <c r="H1185" s="10" t="inlineStr">
        <is>
          <t xml:space="preserve">Resolución del CAIR </t>
        </is>
      </c>
      <c r="I1185" s="10" t="inlineStr">
        <is>
          <t>Resoluciones del comité</t>
        </is>
      </c>
      <c r="J1185" s="10" t="inlineStr">
        <is>
          <t>GERENTE DE RIESGOS</t>
        </is>
      </c>
      <c r="K1185" s="10" t="inlineStr">
        <is>
          <t>ANALISTA DE RIESGO OPERATIVO</t>
        </is>
      </c>
      <c r="L1185" s="10" t="inlineStr">
        <is>
          <t>UBICACIÓN DIGITAL-EQUIPO DEL RESPONSABLE</t>
        </is>
      </c>
      <c r="M1185" s="10" t="inlineStr">
        <is>
          <t>DOCUMENTO DE ARCHIVO-ELECTRÓNICO</t>
        </is>
      </c>
      <c r="N1185" s="10" t="inlineStr">
        <is>
          <t>PRIMARIOS</t>
        </is>
      </c>
      <c r="O1185" s="10" t="inlineStr">
        <is>
          <t>DOCUMENTOS TÉCNICOS</t>
        </is>
      </c>
      <c r="P1185" s="10" t="inlineStr">
        <is>
          <t>PUBLICA(1)</t>
        </is>
      </c>
      <c r="Q1185" s="10" t="inlineStr">
        <is>
          <t>ALTA(3)</t>
        </is>
      </c>
      <c r="R1185" s="10" t="inlineStr">
        <is>
          <t>MEDIA(2)</t>
        </is>
      </c>
      <c r="S1185" s="10">
        <f>+(IF(P1185="PUBLICA(1)",1,IF(P1185="USO INTERNO(2)",2,IF(P1185="RESTRINGIDO(3)",3,3))))+(IF(Q1185="BAJA(1)",1,IF(Q1185="MEDIA(2)",2,IF(Q1185="ALTA(3)",3,3))))+(IF(R1185="BAJA(1)",1,IF(R1185="MEDIA(2)",2,IF(R1185="ALTA(3)",3,3))))</f>
        <v/>
      </c>
      <c r="T1185" s="10">
        <f>+IF(S1185&lt;6,"BAJA",IF(S1185&lt;8,"MEDIA","ALTA"))</f>
        <v/>
      </c>
      <c r="U1185" s="10" t="inlineStr">
        <is>
          <t>-</t>
        </is>
      </c>
      <c r="V1185" s="24" t="n">
        <v>45588</v>
      </c>
      <c r="W1185" s="19" t="inlineStr">
        <is>
          <t>N/A</t>
        </is>
      </c>
      <c r="X1185" s="10">
        <f>+IFERROR(IF(VLOOKUP(Tabla2[[#This Row],[ID]],'EVALUACION DE RIESGO'!A:A,1,FALSE)=Tabla2[[#This Row],[ID]],"SI","NO"),"NO")</f>
        <v/>
      </c>
    </row>
    <row r="1186">
      <c r="A1186" s="91" t="inlineStr">
        <is>
          <t>164-GRI</t>
        </is>
      </c>
      <c r="B1186" s="10" t="inlineStr">
        <is>
          <t>ESTRATÉGICO</t>
        </is>
      </c>
      <c r="C1186" s="10" t="inlineStr">
        <is>
          <t>Gestión de Riesgos</t>
        </is>
      </c>
      <c r="D1186" s="10" t="inlineStr">
        <is>
          <t>GRI</t>
        </is>
      </c>
      <c r="E1186" s="10" t="inlineStr">
        <is>
          <t>Gestión de Continuidad del Negocio</t>
        </is>
      </c>
      <c r="F1186" s="10" t="inlineStr">
        <is>
          <t>-</t>
        </is>
      </c>
      <c r="G1186" s="10" t="inlineStr">
        <is>
          <t xml:space="preserve">Gestión Documental de Continuidad del Negocio  </t>
        </is>
      </c>
      <c r="H1186" s="10" t="inlineStr">
        <is>
          <t>Informe de Análisis de Riesgos</t>
        </is>
      </c>
      <c r="I1186" s="10" t="inlineStr">
        <is>
          <t>Informe de Análisis de Riesgos - BIA</t>
        </is>
      </c>
      <c r="J1186" s="10" t="inlineStr">
        <is>
          <t>GERENTE DE RIESGOS</t>
        </is>
      </c>
      <c r="K1186" s="10" t="inlineStr">
        <is>
          <t>ANALISTA DE RIESGO OPERATIVO</t>
        </is>
      </c>
      <c r="L1186" s="10" t="inlineStr">
        <is>
          <t>UBICACIÓN DIGITAL-EQUIPO DEL RESPONSABLE</t>
        </is>
      </c>
      <c r="M1186" s="10" t="inlineStr">
        <is>
          <t>DOCUMENTO DE ARCHIVO-ELECTRÓNICO</t>
        </is>
      </c>
      <c r="N1186" s="10" t="inlineStr">
        <is>
          <t>PRIMARIOS</t>
        </is>
      </c>
      <c r="O1186" s="10" t="inlineStr">
        <is>
          <t>DOCUMENTOS TÉCNICOS</t>
        </is>
      </c>
      <c r="P1186" s="10" t="inlineStr">
        <is>
          <t>PUBLICA(1)</t>
        </is>
      </c>
      <c r="Q1186" s="10" t="inlineStr">
        <is>
          <t>ALTA(3)</t>
        </is>
      </c>
      <c r="R1186" s="10" t="inlineStr">
        <is>
          <t>MEDIA(2)</t>
        </is>
      </c>
      <c r="S1186" s="10">
        <f>+(IF(P1186="PUBLICA(1)",1,IF(P1186="USO INTERNO(2)",2,IF(P1186="RESTRINGIDO(3)",3,3))))+(IF(Q1186="BAJA(1)",1,IF(Q1186="MEDIA(2)",2,IF(Q1186="ALTA(3)",3,3))))+(IF(R1186="BAJA(1)",1,IF(R1186="MEDIA(2)",2,IF(R1186="ALTA(3)",3,3))))</f>
        <v/>
      </c>
      <c r="T1186" s="10">
        <f>+IF(S1186&lt;6,"BAJA",IF(S1186&lt;8,"MEDIA","ALTA"))</f>
        <v/>
      </c>
      <c r="U1186" s="10" t="inlineStr">
        <is>
          <t>-</t>
        </is>
      </c>
      <c r="V1186" s="24" t="n">
        <v>45588</v>
      </c>
      <c r="W1186" s="19" t="inlineStr">
        <is>
          <t>N/A</t>
        </is>
      </c>
      <c r="X1186" s="10">
        <f>+IFERROR(IF(VLOOKUP(Tabla2[[#This Row],[ID]],'EVALUACION DE RIESGO'!A:A,1,FALSE)=Tabla2[[#This Row],[ID]],"SI","NO"),"NO")</f>
        <v/>
      </c>
    </row>
    <row r="1187">
      <c r="A1187" s="91" t="inlineStr">
        <is>
          <t>165-GRI</t>
        </is>
      </c>
      <c r="B1187" s="10" t="inlineStr">
        <is>
          <t>ESTRATÉGICO</t>
        </is>
      </c>
      <c r="C1187" s="10" t="inlineStr">
        <is>
          <t>Gestión de Riesgos</t>
        </is>
      </c>
      <c r="D1187" s="10" t="inlineStr">
        <is>
          <t>GRI</t>
        </is>
      </c>
      <c r="E1187" s="10" t="inlineStr">
        <is>
          <t>Gestión de Continuidad del Negocio</t>
        </is>
      </c>
      <c r="F1187" s="10" t="inlineStr">
        <is>
          <t>-</t>
        </is>
      </c>
      <c r="G1187" s="10" t="inlineStr">
        <is>
          <t xml:space="preserve">Gestión Documental de Continuidad del Negocio  </t>
        </is>
      </c>
      <c r="H1187" s="10" t="inlineStr">
        <is>
          <t>Cronograma sobre la planificación de la actualización de los documentos de continuidad del Negocio.</t>
        </is>
      </c>
      <c r="I1187" s="10" t="inlineStr">
        <is>
          <t>Planificación de RO y Continuidad</t>
        </is>
      </c>
      <c r="J1187" s="10" t="inlineStr">
        <is>
          <t>GERENTE DE RIESGOS</t>
        </is>
      </c>
      <c r="K1187" s="10" t="inlineStr">
        <is>
          <t>ANALISTA DE RIESGO OPERATIVO</t>
        </is>
      </c>
      <c r="L1187" s="10" t="inlineStr">
        <is>
          <t>UBICACIÓN DIGITAL-EQUIPO DEL RESPONSABLE</t>
        </is>
      </c>
      <c r="M1187" s="10" t="inlineStr">
        <is>
          <t>DOCUMENTO DE ARCHIVO-ELECTRÓNICO</t>
        </is>
      </c>
      <c r="N1187" s="10" t="inlineStr">
        <is>
          <t>PRIMARIOS</t>
        </is>
      </c>
      <c r="O1187" s="10" t="inlineStr">
        <is>
          <t>DOCUMENTOS TÉCNICOS</t>
        </is>
      </c>
      <c r="P1187" s="10" t="inlineStr">
        <is>
          <t>PUBLICA(1)</t>
        </is>
      </c>
      <c r="Q1187" s="10" t="inlineStr">
        <is>
          <t>ALTA(3)</t>
        </is>
      </c>
      <c r="R1187" s="10" t="inlineStr">
        <is>
          <t>MEDIA(2)</t>
        </is>
      </c>
      <c r="S1187" s="10">
        <f>+(IF(P1187="PUBLICA(1)",1,IF(P1187="USO INTERNO(2)",2,IF(P1187="RESTRINGIDO(3)",3,3))))+(IF(Q1187="BAJA(1)",1,IF(Q1187="MEDIA(2)",2,IF(Q1187="ALTA(3)",3,3))))+(IF(R1187="BAJA(1)",1,IF(R1187="MEDIA(2)",2,IF(R1187="ALTA(3)",3,3))))</f>
        <v/>
      </c>
      <c r="T1187" s="10">
        <f>+IF(S1187&lt;6,"BAJA",IF(S1187&lt;8,"MEDIA","ALTA"))</f>
        <v/>
      </c>
      <c r="U1187" s="10" t="inlineStr">
        <is>
          <t>-</t>
        </is>
      </c>
      <c r="V1187" s="24" t="n">
        <v>45588</v>
      </c>
      <c r="W1187" s="19" t="inlineStr">
        <is>
          <t>N/A</t>
        </is>
      </c>
      <c r="X1187" s="10">
        <f>+IFERROR(IF(VLOOKUP(Tabla2[[#This Row],[ID]],'EVALUACION DE RIESGO'!A:A,1,FALSE)=Tabla2[[#This Row],[ID]],"SI","NO"),"NO")</f>
        <v/>
      </c>
    </row>
    <row r="1188">
      <c r="A1188" s="91" t="inlineStr">
        <is>
          <t>166-GRI</t>
        </is>
      </c>
      <c r="B1188" s="10" t="inlineStr">
        <is>
          <t>ESTRATÉGICO</t>
        </is>
      </c>
      <c r="C1188" s="10" t="inlineStr">
        <is>
          <t>Gestión de Riesgos</t>
        </is>
      </c>
      <c r="D1188" s="10" t="inlineStr">
        <is>
          <t>GRI</t>
        </is>
      </c>
      <c r="E1188" s="10" t="inlineStr">
        <is>
          <t>Gestión de Continuidad del Negocio</t>
        </is>
      </c>
      <c r="F1188" s="10" t="inlineStr">
        <is>
          <t>-</t>
        </is>
      </c>
      <c r="G1188" s="10" t="inlineStr">
        <is>
          <t xml:space="preserve">Gestión Documental de Continuidad del Negocio  </t>
        </is>
      </c>
      <c r="H1188" s="10" t="inlineStr">
        <is>
          <t>RIE-2023-110 Pruebas mantenimiento y difusiónBCP</t>
        </is>
      </c>
      <c r="I1188" s="10" t="inlineStr">
        <is>
          <t>Resumen de la planificacion de CN</t>
        </is>
      </c>
      <c r="J1188" s="10" t="inlineStr">
        <is>
          <t>GERENTE DE RIESGOS</t>
        </is>
      </c>
      <c r="K1188" s="10" t="inlineStr">
        <is>
          <t>ANALISTA DE RIESGO OPERATIVO</t>
        </is>
      </c>
      <c r="L1188" s="10" t="inlineStr">
        <is>
          <t>UBICACIÓN DIGITAL-EQUIPO DEL RESPONSABLE</t>
        </is>
      </c>
      <c r="M1188" s="10" t="inlineStr">
        <is>
          <t>DOCUMENTO DE ARCHIVO-ELECTRÓNICO</t>
        </is>
      </c>
      <c r="N1188" s="10" t="inlineStr">
        <is>
          <t>PRIMARIOS</t>
        </is>
      </c>
      <c r="O1188" s="10" t="inlineStr">
        <is>
          <t>DOCUMENTOS TÉCNICOS</t>
        </is>
      </c>
      <c r="P1188" s="10" t="inlineStr">
        <is>
          <t>PUBLICA(1)</t>
        </is>
      </c>
      <c r="Q1188" s="10" t="inlineStr">
        <is>
          <t>ALTA(3)</t>
        </is>
      </c>
      <c r="R1188" s="10" t="inlineStr">
        <is>
          <t>MEDIA(2)</t>
        </is>
      </c>
      <c r="S1188" s="10">
        <f>+(IF(P1188="PUBLICA(1)",1,IF(P1188="USO INTERNO(2)",2,IF(P1188="RESTRINGIDO(3)",3,3))))+(IF(Q1188="BAJA(1)",1,IF(Q1188="MEDIA(2)",2,IF(Q1188="ALTA(3)",3,3))))+(IF(R1188="BAJA(1)",1,IF(R1188="MEDIA(2)",2,IF(R1188="ALTA(3)",3,3))))</f>
        <v/>
      </c>
      <c r="T1188" s="10">
        <f>+IF(S1188&lt;6,"BAJA",IF(S1188&lt;8,"MEDIA","ALTA"))</f>
        <v/>
      </c>
      <c r="U1188" s="10" t="inlineStr">
        <is>
          <t>-</t>
        </is>
      </c>
      <c r="V1188" s="24" t="n">
        <v>45588</v>
      </c>
      <c r="W1188" s="19" t="inlineStr">
        <is>
          <t>N/A</t>
        </is>
      </c>
      <c r="X1188" s="10">
        <f>+IFERROR(IF(VLOOKUP(Tabla2[[#This Row],[ID]],'EVALUACION DE RIESGO'!A:A,1,FALSE)=Tabla2[[#This Row],[ID]],"SI","NO"),"NO")</f>
        <v/>
      </c>
    </row>
    <row r="1189">
      <c r="A1189" s="91" t="inlineStr">
        <is>
          <t>167-GRI</t>
        </is>
      </c>
      <c r="B1189" s="10" t="inlineStr">
        <is>
          <t>ESTRATÉGICO</t>
        </is>
      </c>
      <c r="C1189" s="10" t="inlineStr">
        <is>
          <t>Gestión de Riesgos</t>
        </is>
      </c>
      <c r="D1189" s="10" t="inlineStr">
        <is>
          <t>GRI</t>
        </is>
      </c>
      <c r="E1189" s="10" t="inlineStr">
        <is>
          <t>Gestión de Continuidad del Negocio</t>
        </is>
      </c>
      <c r="F1189" s="10" t="inlineStr">
        <is>
          <t>-</t>
        </is>
      </c>
      <c r="G1189" s="10" t="inlineStr">
        <is>
          <t xml:space="preserve">Gestión Documental de Continuidad del Negocio  </t>
        </is>
      </c>
      <c r="H1189" s="10" t="inlineStr">
        <is>
          <t>Plan de Continuidad del Negocio</t>
        </is>
      </c>
      <c r="I1189" s="10" t="inlineStr">
        <is>
          <t>Documento interno</t>
        </is>
      </c>
      <c r="J1189" s="10" t="inlineStr">
        <is>
          <t>GERENTE DE RIESGOS</t>
        </is>
      </c>
      <c r="K1189" s="10" t="inlineStr">
        <is>
          <t>ANALISTA DE RIESGO OPERATIVO</t>
        </is>
      </c>
      <c r="L1189" s="10" t="inlineStr">
        <is>
          <t>UBICACIÓN DIGITAL-EQUIPO DEL RESPONSABLE</t>
        </is>
      </c>
      <c r="M1189" s="10" t="inlineStr">
        <is>
          <t>DOCUMENTO DE ARCHIVO-ELECTRÓNICO</t>
        </is>
      </c>
      <c r="N1189" s="10" t="inlineStr">
        <is>
          <t>PRIMARIOS</t>
        </is>
      </c>
      <c r="O1189" s="10" t="inlineStr">
        <is>
          <t>DOCUMENTOS TÉCNICOS</t>
        </is>
      </c>
      <c r="P1189" s="10" t="inlineStr">
        <is>
          <t>PUBLICA(1)</t>
        </is>
      </c>
      <c r="Q1189" s="10" t="inlineStr">
        <is>
          <t>ALTA(3)</t>
        </is>
      </c>
      <c r="R1189" s="10" t="inlineStr">
        <is>
          <t>MEDIA(2)</t>
        </is>
      </c>
      <c r="S1189" s="10">
        <f>+(IF(P1189="PUBLICA(1)",1,IF(P1189="USO INTERNO(2)",2,IF(P1189="RESTRINGIDO(3)",3,3))))+(IF(Q1189="BAJA(1)",1,IF(Q1189="MEDIA(2)",2,IF(Q1189="ALTA(3)",3,3))))+(IF(R1189="BAJA(1)",1,IF(R1189="MEDIA(2)",2,IF(R1189="ALTA(3)",3,3))))</f>
        <v/>
      </c>
      <c r="T1189" s="10">
        <f>+IF(S1189&lt;6,"BAJA",IF(S1189&lt;8,"MEDIA","ALTA"))</f>
        <v/>
      </c>
      <c r="U1189" s="10" t="inlineStr">
        <is>
          <t>-</t>
        </is>
      </c>
      <c r="V1189" s="24" t="n">
        <v>45588</v>
      </c>
      <c r="W1189" s="19" t="inlineStr">
        <is>
          <t>N/A</t>
        </is>
      </c>
      <c r="X1189" s="10">
        <f>+IFERROR(IF(VLOOKUP(Tabla2[[#This Row],[ID]],'EVALUACION DE RIESGO'!A:A,1,FALSE)=Tabla2[[#This Row],[ID]],"SI","NO"),"NO")</f>
        <v/>
      </c>
    </row>
    <row r="1190">
      <c r="A1190" s="91" t="inlineStr">
        <is>
          <t>168-GRI</t>
        </is>
      </c>
      <c r="B1190" s="10" t="inlineStr">
        <is>
          <t>ESTRATÉGICO</t>
        </is>
      </c>
      <c r="C1190" s="10" t="inlineStr">
        <is>
          <t>Gestión de Riesgos</t>
        </is>
      </c>
      <c r="D1190" s="10" t="inlineStr">
        <is>
          <t>GRI</t>
        </is>
      </c>
      <c r="E1190" s="10" t="inlineStr">
        <is>
          <t>Gestión de Continuidad del Negocio</t>
        </is>
      </c>
      <c r="F1190" s="10" t="inlineStr">
        <is>
          <t>-</t>
        </is>
      </c>
      <c r="G1190" s="10" t="inlineStr">
        <is>
          <t xml:space="preserve">Gestión Documental de Continuidad del Negocio  </t>
        </is>
      </c>
      <c r="H1190" s="10" t="inlineStr">
        <is>
          <t>Manual de Gestión de Continuidad del Negocio</t>
        </is>
      </c>
      <c r="I1190" s="10" t="inlineStr">
        <is>
          <t>Documento interno</t>
        </is>
      </c>
      <c r="J1190" s="10" t="inlineStr">
        <is>
          <t>GERENTE DE RIESGOS</t>
        </is>
      </c>
      <c r="K1190" s="10" t="inlineStr">
        <is>
          <t>ANALISTA DE RIESGO OPERATIVO</t>
        </is>
      </c>
      <c r="L1190" s="10" t="inlineStr">
        <is>
          <t>UBICACIÓN DIGITAL-EQUIPO DEL RESPONSABLE</t>
        </is>
      </c>
      <c r="M1190" s="10" t="inlineStr">
        <is>
          <t>DOCUMENTO DE ARCHIVO-ELECTRÓNICO</t>
        </is>
      </c>
      <c r="N1190" s="10" t="inlineStr">
        <is>
          <t>PRIMARIOS</t>
        </is>
      </c>
      <c r="O1190" s="10" t="inlineStr">
        <is>
          <t>DOCUMENTOS TÉCNICOS</t>
        </is>
      </c>
      <c r="P1190" s="10" t="inlineStr">
        <is>
          <t>PUBLICA(1)</t>
        </is>
      </c>
      <c r="Q1190" s="10" t="inlineStr">
        <is>
          <t>ALTA(3)</t>
        </is>
      </c>
      <c r="R1190" s="10" t="inlineStr">
        <is>
          <t>MEDIA(2)</t>
        </is>
      </c>
      <c r="S1190" s="10">
        <f>+(IF(P1190="PUBLICA(1)",1,IF(P1190="USO INTERNO(2)",2,IF(P1190="RESTRINGIDO(3)",3,3))))+(IF(Q1190="BAJA(1)",1,IF(Q1190="MEDIA(2)",2,IF(Q1190="ALTA(3)",3,3))))+(IF(R1190="BAJA(1)",1,IF(R1190="MEDIA(2)",2,IF(R1190="ALTA(3)",3,3))))</f>
        <v/>
      </c>
      <c r="T1190" s="10">
        <f>+IF(S1190&lt;6,"BAJA",IF(S1190&lt;8,"MEDIA","ALTA"))</f>
        <v/>
      </c>
      <c r="U1190" s="10" t="inlineStr">
        <is>
          <t>-</t>
        </is>
      </c>
      <c r="V1190" s="24" t="n">
        <v>45588</v>
      </c>
      <c r="W1190" s="19" t="inlineStr">
        <is>
          <t>N/A</t>
        </is>
      </c>
      <c r="X1190" s="10">
        <f>+IFERROR(IF(VLOOKUP(Tabla2[[#This Row],[ID]],'EVALUACION DE RIESGO'!A:A,1,FALSE)=Tabla2[[#This Row],[ID]],"SI","NO"),"NO")</f>
        <v/>
      </c>
    </row>
    <row r="1191">
      <c r="A1191" s="91" t="inlineStr">
        <is>
          <t>169-GRI</t>
        </is>
      </c>
      <c r="B1191" s="10" t="inlineStr">
        <is>
          <t>ESTRATÉGICO</t>
        </is>
      </c>
      <c r="C1191" s="10" t="inlineStr">
        <is>
          <t>Gestión de Riesgos</t>
        </is>
      </c>
      <c r="D1191" s="10" t="inlineStr">
        <is>
          <t>GRI</t>
        </is>
      </c>
      <c r="E1191" s="10" t="inlineStr">
        <is>
          <t>Gestión de Continuidad del Negocio</t>
        </is>
      </c>
      <c r="F1191" s="10" t="inlineStr">
        <is>
          <t>-</t>
        </is>
      </c>
      <c r="G1191" s="10" t="inlineStr">
        <is>
          <t xml:space="preserve">Gestión Documental de Continuidad del Negocio  </t>
        </is>
      </c>
      <c r="H1191" s="10" t="inlineStr">
        <is>
          <t>Metodología para la Gestión de Continuidad del Negocio</t>
        </is>
      </c>
      <c r="I1191" s="10" t="inlineStr">
        <is>
          <t>Documento interno</t>
        </is>
      </c>
      <c r="J1191" s="10" t="inlineStr">
        <is>
          <t>GERENTE DE RIESGOS</t>
        </is>
      </c>
      <c r="K1191" s="10" t="inlineStr">
        <is>
          <t>ANALISTA DE RIESGO OPERATIVO</t>
        </is>
      </c>
      <c r="L1191" s="10" t="inlineStr">
        <is>
          <t>UBICACIÓN DIGITAL-EQUIPO DEL RESPONSABLE</t>
        </is>
      </c>
      <c r="M1191" s="10" t="inlineStr">
        <is>
          <t>DOCUMENTO DE ARCHIVO-ELECTRÓNICO</t>
        </is>
      </c>
      <c r="N1191" s="10" t="inlineStr">
        <is>
          <t>PRIMARIOS</t>
        </is>
      </c>
      <c r="O1191" s="10" t="inlineStr">
        <is>
          <t>DOCUMENTOS TÉCNICOS</t>
        </is>
      </c>
      <c r="P1191" s="10" t="inlineStr">
        <is>
          <t>PUBLICA(1)</t>
        </is>
      </c>
      <c r="Q1191" s="10" t="inlineStr">
        <is>
          <t>ALTA(3)</t>
        </is>
      </c>
      <c r="R1191" s="10" t="inlineStr">
        <is>
          <t>MEDIA(2)</t>
        </is>
      </c>
      <c r="S1191" s="10">
        <f>+(IF(P1191="PUBLICA(1)",1,IF(P1191="USO INTERNO(2)",2,IF(P1191="RESTRINGIDO(3)",3,3))))+(IF(Q1191="BAJA(1)",1,IF(Q1191="MEDIA(2)",2,IF(Q1191="ALTA(3)",3,3))))+(IF(R1191="BAJA(1)",1,IF(R1191="MEDIA(2)",2,IF(R1191="ALTA(3)",3,3))))</f>
        <v/>
      </c>
      <c r="T1191" s="10">
        <f>+IF(S1191&lt;6,"BAJA",IF(S1191&lt;8,"MEDIA","ALTA"))</f>
        <v/>
      </c>
      <c r="U1191" s="10" t="inlineStr">
        <is>
          <t>-</t>
        </is>
      </c>
      <c r="V1191" s="24" t="n">
        <v>45588</v>
      </c>
      <c r="W1191" s="19" t="inlineStr">
        <is>
          <t>N/A</t>
        </is>
      </c>
      <c r="X1191" s="10">
        <f>+IFERROR(IF(VLOOKUP(Tabla2[[#This Row],[ID]],'EVALUACION DE RIESGO'!A:A,1,FALSE)=Tabla2[[#This Row],[ID]],"SI","NO"),"NO")</f>
        <v/>
      </c>
    </row>
    <row r="1192">
      <c r="A1192" s="91" t="inlineStr">
        <is>
          <t>170-GRI</t>
        </is>
      </c>
      <c r="B1192" s="10" t="inlineStr">
        <is>
          <t>ESTRATÉGICO</t>
        </is>
      </c>
      <c r="C1192" s="10" t="inlineStr">
        <is>
          <t>Gestión de Riesgos</t>
        </is>
      </c>
      <c r="D1192" s="10" t="inlineStr">
        <is>
          <t>GRI</t>
        </is>
      </c>
      <c r="E1192" s="10" t="inlineStr">
        <is>
          <t>Gestión de Continuidad del Negocio</t>
        </is>
      </c>
      <c r="F1192" s="10" t="inlineStr">
        <is>
          <t>-</t>
        </is>
      </c>
      <c r="G1192" s="10" t="inlineStr">
        <is>
          <t xml:space="preserve">Gestión Documental de Continuidad del Negocio  </t>
        </is>
      </c>
      <c r="H1192" s="10" t="inlineStr">
        <is>
          <t>Metodología BIA</t>
        </is>
      </c>
      <c r="I1192" s="10" t="inlineStr">
        <is>
          <t>Documento interno</t>
        </is>
      </c>
      <c r="J1192" s="10" t="inlineStr">
        <is>
          <t>GERENTE DE RIESGOS</t>
        </is>
      </c>
      <c r="K1192" s="10" t="inlineStr">
        <is>
          <t>ANALISTA DE RIESGO OPERATIVO</t>
        </is>
      </c>
      <c r="L1192" s="10" t="inlineStr">
        <is>
          <t>UBICACIÓN DIGITAL-EQUIPO DEL RESPONSABLE</t>
        </is>
      </c>
      <c r="M1192" s="10" t="inlineStr">
        <is>
          <t>DOCUMENTO DE ARCHIVO-ELECTRÓNICO</t>
        </is>
      </c>
      <c r="N1192" s="10" t="inlineStr">
        <is>
          <t>PRIMARIOS</t>
        </is>
      </c>
      <c r="O1192" s="10" t="inlineStr">
        <is>
          <t>DOCUMENTOS TÉCNICOS</t>
        </is>
      </c>
      <c r="P1192" s="10" t="inlineStr">
        <is>
          <t>PUBLICA(1)</t>
        </is>
      </c>
      <c r="Q1192" s="10" t="inlineStr">
        <is>
          <t>ALTA(3)</t>
        </is>
      </c>
      <c r="R1192" s="10" t="inlineStr">
        <is>
          <t>MEDIA(2)</t>
        </is>
      </c>
      <c r="S1192" s="10">
        <f>+(IF(P1192="PUBLICA(1)",1,IF(P1192="USO INTERNO(2)",2,IF(P1192="RESTRINGIDO(3)",3,3))))+(IF(Q1192="BAJA(1)",1,IF(Q1192="MEDIA(2)",2,IF(Q1192="ALTA(3)",3,3))))+(IF(R1192="BAJA(1)",1,IF(R1192="MEDIA(2)",2,IF(R1192="ALTA(3)",3,3))))</f>
        <v/>
      </c>
      <c r="T1192" s="10">
        <f>+IF(S1192&lt;6,"BAJA",IF(S1192&lt;8,"MEDIA","ALTA"))</f>
        <v/>
      </c>
      <c r="U1192" s="10" t="inlineStr">
        <is>
          <t>-</t>
        </is>
      </c>
      <c r="V1192" s="24" t="n">
        <v>45588</v>
      </c>
      <c r="W1192" s="19" t="inlineStr">
        <is>
          <t>N/A</t>
        </is>
      </c>
      <c r="X1192" s="10">
        <f>+IFERROR(IF(VLOOKUP(Tabla2[[#This Row],[ID]],'EVALUACION DE RIESGO'!A:A,1,FALSE)=Tabla2[[#This Row],[ID]],"SI","NO"),"NO")</f>
        <v/>
      </c>
    </row>
    <row r="1193">
      <c r="A1193" s="91" t="inlineStr">
        <is>
          <t>171-GRI</t>
        </is>
      </c>
      <c r="B1193" s="10" t="inlineStr">
        <is>
          <t>ESTRATÉGICO</t>
        </is>
      </c>
      <c r="C1193" s="10" t="inlineStr">
        <is>
          <t>Gestión de Riesgos</t>
        </is>
      </c>
      <c r="D1193" s="10" t="inlineStr">
        <is>
          <t>GRI</t>
        </is>
      </c>
      <c r="E1193" s="10" t="inlineStr">
        <is>
          <t>Gestión de Continuidad del Negocio</t>
        </is>
      </c>
      <c r="F1193" s="10" t="inlineStr">
        <is>
          <t>-</t>
        </is>
      </c>
      <c r="G1193" s="10" t="inlineStr">
        <is>
          <t xml:space="preserve">Gestión Documental de Continuidad del Negocio  </t>
        </is>
      </c>
      <c r="H1193" s="10" t="inlineStr">
        <is>
          <t>Plan de Contingencia Tecnología de la Información</t>
        </is>
      </c>
      <c r="I1193" s="10" t="inlineStr">
        <is>
          <t>Documento interno</t>
        </is>
      </c>
      <c r="J1193" s="10" t="inlineStr">
        <is>
          <t>GERENTE DE RIESGOS</t>
        </is>
      </c>
      <c r="K1193" s="10" t="inlineStr">
        <is>
          <t>ANALISTA DE RIESGO OPERATIVO</t>
        </is>
      </c>
      <c r="L1193" s="10" t="inlineStr">
        <is>
          <t>UBICACIÓN DIGITAL-EQUIPO DEL RESPONSABLE</t>
        </is>
      </c>
      <c r="M1193" s="10" t="inlineStr">
        <is>
          <t>DOCUMENTO DE ARCHIVO-ELECTRÓNICO</t>
        </is>
      </c>
      <c r="N1193" s="10" t="inlineStr">
        <is>
          <t>PRIMARIOS</t>
        </is>
      </c>
      <c r="O1193" s="10" t="inlineStr">
        <is>
          <t>DOCUMENTOS TÉCNICOS</t>
        </is>
      </c>
      <c r="P1193" s="10" t="inlineStr">
        <is>
          <t>PUBLICA(1)</t>
        </is>
      </c>
      <c r="Q1193" s="10" t="inlineStr">
        <is>
          <t>ALTA(3)</t>
        </is>
      </c>
      <c r="R1193" s="10" t="inlineStr">
        <is>
          <t>MEDIA(2)</t>
        </is>
      </c>
      <c r="S1193" s="10">
        <f>+(IF(P1193="PUBLICA(1)",1,IF(P1193="USO INTERNO(2)",2,IF(P1193="RESTRINGIDO(3)",3,3))))+(IF(Q1193="BAJA(1)",1,IF(Q1193="MEDIA(2)",2,IF(Q1193="ALTA(3)",3,3))))+(IF(R1193="BAJA(1)",1,IF(R1193="MEDIA(2)",2,IF(R1193="ALTA(3)",3,3))))</f>
        <v/>
      </c>
      <c r="T1193" s="10">
        <f>+IF(S1193&lt;6,"BAJA",IF(S1193&lt;8,"MEDIA","ALTA"))</f>
        <v/>
      </c>
      <c r="U1193" s="10" t="inlineStr">
        <is>
          <t>-</t>
        </is>
      </c>
      <c r="V1193" s="24" t="n">
        <v>45588</v>
      </c>
      <c r="W1193" s="19" t="inlineStr">
        <is>
          <t>N/A</t>
        </is>
      </c>
      <c r="X1193" s="10">
        <f>+IFERROR(IF(VLOOKUP(Tabla2[[#This Row],[ID]],'EVALUACION DE RIESGO'!A:A,1,FALSE)=Tabla2[[#This Row],[ID]],"SI","NO"),"NO")</f>
        <v/>
      </c>
    </row>
    <row r="1194">
      <c r="A1194" s="91" t="inlineStr">
        <is>
          <t>172-GRI</t>
        </is>
      </c>
      <c r="B1194" s="10" t="inlineStr">
        <is>
          <t>ESTRATÉGICO</t>
        </is>
      </c>
      <c r="C1194" s="10" t="inlineStr">
        <is>
          <t>Gestión de Riesgos</t>
        </is>
      </c>
      <c r="D1194" s="10" t="inlineStr">
        <is>
          <t>GRI</t>
        </is>
      </c>
      <c r="E1194" s="10" t="inlineStr">
        <is>
          <t>Gestión de Continuidad del Negocio</t>
        </is>
      </c>
      <c r="F1194" s="10" t="inlineStr">
        <is>
          <t>-</t>
        </is>
      </c>
      <c r="G1194" s="10" t="inlineStr">
        <is>
          <t xml:space="preserve">Gestión Documental de Continuidad del Negocio  </t>
        </is>
      </c>
      <c r="H1194" s="10" t="inlineStr">
        <is>
          <t>Plan de Comunicación en Crisis</t>
        </is>
      </c>
      <c r="I1194" s="10" t="inlineStr">
        <is>
          <t>Documento interno</t>
        </is>
      </c>
      <c r="J1194" s="10" t="inlineStr">
        <is>
          <t>GERENTE DE RIESGOS</t>
        </is>
      </c>
      <c r="K1194" s="10" t="inlineStr">
        <is>
          <t>ANALISTA DE RIESGO OPERATIVO</t>
        </is>
      </c>
      <c r="L1194" s="10" t="inlineStr">
        <is>
          <t>UBICACIÓN DIGITAL-EQUIPO DEL RESPONSABLE</t>
        </is>
      </c>
      <c r="M1194" s="10" t="inlineStr">
        <is>
          <t>DOCUMENTO DE ARCHIVO-ELECTRÓNICO</t>
        </is>
      </c>
      <c r="N1194" s="10" t="inlineStr">
        <is>
          <t>PRIMARIOS</t>
        </is>
      </c>
      <c r="O1194" s="10" t="inlineStr">
        <is>
          <t>DOCUMENTOS TÉCNICOS</t>
        </is>
      </c>
      <c r="P1194" s="10" t="inlineStr">
        <is>
          <t>PUBLICA(1)</t>
        </is>
      </c>
      <c r="Q1194" s="10" t="inlineStr">
        <is>
          <t>ALTA(3)</t>
        </is>
      </c>
      <c r="R1194" s="10" t="inlineStr">
        <is>
          <t>MEDIA(2)</t>
        </is>
      </c>
      <c r="S1194" s="10">
        <f>+(IF(P1194="PUBLICA(1)",1,IF(P1194="USO INTERNO(2)",2,IF(P1194="RESTRINGIDO(3)",3,3))))+(IF(Q1194="BAJA(1)",1,IF(Q1194="MEDIA(2)",2,IF(Q1194="ALTA(3)",3,3))))+(IF(R1194="BAJA(1)",1,IF(R1194="MEDIA(2)",2,IF(R1194="ALTA(3)",3,3))))</f>
        <v/>
      </c>
      <c r="T1194" s="10">
        <f>+IF(S1194&lt;6,"BAJA",IF(S1194&lt;8,"MEDIA","ALTA"))</f>
        <v/>
      </c>
      <c r="U1194" s="10" t="inlineStr">
        <is>
          <t>-</t>
        </is>
      </c>
      <c r="V1194" s="24" t="n">
        <v>45588</v>
      </c>
      <c r="W1194" s="19" t="inlineStr">
        <is>
          <t>N/A</t>
        </is>
      </c>
      <c r="X1194" s="10">
        <f>+IFERROR(IF(VLOOKUP(Tabla2[[#This Row],[ID]],'EVALUACION DE RIESGO'!A:A,1,FALSE)=Tabla2[[#This Row],[ID]],"SI","NO"),"NO")</f>
        <v/>
      </c>
    </row>
    <row r="1195">
      <c r="A1195" s="91" t="inlineStr">
        <is>
          <t>173-GRI</t>
        </is>
      </c>
      <c r="B1195" s="10" t="inlineStr">
        <is>
          <t>ESTRATÉGICO</t>
        </is>
      </c>
      <c r="C1195" s="10" t="inlineStr">
        <is>
          <t>Gestión de Riesgos</t>
        </is>
      </c>
      <c r="D1195" s="10" t="inlineStr">
        <is>
          <t>GRI</t>
        </is>
      </c>
      <c r="E1195" s="10" t="inlineStr">
        <is>
          <t>Gestión de Continuidad del Negocio</t>
        </is>
      </c>
      <c r="F1195" s="10" t="inlineStr">
        <is>
          <t>-</t>
        </is>
      </c>
      <c r="G1195" s="10" t="inlineStr">
        <is>
          <t xml:space="preserve">Gestión Documental de Continuidad del Negocio  </t>
        </is>
      </c>
      <c r="H1195" s="10" t="inlineStr">
        <is>
          <t>Plan de Contingencia Operaciones - Trans. Ventanilla</t>
        </is>
      </c>
      <c r="I1195" s="10" t="inlineStr">
        <is>
          <t>Documento interno</t>
        </is>
      </c>
      <c r="J1195" s="10" t="inlineStr">
        <is>
          <t>GERENTE DE RIESGOS</t>
        </is>
      </c>
      <c r="K1195" s="10" t="inlineStr">
        <is>
          <t>ANALISTA DE RIESGO OPERATIVO</t>
        </is>
      </c>
      <c r="L1195" s="10" t="inlineStr">
        <is>
          <t>UBICACIÓN DIGITAL-EQUIPO DEL RESPONSABLE</t>
        </is>
      </c>
      <c r="M1195" s="10" t="inlineStr">
        <is>
          <t>DOCUMENTO DE ARCHIVO-ELECTRÓNICO</t>
        </is>
      </c>
      <c r="N1195" s="10" t="inlineStr">
        <is>
          <t>PRIMARIOS</t>
        </is>
      </c>
      <c r="O1195" s="10" t="inlineStr">
        <is>
          <t>DOCUMENTOS TÉCNICOS</t>
        </is>
      </c>
      <c r="P1195" s="10" t="inlineStr">
        <is>
          <t>PUBLICA(1)</t>
        </is>
      </c>
      <c r="Q1195" s="10" t="inlineStr">
        <is>
          <t>ALTA(3)</t>
        </is>
      </c>
      <c r="R1195" s="10" t="inlineStr">
        <is>
          <t>MEDIA(2)</t>
        </is>
      </c>
      <c r="S1195" s="10">
        <f>+(IF(P1195="PUBLICA(1)",1,IF(P1195="USO INTERNO(2)",2,IF(P1195="RESTRINGIDO(3)",3,3))))+(IF(Q1195="BAJA(1)",1,IF(Q1195="MEDIA(2)",2,IF(Q1195="ALTA(3)",3,3))))+(IF(R1195="BAJA(1)",1,IF(R1195="MEDIA(2)",2,IF(R1195="ALTA(3)",3,3))))</f>
        <v/>
      </c>
      <c r="T1195" s="10">
        <f>+IF(S1195&lt;6,"BAJA",IF(S1195&lt;8,"MEDIA","ALTA"))</f>
        <v/>
      </c>
      <c r="U1195" s="10" t="inlineStr">
        <is>
          <t>-</t>
        </is>
      </c>
      <c r="V1195" s="24" t="n">
        <v>45588</v>
      </c>
      <c r="W1195" s="19" t="inlineStr">
        <is>
          <t>N/A</t>
        </is>
      </c>
      <c r="X1195" s="10">
        <f>+IFERROR(IF(VLOOKUP(Tabla2[[#This Row],[ID]],'EVALUACION DE RIESGO'!A:A,1,FALSE)=Tabla2[[#This Row],[ID]],"SI","NO"),"NO")</f>
        <v/>
      </c>
    </row>
    <row r="1196">
      <c r="A1196" s="91" t="inlineStr">
        <is>
          <t>174-GRI</t>
        </is>
      </c>
      <c r="B1196" s="10" t="inlineStr">
        <is>
          <t>ESTRATÉGICO</t>
        </is>
      </c>
      <c r="C1196" s="10" t="inlineStr">
        <is>
          <t>Gestión de Riesgos</t>
        </is>
      </c>
      <c r="D1196" s="10" t="inlineStr">
        <is>
          <t>GRI</t>
        </is>
      </c>
      <c r="E1196" s="10" t="inlineStr">
        <is>
          <t>Gestión de Continuidad del Negocio</t>
        </is>
      </c>
      <c r="F1196" s="10" t="inlineStr">
        <is>
          <t>-</t>
        </is>
      </c>
      <c r="G1196" s="10" t="inlineStr">
        <is>
          <t xml:space="preserve">Gestión Documental de Continuidad del Negocio  </t>
        </is>
      </c>
      <c r="H1196" s="10" t="inlineStr">
        <is>
          <t>Plan de Contingencia por Cierre de Carreteras y Suspensión de Transporte</t>
        </is>
      </c>
      <c r="I1196" s="10" t="inlineStr">
        <is>
          <t>Documento interno</t>
        </is>
      </c>
      <c r="J1196" s="10" t="inlineStr">
        <is>
          <t>GERENTE DE RIESGOS</t>
        </is>
      </c>
      <c r="K1196" s="10" t="inlineStr">
        <is>
          <t>ANALISTA DE RIESGO OPERATIVO</t>
        </is>
      </c>
      <c r="L1196" s="10" t="inlineStr">
        <is>
          <t>UBICACIÓN DIGITAL-EQUIPO DEL RESPONSABLE</t>
        </is>
      </c>
      <c r="M1196" s="10" t="inlineStr">
        <is>
          <t>DOCUMENTO DE ARCHIVO-ELECTRÓNICO</t>
        </is>
      </c>
      <c r="N1196" s="10" t="inlineStr">
        <is>
          <t>PRIMARIOS</t>
        </is>
      </c>
      <c r="O1196" s="10" t="inlineStr">
        <is>
          <t>DOCUMENTOS TÉCNICOS</t>
        </is>
      </c>
      <c r="P1196" s="10" t="inlineStr">
        <is>
          <t>PUBLICA(1)</t>
        </is>
      </c>
      <c r="Q1196" s="10" t="inlineStr">
        <is>
          <t>ALTA(3)</t>
        </is>
      </c>
      <c r="R1196" s="10" t="inlineStr">
        <is>
          <t>MEDIA(2)</t>
        </is>
      </c>
      <c r="S1196" s="10">
        <f>+(IF(P1196="PUBLICA(1)",1,IF(P1196="USO INTERNO(2)",2,IF(P1196="RESTRINGIDO(3)",3,3))))+(IF(Q1196="BAJA(1)",1,IF(Q1196="MEDIA(2)",2,IF(Q1196="ALTA(3)",3,3))))+(IF(R1196="BAJA(1)",1,IF(R1196="MEDIA(2)",2,IF(R1196="ALTA(3)",3,3))))</f>
        <v/>
      </c>
      <c r="T1196" s="10">
        <f>+IF(S1196&lt;6,"BAJA",IF(S1196&lt;8,"MEDIA","ALTA"))</f>
        <v/>
      </c>
      <c r="U1196" s="10" t="inlineStr">
        <is>
          <t>-</t>
        </is>
      </c>
      <c r="V1196" s="24" t="n">
        <v>45588</v>
      </c>
      <c r="W1196" s="19" t="inlineStr">
        <is>
          <t>N/A</t>
        </is>
      </c>
      <c r="X1196" s="10">
        <f>+IFERROR(IF(VLOOKUP(Tabla2[[#This Row],[ID]],'EVALUACION DE RIESGO'!A:A,1,FALSE)=Tabla2[[#This Row],[ID]],"SI","NO"),"NO")</f>
        <v/>
      </c>
    </row>
    <row r="1197">
      <c r="A1197" s="91" t="inlineStr">
        <is>
          <t>175-GRI</t>
        </is>
      </c>
      <c r="B1197" s="10" t="inlineStr">
        <is>
          <t>ESTRATÉGICO</t>
        </is>
      </c>
      <c r="C1197" s="10" t="inlineStr">
        <is>
          <t>Gestión de Riesgos</t>
        </is>
      </c>
      <c r="D1197" s="10" t="inlineStr">
        <is>
          <t>GRI</t>
        </is>
      </c>
      <c r="E1197" s="10" t="inlineStr">
        <is>
          <t>Gestión de Continuidad del Negocio</t>
        </is>
      </c>
      <c r="F1197" s="10" t="inlineStr">
        <is>
          <t>-</t>
        </is>
      </c>
      <c r="G1197" s="10" t="inlineStr">
        <is>
          <t xml:space="preserve">Gestión Documental de Continuidad del Negocio  </t>
        </is>
      </c>
      <c r="H1197" s="10" t="inlineStr">
        <is>
          <t>Plan de Contingencia Riesgo de Mercado</t>
        </is>
      </c>
      <c r="I1197" s="10" t="inlineStr">
        <is>
          <t>Documento interno</t>
        </is>
      </c>
      <c r="J1197" s="10" t="inlineStr">
        <is>
          <t>GERENTE DE RIESGOS</t>
        </is>
      </c>
      <c r="K1197" s="10" t="inlineStr">
        <is>
          <t>ANALISTA DE RIESGO OPERATIVO</t>
        </is>
      </c>
      <c r="L1197" s="10" t="inlineStr">
        <is>
          <t>UBICACIÓN DIGITAL-EQUIPO DEL RESPONSABLE</t>
        </is>
      </c>
      <c r="M1197" s="10" t="inlineStr">
        <is>
          <t>DOCUMENTO DE ARCHIVO-ELECTRÓNICO</t>
        </is>
      </c>
      <c r="N1197" s="10" t="inlineStr">
        <is>
          <t>PRIMARIOS</t>
        </is>
      </c>
      <c r="O1197" s="10" t="inlineStr">
        <is>
          <t>DOCUMENTOS TÉCNICOS</t>
        </is>
      </c>
      <c r="P1197" s="10" t="inlineStr">
        <is>
          <t>PUBLICA(1)</t>
        </is>
      </c>
      <c r="Q1197" s="10" t="inlineStr">
        <is>
          <t>ALTA(3)</t>
        </is>
      </c>
      <c r="R1197" s="10" t="inlineStr">
        <is>
          <t>MEDIA(2)</t>
        </is>
      </c>
      <c r="S1197" s="10">
        <f>+(IF(P1197="PUBLICA(1)",1,IF(P1197="USO INTERNO(2)",2,IF(P1197="RESTRINGIDO(3)",3,3))))+(IF(Q1197="BAJA(1)",1,IF(Q1197="MEDIA(2)",2,IF(Q1197="ALTA(3)",3,3))))+(IF(R1197="BAJA(1)",1,IF(R1197="MEDIA(2)",2,IF(R1197="ALTA(3)",3,3))))</f>
        <v/>
      </c>
      <c r="T1197" s="10">
        <f>+IF(S1197&lt;6,"BAJA",IF(S1197&lt;8,"MEDIA","ALTA"))</f>
        <v/>
      </c>
      <c r="U1197" s="10" t="inlineStr">
        <is>
          <t>-</t>
        </is>
      </c>
      <c r="V1197" s="24" t="n">
        <v>45588</v>
      </c>
      <c r="W1197" s="19" t="inlineStr">
        <is>
          <t>N/A</t>
        </is>
      </c>
      <c r="X1197" s="10">
        <f>+IFERROR(IF(VLOOKUP(Tabla2[[#This Row],[ID]],'EVALUACION DE RIESGO'!A:A,1,FALSE)=Tabla2[[#This Row],[ID]],"SI","NO"),"NO")</f>
        <v/>
      </c>
    </row>
    <row r="1198">
      <c r="A1198" s="91" t="inlineStr">
        <is>
          <t>176-GRI</t>
        </is>
      </c>
      <c r="B1198" s="10" t="inlineStr">
        <is>
          <t>ESTRATÉGICO</t>
        </is>
      </c>
      <c r="C1198" s="10" t="inlineStr">
        <is>
          <t>Gestión de Riesgos</t>
        </is>
      </c>
      <c r="D1198" s="10" t="inlineStr">
        <is>
          <t>GRI</t>
        </is>
      </c>
      <c r="E1198" s="10" t="inlineStr">
        <is>
          <t>Gestión de Continuidad del Negocio</t>
        </is>
      </c>
      <c r="F1198" s="10" t="inlineStr">
        <is>
          <t>-</t>
        </is>
      </c>
      <c r="G1198" s="10" t="inlineStr">
        <is>
          <t xml:space="preserve">Gestión Documental de Continuidad del Negocio  </t>
        </is>
      </c>
      <c r="H1198" s="10" t="inlineStr">
        <is>
          <t>Plan de Contingencia - Pandemias</t>
        </is>
      </c>
      <c r="I1198" s="10" t="inlineStr">
        <is>
          <t>Documento interno</t>
        </is>
      </c>
      <c r="J1198" s="10" t="inlineStr">
        <is>
          <t>GERENTE DE RIESGOS</t>
        </is>
      </c>
      <c r="K1198" s="10" t="inlineStr">
        <is>
          <t>ANALISTA DE RIESGO OPERATIVO</t>
        </is>
      </c>
      <c r="L1198" s="10" t="inlineStr">
        <is>
          <t>UBICACIÓN DIGITAL-EQUIPO DEL RESPONSABLE</t>
        </is>
      </c>
      <c r="M1198" s="10" t="inlineStr">
        <is>
          <t>DOCUMENTO DE ARCHIVO-ELECTRÓNICO</t>
        </is>
      </c>
      <c r="N1198" s="10" t="inlineStr">
        <is>
          <t>PRIMARIOS</t>
        </is>
      </c>
      <c r="O1198" s="10" t="inlineStr">
        <is>
          <t>DOCUMENTOS TÉCNICOS</t>
        </is>
      </c>
      <c r="P1198" s="10" t="inlineStr">
        <is>
          <t>PUBLICA(1)</t>
        </is>
      </c>
      <c r="Q1198" s="10" t="inlineStr">
        <is>
          <t>ALTA(3)</t>
        </is>
      </c>
      <c r="R1198" s="10" t="inlineStr">
        <is>
          <t>MEDIA(2)</t>
        </is>
      </c>
      <c r="S1198" s="10">
        <f>+(IF(P1198="PUBLICA(1)",1,IF(P1198="USO INTERNO(2)",2,IF(P1198="RESTRINGIDO(3)",3,3))))+(IF(Q1198="BAJA(1)",1,IF(Q1198="MEDIA(2)",2,IF(Q1198="ALTA(3)",3,3))))+(IF(R1198="BAJA(1)",1,IF(R1198="MEDIA(2)",2,IF(R1198="ALTA(3)",3,3))))</f>
        <v/>
      </c>
      <c r="T1198" s="10">
        <f>+IF(S1198&lt;6,"BAJA",IF(S1198&lt;8,"MEDIA","ALTA"))</f>
        <v/>
      </c>
      <c r="U1198" s="10" t="inlineStr">
        <is>
          <t>-</t>
        </is>
      </c>
      <c r="V1198" s="24" t="n">
        <v>45588</v>
      </c>
      <c r="W1198" s="19" t="inlineStr">
        <is>
          <t>N/A</t>
        </is>
      </c>
      <c r="X1198" s="10">
        <f>+IFERROR(IF(VLOOKUP(Tabla2[[#This Row],[ID]],'EVALUACION DE RIESGO'!A:A,1,FALSE)=Tabla2[[#This Row],[ID]],"SI","NO"),"NO")</f>
        <v/>
      </c>
    </row>
    <row r="1199">
      <c r="A1199" s="91" t="inlineStr">
        <is>
          <t>177-GRI</t>
        </is>
      </c>
      <c r="B1199" s="10" t="inlineStr">
        <is>
          <t>ESTRATÉGICO</t>
        </is>
      </c>
      <c r="C1199" s="10" t="inlineStr">
        <is>
          <t>Gestión de Riesgos</t>
        </is>
      </c>
      <c r="D1199" s="10" t="inlineStr">
        <is>
          <t>GRI</t>
        </is>
      </c>
      <c r="E1199" s="10" t="inlineStr">
        <is>
          <t>Gestión de Continuidad del Negocio</t>
        </is>
      </c>
      <c r="F1199" s="10" t="inlineStr">
        <is>
          <t>-</t>
        </is>
      </c>
      <c r="G1199" s="10" t="inlineStr">
        <is>
          <t xml:space="preserve">Gestión Documental de Continuidad del Negocio  </t>
        </is>
      </c>
      <c r="H1199" s="10" t="inlineStr">
        <is>
          <t>Plan de Contingencia frente a Robo y Asalto</t>
        </is>
      </c>
      <c r="I1199" s="10" t="inlineStr">
        <is>
          <t>Documento interno</t>
        </is>
      </c>
      <c r="J1199" s="10" t="inlineStr">
        <is>
          <t>GERENTE DE RIESGOS</t>
        </is>
      </c>
      <c r="K1199" s="10" t="inlineStr">
        <is>
          <t>ANALISTA DE RIESGO OPERATIVO</t>
        </is>
      </c>
      <c r="L1199" s="10" t="inlineStr">
        <is>
          <t>UBICACIÓN DIGITAL-EQUIPO DEL RESPONSABLE</t>
        </is>
      </c>
      <c r="M1199" s="10" t="inlineStr">
        <is>
          <t>DOCUMENTO DE ARCHIVO-ELECTRÓNICO</t>
        </is>
      </c>
      <c r="N1199" s="10" t="inlineStr">
        <is>
          <t>PRIMARIOS</t>
        </is>
      </c>
      <c r="O1199" s="10" t="inlineStr">
        <is>
          <t>DOCUMENTOS TÉCNICOS</t>
        </is>
      </c>
      <c r="P1199" s="10" t="inlineStr">
        <is>
          <t>PUBLICA(1)</t>
        </is>
      </c>
      <c r="Q1199" s="10" t="inlineStr">
        <is>
          <t>ALTA(3)</t>
        </is>
      </c>
      <c r="R1199" s="10" t="inlineStr">
        <is>
          <t>MEDIA(2)</t>
        </is>
      </c>
      <c r="S1199" s="10">
        <f>+(IF(P1199="PUBLICA(1)",1,IF(P1199="USO INTERNO(2)",2,IF(P1199="RESTRINGIDO(3)",3,3))))+(IF(Q1199="BAJA(1)",1,IF(Q1199="MEDIA(2)",2,IF(Q1199="ALTA(3)",3,3))))+(IF(R1199="BAJA(1)",1,IF(R1199="MEDIA(2)",2,IF(R1199="ALTA(3)",3,3))))</f>
        <v/>
      </c>
      <c r="T1199" s="10">
        <f>+IF(S1199&lt;6,"BAJA",IF(S1199&lt;8,"MEDIA","ALTA"))</f>
        <v/>
      </c>
      <c r="U1199" s="10" t="inlineStr">
        <is>
          <t>-</t>
        </is>
      </c>
      <c r="V1199" s="24" t="n">
        <v>45588</v>
      </c>
      <c r="W1199" s="19" t="inlineStr">
        <is>
          <t>N/A</t>
        </is>
      </c>
      <c r="X1199" s="10">
        <f>+IFERROR(IF(VLOOKUP(Tabla2[[#This Row],[ID]],'EVALUACION DE RIESGO'!A:A,1,FALSE)=Tabla2[[#This Row],[ID]],"SI","NO"),"NO")</f>
        <v/>
      </c>
    </row>
    <row r="1200">
      <c r="A1200" s="91" t="inlineStr">
        <is>
          <t>178-GRI</t>
        </is>
      </c>
      <c r="B1200" s="10" t="inlineStr">
        <is>
          <t>ESTRATÉGICO</t>
        </is>
      </c>
      <c r="C1200" s="10" t="inlineStr">
        <is>
          <t>Gestión de Riesgos</t>
        </is>
      </c>
      <c r="D1200" s="10" t="inlineStr">
        <is>
          <t>GRI</t>
        </is>
      </c>
      <c r="E1200" s="10" t="inlineStr">
        <is>
          <t>Gestión de Continuidad del Negocio</t>
        </is>
      </c>
      <c r="F1200" s="10" t="inlineStr">
        <is>
          <t>-</t>
        </is>
      </c>
      <c r="G1200" s="10" t="inlineStr">
        <is>
          <t xml:space="preserve">Gestión Documental de Continuidad del Negocio  </t>
        </is>
      </c>
      <c r="H1200" s="10" t="inlineStr">
        <is>
          <t>Plan de Contingencia ante la Erupción del Volcán Cotopaxi</t>
        </is>
      </c>
      <c r="I1200" s="10" t="inlineStr">
        <is>
          <t>Documento interno</t>
        </is>
      </c>
      <c r="J1200" s="10" t="inlineStr">
        <is>
          <t>GERENTE DE RIESGOS</t>
        </is>
      </c>
      <c r="K1200" s="10" t="inlineStr">
        <is>
          <t>ANALISTA DE RIESGO OPERATIVO</t>
        </is>
      </c>
      <c r="L1200" s="10" t="inlineStr">
        <is>
          <t>UBICACIÓN DIGITAL-EQUIPO DEL RESPONSABLE</t>
        </is>
      </c>
      <c r="M1200" s="10" t="inlineStr">
        <is>
          <t>DOCUMENTO DE ARCHIVO-ELECTRÓNICO</t>
        </is>
      </c>
      <c r="N1200" s="10" t="inlineStr">
        <is>
          <t>PRIMARIOS</t>
        </is>
      </c>
      <c r="O1200" s="10" t="inlineStr">
        <is>
          <t>DOCUMENTOS TÉCNICOS</t>
        </is>
      </c>
      <c r="P1200" s="10" t="inlineStr">
        <is>
          <t>PUBLICA(1)</t>
        </is>
      </c>
      <c r="Q1200" s="10" t="inlineStr">
        <is>
          <t>ALTA(3)</t>
        </is>
      </c>
      <c r="R1200" s="10" t="inlineStr">
        <is>
          <t>MEDIA(2)</t>
        </is>
      </c>
      <c r="S1200" s="10">
        <f>+(IF(P1200="PUBLICA(1)",1,IF(P1200="USO INTERNO(2)",2,IF(P1200="RESTRINGIDO(3)",3,3))))+(IF(Q1200="BAJA(1)",1,IF(Q1200="MEDIA(2)",2,IF(Q1200="ALTA(3)",3,3))))+(IF(R1200="BAJA(1)",1,IF(R1200="MEDIA(2)",2,IF(R1200="ALTA(3)",3,3))))</f>
        <v/>
      </c>
      <c r="T1200" s="10">
        <f>+IF(S1200&lt;6,"BAJA",IF(S1200&lt;8,"MEDIA","ALTA"))</f>
        <v/>
      </c>
      <c r="U1200" s="10" t="inlineStr">
        <is>
          <t>-</t>
        </is>
      </c>
      <c r="V1200" s="24" t="n">
        <v>45588</v>
      </c>
      <c r="W1200" s="19" t="inlineStr">
        <is>
          <t>N/A</t>
        </is>
      </c>
      <c r="X1200" s="10">
        <f>+IFERROR(IF(VLOOKUP(Tabla2[[#This Row],[ID]],'EVALUACION DE RIESGO'!A:A,1,FALSE)=Tabla2[[#This Row],[ID]],"SI","NO"),"NO")</f>
        <v/>
      </c>
    </row>
    <row r="1201">
      <c r="A1201" s="91" t="inlineStr">
        <is>
          <t>179-GRI</t>
        </is>
      </c>
      <c r="B1201" s="10" t="inlineStr">
        <is>
          <t>ESTRATÉGICO</t>
        </is>
      </c>
      <c r="C1201" s="10" t="inlineStr">
        <is>
          <t>Gestión de Riesgos</t>
        </is>
      </c>
      <c r="D1201" s="10" t="inlineStr">
        <is>
          <t>GRI</t>
        </is>
      </c>
      <c r="E1201" s="10" t="inlineStr">
        <is>
          <t>Gestión de Continuidad del Negocio</t>
        </is>
      </c>
      <c r="F1201" s="10" t="inlineStr">
        <is>
          <t>-</t>
        </is>
      </c>
      <c r="G1201" s="10" t="inlineStr">
        <is>
          <t xml:space="preserve">Gestión Documental de Continuidad del Negocio  </t>
        </is>
      </c>
      <c r="H1201" s="10" t="inlineStr">
        <is>
          <t>Plan de Contingencias Riesgo de Liquidez</t>
        </is>
      </c>
      <c r="I1201" s="10" t="inlineStr">
        <is>
          <t>Documento interno</t>
        </is>
      </c>
      <c r="J1201" s="10" t="inlineStr">
        <is>
          <t>GERENTE DE RIESGOS</t>
        </is>
      </c>
      <c r="K1201" s="10" t="inlineStr">
        <is>
          <t>ANALISTA DE RIESGO OPERATIVO</t>
        </is>
      </c>
      <c r="L1201" s="10" t="inlineStr">
        <is>
          <t>UBICACIÓN DIGITAL-EQUIPO DEL RESPONSABLE</t>
        </is>
      </c>
      <c r="M1201" s="10" t="inlineStr">
        <is>
          <t>DOCUMENTO DE ARCHIVO-ELECTRÓNICO</t>
        </is>
      </c>
      <c r="N1201" s="10" t="inlineStr">
        <is>
          <t>PRIMARIOS</t>
        </is>
      </c>
      <c r="O1201" s="10" t="inlineStr">
        <is>
          <t>DOCUMENTOS TÉCNICOS</t>
        </is>
      </c>
      <c r="P1201" s="10" t="inlineStr">
        <is>
          <t>PUBLICA(1)</t>
        </is>
      </c>
      <c r="Q1201" s="10" t="inlineStr">
        <is>
          <t>ALTA(3)</t>
        </is>
      </c>
      <c r="R1201" s="10" t="inlineStr">
        <is>
          <t>MEDIA(2)</t>
        </is>
      </c>
      <c r="S1201" s="10">
        <f>+(IF(P1201="PUBLICA(1)",1,IF(P1201="USO INTERNO(2)",2,IF(P1201="RESTRINGIDO(3)",3,3))))+(IF(Q1201="BAJA(1)",1,IF(Q1201="MEDIA(2)",2,IF(Q1201="ALTA(3)",3,3))))+(IF(R1201="BAJA(1)",1,IF(R1201="MEDIA(2)",2,IF(R1201="ALTA(3)",3,3))))</f>
        <v/>
      </c>
      <c r="T1201" s="10">
        <f>+IF(S1201&lt;6,"BAJA",IF(S1201&lt;8,"MEDIA","ALTA"))</f>
        <v/>
      </c>
      <c r="U1201" s="10" t="inlineStr">
        <is>
          <t>-</t>
        </is>
      </c>
      <c r="V1201" s="24" t="n">
        <v>45588</v>
      </c>
      <c r="W1201" s="19" t="inlineStr">
        <is>
          <t>N/A</t>
        </is>
      </c>
      <c r="X1201" s="10">
        <f>+IFERROR(IF(VLOOKUP(Tabla2[[#This Row],[ID]],'EVALUACION DE RIESGO'!A:A,1,FALSE)=Tabla2[[#This Row],[ID]],"SI","NO"),"NO")</f>
        <v/>
      </c>
    </row>
    <row r="1202">
      <c r="A1202" s="91" t="inlineStr">
        <is>
          <t>180-GRI</t>
        </is>
      </c>
      <c r="B1202" s="10" t="inlineStr">
        <is>
          <t>ESTRATÉGICO</t>
        </is>
      </c>
      <c r="C1202" s="10" t="inlineStr">
        <is>
          <t>Gestión de Riesgos</t>
        </is>
      </c>
      <c r="D1202" s="10" t="inlineStr">
        <is>
          <t>GRI</t>
        </is>
      </c>
      <c r="E1202" s="10" t="inlineStr">
        <is>
          <t>Gestión de Continuidad del Negocio</t>
        </is>
      </c>
      <c r="F1202" s="10" t="inlineStr">
        <is>
          <t>-</t>
        </is>
      </c>
      <c r="G1202" s="10" t="inlineStr">
        <is>
          <t xml:space="preserve">Gestión Documental de Continuidad del Negocio  </t>
        </is>
      </c>
      <c r="H1202" s="10" t="inlineStr">
        <is>
          <t>Plan de Contingencias de Tesorería</t>
        </is>
      </c>
      <c r="I1202" s="10" t="inlineStr">
        <is>
          <t>Documento interno</t>
        </is>
      </c>
      <c r="J1202" s="10" t="inlineStr">
        <is>
          <t>GERENTE DE RIESGOS</t>
        </is>
      </c>
      <c r="K1202" s="10" t="inlineStr">
        <is>
          <t>ANALISTA DE RIESGO OPERATIVO</t>
        </is>
      </c>
      <c r="L1202" s="10" t="inlineStr">
        <is>
          <t>UBICACIÓN DIGITAL-EQUIPO DEL RESPONSABLE</t>
        </is>
      </c>
      <c r="M1202" s="10" t="inlineStr">
        <is>
          <t>DOCUMENTO DE ARCHIVO-ELECTRÓNICO</t>
        </is>
      </c>
      <c r="N1202" s="10" t="inlineStr">
        <is>
          <t>PRIMARIOS</t>
        </is>
      </c>
      <c r="O1202" s="10" t="inlineStr">
        <is>
          <t>DOCUMENTOS TÉCNICOS</t>
        </is>
      </c>
      <c r="P1202" s="10" t="inlineStr">
        <is>
          <t>PUBLICA(1)</t>
        </is>
      </c>
      <c r="Q1202" s="10" t="inlineStr">
        <is>
          <t>ALTA(3)</t>
        </is>
      </c>
      <c r="R1202" s="10" t="inlineStr">
        <is>
          <t>MEDIA(2)</t>
        </is>
      </c>
      <c r="S1202" s="10">
        <f>+(IF(P1202="PUBLICA(1)",1,IF(P1202="USO INTERNO(2)",2,IF(P1202="RESTRINGIDO(3)",3,3))))+(IF(Q1202="BAJA(1)",1,IF(Q1202="MEDIA(2)",2,IF(Q1202="ALTA(3)",3,3))))+(IF(R1202="BAJA(1)",1,IF(R1202="MEDIA(2)",2,IF(R1202="ALTA(3)",3,3))))</f>
        <v/>
      </c>
      <c r="T1202" s="10">
        <f>+IF(S1202&lt;6,"BAJA",IF(S1202&lt;8,"MEDIA","ALTA"))</f>
        <v/>
      </c>
      <c r="U1202" s="10" t="inlineStr">
        <is>
          <t>-</t>
        </is>
      </c>
      <c r="V1202" s="24" t="n">
        <v>45588</v>
      </c>
      <c r="W1202" s="19" t="inlineStr">
        <is>
          <t>N/A</t>
        </is>
      </c>
      <c r="X1202" s="10">
        <f>+IFERROR(IF(VLOOKUP(Tabla2[[#This Row],[ID]],'EVALUACION DE RIESGO'!A:A,1,FALSE)=Tabla2[[#This Row],[ID]],"SI","NO"),"NO")</f>
        <v/>
      </c>
    </row>
    <row r="1203">
      <c r="A1203" s="91" t="inlineStr">
        <is>
          <t>181-GRI</t>
        </is>
      </c>
      <c r="B1203" s="10" t="inlineStr">
        <is>
          <t>ESTRATÉGICO</t>
        </is>
      </c>
      <c r="C1203" s="10" t="inlineStr">
        <is>
          <t>Gestión de Riesgos</t>
        </is>
      </c>
      <c r="D1203" s="10" t="inlineStr">
        <is>
          <t>GRI</t>
        </is>
      </c>
      <c r="E1203" s="10" t="inlineStr">
        <is>
          <t>Gestión de Continuidad del Negocio</t>
        </is>
      </c>
      <c r="F1203" s="10" t="inlineStr">
        <is>
          <t>-</t>
        </is>
      </c>
      <c r="G1203" s="10" t="inlineStr">
        <is>
          <t xml:space="preserve">Gestión Documental de Continuidad del Negocio  </t>
        </is>
      </c>
      <c r="H1203" s="10" t="inlineStr">
        <is>
          <t>Plan de Emergencia Oficina Matriz</t>
        </is>
      </c>
      <c r="I1203" s="10" t="inlineStr">
        <is>
          <t>Documento interno</t>
        </is>
      </c>
      <c r="J1203" s="10" t="inlineStr">
        <is>
          <t>GERENTE DE RIESGOS</t>
        </is>
      </c>
      <c r="K1203" s="10" t="inlineStr">
        <is>
          <t>ANALISTA DE RIESGO OPERATIVO</t>
        </is>
      </c>
      <c r="L1203" s="10" t="inlineStr">
        <is>
          <t>UBICACIÓN DIGITAL-EQUIPO DEL RESPONSABLE</t>
        </is>
      </c>
      <c r="M1203" s="10" t="inlineStr">
        <is>
          <t>DOCUMENTO DE ARCHIVO-ELECTRÓNICO</t>
        </is>
      </c>
      <c r="N1203" s="10" t="inlineStr">
        <is>
          <t>PRIMARIOS</t>
        </is>
      </c>
      <c r="O1203" s="10" t="inlineStr">
        <is>
          <t>DOCUMENTOS TÉCNICOS</t>
        </is>
      </c>
      <c r="P1203" s="10" t="inlineStr">
        <is>
          <t>PUBLICA(1)</t>
        </is>
      </c>
      <c r="Q1203" s="10" t="inlineStr">
        <is>
          <t>ALTA(3)</t>
        </is>
      </c>
      <c r="R1203" s="10" t="inlineStr">
        <is>
          <t>MEDIA(2)</t>
        </is>
      </c>
      <c r="S1203" s="10">
        <f>+(IF(P1203="PUBLICA(1)",1,IF(P1203="USO INTERNO(2)",2,IF(P1203="RESTRINGIDO(3)",3,3))))+(IF(Q1203="BAJA(1)",1,IF(Q1203="MEDIA(2)",2,IF(Q1203="ALTA(3)",3,3))))+(IF(R1203="BAJA(1)",1,IF(R1203="MEDIA(2)",2,IF(R1203="ALTA(3)",3,3))))</f>
        <v/>
      </c>
      <c r="T1203" s="10">
        <f>+IF(S1203&lt;6,"BAJA",IF(S1203&lt;8,"MEDIA","ALTA"))</f>
        <v/>
      </c>
      <c r="U1203" s="10" t="inlineStr">
        <is>
          <t>-</t>
        </is>
      </c>
      <c r="V1203" s="24" t="n">
        <v>45588</v>
      </c>
      <c r="W1203" s="19" t="inlineStr">
        <is>
          <t>N/A</t>
        </is>
      </c>
      <c r="X1203" s="10">
        <f>+IFERROR(IF(VLOOKUP(Tabla2[[#This Row],[ID]],'EVALUACION DE RIESGO'!A:A,1,FALSE)=Tabla2[[#This Row],[ID]],"SI","NO"),"NO")</f>
        <v/>
      </c>
    </row>
    <row r="1204">
      <c r="A1204" s="91" t="inlineStr">
        <is>
          <t>182-GRI</t>
        </is>
      </c>
      <c r="B1204" s="10" t="inlineStr">
        <is>
          <t>ESTRATÉGICO</t>
        </is>
      </c>
      <c r="C1204" s="10" t="inlineStr">
        <is>
          <t>Gestión de Riesgos</t>
        </is>
      </c>
      <c r="D1204" s="10" t="inlineStr">
        <is>
          <t>GRI</t>
        </is>
      </c>
      <c r="E1204" s="10" t="inlineStr">
        <is>
          <t>Gestión de Continuidad del Negocio</t>
        </is>
      </c>
      <c r="F1204" s="10" t="inlineStr">
        <is>
          <t>-</t>
        </is>
      </c>
      <c r="G1204" s="10" t="inlineStr">
        <is>
          <t xml:space="preserve">Gestión Documental de Continuidad del Negocio  </t>
        </is>
      </c>
      <c r="H1204" s="10" t="inlineStr">
        <is>
          <t>Plan de Emergencia Suc. Ibarra</t>
        </is>
      </c>
      <c r="I1204" s="10" t="inlineStr">
        <is>
          <t>Documento interno</t>
        </is>
      </c>
      <c r="J1204" s="10" t="inlineStr">
        <is>
          <t>GERENTE DE RIESGOS</t>
        </is>
      </c>
      <c r="K1204" s="10" t="inlineStr">
        <is>
          <t>ANALISTA DE RIESGO OPERATIVO</t>
        </is>
      </c>
      <c r="L1204" s="10" t="inlineStr">
        <is>
          <t>UBICACIÓN DIGITAL-EQUIPO DEL RESPONSABLE</t>
        </is>
      </c>
      <c r="M1204" s="10" t="inlineStr">
        <is>
          <t>DOCUMENTO DE ARCHIVO-ELECTRÓNICO</t>
        </is>
      </c>
      <c r="N1204" s="10" t="inlineStr">
        <is>
          <t>PRIMARIOS</t>
        </is>
      </c>
      <c r="O1204" s="10" t="inlineStr">
        <is>
          <t>DOCUMENTOS TÉCNICOS</t>
        </is>
      </c>
      <c r="P1204" s="10" t="inlineStr">
        <is>
          <t>PUBLICA(1)</t>
        </is>
      </c>
      <c r="Q1204" s="10" t="inlineStr">
        <is>
          <t>ALTA(3)</t>
        </is>
      </c>
      <c r="R1204" s="10" t="inlineStr">
        <is>
          <t>MEDIA(2)</t>
        </is>
      </c>
      <c r="S1204" s="10">
        <f>+(IF(P1204="PUBLICA(1)",1,IF(P1204="USO INTERNO(2)",2,IF(P1204="RESTRINGIDO(3)",3,3))))+(IF(Q1204="BAJA(1)",1,IF(Q1204="MEDIA(2)",2,IF(Q1204="ALTA(3)",3,3))))+(IF(R1204="BAJA(1)",1,IF(R1204="MEDIA(2)",2,IF(R1204="ALTA(3)",3,3))))</f>
        <v/>
      </c>
      <c r="T1204" s="10">
        <f>+IF(S1204&lt;6,"BAJA",IF(S1204&lt;8,"MEDIA","ALTA"))</f>
        <v/>
      </c>
      <c r="U1204" s="10" t="inlineStr">
        <is>
          <t>-</t>
        </is>
      </c>
      <c r="V1204" s="24" t="n">
        <v>45588</v>
      </c>
      <c r="W1204" s="19" t="inlineStr">
        <is>
          <t>N/A</t>
        </is>
      </c>
      <c r="X1204" s="10">
        <f>+IFERROR(IF(VLOOKUP(Tabla2[[#This Row],[ID]],'EVALUACION DE RIESGO'!A:A,1,FALSE)=Tabla2[[#This Row],[ID]],"SI","NO"),"NO")</f>
        <v/>
      </c>
    </row>
    <row r="1205">
      <c r="A1205" s="91" t="inlineStr">
        <is>
          <t>183-GRI</t>
        </is>
      </c>
      <c r="B1205" s="10" t="inlineStr">
        <is>
          <t>ESTRATÉGICO</t>
        </is>
      </c>
      <c r="C1205" s="10" t="inlineStr">
        <is>
          <t>Gestión de Riesgos</t>
        </is>
      </c>
      <c r="D1205" s="10" t="inlineStr">
        <is>
          <t>GRI</t>
        </is>
      </c>
      <c r="E1205" s="10" t="inlineStr">
        <is>
          <t>Gestión de Continuidad del Negocio</t>
        </is>
      </c>
      <c r="F1205" s="10" t="inlineStr">
        <is>
          <t>-</t>
        </is>
      </c>
      <c r="G1205" s="10" t="inlineStr">
        <is>
          <t xml:space="preserve">Gestión Documental de Continuidad del Negocio  </t>
        </is>
      </c>
      <c r="H1205" s="10" t="inlineStr">
        <is>
          <t>Plan de Emergencia Suc. Otavalo</t>
        </is>
      </c>
      <c r="I1205" s="10" t="inlineStr">
        <is>
          <t>Documento interno</t>
        </is>
      </c>
      <c r="J1205" s="10" t="inlineStr">
        <is>
          <t>GERENTE DE RIESGOS</t>
        </is>
      </c>
      <c r="K1205" s="10" t="inlineStr">
        <is>
          <t>ANALISTA DE RIESGO OPERATIVO</t>
        </is>
      </c>
      <c r="L1205" s="10" t="inlineStr">
        <is>
          <t>UBICACIÓN DIGITAL-EQUIPO DEL RESPONSABLE</t>
        </is>
      </c>
      <c r="M1205" s="10" t="inlineStr">
        <is>
          <t>DOCUMENTO DE ARCHIVO-ELECTRÓNICO</t>
        </is>
      </c>
      <c r="N1205" s="10" t="inlineStr">
        <is>
          <t>PRIMARIOS</t>
        </is>
      </c>
      <c r="O1205" s="10" t="inlineStr">
        <is>
          <t>DOCUMENTOS TÉCNICOS</t>
        </is>
      </c>
      <c r="P1205" s="10" t="inlineStr">
        <is>
          <t>PUBLICA(1)</t>
        </is>
      </c>
      <c r="Q1205" s="10" t="inlineStr">
        <is>
          <t>ALTA(3)</t>
        </is>
      </c>
      <c r="R1205" s="10" t="inlineStr">
        <is>
          <t>MEDIA(2)</t>
        </is>
      </c>
      <c r="S1205" s="10">
        <f>+(IF(P1205="PUBLICA(1)",1,IF(P1205="USO INTERNO(2)",2,IF(P1205="RESTRINGIDO(3)",3,3))))+(IF(Q1205="BAJA(1)",1,IF(Q1205="MEDIA(2)",2,IF(Q1205="ALTA(3)",3,3))))+(IF(R1205="BAJA(1)",1,IF(R1205="MEDIA(2)",2,IF(R1205="ALTA(3)",3,3))))</f>
        <v/>
      </c>
      <c r="T1205" s="10">
        <f>+IF(S1205&lt;6,"BAJA",IF(S1205&lt;8,"MEDIA","ALTA"))</f>
        <v/>
      </c>
      <c r="U1205" s="10" t="inlineStr">
        <is>
          <t>-</t>
        </is>
      </c>
      <c r="V1205" s="24" t="n">
        <v>45588</v>
      </c>
      <c r="W1205" s="19" t="inlineStr">
        <is>
          <t>N/A</t>
        </is>
      </c>
      <c r="X1205" s="10">
        <f>+IFERROR(IF(VLOOKUP(Tabla2[[#This Row],[ID]],'EVALUACION DE RIESGO'!A:A,1,FALSE)=Tabla2[[#This Row],[ID]],"SI","NO"),"NO")</f>
        <v/>
      </c>
    </row>
    <row r="1206">
      <c r="A1206" s="91" t="inlineStr">
        <is>
          <t>184-GRI</t>
        </is>
      </c>
      <c r="B1206" s="10" t="inlineStr">
        <is>
          <t>ESTRATÉGICO</t>
        </is>
      </c>
      <c r="C1206" s="10" t="inlineStr">
        <is>
          <t>Gestión de Riesgos</t>
        </is>
      </c>
      <c r="D1206" s="10" t="inlineStr">
        <is>
          <t>GRI</t>
        </is>
      </c>
      <c r="E1206" s="10" t="inlineStr">
        <is>
          <t>Gestión de Continuidad del Negocio</t>
        </is>
      </c>
      <c r="F1206" s="10" t="inlineStr">
        <is>
          <t>-</t>
        </is>
      </c>
      <c r="G1206" s="10" t="inlineStr">
        <is>
          <t xml:space="preserve">Gestión Documental de Continuidad del Negocio  </t>
        </is>
      </c>
      <c r="H1206" s="10" t="inlineStr">
        <is>
          <t>Plan de Emergencia Ag. Pimampiro</t>
        </is>
      </c>
      <c r="I1206" s="10" t="inlineStr">
        <is>
          <t>Documento interno</t>
        </is>
      </c>
      <c r="J1206" s="10" t="inlineStr">
        <is>
          <t>GERENTE DE RIESGOS</t>
        </is>
      </c>
      <c r="K1206" s="10" t="inlineStr">
        <is>
          <t>ANALISTA DE RIESGO OPERATIVO</t>
        </is>
      </c>
      <c r="L1206" s="10" t="inlineStr">
        <is>
          <t>UBICACIÓN DIGITAL-EQUIPO DEL RESPONSABLE</t>
        </is>
      </c>
      <c r="M1206" s="10" t="inlineStr">
        <is>
          <t>DOCUMENTO DE ARCHIVO-ELECTRÓNICO</t>
        </is>
      </c>
      <c r="N1206" s="10" t="inlineStr">
        <is>
          <t>PRIMARIOS</t>
        </is>
      </c>
      <c r="O1206" s="10" t="inlineStr">
        <is>
          <t>DOCUMENTOS TÉCNICOS</t>
        </is>
      </c>
      <c r="P1206" s="10" t="inlineStr">
        <is>
          <t>PUBLICA(1)</t>
        </is>
      </c>
      <c r="Q1206" s="10" t="inlineStr">
        <is>
          <t>ALTA(3)</t>
        </is>
      </c>
      <c r="R1206" s="10" t="inlineStr">
        <is>
          <t>MEDIA(2)</t>
        </is>
      </c>
      <c r="S1206" s="10">
        <f>+(IF(P1206="PUBLICA(1)",1,IF(P1206="USO INTERNO(2)",2,IF(P1206="RESTRINGIDO(3)",3,3))))+(IF(Q1206="BAJA(1)",1,IF(Q1206="MEDIA(2)",2,IF(Q1206="ALTA(3)",3,3))))+(IF(R1206="BAJA(1)",1,IF(R1206="MEDIA(2)",2,IF(R1206="ALTA(3)",3,3))))</f>
        <v/>
      </c>
      <c r="T1206" s="10">
        <f>+IF(S1206&lt;6,"BAJA",IF(S1206&lt;8,"MEDIA","ALTA"))</f>
        <v/>
      </c>
      <c r="U1206" s="10" t="inlineStr">
        <is>
          <t>-</t>
        </is>
      </c>
      <c r="V1206" s="24" t="n">
        <v>45588</v>
      </c>
      <c r="W1206" s="19" t="inlineStr">
        <is>
          <t>N/A</t>
        </is>
      </c>
      <c r="X1206" s="10">
        <f>+IFERROR(IF(VLOOKUP(Tabla2[[#This Row],[ID]],'EVALUACION DE RIESGO'!A:A,1,FALSE)=Tabla2[[#This Row],[ID]],"SI","NO"),"NO")</f>
        <v/>
      </c>
    </row>
    <row r="1207">
      <c r="A1207" s="91" t="inlineStr">
        <is>
          <t>185-GRI</t>
        </is>
      </c>
      <c r="B1207" s="10" t="inlineStr">
        <is>
          <t>ESTRATÉGICO</t>
        </is>
      </c>
      <c r="C1207" s="10" t="inlineStr">
        <is>
          <t>Gestión de Riesgos</t>
        </is>
      </c>
      <c r="D1207" s="10" t="inlineStr">
        <is>
          <t>GRI</t>
        </is>
      </c>
      <c r="E1207" s="10" t="inlineStr">
        <is>
          <t>Gestión de Continuidad del Negocio</t>
        </is>
      </c>
      <c r="F1207" s="10" t="inlineStr">
        <is>
          <t>-</t>
        </is>
      </c>
      <c r="G1207" s="10" t="inlineStr">
        <is>
          <t xml:space="preserve">Gestión Documental de Continuidad del Negocio  </t>
        </is>
      </c>
      <c r="H1207" s="10" t="inlineStr">
        <is>
          <t>Plan de Emergencia Ag. Cotacachi</t>
        </is>
      </c>
      <c r="I1207" s="10" t="inlineStr">
        <is>
          <t>Documento interno</t>
        </is>
      </c>
      <c r="J1207" s="10" t="inlineStr">
        <is>
          <t>GERENTE DE RIESGOS</t>
        </is>
      </c>
      <c r="K1207" s="10" t="inlineStr">
        <is>
          <t>ANALISTA DE RIESGO OPERATIVO</t>
        </is>
      </c>
      <c r="L1207" s="10" t="inlineStr">
        <is>
          <t>UBICACIÓN DIGITAL-EQUIPO DEL RESPONSABLE</t>
        </is>
      </c>
      <c r="M1207" s="10" t="inlineStr">
        <is>
          <t>DOCUMENTO DE ARCHIVO-ELECTRÓNICO</t>
        </is>
      </c>
      <c r="N1207" s="10" t="inlineStr">
        <is>
          <t>PRIMARIOS</t>
        </is>
      </c>
      <c r="O1207" s="10" t="inlineStr">
        <is>
          <t>DOCUMENTOS TÉCNICOS</t>
        </is>
      </c>
      <c r="P1207" s="10" t="inlineStr">
        <is>
          <t>PUBLICA(1)</t>
        </is>
      </c>
      <c r="Q1207" s="10" t="inlineStr">
        <is>
          <t>ALTA(3)</t>
        </is>
      </c>
      <c r="R1207" s="10" t="inlineStr">
        <is>
          <t>MEDIA(2)</t>
        </is>
      </c>
      <c r="S1207" s="10">
        <f>+(IF(P1207="PUBLICA(1)",1,IF(P1207="USO INTERNO(2)",2,IF(P1207="RESTRINGIDO(3)",3,3))))+(IF(Q1207="BAJA(1)",1,IF(Q1207="MEDIA(2)",2,IF(Q1207="ALTA(3)",3,3))))+(IF(R1207="BAJA(1)",1,IF(R1207="MEDIA(2)",2,IF(R1207="ALTA(3)",3,3))))</f>
        <v/>
      </c>
      <c r="T1207" s="10">
        <f>+IF(S1207&lt;6,"BAJA",IF(S1207&lt;8,"MEDIA","ALTA"))</f>
        <v/>
      </c>
      <c r="U1207" s="10" t="inlineStr">
        <is>
          <t>-</t>
        </is>
      </c>
      <c r="V1207" s="24" t="n">
        <v>45588</v>
      </c>
      <c r="W1207" s="19" t="inlineStr">
        <is>
          <t>N/A</t>
        </is>
      </c>
      <c r="X1207" s="10">
        <f>+IFERROR(IF(VLOOKUP(Tabla2[[#This Row],[ID]],'EVALUACION DE RIESGO'!A:A,1,FALSE)=Tabla2[[#This Row],[ID]],"SI","NO"),"NO")</f>
        <v/>
      </c>
    </row>
    <row r="1208">
      <c r="A1208" s="91" t="inlineStr">
        <is>
          <t>186-GRI</t>
        </is>
      </c>
      <c r="B1208" s="10" t="inlineStr">
        <is>
          <t>ESTRATÉGICO</t>
        </is>
      </c>
      <c r="C1208" s="10" t="inlineStr">
        <is>
          <t>Gestión de Riesgos</t>
        </is>
      </c>
      <c r="D1208" s="10" t="inlineStr">
        <is>
          <t>GRI</t>
        </is>
      </c>
      <c r="E1208" s="10" t="inlineStr">
        <is>
          <t>Gestión de Continuidad del Negocio</t>
        </is>
      </c>
      <c r="F1208" s="10" t="inlineStr">
        <is>
          <t>-</t>
        </is>
      </c>
      <c r="G1208" s="10" t="inlineStr">
        <is>
          <t xml:space="preserve">Gestión Documental de Continuidad del Negocio  </t>
        </is>
      </c>
      <c r="H1208" s="10" t="inlineStr">
        <is>
          <t>Plan de Emergencia Ag. Ibarra</t>
        </is>
      </c>
      <c r="I1208" s="10" t="inlineStr">
        <is>
          <t>Documento interno</t>
        </is>
      </c>
      <c r="J1208" s="10" t="inlineStr">
        <is>
          <t>GERENTE DE RIESGOS</t>
        </is>
      </c>
      <c r="K1208" s="10" t="inlineStr">
        <is>
          <t>ANALISTA DE RIESGO OPERATIVO</t>
        </is>
      </c>
      <c r="L1208" s="10" t="inlineStr">
        <is>
          <t>UBICACIÓN DIGITAL-EQUIPO DEL RESPONSABLE</t>
        </is>
      </c>
      <c r="M1208" s="10" t="inlineStr">
        <is>
          <t>DOCUMENTO DE ARCHIVO-ELECTRÓNICO</t>
        </is>
      </c>
      <c r="N1208" s="10" t="inlineStr">
        <is>
          <t>PRIMARIOS</t>
        </is>
      </c>
      <c r="O1208" s="10" t="inlineStr">
        <is>
          <t>DOCUMENTOS TÉCNICOS</t>
        </is>
      </c>
      <c r="P1208" s="10" t="inlineStr">
        <is>
          <t>PUBLICA(1)</t>
        </is>
      </c>
      <c r="Q1208" s="10" t="inlineStr">
        <is>
          <t>ALTA(3)</t>
        </is>
      </c>
      <c r="R1208" s="10" t="inlineStr">
        <is>
          <t>MEDIA(2)</t>
        </is>
      </c>
      <c r="S1208" s="10">
        <f>+(IF(P1208="PUBLICA(1)",1,IF(P1208="USO INTERNO(2)",2,IF(P1208="RESTRINGIDO(3)",3,3))))+(IF(Q1208="BAJA(1)",1,IF(Q1208="MEDIA(2)",2,IF(Q1208="ALTA(3)",3,3))))+(IF(R1208="BAJA(1)",1,IF(R1208="MEDIA(2)",2,IF(R1208="ALTA(3)",3,3))))</f>
        <v/>
      </c>
      <c r="T1208" s="10">
        <f>+IF(S1208&lt;6,"BAJA",IF(S1208&lt;8,"MEDIA","ALTA"))</f>
        <v/>
      </c>
      <c r="U1208" s="10" t="inlineStr">
        <is>
          <t>-</t>
        </is>
      </c>
      <c r="V1208" s="24" t="n">
        <v>45588</v>
      </c>
      <c r="W1208" s="19" t="inlineStr">
        <is>
          <t>N/A</t>
        </is>
      </c>
      <c r="X1208" s="10">
        <f>+IFERROR(IF(VLOOKUP(Tabla2[[#This Row],[ID]],'EVALUACION DE RIESGO'!A:A,1,FALSE)=Tabla2[[#This Row],[ID]],"SI","NO"),"NO")</f>
        <v/>
      </c>
    </row>
    <row r="1209">
      <c r="A1209" s="91" t="inlineStr">
        <is>
          <t>187-GRI</t>
        </is>
      </c>
      <c r="B1209" s="10" t="inlineStr">
        <is>
          <t>ESTRATÉGICO</t>
        </is>
      </c>
      <c r="C1209" s="10" t="inlineStr">
        <is>
          <t>Gestión de Riesgos</t>
        </is>
      </c>
      <c r="D1209" s="10" t="inlineStr">
        <is>
          <t>GRI</t>
        </is>
      </c>
      <c r="E1209" s="10" t="inlineStr">
        <is>
          <t>Gestión de Continuidad del Negocio</t>
        </is>
      </c>
      <c r="F1209" s="10" t="inlineStr">
        <is>
          <t>-</t>
        </is>
      </c>
      <c r="G1209" s="10" t="inlineStr">
        <is>
          <t xml:space="preserve">Gestión Documental de Continuidad del Negocio  </t>
        </is>
      </c>
      <c r="H1209" s="10" t="inlineStr">
        <is>
          <t>Plan de Emergencia Ag. Ejido</t>
        </is>
      </c>
      <c r="I1209" s="10" t="inlineStr">
        <is>
          <t>Documento interno</t>
        </is>
      </c>
      <c r="J1209" s="10" t="inlineStr">
        <is>
          <t>GERENTE DE RIESGOS</t>
        </is>
      </c>
      <c r="K1209" s="10" t="inlineStr">
        <is>
          <t>ANALISTA DE RIESGO OPERATIVO</t>
        </is>
      </c>
      <c r="L1209" s="10" t="inlineStr">
        <is>
          <t>UBICACIÓN DIGITAL-EQUIPO DEL RESPONSABLE</t>
        </is>
      </c>
      <c r="M1209" s="10" t="inlineStr">
        <is>
          <t>DOCUMENTO DE ARCHIVO-ELECTRÓNICO</t>
        </is>
      </c>
      <c r="N1209" s="10" t="inlineStr">
        <is>
          <t>PRIMARIOS</t>
        </is>
      </c>
      <c r="O1209" s="10" t="inlineStr">
        <is>
          <t>DOCUMENTOS TÉCNICOS</t>
        </is>
      </c>
      <c r="P1209" s="10" t="inlineStr">
        <is>
          <t>PUBLICA(1)</t>
        </is>
      </c>
      <c r="Q1209" s="10" t="inlineStr">
        <is>
          <t>ALTA(3)</t>
        </is>
      </c>
      <c r="R1209" s="10" t="inlineStr">
        <is>
          <t>MEDIA(2)</t>
        </is>
      </c>
      <c r="S1209" s="10">
        <f>+(IF(P1209="PUBLICA(1)",1,IF(P1209="USO INTERNO(2)",2,IF(P1209="RESTRINGIDO(3)",3,3))))+(IF(Q1209="BAJA(1)",1,IF(Q1209="MEDIA(2)",2,IF(Q1209="ALTA(3)",3,3))))+(IF(R1209="BAJA(1)",1,IF(R1209="MEDIA(2)",2,IF(R1209="ALTA(3)",3,3))))</f>
        <v/>
      </c>
      <c r="T1209" s="10">
        <f>+IF(S1209&lt;6,"BAJA",IF(S1209&lt;8,"MEDIA","ALTA"))</f>
        <v/>
      </c>
      <c r="U1209" s="10" t="inlineStr">
        <is>
          <t>-</t>
        </is>
      </c>
      <c r="V1209" s="24" t="n">
        <v>45588</v>
      </c>
      <c r="W1209" s="19" t="inlineStr">
        <is>
          <t>N/A</t>
        </is>
      </c>
      <c r="X1209" s="10">
        <f>+IFERROR(IF(VLOOKUP(Tabla2[[#This Row],[ID]],'EVALUACION DE RIESGO'!A:A,1,FALSE)=Tabla2[[#This Row],[ID]],"SI","NO"),"NO")</f>
        <v/>
      </c>
    </row>
    <row r="1210">
      <c r="A1210" s="91" t="inlineStr">
        <is>
          <t>188-GRI</t>
        </is>
      </c>
      <c r="B1210" s="10" t="inlineStr">
        <is>
          <t>ESTRATÉGICO</t>
        </is>
      </c>
      <c r="C1210" s="10" t="inlineStr">
        <is>
          <t>Gestión de Riesgos</t>
        </is>
      </c>
      <c r="D1210" s="10" t="inlineStr">
        <is>
          <t>GRI</t>
        </is>
      </c>
      <c r="E1210" s="10" t="inlineStr">
        <is>
          <t>Gestión de Continuidad del Negocio</t>
        </is>
      </c>
      <c r="F1210" s="10" t="inlineStr">
        <is>
          <t>-</t>
        </is>
      </c>
      <c r="G1210" s="10" t="inlineStr">
        <is>
          <t xml:space="preserve">Gestión Documental de Continuidad del Negocio  </t>
        </is>
      </c>
      <c r="H1210" s="10" t="inlineStr">
        <is>
          <t>Plan de Emergencia Ag. Villaflora</t>
        </is>
      </c>
      <c r="I1210" s="10" t="inlineStr">
        <is>
          <t>Documento interno</t>
        </is>
      </c>
      <c r="J1210" s="10" t="inlineStr">
        <is>
          <t>GERENTE DE RIESGOS</t>
        </is>
      </c>
      <c r="K1210" s="10" t="inlineStr">
        <is>
          <t>ANALISTA DE RIESGO OPERATIVO</t>
        </is>
      </c>
      <c r="L1210" s="10" t="inlineStr">
        <is>
          <t>UBICACIÓN DIGITAL-EQUIPO DEL RESPONSABLE</t>
        </is>
      </c>
      <c r="M1210" s="10" t="inlineStr">
        <is>
          <t>DOCUMENTO DE ARCHIVO-ELECTRÓNICO</t>
        </is>
      </c>
      <c r="N1210" s="10" t="inlineStr">
        <is>
          <t>PRIMARIOS</t>
        </is>
      </c>
      <c r="O1210" s="10" t="inlineStr">
        <is>
          <t>DOCUMENTOS TÉCNICOS</t>
        </is>
      </c>
      <c r="P1210" s="10" t="inlineStr">
        <is>
          <t>PUBLICA(1)</t>
        </is>
      </c>
      <c r="Q1210" s="10" t="inlineStr">
        <is>
          <t>ALTA(3)</t>
        </is>
      </c>
      <c r="R1210" s="10" t="inlineStr">
        <is>
          <t>MEDIA(2)</t>
        </is>
      </c>
      <c r="S1210" s="10">
        <f>+(IF(P1210="PUBLICA(1)",1,IF(P1210="USO INTERNO(2)",2,IF(P1210="RESTRINGIDO(3)",3,3))))+(IF(Q1210="BAJA(1)",1,IF(Q1210="MEDIA(2)",2,IF(Q1210="ALTA(3)",3,3))))+(IF(R1210="BAJA(1)",1,IF(R1210="MEDIA(2)",2,IF(R1210="ALTA(3)",3,3))))</f>
        <v/>
      </c>
      <c r="T1210" s="10">
        <f>+IF(S1210&lt;6,"BAJA",IF(S1210&lt;8,"MEDIA","ALTA"))</f>
        <v/>
      </c>
      <c r="U1210" s="10" t="inlineStr">
        <is>
          <t>-</t>
        </is>
      </c>
      <c r="V1210" s="24" t="n">
        <v>45588</v>
      </c>
      <c r="W1210" s="19" t="inlineStr">
        <is>
          <t>N/A</t>
        </is>
      </c>
      <c r="X1210" s="10">
        <f>+IFERROR(IF(VLOOKUP(Tabla2[[#This Row],[ID]],'EVALUACION DE RIESGO'!A:A,1,FALSE)=Tabla2[[#This Row],[ID]],"SI","NO"),"NO")</f>
        <v/>
      </c>
    </row>
    <row r="1211">
      <c r="A1211" s="91" t="inlineStr">
        <is>
          <t>189-GRI</t>
        </is>
      </c>
      <c r="B1211" s="10" t="inlineStr">
        <is>
          <t>ESTRATÉGICO</t>
        </is>
      </c>
      <c r="C1211" s="10" t="inlineStr">
        <is>
          <t>Gestión de Riesgos</t>
        </is>
      </c>
      <c r="D1211" s="10" t="inlineStr">
        <is>
          <t>GRI</t>
        </is>
      </c>
      <c r="E1211" s="10" t="inlineStr">
        <is>
          <t>Gestión de Continuidad del Negocio</t>
        </is>
      </c>
      <c r="F1211" s="10" t="inlineStr">
        <is>
          <t>-</t>
        </is>
      </c>
      <c r="G1211" s="10" t="inlineStr">
        <is>
          <t xml:space="preserve">Gestión Documental de Continuidad del Negocio  </t>
        </is>
      </c>
      <c r="H1211" s="10" t="inlineStr">
        <is>
          <t>Plan de Emergencia Ag. Carapungo</t>
        </is>
      </c>
      <c r="I1211" s="10" t="inlineStr">
        <is>
          <t>Documento interno</t>
        </is>
      </c>
      <c r="J1211" s="10" t="inlineStr">
        <is>
          <t>GERENTE DE RIESGOS</t>
        </is>
      </c>
      <c r="K1211" s="10" t="inlineStr">
        <is>
          <t>ANALISTA DE RIESGO OPERATIVO</t>
        </is>
      </c>
      <c r="L1211" s="10" t="inlineStr">
        <is>
          <t>UBICACIÓN DIGITAL-EQUIPO DEL RESPONSABLE</t>
        </is>
      </c>
      <c r="M1211" s="10" t="inlineStr">
        <is>
          <t>DOCUMENTO DE ARCHIVO-ELECTRÓNICO</t>
        </is>
      </c>
      <c r="N1211" s="10" t="inlineStr">
        <is>
          <t>PRIMARIOS</t>
        </is>
      </c>
      <c r="O1211" s="10" t="inlineStr">
        <is>
          <t>DOCUMENTOS TÉCNICOS</t>
        </is>
      </c>
      <c r="P1211" s="10" t="inlineStr">
        <is>
          <t>PUBLICA(1)</t>
        </is>
      </c>
      <c r="Q1211" s="10" t="inlineStr">
        <is>
          <t>ALTA(3)</t>
        </is>
      </c>
      <c r="R1211" s="10" t="inlineStr">
        <is>
          <t>MEDIA(2)</t>
        </is>
      </c>
      <c r="S1211" s="10">
        <f>+(IF(P1211="PUBLICA(1)",1,IF(P1211="USO INTERNO(2)",2,IF(P1211="RESTRINGIDO(3)",3,3))))+(IF(Q1211="BAJA(1)",1,IF(Q1211="MEDIA(2)",2,IF(Q1211="ALTA(3)",3,3))))+(IF(R1211="BAJA(1)",1,IF(R1211="MEDIA(2)",2,IF(R1211="ALTA(3)",3,3))))</f>
        <v/>
      </c>
      <c r="T1211" s="10">
        <f>+IF(S1211&lt;6,"BAJA",IF(S1211&lt;8,"MEDIA","ALTA"))</f>
        <v/>
      </c>
      <c r="U1211" s="10" t="inlineStr">
        <is>
          <t>-</t>
        </is>
      </c>
      <c r="V1211" s="24" t="n">
        <v>45588</v>
      </c>
      <c r="W1211" s="19" t="inlineStr">
        <is>
          <t>N/A</t>
        </is>
      </c>
      <c r="X1211" s="10">
        <f>+IFERROR(IF(VLOOKUP(Tabla2[[#This Row],[ID]],'EVALUACION DE RIESGO'!A:A,1,FALSE)=Tabla2[[#This Row],[ID]],"SI","NO"),"NO")</f>
        <v/>
      </c>
    </row>
    <row r="1212">
      <c r="A1212" s="91" t="inlineStr">
        <is>
          <t>190-GRI</t>
        </is>
      </c>
      <c r="B1212" s="10" t="inlineStr">
        <is>
          <t>ESTRATÉGICO</t>
        </is>
      </c>
      <c r="C1212" s="10" t="inlineStr">
        <is>
          <t>Gestión de Riesgos</t>
        </is>
      </c>
      <c r="D1212" s="10" t="inlineStr">
        <is>
          <t>GRI</t>
        </is>
      </c>
      <c r="E1212" s="10" t="inlineStr">
        <is>
          <t>Gestión de Continuidad del Negocio</t>
        </is>
      </c>
      <c r="F1212" s="10" t="inlineStr">
        <is>
          <t>-</t>
        </is>
      </c>
      <c r="G1212" s="10" t="inlineStr">
        <is>
          <t xml:space="preserve">Gestión Documental de Continuidad del Negocio  </t>
        </is>
      </c>
      <c r="H1212" s="10" t="inlineStr">
        <is>
          <t>Plan de Emergencia Agencia Cayambe</t>
        </is>
      </c>
      <c r="I1212" s="10" t="inlineStr">
        <is>
          <t>Documento interno</t>
        </is>
      </c>
      <c r="J1212" s="10" t="inlineStr">
        <is>
          <t>GERENTE DE RIESGOS</t>
        </is>
      </c>
      <c r="K1212" s="10" t="inlineStr">
        <is>
          <t>ANALISTA DE RIESGO OPERATIVO</t>
        </is>
      </c>
      <c r="L1212" s="10" t="inlineStr">
        <is>
          <t>UBICACIÓN DIGITAL-EQUIPO DEL RESPONSABLE</t>
        </is>
      </c>
      <c r="M1212" s="10" t="inlineStr">
        <is>
          <t>DOCUMENTO DE ARCHIVO-ELECTRÓNICO</t>
        </is>
      </c>
      <c r="N1212" s="10" t="inlineStr">
        <is>
          <t>PRIMARIOS</t>
        </is>
      </c>
      <c r="O1212" s="10" t="inlineStr">
        <is>
          <t>DOCUMENTOS TÉCNICOS</t>
        </is>
      </c>
      <c r="P1212" s="10" t="inlineStr">
        <is>
          <t>PUBLICA(1)</t>
        </is>
      </c>
      <c r="Q1212" s="10" t="inlineStr">
        <is>
          <t>ALTA(3)</t>
        </is>
      </c>
      <c r="R1212" s="10" t="inlineStr">
        <is>
          <t>MEDIA(2)</t>
        </is>
      </c>
      <c r="S1212" s="10">
        <f>+(IF(P1212="PUBLICA(1)",1,IF(P1212="USO INTERNO(2)",2,IF(P1212="RESTRINGIDO(3)",3,3))))+(IF(Q1212="BAJA(1)",1,IF(Q1212="MEDIA(2)",2,IF(Q1212="ALTA(3)",3,3))))+(IF(R1212="BAJA(1)",1,IF(R1212="MEDIA(2)",2,IF(R1212="ALTA(3)",3,3))))</f>
        <v/>
      </c>
      <c r="T1212" s="10">
        <f>+IF(S1212&lt;6,"BAJA",IF(S1212&lt;8,"MEDIA","ALTA"))</f>
        <v/>
      </c>
      <c r="U1212" s="10" t="inlineStr">
        <is>
          <t>-</t>
        </is>
      </c>
      <c r="V1212" s="24" t="n">
        <v>45588</v>
      </c>
      <c r="W1212" s="19" t="inlineStr">
        <is>
          <t>N/A</t>
        </is>
      </c>
      <c r="X1212" s="10">
        <f>+IFERROR(IF(VLOOKUP(Tabla2[[#This Row],[ID]],'EVALUACION DE RIESGO'!A:A,1,FALSE)=Tabla2[[#This Row],[ID]],"SI","NO"),"NO")</f>
        <v/>
      </c>
    </row>
    <row r="1213">
      <c r="A1213" s="91" t="inlineStr">
        <is>
          <t>191-GRI</t>
        </is>
      </c>
      <c r="B1213" s="10" t="inlineStr">
        <is>
          <t>ESTRATÉGICO</t>
        </is>
      </c>
      <c r="C1213" s="10" t="inlineStr">
        <is>
          <t>Gestión de Riesgos</t>
        </is>
      </c>
      <c r="D1213" s="10" t="inlineStr">
        <is>
          <t>GRI</t>
        </is>
      </c>
      <c r="E1213" s="10" t="inlineStr">
        <is>
          <t>Gestión de Continuidad del Negocio</t>
        </is>
      </c>
      <c r="F1213" s="10" t="inlineStr">
        <is>
          <t>-</t>
        </is>
      </c>
      <c r="G1213" s="10" t="inlineStr">
        <is>
          <t xml:space="preserve">Gestión Documental de Continuidad del Negocio  </t>
        </is>
      </c>
      <c r="H1213" s="10" t="inlineStr">
        <is>
          <t>Plan de Emergencia Ag. Ambato</t>
        </is>
      </c>
      <c r="I1213" s="10" t="inlineStr">
        <is>
          <t>Documento interno</t>
        </is>
      </c>
      <c r="J1213" s="10" t="inlineStr">
        <is>
          <t>GERENTE DE RIESGOS</t>
        </is>
      </c>
      <c r="K1213" s="10" t="inlineStr">
        <is>
          <t>ANALISTA DE RIESGO OPERATIVO</t>
        </is>
      </c>
      <c r="L1213" s="10" t="inlineStr">
        <is>
          <t>UBICACIÓN DIGITAL-EQUIPO DEL RESPONSABLE</t>
        </is>
      </c>
      <c r="M1213" s="10" t="inlineStr">
        <is>
          <t>DOCUMENTO DE ARCHIVO-ELECTRÓNICO</t>
        </is>
      </c>
      <c r="N1213" s="10" t="inlineStr">
        <is>
          <t>PRIMARIOS</t>
        </is>
      </c>
      <c r="O1213" s="10" t="inlineStr">
        <is>
          <t>DOCUMENTOS TÉCNICOS</t>
        </is>
      </c>
      <c r="P1213" s="10" t="inlineStr">
        <is>
          <t>PUBLICA(1)</t>
        </is>
      </c>
      <c r="Q1213" s="10" t="inlineStr">
        <is>
          <t>ALTA(3)</t>
        </is>
      </c>
      <c r="R1213" s="10" t="inlineStr">
        <is>
          <t>MEDIA(2)</t>
        </is>
      </c>
      <c r="S1213" s="10">
        <f>+(IF(P1213="PUBLICA(1)",1,IF(P1213="USO INTERNO(2)",2,IF(P1213="RESTRINGIDO(3)",3,3))))+(IF(Q1213="BAJA(1)",1,IF(Q1213="MEDIA(2)",2,IF(Q1213="ALTA(3)",3,3))))+(IF(R1213="BAJA(1)",1,IF(R1213="MEDIA(2)",2,IF(R1213="ALTA(3)",3,3))))</f>
        <v/>
      </c>
      <c r="T1213" s="10">
        <f>+IF(S1213&lt;6,"BAJA",IF(S1213&lt;8,"MEDIA","ALTA"))</f>
        <v/>
      </c>
      <c r="U1213" s="10" t="inlineStr">
        <is>
          <t>-</t>
        </is>
      </c>
      <c r="V1213" s="24" t="n">
        <v>45588</v>
      </c>
      <c r="W1213" s="19" t="inlineStr">
        <is>
          <t>N/A</t>
        </is>
      </c>
      <c r="X1213" s="10">
        <f>+IFERROR(IF(VLOOKUP(Tabla2[[#This Row],[ID]],'EVALUACION DE RIESGO'!A:A,1,FALSE)=Tabla2[[#This Row],[ID]],"SI","NO"),"NO")</f>
        <v/>
      </c>
    </row>
    <row r="1214">
      <c r="A1214" s="91" t="inlineStr">
        <is>
          <t>192-GRI</t>
        </is>
      </c>
      <c r="B1214" s="10" t="inlineStr">
        <is>
          <t>ESTRATÉGICO</t>
        </is>
      </c>
      <c r="C1214" s="10" t="inlineStr">
        <is>
          <t>Gestión de Riesgos</t>
        </is>
      </c>
      <c r="D1214" s="10" t="inlineStr">
        <is>
          <t>GRI</t>
        </is>
      </c>
      <c r="E1214" s="10" t="inlineStr">
        <is>
          <t>Gestión de Continuidad del Negocio</t>
        </is>
      </c>
      <c r="F1214" s="10" t="inlineStr">
        <is>
          <t>-</t>
        </is>
      </c>
      <c r="G1214" s="10" t="inlineStr">
        <is>
          <t xml:space="preserve">Gestión Documental de Continuidad del Negocio  </t>
        </is>
      </c>
      <c r="H1214" s="10" t="inlineStr">
        <is>
          <t>Plan de Viabilidad</t>
        </is>
      </c>
      <c r="I1214" s="10" t="inlineStr">
        <is>
          <t>Documento interno</t>
        </is>
      </c>
      <c r="J1214" s="10" t="inlineStr">
        <is>
          <t>GERENTE DE RIESGOS</t>
        </is>
      </c>
      <c r="K1214" s="10" t="inlineStr">
        <is>
          <t>ANALISTA DE RIESGO OPERATIVO</t>
        </is>
      </c>
      <c r="L1214" s="10" t="inlineStr">
        <is>
          <t>UBICACIÓN DIGITAL-EQUIPO DEL RESPONSABLE</t>
        </is>
      </c>
      <c r="M1214" s="10" t="inlineStr">
        <is>
          <t>DOCUMENTO DE ARCHIVO-ELECTRÓNICO</t>
        </is>
      </c>
      <c r="N1214" s="10" t="inlineStr">
        <is>
          <t>PRIMARIOS</t>
        </is>
      </c>
      <c r="O1214" s="10" t="inlineStr">
        <is>
          <t>DOCUMENTOS TÉCNICOS</t>
        </is>
      </c>
      <c r="P1214" s="10" t="inlineStr">
        <is>
          <t>PUBLICA(1)</t>
        </is>
      </c>
      <c r="Q1214" s="10" t="inlineStr">
        <is>
          <t>ALTA(3)</t>
        </is>
      </c>
      <c r="R1214" s="10" t="inlineStr">
        <is>
          <t>MEDIA(2)</t>
        </is>
      </c>
      <c r="S1214" s="10">
        <f>+(IF(P1214="PUBLICA(1)",1,IF(P1214="USO INTERNO(2)",2,IF(P1214="RESTRINGIDO(3)",3,3))))+(IF(Q1214="BAJA(1)",1,IF(Q1214="MEDIA(2)",2,IF(Q1214="ALTA(3)",3,3))))+(IF(R1214="BAJA(1)",1,IF(R1214="MEDIA(2)",2,IF(R1214="ALTA(3)",3,3))))</f>
        <v/>
      </c>
      <c r="T1214" s="10">
        <f>+IF(S1214&lt;6,"BAJA",IF(S1214&lt;8,"MEDIA","ALTA"))</f>
        <v/>
      </c>
      <c r="U1214" s="10" t="inlineStr">
        <is>
          <t>-</t>
        </is>
      </c>
      <c r="V1214" s="24" t="n">
        <v>45588</v>
      </c>
      <c r="W1214" s="19" t="inlineStr">
        <is>
          <t>N/A</t>
        </is>
      </c>
      <c r="X1214" s="10">
        <f>+IFERROR(IF(VLOOKUP(Tabla2[[#This Row],[ID]],'EVALUACION DE RIESGO'!A:A,1,FALSE)=Tabla2[[#This Row],[ID]],"SI","NO"),"NO")</f>
        <v/>
      </c>
    </row>
    <row r="1215">
      <c r="A1215" s="91" t="inlineStr">
        <is>
          <t>193-GRI</t>
        </is>
      </c>
      <c r="B1215" s="10" t="inlineStr">
        <is>
          <t>ESTRATÉGICO</t>
        </is>
      </c>
      <c r="C1215" s="10" t="inlineStr">
        <is>
          <t>Gestión de Riesgos</t>
        </is>
      </c>
      <c r="D1215" s="10" t="inlineStr">
        <is>
          <t>GRI</t>
        </is>
      </c>
      <c r="E1215" s="10" t="inlineStr">
        <is>
          <t>Gestión de Continuidad del Negocio</t>
        </is>
      </c>
      <c r="F1215" s="10" t="inlineStr">
        <is>
          <t>-</t>
        </is>
      </c>
      <c r="G1215" s="10" t="inlineStr">
        <is>
          <t xml:space="preserve">Gestión Documental de Continuidad del Negocio  </t>
        </is>
      </c>
      <c r="H1215" s="10" t="inlineStr">
        <is>
          <t>Plan de Acción Fenómeno de "El Niño"</t>
        </is>
      </c>
      <c r="I1215" s="10" t="inlineStr">
        <is>
          <t>Documento interno</t>
        </is>
      </c>
      <c r="J1215" s="10" t="inlineStr">
        <is>
          <t>GERENTE DE RIESGOS</t>
        </is>
      </c>
      <c r="K1215" s="10" t="inlineStr">
        <is>
          <t>ANALISTA DE RIESGO OPERATIVO</t>
        </is>
      </c>
      <c r="L1215" s="10" t="inlineStr">
        <is>
          <t>UBICACIÓN DIGITAL-EQUIPO DEL RESPONSABLE</t>
        </is>
      </c>
      <c r="M1215" s="10" t="inlineStr">
        <is>
          <t>DOCUMENTO DE ARCHIVO-ELECTRÓNICO</t>
        </is>
      </c>
      <c r="N1215" s="10" t="inlineStr">
        <is>
          <t>PRIMARIOS</t>
        </is>
      </c>
      <c r="O1215" s="10" t="inlineStr">
        <is>
          <t>DOCUMENTOS TÉCNICOS</t>
        </is>
      </c>
      <c r="P1215" s="10" t="inlineStr">
        <is>
          <t>PUBLICA(1)</t>
        </is>
      </c>
      <c r="Q1215" s="10" t="inlineStr">
        <is>
          <t>ALTA(3)</t>
        </is>
      </c>
      <c r="R1215" s="10" t="inlineStr">
        <is>
          <t>MEDIA(2)</t>
        </is>
      </c>
      <c r="S1215" s="10">
        <f>+(IF(P1215="PUBLICA(1)",1,IF(P1215="USO INTERNO(2)",2,IF(P1215="RESTRINGIDO(3)",3,3))))+(IF(Q1215="BAJA(1)",1,IF(Q1215="MEDIA(2)",2,IF(Q1215="ALTA(3)",3,3))))+(IF(R1215="BAJA(1)",1,IF(R1215="MEDIA(2)",2,IF(R1215="ALTA(3)",3,3))))</f>
        <v/>
      </c>
      <c r="T1215" s="10">
        <f>+IF(S1215&lt;6,"BAJA",IF(S1215&lt;8,"MEDIA","ALTA"))</f>
        <v/>
      </c>
      <c r="U1215" s="10" t="inlineStr">
        <is>
          <t>-</t>
        </is>
      </c>
      <c r="V1215" s="24" t="n">
        <v>45588</v>
      </c>
      <c r="W1215" s="19" t="inlineStr">
        <is>
          <t>N/A</t>
        </is>
      </c>
      <c r="X1215" s="10">
        <f>+IFERROR(IF(VLOOKUP(Tabla2[[#This Row],[ID]],'EVALUACION DE RIESGO'!A:A,1,FALSE)=Tabla2[[#This Row],[ID]],"SI","NO"),"NO")</f>
        <v/>
      </c>
    </row>
    <row r="1216">
      <c r="A1216" s="91" t="inlineStr">
        <is>
          <t>194-GRI</t>
        </is>
      </c>
      <c r="B1216" s="10" t="inlineStr">
        <is>
          <t>ESTRATÉGICO</t>
        </is>
      </c>
      <c r="C1216" s="10" t="inlineStr">
        <is>
          <t>Gestión de Riesgos</t>
        </is>
      </c>
      <c r="D1216" s="10" t="inlineStr">
        <is>
          <t>GRI</t>
        </is>
      </c>
      <c r="E1216" s="10" t="inlineStr">
        <is>
          <t>Gestión de Continuidad del Negocio</t>
        </is>
      </c>
      <c r="F1216" s="10" t="inlineStr">
        <is>
          <t>-</t>
        </is>
      </c>
      <c r="G1216" s="10" t="inlineStr">
        <is>
          <t xml:space="preserve">Gestión Documental de Continuidad del Negocio  </t>
        </is>
      </c>
      <c r="H1216" s="10" t="inlineStr">
        <is>
          <t>Matriz de Actualización de documentos de la Gestión de Continuidad</t>
        </is>
      </c>
      <c r="I1216" s="10" t="inlineStr">
        <is>
          <t>Resumen de la planificacion de CN</t>
        </is>
      </c>
      <c r="J1216" s="10" t="inlineStr">
        <is>
          <t>GERENTE DE RIESGOS</t>
        </is>
      </c>
      <c r="K1216" s="10" t="inlineStr">
        <is>
          <t>ANALISTA DE RIESGO OPERATIVO</t>
        </is>
      </c>
      <c r="L1216" s="10" t="inlineStr">
        <is>
          <t>UBICACIÓN DIGITAL-EQUIPO DEL RESPONSABLE</t>
        </is>
      </c>
      <c r="M1216" s="10" t="inlineStr">
        <is>
          <t>DOCUMENTO DE ARCHIVO-ELECTRÓNICO</t>
        </is>
      </c>
      <c r="N1216" s="10" t="inlineStr">
        <is>
          <t>PRIMARIOS</t>
        </is>
      </c>
      <c r="O1216" s="10" t="inlineStr">
        <is>
          <t>DOCUMENTOS TÉCNICOS</t>
        </is>
      </c>
      <c r="P1216" s="10" t="inlineStr">
        <is>
          <t>PUBLICA(1)</t>
        </is>
      </c>
      <c r="Q1216" s="10" t="inlineStr">
        <is>
          <t>ALTA(3)</t>
        </is>
      </c>
      <c r="R1216" s="10" t="inlineStr">
        <is>
          <t>MEDIA(2)</t>
        </is>
      </c>
      <c r="S1216" s="10">
        <f>+(IF(P1216="PUBLICA(1)",1,IF(P1216="USO INTERNO(2)",2,IF(P1216="RESTRINGIDO(3)",3,3))))+(IF(Q1216="BAJA(1)",1,IF(Q1216="MEDIA(2)",2,IF(Q1216="ALTA(3)",3,3))))+(IF(R1216="BAJA(1)",1,IF(R1216="MEDIA(2)",2,IF(R1216="ALTA(3)",3,3))))</f>
        <v/>
      </c>
      <c r="T1216" s="10">
        <f>+IF(S1216&lt;6,"BAJA",IF(S1216&lt;8,"MEDIA","ALTA"))</f>
        <v/>
      </c>
      <c r="U1216" s="10" t="inlineStr">
        <is>
          <t>-</t>
        </is>
      </c>
      <c r="V1216" s="24" t="n">
        <v>45588</v>
      </c>
      <c r="W1216" s="19" t="inlineStr">
        <is>
          <t>N/A</t>
        </is>
      </c>
      <c r="X1216" s="10">
        <f>+IFERROR(IF(VLOOKUP(Tabla2[[#This Row],[ID]],'EVALUACION DE RIESGO'!A:A,1,FALSE)=Tabla2[[#This Row],[ID]],"SI","NO"),"NO")</f>
        <v/>
      </c>
    </row>
    <row r="1217">
      <c r="A1217" s="91" t="inlineStr">
        <is>
          <t>195-GRI</t>
        </is>
      </c>
      <c r="B1217" s="10" t="inlineStr">
        <is>
          <t>ESTRATÉGICO</t>
        </is>
      </c>
      <c r="C1217" s="10" t="inlineStr">
        <is>
          <t>Gestión de Riesgos</t>
        </is>
      </c>
      <c r="D1217" s="10" t="inlineStr">
        <is>
          <t>GRI</t>
        </is>
      </c>
      <c r="E1217" s="10" t="inlineStr">
        <is>
          <t>Gestión de Continuidad del Negocio</t>
        </is>
      </c>
      <c r="F1217" s="10" t="inlineStr">
        <is>
          <t>-</t>
        </is>
      </c>
      <c r="G1217" s="10" t="inlineStr">
        <is>
          <t xml:space="preserve">Pruebas y mantenimiento del Plan                                                                 </t>
        </is>
      </c>
      <c r="H1217" s="10" t="inlineStr">
        <is>
          <t>Cronograma sobre la planificación de la actualización de los documentos de continuidad del Negocio.</t>
        </is>
      </c>
      <c r="I1217" s="10" t="inlineStr">
        <is>
          <t>Resumen de la planificacion de CN</t>
        </is>
      </c>
      <c r="J1217" s="10" t="inlineStr">
        <is>
          <t>GERENTE DE RIESGOS</t>
        </is>
      </c>
      <c r="K1217" s="10" t="inlineStr">
        <is>
          <t>ANALISTA DE RIESGO OPERATIVO</t>
        </is>
      </c>
      <c r="L1217" s="10" t="inlineStr">
        <is>
          <t>UBICACIÓN DIGITAL-EQUIPO DEL RESPONSABLE</t>
        </is>
      </c>
      <c r="M1217" s="10" t="inlineStr">
        <is>
          <t>DOCUMENTO DE ARCHIVO-ELECTRÓNICO</t>
        </is>
      </c>
      <c r="N1217" s="10" t="inlineStr">
        <is>
          <t>PRIMARIOS</t>
        </is>
      </c>
      <c r="O1217" s="10" t="inlineStr">
        <is>
          <t>DOCUMENTOS TÉCNICOS</t>
        </is>
      </c>
      <c r="P1217" s="10" t="inlineStr">
        <is>
          <t>PUBLICA(1)</t>
        </is>
      </c>
      <c r="Q1217" s="10" t="inlineStr">
        <is>
          <t>ALTA(3)</t>
        </is>
      </c>
      <c r="R1217" s="10" t="inlineStr">
        <is>
          <t>MEDIA(2)</t>
        </is>
      </c>
      <c r="S1217" s="10">
        <f>+(IF(P1217="PUBLICA(1)",1,IF(P1217="USO INTERNO(2)",2,IF(P1217="RESTRINGIDO(3)",3,3))))+(IF(Q1217="BAJA(1)",1,IF(Q1217="MEDIA(2)",2,IF(Q1217="ALTA(3)",3,3))))+(IF(R1217="BAJA(1)",1,IF(R1217="MEDIA(2)",2,IF(R1217="ALTA(3)",3,3))))</f>
        <v/>
      </c>
      <c r="T1217" s="10">
        <f>+IF(S1217&lt;6,"BAJA",IF(S1217&lt;8,"MEDIA","ALTA"))</f>
        <v/>
      </c>
      <c r="U1217" s="10" t="inlineStr">
        <is>
          <t>-</t>
        </is>
      </c>
      <c r="V1217" s="24" t="n">
        <v>45588</v>
      </c>
      <c r="W1217" s="19" t="inlineStr">
        <is>
          <t>N/A</t>
        </is>
      </c>
      <c r="X1217" s="10">
        <f>+IFERROR(IF(VLOOKUP(Tabla2[[#This Row],[ID]],'EVALUACION DE RIESGO'!A:A,1,FALSE)=Tabla2[[#This Row],[ID]],"SI","NO"),"NO")</f>
        <v/>
      </c>
    </row>
    <row r="1218">
      <c r="A1218" s="91" t="inlineStr">
        <is>
          <t>196-GRI</t>
        </is>
      </c>
      <c r="B1218" s="10" t="inlineStr">
        <is>
          <t>ESTRATÉGICO</t>
        </is>
      </c>
      <c r="C1218" s="10" t="inlineStr">
        <is>
          <t>Gestión de Riesgos</t>
        </is>
      </c>
      <c r="D1218" s="10" t="inlineStr">
        <is>
          <t>GRI</t>
        </is>
      </c>
      <c r="E1218" s="10" t="inlineStr">
        <is>
          <t>Gestión de Continuidad del Negocio</t>
        </is>
      </c>
      <c r="F1218" s="10" t="inlineStr">
        <is>
          <t>-</t>
        </is>
      </c>
      <c r="G1218" s="10" t="inlineStr">
        <is>
          <t xml:space="preserve">Pruebas y mantenimiento del Plan                                                                 </t>
        </is>
      </c>
      <c r="H1218" s="10" t="inlineStr">
        <is>
          <t>Cronograma de pruebas de Continuidad del Negocio</t>
        </is>
      </c>
      <c r="I1218" s="10" t="inlineStr">
        <is>
          <t>Resumen de la planificacion de CN</t>
        </is>
      </c>
      <c r="J1218" s="10" t="inlineStr">
        <is>
          <t>GERENTE DE RIESGOS</t>
        </is>
      </c>
      <c r="K1218" s="10" t="inlineStr">
        <is>
          <t>ANALISTA DE RIESGO OPERATIVO</t>
        </is>
      </c>
      <c r="L1218" s="10" t="inlineStr">
        <is>
          <t>UBICACIÓN DIGITAL-EQUIPO DEL RESPONSABLE</t>
        </is>
      </c>
      <c r="M1218" s="10" t="inlineStr">
        <is>
          <t>DOCUMENTO DE ARCHIVO-ELECTRÓNICO</t>
        </is>
      </c>
      <c r="N1218" s="10" t="inlineStr">
        <is>
          <t>PRIMARIOS</t>
        </is>
      </c>
      <c r="O1218" s="10" t="inlineStr">
        <is>
          <t>DOCUMENTOS TÉCNICOS</t>
        </is>
      </c>
      <c r="P1218" s="10" t="inlineStr">
        <is>
          <t>PUBLICA(1)</t>
        </is>
      </c>
      <c r="Q1218" s="10" t="inlineStr">
        <is>
          <t>ALTA(3)</t>
        </is>
      </c>
      <c r="R1218" s="10" t="inlineStr">
        <is>
          <t>MEDIA(2)</t>
        </is>
      </c>
      <c r="S1218" s="10">
        <f>+(IF(P1218="PUBLICA(1)",1,IF(P1218="USO INTERNO(2)",2,IF(P1218="RESTRINGIDO(3)",3,3))))+(IF(Q1218="BAJA(1)",1,IF(Q1218="MEDIA(2)",2,IF(Q1218="ALTA(3)",3,3))))+(IF(R1218="BAJA(1)",1,IF(R1218="MEDIA(2)",2,IF(R1218="ALTA(3)",3,3))))</f>
        <v/>
      </c>
      <c r="T1218" s="10">
        <f>+IF(S1218&lt;6,"BAJA",IF(S1218&lt;8,"MEDIA","ALTA"))</f>
        <v/>
      </c>
      <c r="U1218" s="10" t="inlineStr">
        <is>
          <t>-</t>
        </is>
      </c>
      <c r="V1218" s="24" t="n">
        <v>45588</v>
      </c>
      <c r="W1218" s="19" t="inlineStr">
        <is>
          <t>N/A</t>
        </is>
      </c>
      <c r="X1218" s="10">
        <f>+IFERROR(IF(VLOOKUP(Tabla2[[#This Row],[ID]],'EVALUACION DE RIESGO'!A:A,1,FALSE)=Tabla2[[#This Row],[ID]],"SI","NO"),"NO")</f>
        <v/>
      </c>
    </row>
    <row r="1219">
      <c r="A1219" s="91" t="inlineStr">
        <is>
          <t>197-GRI</t>
        </is>
      </c>
      <c r="B1219" s="10" t="inlineStr">
        <is>
          <t>ESTRATÉGICO</t>
        </is>
      </c>
      <c r="C1219" s="10" t="inlineStr">
        <is>
          <t>Gestión de Riesgos</t>
        </is>
      </c>
      <c r="D1219" s="10" t="inlineStr">
        <is>
          <t>GRI</t>
        </is>
      </c>
      <c r="E1219" s="10" t="inlineStr">
        <is>
          <t>Gestión de Continuidad del Negocio</t>
        </is>
      </c>
      <c r="F1219" s="10" t="inlineStr">
        <is>
          <t>-</t>
        </is>
      </c>
      <c r="G1219" s="10" t="inlineStr">
        <is>
          <t xml:space="preserve">Pruebas y mantenimiento del Plan                                                                 </t>
        </is>
      </c>
      <c r="H1219" s="10" t="inlineStr">
        <is>
          <t xml:space="preserve">Certificación de Consejo de Administración </t>
        </is>
      </c>
      <c r="I1219" s="10" t="inlineStr">
        <is>
          <t>Documento certificado</t>
        </is>
      </c>
      <c r="J1219" s="10" t="inlineStr">
        <is>
          <t>GERENTE DE RIESGOS</t>
        </is>
      </c>
      <c r="K1219" s="10" t="inlineStr">
        <is>
          <t>ANALISTA DE RIESGO OPERATIVO</t>
        </is>
      </c>
      <c r="L1219" s="10" t="inlineStr">
        <is>
          <t>UBICACIÓN DIGITAL-EQUIPO DEL RESPONSABLE</t>
        </is>
      </c>
      <c r="M1219" s="10" t="inlineStr">
        <is>
          <t>DOCUMENTO DE ARCHIVO-ELECTRÓNICO</t>
        </is>
      </c>
      <c r="N1219" s="10" t="inlineStr">
        <is>
          <t>PRIMARIOS</t>
        </is>
      </c>
      <c r="O1219" s="10" t="inlineStr">
        <is>
          <t>DOCUMENTOS TÉCNICOS</t>
        </is>
      </c>
      <c r="P1219" s="10" t="inlineStr">
        <is>
          <t>PUBLICA(1)</t>
        </is>
      </c>
      <c r="Q1219" s="10" t="inlineStr">
        <is>
          <t>ALTA(3)</t>
        </is>
      </c>
      <c r="R1219" s="10" t="inlineStr">
        <is>
          <t>MEDIA(2)</t>
        </is>
      </c>
      <c r="S1219" s="10">
        <f>+(IF(P1219="PUBLICA(1)",1,IF(P1219="USO INTERNO(2)",2,IF(P1219="RESTRINGIDO(3)",3,3))))+(IF(Q1219="BAJA(1)",1,IF(Q1219="MEDIA(2)",2,IF(Q1219="ALTA(3)",3,3))))+(IF(R1219="BAJA(1)",1,IF(R1219="MEDIA(2)",2,IF(R1219="ALTA(3)",3,3))))</f>
        <v/>
      </c>
      <c r="T1219" s="10">
        <f>+IF(S1219&lt;6,"BAJA",IF(S1219&lt;8,"MEDIA","ALTA"))</f>
        <v/>
      </c>
      <c r="U1219" s="10" t="inlineStr">
        <is>
          <t>-</t>
        </is>
      </c>
      <c r="V1219" s="24" t="n">
        <v>45588</v>
      </c>
      <c r="W1219" s="19" t="inlineStr">
        <is>
          <t>N/A</t>
        </is>
      </c>
      <c r="X1219" s="10">
        <f>+IFERROR(IF(VLOOKUP(Tabla2[[#This Row],[ID]],'EVALUACION DE RIESGO'!A:A,1,FALSE)=Tabla2[[#This Row],[ID]],"SI","NO"),"NO")</f>
        <v/>
      </c>
    </row>
    <row r="1220">
      <c r="A1220" s="91" t="inlineStr">
        <is>
          <t>198-GRI</t>
        </is>
      </c>
      <c r="B1220" s="10" t="inlineStr">
        <is>
          <t>ESTRATÉGICO</t>
        </is>
      </c>
      <c r="C1220" s="10" t="inlineStr">
        <is>
          <t>Gestión de Riesgos</t>
        </is>
      </c>
      <c r="D1220" s="10" t="inlineStr">
        <is>
          <t>GRI</t>
        </is>
      </c>
      <c r="E1220" s="10" t="inlineStr">
        <is>
          <t>Gestión de Continuidad del Negocio</t>
        </is>
      </c>
      <c r="F1220" s="10" t="inlineStr">
        <is>
          <t>-</t>
        </is>
      </c>
      <c r="G1220" s="10" t="inlineStr">
        <is>
          <t>Difusión y Concientización</t>
        </is>
      </c>
      <c r="H1220" s="10" t="inlineStr">
        <is>
          <t>Cronograma de capacitación</t>
        </is>
      </c>
      <c r="I1220" s="10" t="inlineStr">
        <is>
          <t>Resumen de la planificacion de CN</t>
        </is>
      </c>
      <c r="J1220" s="10" t="inlineStr">
        <is>
          <t>GERENTE DE RIESGOS</t>
        </is>
      </c>
      <c r="K1220" s="10" t="inlineStr">
        <is>
          <t>ANALISTA DE RIESGO OPERATIVO</t>
        </is>
      </c>
      <c r="L1220" s="10" t="inlineStr">
        <is>
          <t>UBICACIÓN DIGITAL-EQUIPO DEL RESPONSABLE</t>
        </is>
      </c>
      <c r="M1220" s="10" t="inlineStr">
        <is>
          <t>DOCUMENTO DE ARCHIVO-ELECTRÓNICO</t>
        </is>
      </c>
      <c r="N1220" s="10" t="inlineStr">
        <is>
          <t>PRIMARIOS</t>
        </is>
      </c>
      <c r="O1220" s="10" t="inlineStr">
        <is>
          <t>DOCUMENTOS TÉCNICOS</t>
        </is>
      </c>
      <c r="P1220" s="10" t="inlineStr">
        <is>
          <t>PUBLICA(1)</t>
        </is>
      </c>
      <c r="Q1220" s="10" t="inlineStr">
        <is>
          <t>ALTA(3)</t>
        </is>
      </c>
      <c r="R1220" s="10" t="inlineStr">
        <is>
          <t>MEDIA(2)</t>
        </is>
      </c>
      <c r="S1220" s="10">
        <f>+(IF(P1220="PUBLICA(1)",1,IF(P1220="USO INTERNO(2)",2,IF(P1220="RESTRINGIDO(3)",3,3))))+(IF(Q1220="BAJA(1)",1,IF(Q1220="MEDIA(2)",2,IF(Q1220="ALTA(3)",3,3))))+(IF(R1220="BAJA(1)",1,IF(R1220="MEDIA(2)",2,IF(R1220="ALTA(3)",3,3))))</f>
        <v/>
      </c>
      <c r="T1220" s="10">
        <f>+IF(S1220&lt;6,"BAJA",IF(S1220&lt;8,"MEDIA","ALTA"))</f>
        <v/>
      </c>
      <c r="U1220" s="10" t="inlineStr">
        <is>
          <t>-</t>
        </is>
      </c>
      <c r="V1220" s="24" t="n">
        <v>45588</v>
      </c>
      <c r="W1220" s="19" t="inlineStr">
        <is>
          <t>N/A</t>
        </is>
      </c>
      <c r="X1220" s="10">
        <f>+IFERROR(IF(VLOOKUP(Tabla2[[#This Row],[ID]],'EVALUACION DE RIESGO'!A:A,1,FALSE)=Tabla2[[#This Row],[ID]],"SI","NO"),"NO")</f>
        <v/>
      </c>
    </row>
    <row r="1221">
      <c r="A1221" s="91" t="inlineStr">
        <is>
          <t>199-GRI</t>
        </is>
      </c>
      <c r="B1221" s="10" t="inlineStr">
        <is>
          <t>ESTRATÉGICO</t>
        </is>
      </c>
      <c r="C1221" s="10" t="inlineStr">
        <is>
          <t>Gestión de Riesgos</t>
        </is>
      </c>
      <c r="D1221" s="10" t="inlineStr">
        <is>
          <t>GRI</t>
        </is>
      </c>
      <c r="E1221" s="10" t="inlineStr">
        <is>
          <t>Gestión de Continuidad del Negocio</t>
        </is>
      </c>
      <c r="F1221" s="10" t="inlineStr">
        <is>
          <t>-</t>
        </is>
      </c>
      <c r="G1221" s="10" t="inlineStr">
        <is>
          <t>Difusión y Concientización</t>
        </is>
      </c>
      <c r="H1221" s="10" t="inlineStr">
        <is>
          <t>Evaluación de continuidad del negocio</t>
        </is>
      </c>
      <c r="I1221" s="10" t="inlineStr">
        <is>
          <t>Informe de la Planificación CN</t>
        </is>
      </c>
      <c r="J1221" s="10" t="inlineStr">
        <is>
          <t>GERENTE DE RIESGOS</t>
        </is>
      </c>
      <c r="K1221" s="10" t="inlineStr">
        <is>
          <t>ANALISTA DE RIESGO OPERATIVO</t>
        </is>
      </c>
      <c r="L1221" s="10" t="inlineStr">
        <is>
          <t>UBICACIÓN DIGITAL-EQUIPO DEL RESPONSABLE</t>
        </is>
      </c>
      <c r="M1221" s="10" t="inlineStr">
        <is>
          <t>DOCUMENTO DE ARCHIVO-ELECTRÓNICO</t>
        </is>
      </c>
      <c r="N1221" s="10" t="inlineStr">
        <is>
          <t>PRIMARIOS</t>
        </is>
      </c>
      <c r="O1221" s="10" t="inlineStr">
        <is>
          <t>DOCUMENTOS TÉCNICOS</t>
        </is>
      </c>
      <c r="P1221" s="10" t="inlineStr">
        <is>
          <t>PUBLICA(1)</t>
        </is>
      </c>
      <c r="Q1221" s="10" t="inlineStr">
        <is>
          <t>ALTA(3)</t>
        </is>
      </c>
      <c r="R1221" s="10" t="inlineStr">
        <is>
          <t>MEDIA(2)</t>
        </is>
      </c>
      <c r="S1221" s="10">
        <f>+(IF(P1221="PUBLICA(1)",1,IF(P1221="USO INTERNO(2)",2,IF(P1221="RESTRINGIDO(3)",3,3))))+(IF(Q1221="BAJA(1)",1,IF(Q1221="MEDIA(2)",2,IF(Q1221="ALTA(3)",3,3))))+(IF(R1221="BAJA(1)",1,IF(R1221="MEDIA(2)",2,IF(R1221="ALTA(3)",3,3))))</f>
        <v/>
      </c>
      <c r="T1221" s="10">
        <f>+IF(S1221&lt;6,"BAJA",IF(S1221&lt;8,"MEDIA","ALTA"))</f>
        <v/>
      </c>
      <c r="U1221" s="10" t="inlineStr">
        <is>
          <t>-</t>
        </is>
      </c>
      <c r="V1221" s="24" t="n">
        <v>45588</v>
      </c>
      <c r="W1221" s="19" t="inlineStr">
        <is>
          <t>N/A</t>
        </is>
      </c>
      <c r="X1221" s="10">
        <f>+IFERROR(IF(VLOOKUP(Tabla2[[#This Row],[ID]],'EVALUACION DE RIESGO'!A:A,1,FALSE)=Tabla2[[#This Row],[ID]],"SI","NO"),"NO")</f>
        <v/>
      </c>
    </row>
    <row r="1222">
      <c r="A1222" s="91" t="inlineStr">
        <is>
          <t>200-GRI</t>
        </is>
      </c>
      <c r="B1222" s="10" t="inlineStr">
        <is>
          <t>ESTRATÉGICO</t>
        </is>
      </c>
      <c r="C1222" s="10" t="inlineStr">
        <is>
          <t>Gestión de Riesgos</t>
        </is>
      </c>
      <c r="D1222" s="10" t="inlineStr">
        <is>
          <t>GRI</t>
        </is>
      </c>
      <c r="E1222" s="10" t="inlineStr">
        <is>
          <t>Gestión de Presupuestaria</t>
        </is>
      </c>
      <c r="F1222" s="10" t="inlineStr">
        <is>
          <t>-</t>
        </is>
      </c>
      <c r="G1222" s="10" t="inlineStr">
        <is>
          <t>Administración de eventos de riesgo operativo</t>
        </is>
      </c>
      <c r="H1222" s="10" t="inlineStr">
        <is>
          <t>Sistema RDS</t>
        </is>
      </c>
      <c r="I1222" s="10" t="inlineStr">
        <is>
          <t>Sistema de gestion de riesgo operativio</t>
        </is>
      </c>
      <c r="J1222" s="10" t="inlineStr">
        <is>
          <t>GERENTE DE RIESGOS</t>
        </is>
      </c>
      <c r="K1222" s="10" t="inlineStr">
        <is>
          <t>ANALISTA DE RIESGO OPERATIVO</t>
        </is>
      </c>
      <c r="L1222" s="10" t="inlineStr">
        <is>
          <t>UBICACIÓN DIGITAL-EQUIPO DEL RESPONSABLE</t>
        </is>
      </c>
      <c r="M1222" s="10" t="inlineStr">
        <is>
          <t>SISTEMA DE ADMINISTRACIÓN DE DOCUMENTOS</t>
        </is>
      </c>
      <c r="N1222" s="10" t="inlineStr">
        <is>
          <t>APOYO</t>
        </is>
      </c>
      <c r="O1222" s="10" t="inlineStr">
        <is>
          <t>SOFTWARE</t>
        </is>
      </c>
      <c r="P1222" s="10" t="inlineStr">
        <is>
          <t>PUBLICA(1)</t>
        </is>
      </c>
      <c r="Q1222" s="10" t="inlineStr">
        <is>
          <t>ALTA(3)</t>
        </is>
      </c>
      <c r="R1222" s="10" t="inlineStr">
        <is>
          <t>MEDIA(2)</t>
        </is>
      </c>
      <c r="S1222" s="10">
        <f>+(IF(P1222="PUBLICA(1)",1,IF(P1222="USO INTERNO(2)",2,IF(P1222="RESTRINGIDO(3)",3,3))))+(IF(Q1222="BAJA(1)",1,IF(Q1222="MEDIA(2)",2,IF(Q1222="ALTA(3)",3,3))))+(IF(R1222="BAJA(1)",1,IF(R1222="MEDIA(2)",2,IF(R1222="ALTA(3)",3,3))))</f>
        <v/>
      </c>
      <c r="T1222" s="10">
        <f>+IF(S1222&lt;6,"BAJA",IF(S1222&lt;8,"MEDIA","ALTA"))</f>
        <v/>
      </c>
      <c r="U1222" s="10" t="inlineStr">
        <is>
          <t>-</t>
        </is>
      </c>
      <c r="V1222" s="24" t="n">
        <v>45588</v>
      </c>
      <c r="W1222" s="19" t="inlineStr">
        <is>
          <t>N/A</t>
        </is>
      </c>
      <c r="X1222" s="10">
        <f>+IFERROR(IF(VLOOKUP(Tabla2[[#This Row],[ID]],'EVALUACION DE RIESGO'!A:A,1,FALSE)=Tabla2[[#This Row],[ID]],"SI","NO"),"NO")</f>
        <v/>
      </c>
    </row>
    <row r="1223">
      <c r="A1223" s="91" t="inlineStr">
        <is>
          <t>201-GRI</t>
        </is>
      </c>
      <c r="B1223" s="10" t="inlineStr">
        <is>
          <t>ESTRATÉGICO</t>
        </is>
      </c>
      <c r="C1223" s="10" t="inlineStr">
        <is>
          <t>Gestión de Riesgos</t>
        </is>
      </c>
      <c r="D1223" s="10" t="inlineStr">
        <is>
          <t>GRI</t>
        </is>
      </c>
      <c r="E1223" s="10" t="inlineStr">
        <is>
          <t>NA</t>
        </is>
      </c>
      <c r="F1223" s="10" t="inlineStr">
        <is>
          <t>-</t>
        </is>
      </c>
      <c r="G1223" s="10" t="inlineStr">
        <is>
          <t>Otros Activos</t>
        </is>
      </c>
      <c r="H1223" s="10" t="inlineStr">
        <is>
          <t>Gerente de Riesgos</t>
        </is>
      </c>
      <c r="I1223" s="10" t="inlineStr">
        <is>
          <t>Empleado privado</t>
        </is>
      </c>
      <c r="J1223" s="10" t="inlineStr">
        <is>
          <t>GERENTE DE RIESGOS</t>
        </is>
      </c>
      <c r="K1223" s="10" t="inlineStr">
        <is>
          <t>COAC ATUNTAQUI</t>
        </is>
      </c>
      <c r="L1223" s="10" t="inlineStr">
        <is>
          <t>UBICACIÓN DIGITAL-WEBCOOP</t>
        </is>
      </c>
      <c r="M1223" s="10" t="inlineStr">
        <is>
          <t>N/A</t>
        </is>
      </c>
      <c r="N1223" s="10" t="inlineStr">
        <is>
          <t>APOYO</t>
        </is>
      </c>
      <c r="O1223" s="10" t="inlineStr">
        <is>
          <t>RECURSO HUMANO</t>
        </is>
      </c>
      <c r="P1223" s="10" t="inlineStr">
        <is>
          <t>PUBLICA(1)</t>
        </is>
      </c>
      <c r="Q1223" s="10" t="inlineStr">
        <is>
          <t>ALTA(3)</t>
        </is>
      </c>
      <c r="R1223" s="10" t="inlineStr">
        <is>
          <t>MEDIA(2)</t>
        </is>
      </c>
      <c r="S1223" s="10">
        <f>+(IF(P1223="PUBLICA(1)",1,IF(P1223="USO INTERNO(2)",2,IF(P1223="RESTRINGIDO(3)",3,3))))+(IF(Q1223="BAJA(1)",1,IF(Q1223="MEDIA(2)",2,IF(Q1223="ALTA(3)",3,3))))+(IF(R1223="BAJA(1)",1,IF(R1223="MEDIA(2)",2,IF(R1223="ALTA(3)",3,3))))</f>
        <v/>
      </c>
      <c r="T1223" s="10">
        <f>+IF(S1223&lt;6,"BAJA",IF(S1223&lt;8,"MEDIA","ALTA"))</f>
        <v/>
      </c>
      <c r="U1223" s="10" t="inlineStr">
        <is>
          <t>-</t>
        </is>
      </c>
      <c r="V1223" s="24" t="n">
        <v>45588</v>
      </c>
      <c r="W1223" s="19" t="inlineStr">
        <is>
          <t>N/A</t>
        </is>
      </c>
      <c r="X1223" s="10">
        <f>+IFERROR(IF(VLOOKUP(Tabla2[[#This Row],[ID]],'EVALUACION DE RIESGO'!A:A,1,FALSE)=Tabla2[[#This Row],[ID]],"SI","NO"),"NO")</f>
        <v/>
      </c>
    </row>
    <row r="1224">
      <c r="A1224" s="91" t="inlineStr">
        <is>
          <t>202-GRI</t>
        </is>
      </c>
      <c r="B1224" s="10" t="inlineStr">
        <is>
          <t>ESTRATÉGICO</t>
        </is>
      </c>
      <c r="C1224" s="10" t="inlineStr">
        <is>
          <t>Gestión de Riesgos</t>
        </is>
      </c>
      <c r="D1224" s="10" t="inlineStr">
        <is>
          <t>GRI</t>
        </is>
      </c>
      <c r="E1224" s="10" t="inlineStr">
        <is>
          <t>NA</t>
        </is>
      </c>
      <c r="F1224" s="10" t="inlineStr">
        <is>
          <t>-</t>
        </is>
      </c>
      <c r="G1224" s="10" t="inlineStr">
        <is>
          <t>Otros Activos</t>
        </is>
      </c>
      <c r="H1224" s="10" t="inlineStr">
        <is>
          <t xml:space="preserve">Oficial Analista Integral de Riegos </t>
        </is>
      </c>
      <c r="I1224" s="10" t="inlineStr">
        <is>
          <t>Empleado privado</t>
        </is>
      </c>
      <c r="J1224" s="10" t="inlineStr">
        <is>
          <t>GERENTE DE RIESGOS</t>
        </is>
      </c>
      <c r="K1224" s="10" t="inlineStr">
        <is>
          <t>COAC ATUNTAQUI</t>
        </is>
      </c>
      <c r="L1224" s="10" t="inlineStr">
        <is>
          <t>UBICACIÓN DIGITAL-WEBCOOP</t>
        </is>
      </c>
      <c r="M1224" s="10" t="inlineStr">
        <is>
          <t>N/A</t>
        </is>
      </c>
      <c r="N1224" s="10" t="inlineStr">
        <is>
          <t>APOYO</t>
        </is>
      </c>
      <c r="O1224" s="10" t="inlineStr">
        <is>
          <t>RECURSO HUMANO</t>
        </is>
      </c>
      <c r="P1224" s="10" t="inlineStr">
        <is>
          <t>PUBLICA(1)</t>
        </is>
      </c>
      <c r="Q1224" s="10" t="inlineStr">
        <is>
          <t>ALTA(3)</t>
        </is>
      </c>
      <c r="R1224" s="10" t="inlineStr">
        <is>
          <t>MEDIA(2)</t>
        </is>
      </c>
      <c r="S1224" s="10">
        <f>+(IF(P1224="PUBLICA(1)",1,IF(P1224="USO INTERNO(2)",2,IF(P1224="RESTRINGIDO(3)",3,3))))+(IF(Q1224="BAJA(1)",1,IF(Q1224="MEDIA(2)",2,IF(Q1224="ALTA(3)",3,3))))+(IF(R1224="BAJA(1)",1,IF(R1224="MEDIA(2)",2,IF(R1224="ALTA(3)",3,3))))</f>
        <v/>
      </c>
      <c r="T1224" s="10">
        <f>+IF(S1224&lt;6,"BAJA",IF(S1224&lt;8,"MEDIA","ALTA"))</f>
        <v/>
      </c>
      <c r="U1224" s="10" t="inlineStr">
        <is>
          <t>-</t>
        </is>
      </c>
      <c r="V1224" s="24" t="n">
        <v>45588</v>
      </c>
      <c r="W1224" s="19" t="inlineStr">
        <is>
          <t>N/A</t>
        </is>
      </c>
      <c r="X1224" s="10">
        <f>+IFERROR(IF(VLOOKUP(Tabla2[[#This Row],[ID]],'EVALUACION DE RIESGO'!A:A,1,FALSE)=Tabla2[[#This Row],[ID]],"SI","NO"),"NO")</f>
        <v/>
      </c>
    </row>
    <row r="1225">
      <c r="A1225" s="91" t="inlineStr">
        <is>
          <t>203-GRI</t>
        </is>
      </c>
      <c r="B1225" s="10" t="inlineStr">
        <is>
          <t>ESTRATÉGICO</t>
        </is>
      </c>
      <c r="C1225" s="10" t="inlineStr">
        <is>
          <t>Gestión de Riesgos</t>
        </is>
      </c>
      <c r="D1225" s="10" t="inlineStr">
        <is>
          <t>GRI</t>
        </is>
      </c>
      <c r="E1225" s="10" t="inlineStr">
        <is>
          <t>NA</t>
        </is>
      </c>
      <c r="F1225" s="10" t="inlineStr">
        <is>
          <t>-</t>
        </is>
      </c>
      <c r="G1225" s="10" t="inlineStr">
        <is>
          <t>Otros Activos</t>
        </is>
      </c>
      <c r="H1225" s="10" t="inlineStr">
        <is>
          <t>Analista de Riesgo de Credito</t>
        </is>
      </c>
      <c r="I1225" s="10" t="inlineStr">
        <is>
          <t>Empleado privado</t>
        </is>
      </c>
      <c r="J1225" s="10" t="inlineStr">
        <is>
          <t>GERENTE DE RIESGOS</t>
        </is>
      </c>
      <c r="K1225" s="10" t="inlineStr">
        <is>
          <t>COAC ATUNTAQUI</t>
        </is>
      </c>
      <c r="L1225" s="10" t="inlineStr">
        <is>
          <t>UBICACIÓN DIGITAL-WEBCOOP</t>
        </is>
      </c>
      <c r="M1225" s="10" t="inlineStr">
        <is>
          <t>N/A</t>
        </is>
      </c>
      <c r="N1225" s="10" t="inlineStr">
        <is>
          <t>APOYO</t>
        </is>
      </c>
      <c r="O1225" s="10" t="inlineStr">
        <is>
          <t>RECURSO HUMANO</t>
        </is>
      </c>
      <c r="P1225" s="10" t="inlineStr">
        <is>
          <t>PUBLICA(1)</t>
        </is>
      </c>
      <c r="Q1225" s="10" t="inlineStr">
        <is>
          <t>ALTA(3)</t>
        </is>
      </c>
      <c r="R1225" s="10" t="inlineStr">
        <is>
          <t>MEDIA(2)</t>
        </is>
      </c>
      <c r="S1225" s="10">
        <f>+(IF(P1225="PUBLICA(1)",1,IF(P1225="USO INTERNO(2)",2,IF(P1225="RESTRINGIDO(3)",3,3))))+(IF(Q1225="BAJA(1)",1,IF(Q1225="MEDIA(2)",2,IF(Q1225="ALTA(3)",3,3))))+(IF(R1225="BAJA(1)",1,IF(R1225="MEDIA(2)",2,IF(R1225="ALTA(3)",3,3))))</f>
        <v/>
      </c>
      <c r="T1225" s="10">
        <f>+IF(S1225&lt;6,"BAJA",IF(S1225&lt;8,"MEDIA","ALTA"))</f>
        <v/>
      </c>
      <c r="U1225" s="10" t="inlineStr">
        <is>
          <t>-</t>
        </is>
      </c>
      <c r="V1225" s="24" t="n">
        <v>45588</v>
      </c>
      <c r="W1225" s="19" t="inlineStr">
        <is>
          <t>N/A</t>
        </is>
      </c>
      <c r="X1225" s="10">
        <f>+IFERROR(IF(VLOOKUP(Tabla2[[#This Row],[ID]],'EVALUACION DE RIESGO'!A:A,1,FALSE)=Tabla2[[#This Row],[ID]],"SI","NO"),"NO")</f>
        <v/>
      </c>
    </row>
    <row r="1226">
      <c r="A1226" s="91" t="inlineStr">
        <is>
          <t>204-GRI</t>
        </is>
      </c>
      <c r="B1226" s="10" t="inlineStr">
        <is>
          <t>ESTRATÉGICO</t>
        </is>
      </c>
      <c r="C1226" s="10" t="inlineStr">
        <is>
          <t>Gestión de Riesgos</t>
        </is>
      </c>
      <c r="D1226" s="10" t="inlineStr">
        <is>
          <t>GRI</t>
        </is>
      </c>
      <c r="E1226" s="10" t="inlineStr">
        <is>
          <t>NA</t>
        </is>
      </c>
      <c r="F1226" s="10" t="inlineStr">
        <is>
          <t>-</t>
        </is>
      </c>
      <c r="G1226" s="10" t="inlineStr">
        <is>
          <t>Otros Activos</t>
        </is>
      </c>
      <c r="H1226" s="10" t="inlineStr">
        <is>
          <t>analista de Riesgo Operativo</t>
        </is>
      </c>
      <c r="I1226" s="10" t="inlineStr">
        <is>
          <t>Empleado privado</t>
        </is>
      </c>
      <c r="J1226" s="10" t="inlineStr">
        <is>
          <t>GERENTE DE RIESGOS</t>
        </is>
      </c>
      <c r="K1226" s="10" t="inlineStr">
        <is>
          <t>COAC ATUNTAQUI</t>
        </is>
      </c>
      <c r="L1226" s="10" t="inlineStr">
        <is>
          <t>UBICACIÓN DIGITAL-WEBCOOP</t>
        </is>
      </c>
      <c r="M1226" s="10" t="inlineStr">
        <is>
          <t>N/A</t>
        </is>
      </c>
      <c r="N1226" s="10" t="inlineStr">
        <is>
          <t>APOYO</t>
        </is>
      </c>
      <c r="O1226" s="10" t="inlineStr">
        <is>
          <t>RECURSO HUMANO</t>
        </is>
      </c>
      <c r="P1226" s="10" t="inlineStr">
        <is>
          <t>PUBLICA(1)</t>
        </is>
      </c>
      <c r="Q1226" s="10" t="inlineStr">
        <is>
          <t>ALTA(3)</t>
        </is>
      </c>
      <c r="R1226" s="10" t="inlineStr">
        <is>
          <t>MEDIA(2)</t>
        </is>
      </c>
      <c r="S1226" s="10">
        <f>+(IF(P1226="PUBLICA(1)",1,IF(P1226="USO INTERNO(2)",2,IF(P1226="RESTRINGIDO(3)",3,3))))+(IF(Q1226="BAJA(1)",1,IF(Q1226="MEDIA(2)",2,IF(Q1226="ALTA(3)",3,3))))+(IF(R1226="BAJA(1)",1,IF(R1226="MEDIA(2)",2,IF(R1226="ALTA(3)",3,3))))</f>
        <v/>
      </c>
      <c r="T1226" s="10">
        <f>+IF(S1226&lt;6,"BAJA",IF(S1226&lt;8,"MEDIA","ALTA"))</f>
        <v/>
      </c>
      <c r="U1226" s="10" t="inlineStr">
        <is>
          <t>-</t>
        </is>
      </c>
      <c r="V1226" s="24" t="n">
        <v>45588</v>
      </c>
      <c r="W1226" s="19" t="inlineStr">
        <is>
          <t>N/A</t>
        </is>
      </c>
      <c r="X1226" s="10">
        <f>+IFERROR(IF(VLOOKUP(Tabla2[[#This Row],[ID]],'EVALUACION DE RIESGO'!A:A,1,FALSE)=Tabla2[[#This Row],[ID]],"SI","NO"),"NO")</f>
        <v/>
      </c>
    </row>
    <row r="1227">
      <c r="A1227" s="91" t="inlineStr">
        <is>
          <t>205-GRI</t>
        </is>
      </c>
      <c r="B1227" s="10" t="inlineStr">
        <is>
          <t>ESTRATÉGICO</t>
        </is>
      </c>
      <c r="C1227" s="10" t="inlineStr">
        <is>
          <t>Gestión de Riesgos</t>
        </is>
      </c>
      <c r="D1227" s="10" t="inlineStr">
        <is>
          <t>GRI</t>
        </is>
      </c>
      <c r="E1227" s="10" t="inlineStr">
        <is>
          <t>NA</t>
        </is>
      </c>
      <c r="F1227" s="10" t="inlineStr">
        <is>
          <t>-</t>
        </is>
      </c>
      <c r="G1227" s="10" t="inlineStr">
        <is>
          <t>Otros Activos</t>
        </is>
      </c>
      <c r="H1227" s="10" t="inlineStr">
        <is>
          <t>Analista de Riesgo del Mercado</t>
        </is>
      </c>
      <c r="I1227" s="10" t="inlineStr">
        <is>
          <t>Empleado privado</t>
        </is>
      </c>
      <c r="J1227" s="10" t="inlineStr">
        <is>
          <t>GERENTE DE RIESGOS</t>
        </is>
      </c>
      <c r="K1227" s="10" t="inlineStr">
        <is>
          <t>COAC ATUNTAQUI</t>
        </is>
      </c>
      <c r="L1227" s="10" t="inlineStr">
        <is>
          <t>UBICACIÓN DIGITAL-WEBCOOP</t>
        </is>
      </c>
      <c r="M1227" s="10" t="inlineStr">
        <is>
          <t>N/A</t>
        </is>
      </c>
      <c r="N1227" s="10" t="inlineStr">
        <is>
          <t>APOYO</t>
        </is>
      </c>
      <c r="O1227" s="10" t="inlineStr">
        <is>
          <t>RECURSO HUMANO</t>
        </is>
      </c>
      <c r="P1227" s="10" t="inlineStr">
        <is>
          <t>PUBLICA(1)</t>
        </is>
      </c>
      <c r="Q1227" s="10" t="inlineStr">
        <is>
          <t>ALTA(3)</t>
        </is>
      </c>
      <c r="R1227" s="10" t="inlineStr">
        <is>
          <t>MEDIA(2)</t>
        </is>
      </c>
      <c r="S1227" s="10">
        <f>+(IF(P1227="PUBLICA(1)",1,IF(P1227="USO INTERNO(2)",2,IF(P1227="RESTRINGIDO(3)",3,3))))+(IF(Q1227="BAJA(1)",1,IF(Q1227="MEDIA(2)",2,IF(Q1227="ALTA(3)",3,3))))+(IF(R1227="BAJA(1)",1,IF(R1227="MEDIA(2)",2,IF(R1227="ALTA(3)",3,3))))</f>
        <v/>
      </c>
      <c r="T1227" s="10">
        <f>+IF(S1227&lt;6,"BAJA",IF(S1227&lt;8,"MEDIA","ALTA"))</f>
        <v/>
      </c>
      <c r="U1227" s="10" t="inlineStr">
        <is>
          <t>-</t>
        </is>
      </c>
      <c r="V1227" s="24" t="n">
        <v>45588</v>
      </c>
      <c r="W1227" s="19" t="inlineStr">
        <is>
          <t>N/A</t>
        </is>
      </c>
      <c r="X1227" s="10">
        <f>+IFERROR(IF(VLOOKUP(Tabla2[[#This Row],[ID]],'EVALUACION DE RIESGO'!A:A,1,FALSE)=Tabla2[[#This Row],[ID]],"SI","NO"),"NO")</f>
        <v/>
      </c>
    </row>
    <row r="1228">
      <c r="A1228" s="91" t="inlineStr">
        <is>
          <t>206-GRI</t>
        </is>
      </c>
      <c r="B1228" s="10" t="inlineStr">
        <is>
          <t>ESTRATÉGICO</t>
        </is>
      </c>
      <c r="C1228" s="10" t="inlineStr">
        <is>
          <t>Gestión de Riesgos</t>
        </is>
      </c>
      <c r="D1228" s="10" t="inlineStr">
        <is>
          <t>GRI</t>
        </is>
      </c>
      <c r="E1228" s="10" t="inlineStr">
        <is>
          <t>Gestión de Riesgo de Crédito</t>
        </is>
      </c>
      <c r="F1228" s="10" t="inlineStr">
        <is>
          <t>-</t>
        </is>
      </c>
      <c r="G1228" s="10" t="inlineStr">
        <is>
          <t>Otros Activos</t>
        </is>
      </c>
      <c r="H1228" s="10" t="inlineStr">
        <is>
          <t>Metodologías para la Administración de Riesgo de Crédito</t>
        </is>
      </c>
      <c r="I1228" s="10" t="inlineStr">
        <is>
          <t>Para gestionar el riesgo de crédito</t>
        </is>
      </c>
      <c r="J1228" s="10" t="inlineStr">
        <is>
          <t>GERENTE DE RIESGOS</t>
        </is>
      </c>
      <c r="K1228" s="10" t="inlineStr">
        <is>
          <t>JEFE DE PLANIFICACIÓN Y PROCESOS</t>
        </is>
      </c>
      <c r="L1228" s="10" t="inlineStr">
        <is>
          <t>UBICACIÓN DIGITAL-EQUIPO DEL RESPONSABLE</t>
        </is>
      </c>
      <c r="M1228" s="10" t="inlineStr">
        <is>
          <t>DOCUMENTO DE ARCHIVO-ELECTRÓNICO</t>
        </is>
      </c>
      <c r="N1228" s="10" t="inlineStr">
        <is>
          <t>PRIMARIOS</t>
        </is>
      </c>
      <c r="O1228" s="10" t="inlineStr">
        <is>
          <t>DOCUMENTOS TÉCNICOS</t>
        </is>
      </c>
      <c r="P1228" s="10" t="inlineStr">
        <is>
          <t>PUBLICA(1)</t>
        </is>
      </c>
      <c r="Q1228" s="10" t="inlineStr">
        <is>
          <t>ALTA(3)</t>
        </is>
      </c>
      <c r="R1228" s="10" t="inlineStr">
        <is>
          <t>MEDIA(2)</t>
        </is>
      </c>
      <c r="S1228" s="10">
        <f>+(IF(P1228="PUBLICA(1)",1,IF(P1228="USO INTERNO(2)",2,IF(P1228="RESTRINGIDO(3)",3,3))))+(IF(Q1228="BAJA(1)",1,IF(Q1228="MEDIA(2)",2,IF(Q1228="ALTA(3)",3,3))))+(IF(R1228="BAJA(1)",1,IF(R1228="MEDIA(2)",2,IF(R1228="ALTA(3)",3,3))))</f>
        <v/>
      </c>
      <c r="T1228" s="10">
        <f>+IF(S1228&lt;6,"BAJA",IF(S1228&lt;8,"MEDIA","ALTA"))</f>
        <v/>
      </c>
      <c r="U1228" s="10" t="inlineStr">
        <is>
          <t>-</t>
        </is>
      </c>
      <c r="V1228" s="24" t="n">
        <v>45618</v>
      </c>
      <c r="W1228" s="19" t="inlineStr">
        <is>
          <t>N/A</t>
        </is>
      </c>
      <c r="X1228" s="10">
        <f>+IFERROR(IF(VLOOKUP(Tabla2[[#This Row],[ID]],'EVALUACION DE RIESGO'!A:A,1,FALSE)=Tabla2[[#This Row],[ID]],"SI","NO"),"NO")</f>
        <v/>
      </c>
    </row>
    <row r="1229">
      <c r="A1229" s="91" t="inlineStr">
        <is>
          <t>207-GRI</t>
        </is>
      </c>
      <c r="B1229" s="10" t="inlineStr">
        <is>
          <t>ESTRATÉGICO</t>
        </is>
      </c>
      <c r="C1229" s="10" t="inlineStr">
        <is>
          <t>Gestión de Riesgos</t>
        </is>
      </c>
      <c r="D1229" s="10" t="inlineStr">
        <is>
          <t>GRI</t>
        </is>
      </c>
      <c r="E1229" s="10" t="inlineStr">
        <is>
          <t>Gestión de Riesgo de Crédito</t>
        </is>
      </c>
      <c r="F1229" s="10" t="inlineStr">
        <is>
          <t>-</t>
        </is>
      </c>
      <c r="G1229" s="10" t="inlineStr">
        <is>
          <t>Otros Activos</t>
        </is>
      </c>
      <c r="H1229" s="10" t="inlineStr">
        <is>
          <t>Manuales de la Gestión de Colocación</t>
        </is>
      </c>
      <c r="I1229" s="10" t="inlineStr">
        <is>
          <t>Manual de procedimientos</t>
        </is>
      </c>
      <c r="J1229" s="10" t="inlineStr">
        <is>
          <t>GERENTE DE RIESGOS</t>
        </is>
      </c>
      <c r="K1229" s="10" t="inlineStr">
        <is>
          <t>JEFE DE PLANIFICACIÓN Y PROCESOS</t>
        </is>
      </c>
      <c r="L1229" s="10" t="inlineStr">
        <is>
          <t>UBICACIÓN DIGITAL-EQUIPO DEL RESPONSABLE</t>
        </is>
      </c>
      <c r="M1229" s="10" t="inlineStr">
        <is>
          <t>DOCUMENTO DE ARCHIVO-ELECTRÓNICO</t>
        </is>
      </c>
      <c r="N1229" s="10" t="inlineStr">
        <is>
          <t>PRIMARIOS</t>
        </is>
      </c>
      <c r="O1229" s="10" t="inlineStr">
        <is>
          <t>DOCUMENTOS TÉCNICOS</t>
        </is>
      </c>
      <c r="P1229" s="10" t="inlineStr">
        <is>
          <t>PUBLICA(1)</t>
        </is>
      </c>
      <c r="Q1229" s="10" t="inlineStr">
        <is>
          <t>ALTA(3)</t>
        </is>
      </c>
      <c r="R1229" s="10" t="inlineStr">
        <is>
          <t>MEDIA(2)</t>
        </is>
      </c>
      <c r="S1229" s="10">
        <f>+(IF(P1229="PUBLICA(1)",1,IF(P1229="USO INTERNO(2)",2,IF(P1229="RESTRINGIDO(3)",3,3))))+(IF(Q1229="BAJA(1)",1,IF(Q1229="MEDIA(2)",2,IF(Q1229="ALTA(3)",3,3))))+(IF(R1229="BAJA(1)",1,IF(R1229="MEDIA(2)",2,IF(R1229="ALTA(3)",3,3))))</f>
        <v/>
      </c>
      <c r="T1229" s="10">
        <f>+IF(S1229&lt;6,"BAJA",IF(S1229&lt;8,"MEDIA","ALTA"))</f>
        <v/>
      </c>
      <c r="U1229" s="10" t="inlineStr">
        <is>
          <t>-</t>
        </is>
      </c>
      <c r="V1229" s="24" t="n">
        <v>45617</v>
      </c>
      <c r="W1229" s="19" t="inlineStr">
        <is>
          <t>N/A</t>
        </is>
      </c>
      <c r="X1229" s="10">
        <f>+IFERROR(IF(VLOOKUP(Tabla2[[#This Row],[ID]],'EVALUACION DE RIESGO'!A:A,1,FALSE)=Tabla2[[#This Row],[ID]],"SI","NO"),"NO")</f>
        <v/>
      </c>
    </row>
    <row r="1230">
      <c r="A1230" s="91" t="inlineStr">
        <is>
          <t>208-GRI</t>
        </is>
      </c>
      <c r="B1230" s="10" t="inlineStr">
        <is>
          <t>ESTRATÉGICO</t>
        </is>
      </c>
      <c r="C1230" s="10" t="inlineStr">
        <is>
          <t>Gestión de Riesgos</t>
        </is>
      </c>
      <c r="D1230" s="10" t="inlineStr">
        <is>
          <t>GRI</t>
        </is>
      </c>
      <c r="E1230" s="10" t="inlineStr">
        <is>
          <t>Gestión de Riesgo de Crédito</t>
        </is>
      </c>
      <c r="F1230" s="10" t="inlineStr">
        <is>
          <t>-</t>
        </is>
      </c>
      <c r="G1230" s="10" t="inlineStr">
        <is>
          <t>Otros Activos</t>
        </is>
      </c>
      <c r="H1230" s="10" t="inlineStr">
        <is>
          <t>Manuales de la Gestión de Recuperación</t>
        </is>
      </c>
      <c r="I1230" s="10" t="inlineStr">
        <is>
          <t>Recuperacion de cartera</t>
        </is>
      </c>
      <c r="J1230" s="10" t="inlineStr">
        <is>
          <t>JEFE DE COBRANZA</t>
        </is>
      </c>
      <c r="K1230" s="10" t="inlineStr">
        <is>
          <t>JEFE DE PLANIFICACIÓN Y PROCESOS</t>
        </is>
      </c>
      <c r="L1230" s="10" t="inlineStr">
        <is>
          <t>UBICACIÓN DIGITAL-EQUIPO DEL RESPONSABLE</t>
        </is>
      </c>
      <c r="M1230" s="10" t="inlineStr">
        <is>
          <t>DOCUMENTO DE ARCHIVO-ELECTRÓNICO</t>
        </is>
      </c>
      <c r="N1230" s="10" t="inlineStr">
        <is>
          <t>PRIMARIOS</t>
        </is>
      </c>
      <c r="O1230" s="10" t="inlineStr">
        <is>
          <t>DOCUMENTOS TÉCNICOS</t>
        </is>
      </c>
      <c r="P1230" s="10" t="inlineStr">
        <is>
          <t>PUBLICA(1)</t>
        </is>
      </c>
      <c r="Q1230" s="10" t="inlineStr">
        <is>
          <t>ALTA(3)</t>
        </is>
      </c>
      <c r="R1230" s="10" t="inlineStr">
        <is>
          <t>MEDIA(2)</t>
        </is>
      </c>
      <c r="S1230" s="10">
        <f>+(IF(P1230="PUBLICA(1)",1,IF(P1230="USO INTERNO(2)",2,IF(P1230="RESTRINGIDO(3)",3,3))))+(IF(Q1230="BAJA(1)",1,IF(Q1230="MEDIA(2)",2,IF(Q1230="ALTA(3)",3,3))))+(IF(R1230="BAJA(1)",1,IF(R1230="MEDIA(2)",2,IF(R1230="ALTA(3)",3,3))))</f>
        <v/>
      </c>
      <c r="T1230" s="10">
        <f>+IF(S1230&lt;6,"BAJA",IF(S1230&lt;8,"MEDIA","ALTA"))</f>
        <v/>
      </c>
      <c r="U1230" s="10" t="inlineStr">
        <is>
          <t>-</t>
        </is>
      </c>
      <c r="V1230" s="24" t="n">
        <v>45618</v>
      </c>
      <c r="W1230" s="19" t="inlineStr">
        <is>
          <t>N/A</t>
        </is>
      </c>
      <c r="X1230" s="10">
        <f>+IFERROR(IF(VLOOKUP(Tabla2[[#This Row],[ID]],'EVALUACION DE RIESGO'!A:A,1,FALSE)=Tabla2[[#This Row],[ID]],"SI","NO"),"NO")</f>
        <v/>
      </c>
    </row>
    <row r="1231">
      <c r="A1231" s="91" t="inlineStr">
        <is>
          <t>209-GRI</t>
        </is>
      </c>
      <c r="B1231" s="10" t="inlineStr">
        <is>
          <t>ESTRATÉGICO</t>
        </is>
      </c>
      <c r="C1231" s="10" t="inlineStr">
        <is>
          <t>Gestión de Riesgos</t>
        </is>
      </c>
      <c r="D1231" s="10" t="inlineStr">
        <is>
          <t>GRI</t>
        </is>
      </c>
      <c r="E1231" s="10" t="inlineStr">
        <is>
          <t>Gestión de Riesgo de Crédito</t>
        </is>
      </c>
      <c r="F1231" s="10" t="inlineStr">
        <is>
          <t>-</t>
        </is>
      </c>
      <c r="G1231" s="10" t="inlineStr">
        <is>
          <t>Otros Activos</t>
        </is>
      </c>
      <c r="H1231" s="10" t="inlineStr">
        <is>
          <t>Instructivo de Procesos Mensuales Software de Riesgo de Crédito HCRisk</t>
        </is>
      </c>
      <c r="I1231" s="10" t="inlineStr">
        <is>
          <t>Herramienta de Riesgo</t>
        </is>
      </c>
      <c r="J1231" s="10" t="inlineStr">
        <is>
          <t>GERENTE DE RIESGOS</t>
        </is>
      </c>
      <c r="K1231" s="10" t="inlineStr">
        <is>
          <t>GERENTE DE RIESGOS</t>
        </is>
      </c>
      <c r="L1231" s="10" t="inlineStr">
        <is>
          <t>UBICACIÓN DIGITAL-EQUIPO DEL RESPONSABLE</t>
        </is>
      </c>
      <c r="M1231" s="10" t="inlineStr">
        <is>
          <t>SISTEMA DE ADMINISTRACIÓN DE DOCUMENTOS</t>
        </is>
      </c>
      <c r="N1231" s="10" t="inlineStr">
        <is>
          <t>APOYO</t>
        </is>
      </c>
      <c r="O1231" s="10" t="inlineStr">
        <is>
          <t>SOFTWARE</t>
        </is>
      </c>
      <c r="P1231" s="10" t="inlineStr">
        <is>
          <t>PUBLICA(1)</t>
        </is>
      </c>
      <c r="Q1231" s="10" t="inlineStr">
        <is>
          <t>ALTA(3)</t>
        </is>
      </c>
      <c r="R1231" s="10" t="inlineStr">
        <is>
          <t>MEDIA(2)</t>
        </is>
      </c>
      <c r="S1231" s="10">
        <f>+(IF(P1231="PUBLICA(1)",1,IF(P1231="USO INTERNO(2)",2,IF(P1231="RESTRINGIDO(3)",3,3))))+(IF(Q1231="BAJA(1)",1,IF(Q1231="MEDIA(2)",2,IF(Q1231="ALTA(3)",3,3))))+(IF(R1231="BAJA(1)",1,IF(R1231="MEDIA(2)",2,IF(R1231="ALTA(3)",3,3))))</f>
        <v/>
      </c>
      <c r="T1231" s="10">
        <f>+IF(S1231&lt;6,"BAJA",IF(S1231&lt;8,"MEDIA","ALTA"))</f>
        <v/>
      </c>
      <c r="U1231" s="10" t="inlineStr">
        <is>
          <t>-</t>
        </is>
      </c>
      <c r="V1231" s="24" t="n">
        <v>45618</v>
      </c>
      <c r="W1231" s="19" t="inlineStr">
        <is>
          <t>N/A</t>
        </is>
      </c>
      <c r="X1231" s="10">
        <f>+IFERROR(IF(VLOOKUP(Tabla2[[#This Row],[ID]],'EVALUACION DE RIESGO'!A:A,1,FALSE)=Tabla2[[#This Row],[ID]],"SI","NO"),"NO")</f>
        <v/>
      </c>
    </row>
    <row r="1232">
      <c r="A1232" s="91" t="inlineStr">
        <is>
          <t>210-GRI</t>
        </is>
      </c>
      <c r="B1232" s="10" t="inlineStr">
        <is>
          <t>ESTRATÉGICO</t>
        </is>
      </c>
      <c r="C1232" s="10" t="inlineStr">
        <is>
          <t>Gestión de Riesgos</t>
        </is>
      </c>
      <c r="D1232" s="10" t="inlineStr">
        <is>
          <t>GRI</t>
        </is>
      </c>
      <c r="E1232" s="10" t="inlineStr">
        <is>
          <t>Gestión de Riesgo de Crédito</t>
        </is>
      </c>
      <c r="F1232" s="10" t="inlineStr">
        <is>
          <t>-</t>
        </is>
      </c>
      <c r="G1232" s="10" t="inlineStr">
        <is>
          <t xml:space="preserve">Análisis a la Matriz de Transición                                                                                                                                                                                                                                                                                                                                                            </t>
        </is>
      </c>
      <c r="H1232" s="10" t="inlineStr">
        <is>
          <t>Reporte basetransición</t>
        </is>
      </c>
      <c r="I1232" s="10" t="inlineStr">
        <is>
          <t>Reporte</t>
        </is>
      </c>
      <c r="J1232" s="10" t="inlineStr">
        <is>
          <t>GERENTE DE RIESGOS</t>
        </is>
      </c>
      <c r="K1232" s="10" t="inlineStr">
        <is>
          <t>ANALISTA DE RIESGO DE CREDITO</t>
        </is>
      </c>
      <c r="L1232" s="10" t="inlineStr">
        <is>
          <t>UBICACIÓN DIGITAL-EQUIPO DEL RESPONSABLE</t>
        </is>
      </c>
      <c r="M1232" s="10" t="inlineStr">
        <is>
          <t>DOCUMENTO DE ARCHIVO-ELECTRÓNICO</t>
        </is>
      </c>
      <c r="N1232" s="10" t="inlineStr">
        <is>
          <t>PRIMARIOS</t>
        </is>
      </c>
      <c r="O1232" s="10" t="inlineStr">
        <is>
          <t>DOCUMENTOS TÉCNICOS</t>
        </is>
      </c>
      <c r="P1232" s="10" t="inlineStr">
        <is>
          <t>PUBLICA(1)</t>
        </is>
      </c>
      <c r="Q1232" s="10" t="inlineStr">
        <is>
          <t>ALTA(3)</t>
        </is>
      </c>
      <c r="R1232" s="10" t="inlineStr">
        <is>
          <t>MEDIA(2)</t>
        </is>
      </c>
      <c r="S1232" s="10">
        <f>+(IF(P1232="PUBLICA(1)",1,IF(P1232="USO INTERNO(2)",2,IF(P1232="RESTRINGIDO(3)",3,3))))+(IF(Q1232="BAJA(1)",1,IF(Q1232="MEDIA(2)",2,IF(Q1232="ALTA(3)",3,3))))+(IF(R1232="BAJA(1)",1,IF(R1232="MEDIA(2)",2,IF(R1232="ALTA(3)",3,3))))</f>
        <v/>
      </c>
      <c r="T1232" s="10">
        <f>+IF(S1232&lt;6,"BAJA",IF(S1232&lt;8,"MEDIA","ALTA"))</f>
        <v/>
      </c>
      <c r="U1232" s="10" t="inlineStr">
        <is>
          <t>-</t>
        </is>
      </c>
      <c r="V1232" s="24" t="n">
        <v>45617</v>
      </c>
      <c r="W1232" s="19" t="inlineStr">
        <is>
          <t>N/A</t>
        </is>
      </c>
      <c r="X1232" s="10">
        <f>+IFERROR(IF(VLOOKUP(Tabla2[[#This Row],[ID]],'EVALUACION DE RIESGO'!A:A,1,FALSE)=Tabla2[[#This Row],[ID]],"SI","NO"),"NO")</f>
        <v/>
      </c>
    </row>
    <row r="1233">
      <c r="A1233" s="91" t="inlineStr">
        <is>
          <t>211-GRI</t>
        </is>
      </c>
      <c r="B1233" s="10" t="inlineStr">
        <is>
          <t>ESTRATÉGICO</t>
        </is>
      </c>
      <c r="C1233" s="10" t="inlineStr">
        <is>
          <t>Gestión de Riesgos</t>
        </is>
      </c>
      <c r="D1233" s="10" t="inlineStr">
        <is>
          <t>GRI</t>
        </is>
      </c>
      <c r="E1233" s="10" t="inlineStr">
        <is>
          <t>Gestión de Riesgo de Crédito</t>
        </is>
      </c>
      <c r="F1233" s="10" t="inlineStr">
        <is>
          <t>-</t>
        </is>
      </c>
      <c r="G1233" s="10" t="inlineStr">
        <is>
          <t xml:space="preserve">Análisis a la Matriz de Transición                                                                                                                                                                                                                                                                                                                                                            </t>
        </is>
      </c>
      <c r="H1233" s="10" t="inlineStr">
        <is>
          <t>Reporte de Matrices de Transición</t>
        </is>
      </c>
      <c r="I1233" s="10" t="inlineStr">
        <is>
          <t>Herramienta de matriz de transición en excel</t>
        </is>
      </c>
      <c r="J1233" s="10" t="inlineStr">
        <is>
          <t>GERENTE DE RIESGOS</t>
        </is>
      </c>
      <c r="K1233" s="10" t="inlineStr">
        <is>
          <t>ANALISTA DE RIESGO DE CREDITO</t>
        </is>
      </c>
      <c r="L1233" s="10" t="inlineStr">
        <is>
          <t>UBICACIÓN DIGITAL-EQUIPO DEL RESPONSABLE</t>
        </is>
      </c>
      <c r="M1233" s="10" t="inlineStr">
        <is>
          <t>DOCUMENTO DE ARCHIVO-ELECTRÓNICO</t>
        </is>
      </c>
      <c r="N1233" s="10" t="inlineStr">
        <is>
          <t>PRIMARIOS</t>
        </is>
      </c>
      <c r="O1233" s="10" t="inlineStr">
        <is>
          <t>DOCUMENTOS TÉCNICOS</t>
        </is>
      </c>
      <c r="P1233" s="10" t="inlineStr">
        <is>
          <t>PUBLICA(1)</t>
        </is>
      </c>
      <c r="Q1233" s="10" t="inlineStr">
        <is>
          <t>ALTA(3)</t>
        </is>
      </c>
      <c r="R1233" s="10" t="inlineStr">
        <is>
          <t>MEDIA(2)</t>
        </is>
      </c>
      <c r="S1233" s="10">
        <f>+(IF(P1233="PUBLICA(1)",1,IF(P1233="USO INTERNO(2)",2,IF(P1233="RESTRINGIDO(3)",3,3))))+(IF(Q1233="BAJA(1)",1,IF(Q1233="MEDIA(2)",2,IF(Q1233="ALTA(3)",3,3))))+(IF(R1233="BAJA(1)",1,IF(R1233="MEDIA(2)",2,IF(R1233="ALTA(3)",3,3))))</f>
        <v/>
      </c>
      <c r="T1233" s="10">
        <f>+IF(S1233&lt;6,"BAJA",IF(S1233&lt;8,"MEDIA","ALTA"))</f>
        <v/>
      </c>
      <c r="U1233" s="10" t="inlineStr">
        <is>
          <t>-</t>
        </is>
      </c>
      <c r="V1233" s="24" t="n">
        <v>45618</v>
      </c>
      <c r="W1233" s="19" t="inlineStr">
        <is>
          <t>N/A</t>
        </is>
      </c>
      <c r="X1233" s="10">
        <f>+IFERROR(IF(VLOOKUP(Tabla2[[#This Row],[ID]],'EVALUACION DE RIESGO'!A:A,1,FALSE)=Tabla2[[#This Row],[ID]],"SI","NO"),"NO")</f>
        <v/>
      </c>
    </row>
    <row r="1234">
      <c r="A1234" s="91" t="inlineStr">
        <is>
          <t>212-GRI</t>
        </is>
      </c>
      <c r="B1234" s="10" t="inlineStr">
        <is>
          <t>ESTRATÉGICO</t>
        </is>
      </c>
      <c r="C1234" s="10" t="inlineStr">
        <is>
          <t>Gestión de Riesgos</t>
        </is>
      </c>
      <c r="D1234" s="10" t="inlineStr">
        <is>
          <t>GRI</t>
        </is>
      </c>
      <c r="E1234" s="10" t="inlineStr">
        <is>
          <t>Gestión de Riesgo de Crédito</t>
        </is>
      </c>
      <c r="F1234" s="10" t="inlineStr">
        <is>
          <t>-</t>
        </is>
      </c>
      <c r="G1234" s="10" t="inlineStr">
        <is>
          <t xml:space="preserve">Análisis a la Matriz de Transición                                                                                                                                                                                                                                                                                                                                                            </t>
        </is>
      </c>
      <c r="H1234" s="10" t="inlineStr">
        <is>
          <t>Reporte Matriz de Transición y Cosechas para Negocios.</t>
        </is>
      </c>
      <c r="I1234" s="10" t="inlineStr">
        <is>
          <t>Herramienta de matriz de transición y cosecha en excel</t>
        </is>
      </c>
      <c r="J1234" s="10" t="inlineStr">
        <is>
          <t>GERENTE DE RIESGOS</t>
        </is>
      </c>
      <c r="K1234" s="10" t="inlineStr">
        <is>
          <t>ANALISTA DE RIESGO DE CREDITO</t>
        </is>
      </c>
      <c r="L1234" s="10" t="inlineStr">
        <is>
          <t>UBICACIÓN DIGITAL-EQUIPO DEL RESPONSABLE</t>
        </is>
      </c>
      <c r="M1234" s="10" t="inlineStr">
        <is>
          <t>DOCUMENTO DE ARCHIVO-ELECTRÓNICO</t>
        </is>
      </c>
      <c r="N1234" s="10" t="inlineStr">
        <is>
          <t>PRIMARIOS</t>
        </is>
      </c>
      <c r="O1234" s="10" t="inlineStr">
        <is>
          <t>DOCUMENTOS TÉCNICOS</t>
        </is>
      </c>
      <c r="P1234" s="10" t="inlineStr">
        <is>
          <t>PUBLICA(1)</t>
        </is>
      </c>
      <c r="Q1234" s="10" t="inlineStr">
        <is>
          <t>ALTA(3)</t>
        </is>
      </c>
      <c r="R1234" s="10" t="inlineStr">
        <is>
          <t>MEDIA(2)</t>
        </is>
      </c>
      <c r="S1234" s="10">
        <f>+(IF(P1234="PUBLICA(1)",1,IF(P1234="USO INTERNO(2)",2,IF(P1234="RESTRINGIDO(3)",3,3))))+(IF(Q1234="BAJA(1)",1,IF(Q1234="MEDIA(2)",2,IF(Q1234="ALTA(3)",3,3))))+(IF(R1234="BAJA(1)",1,IF(R1234="MEDIA(2)",2,IF(R1234="ALTA(3)",3,3))))</f>
        <v/>
      </c>
      <c r="T1234" s="10">
        <f>+IF(S1234&lt;6,"BAJA",IF(S1234&lt;8,"MEDIA","ALTA"))</f>
        <v/>
      </c>
      <c r="U1234" s="10" t="inlineStr">
        <is>
          <t>-</t>
        </is>
      </c>
      <c r="V1234" s="24" t="n">
        <v>45618</v>
      </c>
      <c r="W1234" s="19" t="inlineStr">
        <is>
          <t>N/A</t>
        </is>
      </c>
      <c r="X1234" s="10">
        <f>+IFERROR(IF(VLOOKUP(Tabla2[[#This Row],[ID]],'EVALUACION DE RIESGO'!A:A,1,FALSE)=Tabla2[[#This Row],[ID]],"SI","NO"),"NO")</f>
        <v/>
      </c>
    </row>
    <row r="1235">
      <c r="A1235" s="91" t="inlineStr">
        <is>
          <t>213-GRI</t>
        </is>
      </c>
      <c r="B1235" s="10" t="inlineStr">
        <is>
          <t>ESTRATÉGICO</t>
        </is>
      </c>
      <c r="C1235" s="10" t="inlineStr">
        <is>
          <t>Gestión de Riesgos</t>
        </is>
      </c>
      <c r="D1235" s="10" t="inlineStr">
        <is>
          <t>GRI</t>
        </is>
      </c>
      <c r="E1235" s="10" t="inlineStr">
        <is>
          <t>Gestión de Riesgo de Crédito</t>
        </is>
      </c>
      <c r="F1235" s="10" t="inlineStr">
        <is>
          <t>-</t>
        </is>
      </c>
      <c r="G1235" s="10" t="inlineStr">
        <is>
          <t>Análisis de la Matriz de cosecha crediticia</t>
        </is>
      </c>
      <c r="H1235" s="10" t="inlineStr">
        <is>
          <t>Reporte Credireport</t>
        </is>
      </c>
      <c r="I1235" s="10" t="inlineStr">
        <is>
          <t>Reporte</t>
        </is>
      </c>
      <c r="J1235" s="10" t="inlineStr">
        <is>
          <t>GERENTE DE RIESGOS</t>
        </is>
      </c>
      <c r="K1235" s="10" t="inlineStr">
        <is>
          <t>ANALISTA DE RIESGO DE CREDITO</t>
        </is>
      </c>
      <c r="L1235" s="10" t="inlineStr">
        <is>
          <t>UBICACIÓN DIGITAL-EQUIPO DEL RESPONSABLE</t>
        </is>
      </c>
      <c r="M1235" s="10" t="inlineStr">
        <is>
          <t>DOCUMENTO DE ARCHIVO-ELECTRÓNICO</t>
        </is>
      </c>
      <c r="N1235" s="10" t="inlineStr">
        <is>
          <t>PRIMARIOS</t>
        </is>
      </c>
      <c r="O1235" s="10" t="inlineStr">
        <is>
          <t>DOCUMENTOS TÉCNICOS</t>
        </is>
      </c>
      <c r="P1235" s="10" t="inlineStr">
        <is>
          <t>PUBLICA(1)</t>
        </is>
      </c>
      <c r="Q1235" s="10" t="inlineStr">
        <is>
          <t>ALTA(3)</t>
        </is>
      </c>
      <c r="R1235" s="10" t="inlineStr">
        <is>
          <t>MEDIA(2)</t>
        </is>
      </c>
      <c r="S1235" s="10">
        <f>+(IF(P1235="PUBLICA(1)",1,IF(P1235="USO INTERNO(2)",2,IF(P1235="RESTRINGIDO(3)",3,3))))+(IF(Q1235="BAJA(1)",1,IF(Q1235="MEDIA(2)",2,IF(Q1235="ALTA(3)",3,3))))+(IF(R1235="BAJA(1)",1,IF(R1235="MEDIA(2)",2,IF(R1235="ALTA(3)",3,3))))</f>
        <v/>
      </c>
      <c r="T1235" s="10">
        <f>+IF(S1235&lt;6,"BAJA",IF(S1235&lt;8,"MEDIA","ALTA"))</f>
        <v/>
      </c>
      <c r="U1235" s="10" t="inlineStr">
        <is>
          <t>-</t>
        </is>
      </c>
      <c r="V1235" s="24" t="n">
        <v>45617</v>
      </c>
      <c r="W1235" s="19" t="inlineStr">
        <is>
          <t>N/A</t>
        </is>
      </c>
      <c r="X1235" s="10">
        <f>+IFERROR(IF(VLOOKUP(Tabla2[[#This Row],[ID]],'EVALUACION DE RIESGO'!A:A,1,FALSE)=Tabla2[[#This Row],[ID]],"SI","NO"),"NO")</f>
        <v/>
      </c>
    </row>
    <row r="1236">
      <c r="A1236" s="91" t="inlineStr">
        <is>
          <t>214-GRI</t>
        </is>
      </c>
      <c r="B1236" s="10" t="inlineStr">
        <is>
          <t>ESTRATÉGICO</t>
        </is>
      </c>
      <c r="C1236" s="10" t="inlineStr">
        <is>
          <t>Gestión de Riesgos</t>
        </is>
      </c>
      <c r="D1236" s="10" t="inlineStr">
        <is>
          <t>GRI</t>
        </is>
      </c>
      <c r="E1236" s="10" t="inlineStr">
        <is>
          <t>Gestión de Riesgo de Crédito</t>
        </is>
      </c>
      <c r="F1236" s="10" t="inlineStr">
        <is>
          <t>-</t>
        </is>
      </c>
      <c r="G1236" s="10" t="inlineStr">
        <is>
          <t>Análisis de la Matriz de cosecha crediticia</t>
        </is>
      </c>
      <c r="H1236" s="10" t="inlineStr">
        <is>
          <t>Reporte de Cosechas</t>
        </is>
      </c>
      <c r="I1236" s="10" t="inlineStr">
        <is>
          <t>Herramienta de matriz de cosecha en excel</t>
        </is>
      </c>
      <c r="J1236" s="10" t="inlineStr">
        <is>
          <t>GERENTE DE RIESGOS</t>
        </is>
      </c>
      <c r="K1236" s="10" t="inlineStr">
        <is>
          <t>ANALISTA DE RIESGO DE CREDITO</t>
        </is>
      </c>
      <c r="L1236" s="10" t="inlineStr">
        <is>
          <t>UBICACIÓN DIGITAL-EQUIPO DEL RESPONSABLE</t>
        </is>
      </c>
      <c r="M1236" s="10" t="inlineStr">
        <is>
          <t>DOCUMENTO DE ARCHIVO-ELECTRÓNICO</t>
        </is>
      </c>
      <c r="N1236" s="10" t="inlineStr">
        <is>
          <t>PRIMARIOS</t>
        </is>
      </c>
      <c r="O1236" s="10" t="inlineStr">
        <is>
          <t>DOCUMENTOS TÉCNICOS</t>
        </is>
      </c>
      <c r="P1236" s="10" t="inlineStr">
        <is>
          <t>PUBLICA(1)</t>
        </is>
      </c>
      <c r="Q1236" s="10" t="inlineStr">
        <is>
          <t>ALTA(3)</t>
        </is>
      </c>
      <c r="R1236" s="10" t="inlineStr">
        <is>
          <t>MEDIA(2)</t>
        </is>
      </c>
      <c r="S1236" s="10">
        <f>+(IF(P1236="PUBLICA(1)",1,IF(P1236="USO INTERNO(2)",2,IF(P1236="RESTRINGIDO(3)",3,3))))+(IF(Q1236="BAJA(1)",1,IF(Q1236="MEDIA(2)",2,IF(Q1236="ALTA(3)",3,3))))+(IF(R1236="BAJA(1)",1,IF(R1236="MEDIA(2)",2,IF(R1236="ALTA(3)",3,3))))</f>
        <v/>
      </c>
      <c r="T1236" s="10">
        <f>+IF(S1236&lt;6,"BAJA",IF(S1236&lt;8,"MEDIA","ALTA"))</f>
        <v/>
      </c>
      <c r="U1236" s="10" t="inlineStr">
        <is>
          <t>-</t>
        </is>
      </c>
      <c r="V1236" s="24" t="n">
        <v>45617</v>
      </c>
      <c r="W1236" s="19" t="inlineStr">
        <is>
          <t>N/A</t>
        </is>
      </c>
      <c r="X1236" s="10">
        <f>+IFERROR(IF(VLOOKUP(Tabla2[[#This Row],[ID]],'EVALUACION DE RIESGO'!A:A,1,FALSE)=Tabla2[[#This Row],[ID]],"SI","NO"),"NO")</f>
        <v/>
      </c>
    </row>
    <row r="1237">
      <c r="A1237" s="91" t="inlineStr">
        <is>
          <t>215-GRI</t>
        </is>
      </c>
      <c r="B1237" s="10" t="inlineStr">
        <is>
          <t>ESTRATÉGICO</t>
        </is>
      </c>
      <c r="C1237" s="10" t="inlineStr">
        <is>
          <t>Gestión de Riesgos</t>
        </is>
      </c>
      <c r="D1237" s="10" t="inlineStr">
        <is>
          <t>GRI</t>
        </is>
      </c>
      <c r="E1237" s="10" t="inlineStr">
        <is>
          <t>Gestión de Riesgo de Crédito</t>
        </is>
      </c>
      <c r="F1237" s="10" t="inlineStr">
        <is>
          <t>-</t>
        </is>
      </c>
      <c r="G1237" s="10" t="inlineStr">
        <is>
          <t>Análisis de la Matriz de cosecha crediticia</t>
        </is>
      </c>
      <c r="H1237" s="10" t="inlineStr">
        <is>
          <t>Reporte Matriz de Transición y Cosechas para Negocios.</t>
        </is>
      </c>
      <c r="I1237" s="10" t="inlineStr">
        <is>
          <t>Herramienta de matriz de transición y cosecha en excel</t>
        </is>
      </c>
      <c r="J1237" s="10" t="inlineStr">
        <is>
          <t>GERENTE DE RIESGOS</t>
        </is>
      </c>
      <c r="K1237" s="10" t="inlineStr">
        <is>
          <t>ANALISTA DE RIESGO DE CREDITO</t>
        </is>
      </c>
      <c r="L1237" s="10" t="inlineStr">
        <is>
          <t>UBICACIÓN DIGITAL-EQUIPO DEL RESPONSABLE</t>
        </is>
      </c>
      <c r="M1237" s="10" t="inlineStr">
        <is>
          <t>DOCUMENTO DE ARCHIVO-ELECTRÓNICO</t>
        </is>
      </c>
      <c r="N1237" s="10" t="inlineStr">
        <is>
          <t>PRIMARIOS</t>
        </is>
      </c>
      <c r="O1237" s="10" t="inlineStr">
        <is>
          <t>DOCUMENTOS TÉCNICOS</t>
        </is>
      </c>
      <c r="P1237" s="10" t="inlineStr">
        <is>
          <t>PUBLICA(1)</t>
        </is>
      </c>
      <c r="Q1237" s="10" t="inlineStr">
        <is>
          <t>ALTA(3)</t>
        </is>
      </c>
      <c r="R1237" s="10" t="inlineStr">
        <is>
          <t>MEDIA(2)</t>
        </is>
      </c>
      <c r="S1237" s="10">
        <f>+(IF(P1237="PUBLICA(1)",1,IF(P1237="USO INTERNO(2)",2,IF(P1237="RESTRINGIDO(3)",3,3))))+(IF(Q1237="BAJA(1)",1,IF(Q1237="MEDIA(2)",2,IF(Q1237="ALTA(3)",3,3))))+(IF(R1237="BAJA(1)",1,IF(R1237="MEDIA(2)",2,IF(R1237="ALTA(3)",3,3))))</f>
        <v/>
      </c>
      <c r="T1237" s="10">
        <f>+IF(S1237&lt;6,"BAJA",IF(S1237&lt;8,"MEDIA","ALTA"))</f>
        <v/>
      </c>
      <c r="U1237" s="10" t="inlineStr">
        <is>
          <t>-</t>
        </is>
      </c>
      <c r="V1237" s="24" t="n">
        <v>45617</v>
      </c>
      <c r="W1237" s="19" t="inlineStr">
        <is>
          <t>N/A</t>
        </is>
      </c>
      <c r="X1237" s="10">
        <f>+IFERROR(IF(VLOOKUP(Tabla2[[#This Row],[ID]],'EVALUACION DE RIESGO'!A:A,1,FALSE)=Tabla2[[#This Row],[ID]],"SI","NO"),"NO")</f>
        <v/>
      </c>
    </row>
    <row r="1238">
      <c r="A1238" s="91" t="inlineStr">
        <is>
          <t>216-GRI</t>
        </is>
      </c>
      <c r="B1238" s="10" t="inlineStr">
        <is>
          <t>ESTRATÉGICO</t>
        </is>
      </c>
      <c r="C1238" s="10" t="inlineStr">
        <is>
          <t>Gestión de Riesgos</t>
        </is>
      </c>
      <c r="D1238" s="10" t="inlineStr">
        <is>
          <t>GRI</t>
        </is>
      </c>
      <c r="E1238" s="10" t="inlineStr">
        <is>
          <t>Gestión de Riesgo de Crédito</t>
        </is>
      </c>
      <c r="F1238" s="10" t="inlineStr">
        <is>
          <t>-</t>
        </is>
      </c>
      <c r="G1238" s="10" t="inlineStr">
        <is>
          <t xml:space="preserve">Análisis del reporte altura de vida   </t>
        </is>
      </c>
      <c r="H1238" s="10" t="inlineStr">
        <is>
          <t>Reporte Credireport</t>
        </is>
      </c>
      <c r="I1238" s="10" t="inlineStr">
        <is>
          <t>Reporte</t>
        </is>
      </c>
      <c r="J1238" s="10" t="inlineStr">
        <is>
          <t>GERENTE DE RIESGOS</t>
        </is>
      </c>
      <c r="K1238" s="10" t="inlineStr">
        <is>
          <t>ANALISTA DE RIESGO DE CREDITO</t>
        </is>
      </c>
      <c r="L1238" s="10" t="inlineStr">
        <is>
          <t>UBICACIÓN DIGITAL-EQUIPO DEL RESPONSABLE</t>
        </is>
      </c>
      <c r="M1238" s="10" t="inlineStr">
        <is>
          <t>DOCUMENTO DE ARCHIVO-ELECTRÓNICO</t>
        </is>
      </c>
      <c r="N1238" s="10" t="inlineStr">
        <is>
          <t>PRIMARIOS</t>
        </is>
      </c>
      <c r="O1238" s="10" t="inlineStr">
        <is>
          <t>DOCUMENTOS TÉCNICOS</t>
        </is>
      </c>
      <c r="P1238" s="10" t="inlineStr">
        <is>
          <t>PUBLICA(1)</t>
        </is>
      </c>
      <c r="Q1238" s="10" t="inlineStr">
        <is>
          <t>ALTA(3)</t>
        </is>
      </c>
      <c r="R1238" s="10" t="inlineStr">
        <is>
          <t>MEDIA(2)</t>
        </is>
      </c>
      <c r="S1238" s="10">
        <f>+(IF(P1238="PUBLICA(1)",1,IF(P1238="USO INTERNO(2)",2,IF(P1238="RESTRINGIDO(3)",3,3))))+(IF(Q1238="BAJA(1)",1,IF(Q1238="MEDIA(2)",2,IF(Q1238="ALTA(3)",3,3))))+(IF(R1238="BAJA(1)",1,IF(R1238="MEDIA(2)",2,IF(R1238="ALTA(3)",3,3))))</f>
        <v/>
      </c>
      <c r="T1238" s="10">
        <f>+IF(S1238&lt;6,"BAJA",IF(S1238&lt;8,"MEDIA","ALTA"))</f>
        <v/>
      </c>
      <c r="U1238" s="10" t="inlineStr">
        <is>
          <t>-</t>
        </is>
      </c>
      <c r="V1238" s="24" t="n">
        <v>45617</v>
      </c>
      <c r="W1238" s="19" t="inlineStr">
        <is>
          <t>N/A</t>
        </is>
      </c>
      <c r="X1238" s="10">
        <f>+IFERROR(IF(VLOOKUP(Tabla2[[#This Row],[ID]],'EVALUACION DE RIESGO'!A:A,1,FALSE)=Tabla2[[#This Row],[ID]],"SI","NO"),"NO")</f>
        <v/>
      </c>
    </row>
    <row r="1239">
      <c r="A1239" s="91" t="inlineStr">
        <is>
          <t>217-GRI</t>
        </is>
      </c>
      <c r="B1239" s="10" t="inlineStr">
        <is>
          <t>ESTRATÉGICO</t>
        </is>
      </c>
      <c r="C1239" s="10" t="inlineStr">
        <is>
          <t>Gestión de Riesgos</t>
        </is>
      </c>
      <c r="D1239" s="10" t="inlineStr">
        <is>
          <t>GRI</t>
        </is>
      </c>
      <c r="E1239" s="10" t="inlineStr">
        <is>
          <t>Gestión de Riesgo de Crédito</t>
        </is>
      </c>
      <c r="F1239" s="10" t="inlineStr">
        <is>
          <t>-</t>
        </is>
      </c>
      <c r="G1239" s="10" t="inlineStr">
        <is>
          <t xml:space="preserve">Análisis del reporte altura de vida   </t>
        </is>
      </c>
      <c r="H1239" s="10" t="inlineStr">
        <is>
          <t>Reporte de Alturas de Vida</t>
        </is>
      </c>
      <c r="I1239" s="10" t="inlineStr">
        <is>
          <t>Herramienta de matriz de cosecha en excel</t>
        </is>
      </c>
      <c r="J1239" s="10" t="inlineStr">
        <is>
          <t>GERENTE DE RIESGOS</t>
        </is>
      </c>
      <c r="K1239" s="10" t="inlineStr">
        <is>
          <t>ANALISTA DE RIESGO DE CREDITO</t>
        </is>
      </c>
      <c r="L1239" s="10" t="inlineStr">
        <is>
          <t>UBICACIÓN DIGITAL-EQUIPO DEL RESPONSABLE</t>
        </is>
      </c>
      <c r="M1239" s="10" t="inlineStr">
        <is>
          <t>DOCUMENTO DE ARCHIVO-ELECTRÓNICO</t>
        </is>
      </c>
      <c r="N1239" s="10" t="inlineStr">
        <is>
          <t>PRIMARIOS</t>
        </is>
      </c>
      <c r="O1239" s="10" t="inlineStr">
        <is>
          <t>DOCUMENTOS TÉCNICOS</t>
        </is>
      </c>
      <c r="P1239" s="10" t="inlineStr">
        <is>
          <t>PUBLICA(1)</t>
        </is>
      </c>
      <c r="Q1239" s="10" t="inlineStr">
        <is>
          <t>ALTA(3)</t>
        </is>
      </c>
      <c r="R1239" s="10" t="inlineStr">
        <is>
          <t>MEDIA(2)</t>
        </is>
      </c>
      <c r="S1239" s="10">
        <f>+(IF(P1239="PUBLICA(1)",1,IF(P1239="USO INTERNO(2)",2,IF(P1239="RESTRINGIDO(3)",3,3))))+(IF(Q1239="BAJA(1)",1,IF(Q1239="MEDIA(2)",2,IF(Q1239="ALTA(3)",3,3))))+(IF(R1239="BAJA(1)",1,IF(R1239="MEDIA(2)",2,IF(R1239="ALTA(3)",3,3))))</f>
        <v/>
      </c>
      <c r="T1239" s="10">
        <f>+IF(S1239&lt;6,"BAJA",IF(S1239&lt;8,"MEDIA","ALTA"))</f>
        <v/>
      </c>
      <c r="U1239" s="10" t="inlineStr">
        <is>
          <t>-</t>
        </is>
      </c>
      <c r="V1239" s="24" t="n">
        <v>45617</v>
      </c>
      <c r="W1239" s="19" t="inlineStr">
        <is>
          <t>N/A</t>
        </is>
      </c>
      <c r="X1239" s="10">
        <f>+IFERROR(IF(VLOOKUP(Tabla2[[#This Row],[ID]],'EVALUACION DE RIESGO'!A:A,1,FALSE)=Tabla2[[#This Row],[ID]],"SI","NO"),"NO")</f>
        <v/>
      </c>
    </row>
    <row r="1240">
      <c r="A1240" s="91" t="inlineStr">
        <is>
          <t>218-GRI</t>
        </is>
      </c>
      <c r="B1240" s="10" t="inlineStr">
        <is>
          <t>ESTRATÉGICO</t>
        </is>
      </c>
      <c r="C1240" s="10" t="inlineStr">
        <is>
          <t>Gestión de Riesgos</t>
        </is>
      </c>
      <c r="D1240" s="10" t="inlineStr">
        <is>
          <t>GRI</t>
        </is>
      </c>
      <c r="E1240" s="10" t="inlineStr">
        <is>
          <t>Gestión de Riesgo de Crédito</t>
        </is>
      </c>
      <c r="F1240" s="10" t="inlineStr">
        <is>
          <t>-</t>
        </is>
      </c>
      <c r="G1240" s="10" t="inlineStr">
        <is>
          <t xml:space="preserve">Validación de  la calificación de cartera y valor de provisión    </t>
        </is>
      </c>
      <c r="H1240" s="10" t="inlineStr">
        <is>
          <t>Reporte Cali_Of</t>
        </is>
      </c>
      <c r="I1240" s="10" t="inlineStr">
        <is>
          <t>Reporte</t>
        </is>
      </c>
      <c r="J1240" s="10" t="inlineStr">
        <is>
          <t>GERENTE DE RIESGOS</t>
        </is>
      </c>
      <c r="K1240" s="10" t="inlineStr">
        <is>
          <t>ANALISTA DE RIESGO DE CREDITO</t>
        </is>
      </c>
      <c r="L1240" s="10" t="inlineStr">
        <is>
          <t>UBICACIÓN DIGITAL-EQUIPO DEL RESPONSABLE</t>
        </is>
      </c>
      <c r="M1240" s="10" t="inlineStr">
        <is>
          <t>DOCUMENTO DE ARCHIVO-ELECTRÓNICO</t>
        </is>
      </c>
      <c r="N1240" s="10" t="inlineStr">
        <is>
          <t>PRIMARIOS</t>
        </is>
      </c>
      <c r="O1240" s="10" t="inlineStr">
        <is>
          <t>DOCUMENTOS TÉCNICOS</t>
        </is>
      </c>
      <c r="P1240" s="10" t="inlineStr">
        <is>
          <t>PUBLICA(1)</t>
        </is>
      </c>
      <c r="Q1240" s="10" t="inlineStr">
        <is>
          <t>ALTA(3)</t>
        </is>
      </c>
      <c r="R1240" s="10" t="inlineStr">
        <is>
          <t>MEDIA(2)</t>
        </is>
      </c>
      <c r="S1240" s="10">
        <f>+(IF(P1240="PUBLICA(1)",1,IF(P1240="USO INTERNO(2)",2,IF(P1240="RESTRINGIDO(3)",3,3))))+(IF(Q1240="BAJA(1)",1,IF(Q1240="MEDIA(2)",2,IF(Q1240="ALTA(3)",3,3))))+(IF(R1240="BAJA(1)",1,IF(R1240="MEDIA(2)",2,IF(R1240="ALTA(3)",3,3))))</f>
        <v/>
      </c>
      <c r="T1240" s="10">
        <f>+IF(S1240&lt;6,"BAJA",IF(S1240&lt;8,"MEDIA","ALTA"))</f>
        <v/>
      </c>
      <c r="U1240" s="10" t="inlineStr">
        <is>
          <t>-</t>
        </is>
      </c>
      <c r="V1240" s="24" t="n">
        <v>45617</v>
      </c>
      <c r="W1240" s="19" t="inlineStr">
        <is>
          <t>N/A</t>
        </is>
      </c>
      <c r="X1240" s="10">
        <f>+IFERROR(IF(VLOOKUP(Tabla2[[#This Row],[ID]],'EVALUACION DE RIESGO'!A:A,1,FALSE)=Tabla2[[#This Row],[ID]],"SI","NO"),"NO")</f>
        <v/>
      </c>
    </row>
    <row r="1241">
      <c r="A1241" s="91" t="inlineStr">
        <is>
          <t>219-GRI</t>
        </is>
      </c>
      <c r="B1241" s="10" t="inlineStr">
        <is>
          <t>ESTRATÉGICO</t>
        </is>
      </c>
      <c r="C1241" s="10" t="inlineStr">
        <is>
          <t>Gestión de Riesgos</t>
        </is>
      </c>
      <c r="D1241" s="10" t="inlineStr">
        <is>
          <t>GRI</t>
        </is>
      </c>
      <c r="E1241" s="10" t="inlineStr">
        <is>
          <t>Gestión de Riesgo de Crédito</t>
        </is>
      </c>
      <c r="F1241" s="10" t="inlineStr">
        <is>
          <t>-</t>
        </is>
      </c>
      <c r="G1241" s="10" t="inlineStr">
        <is>
          <t xml:space="preserve">Validación de  la calificación de cartera y valor de provisión    </t>
        </is>
      </c>
      <c r="H1241" s="10" t="inlineStr">
        <is>
          <t>Reporte Cartera_Total</t>
        </is>
      </c>
      <c r="I1241" s="10" t="inlineStr">
        <is>
          <t>Reporte</t>
        </is>
      </c>
      <c r="J1241" s="10" t="inlineStr">
        <is>
          <t>GERENTE DE RIESGOS</t>
        </is>
      </c>
      <c r="K1241" s="10" t="inlineStr">
        <is>
          <t>ANALISTA DE RIESGO DE CREDITO</t>
        </is>
      </c>
      <c r="L1241" s="10" t="inlineStr">
        <is>
          <t>UBICACIÓN DIGITAL-EQUIPO DEL RESPONSABLE</t>
        </is>
      </c>
      <c r="M1241" s="10" t="inlineStr">
        <is>
          <t>DOCUMENTO DE ARCHIVO-ELECTRÓNICO</t>
        </is>
      </c>
      <c r="N1241" s="10" t="inlineStr">
        <is>
          <t>PRIMARIOS</t>
        </is>
      </c>
      <c r="O1241" s="10" t="inlineStr">
        <is>
          <t>DOCUMENTOS TÉCNICOS</t>
        </is>
      </c>
      <c r="P1241" s="10" t="inlineStr">
        <is>
          <t>PUBLICA(1)</t>
        </is>
      </c>
      <c r="Q1241" s="10" t="inlineStr">
        <is>
          <t>ALTA(3)</t>
        </is>
      </c>
      <c r="R1241" s="10" t="inlineStr">
        <is>
          <t>MEDIA(2)</t>
        </is>
      </c>
      <c r="S1241" s="10">
        <f>+(IF(P1241="PUBLICA(1)",1,IF(P1241="USO INTERNO(2)",2,IF(P1241="RESTRINGIDO(3)",3,3))))+(IF(Q1241="BAJA(1)",1,IF(Q1241="MEDIA(2)",2,IF(Q1241="ALTA(3)",3,3))))+(IF(R1241="BAJA(1)",1,IF(R1241="MEDIA(2)",2,IF(R1241="ALTA(3)",3,3))))</f>
        <v/>
      </c>
      <c r="T1241" s="10">
        <f>+IF(S1241&lt;6,"BAJA",IF(S1241&lt;8,"MEDIA","ALTA"))</f>
        <v/>
      </c>
      <c r="U1241" s="10" t="inlineStr">
        <is>
          <t>-</t>
        </is>
      </c>
      <c r="V1241" s="24" t="n">
        <v>45617</v>
      </c>
      <c r="W1241" s="19" t="inlineStr">
        <is>
          <t>N/A</t>
        </is>
      </c>
      <c r="X1241" s="10">
        <f>+IFERROR(IF(VLOOKUP(Tabla2[[#This Row],[ID]],'EVALUACION DE RIESGO'!A:A,1,FALSE)=Tabla2[[#This Row],[ID]],"SI","NO"),"NO")</f>
        <v/>
      </c>
    </row>
    <row r="1242">
      <c r="A1242" s="91" t="inlineStr">
        <is>
          <t>220-GRI</t>
        </is>
      </c>
      <c r="B1242" s="10" t="inlineStr">
        <is>
          <t>ESTRATÉGICO</t>
        </is>
      </c>
      <c r="C1242" s="10" t="inlineStr">
        <is>
          <t>Gestión de Riesgos</t>
        </is>
      </c>
      <c r="D1242" s="10" t="inlineStr">
        <is>
          <t>GRI</t>
        </is>
      </c>
      <c r="E1242" s="10" t="inlineStr">
        <is>
          <t>Gestión de Riesgo de Crédito</t>
        </is>
      </c>
      <c r="F1242" s="10" t="inlineStr">
        <is>
          <t>-</t>
        </is>
      </c>
      <c r="G1242" s="10" t="inlineStr">
        <is>
          <t xml:space="preserve">Validación de  la calificación de cartera y valor de provisión    </t>
        </is>
      </c>
      <c r="H1242" s="10" t="inlineStr">
        <is>
          <t>Reporte Credireport</t>
        </is>
      </c>
      <c r="I1242" s="10" t="inlineStr">
        <is>
          <t>Reporte</t>
        </is>
      </c>
      <c r="J1242" s="10" t="inlineStr">
        <is>
          <t>GERENTE DE RIESGOS</t>
        </is>
      </c>
      <c r="K1242" s="10" t="inlineStr">
        <is>
          <t>ANALISTA DE RIESGO DE CREDITO</t>
        </is>
      </c>
      <c r="L1242" s="10" t="inlineStr">
        <is>
          <t>UBICACIÓN DIGITAL-EQUIPO DEL RESPONSABLE</t>
        </is>
      </c>
      <c r="M1242" s="10" t="inlineStr">
        <is>
          <t>DOCUMENTO DE ARCHIVO-ELECTRÓNICO</t>
        </is>
      </c>
      <c r="N1242" s="10" t="inlineStr">
        <is>
          <t>PRIMARIOS</t>
        </is>
      </c>
      <c r="O1242" s="10" t="inlineStr">
        <is>
          <t>DOCUMENTOS TÉCNICOS</t>
        </is>
      </c>
      <c r="P1242" s="10" t="inlineStr">
        <is>
          <t>PUBLICA(1)</t>
        </is>
      </c>
      <c r="Q1242" s="10" t="inlineStr">
        <is>
          <t>ALTA(3)</t>
        </is>
      </c>
      <c r="R1242" s="10" t="inlineStr">
        <is>
          <t>MEDIA(2)</t>
        </is>
      </c>
      <c r="S1242" s="10">
        <f>+(IF(P1242="PUBLICA(1)",1,IF(P1242="USO INTERNO(2)",2,IF(P1242="RESTRINGIDO(3)",3,3))))+(IF(Q1242="BAJA(1)",1,IF(Q1242="MEDIA(2)",2,IF(Q1242="ALTA(3)",3,3))))+(IF(R1242="BAJA(1)",1,IF(R1242="MEDIA(2)",2,IF(R1242="ALTA(3)",3,3))))</f>
        <v/>
      </c>
      <c r="T1242" s="10">
        <f>+IF(S1242&lt;6,"BAJA",IF(S1242&lt;8,"MEDIA","ALTA"))</f>
        <v/>
      </c>
      <c r="U1242" s="10" t="inlineStr">
        <is>
          <t>-</t>
        </is>
      </c>
      <c r="V1242" s="24" t="n">
        <v>45617</v>
      </c>
      <c r="W1242" s="19" t="inlineStr">
        <is>
          <t>N/A</t>
        </is>
      </c>
      <c r="X1242" s="10">
        <f>+IFERROR(IF(VLOOKUP(Tabla2[[#This Row],[ID]],'EVALUACION DE RIESGO'!A:A,1,FALSE)=Tabla2[[#This Row],[ID]],"SI","NO"),"NO")</f>
        <v/>
      </c>
    </row>
    <row r="1243">
      <c r="A1243" s="91" t="inlineStr">
        <is>
          <t>221-GRI</t>
        </is>
      </c>
      <c r="B1243" s="10" t="inlineStr">
        <is>
          <t>ESTRATÉGICO</t>
        </is>
      </c>
      <c r="C1243" s="10" t="inlineStr">
        <is>
          <t>Gestión de Riesgos</t>
        </is>
      </c>
      <c r="D1243" s="10" t="inlineStr">
        <is>
          <t>GRI</t>
        </is>
      </c>
      <c r="E1243" s="10" t="inlineStr">
        <is>
          <t>Gestión de Riesgo de Crédito</t>
        </is>
      </c>
      <c r="F1243" s="10" t="inlineStr">
        <is>
          <t>-</t>
        </is>
      </c>
      <c r="G1243" s="10" t="inlineStr">
        <is>
          <t xml:space="preserve">Validación de  la calificación de cartera y valor de provisión    </t>
        </is>
      </c>
      <c r="H1243" s="10" t="inlineStr">
        <is>
          <t>Balance del mes actual</t>
        </is>
      </c>
      <c r="I1243" s="10" t="inlineStr">
        <is>
          <t>Balance</t>
        </is>
      </c>
      <c r="J1243" s="10" t="inlineStr">
        <is>
          <t>GERENTE DE RIESGOS</t>
        </is>
      </c>
      <c r="K1243" s="10" t="inlineStr">
        <is>
          <t>ANALISTA DE RIESGO DE CREDITO</t>
        </is>
      </c>
      <c r="L1243" s="10" t="inlineStr">
        <is>
          <t>UBICACIÓN DIGITAL-EQUIPO DEL RESPONSABLE</t>
        </is>
      </c>
      <c r="M1243" s="10" t="inlineStr">
        <is>
          <t>DOCUMENTO DE ARCHIVO-ELECTRÓNICO</t>
        </is>
      </c>
      <c r="N1243" s="10" t="inlineStr">
        <is>
          <t>PRIMARIOS</t>
        </is>
      </c>
      <c r="O1243" s="10" t="inlineStr">
        <is>
          <t>DOCUMENTOS TÉCNICOS</t>
        </is>
      </c>
      <c r="P1243" s="10" t="inlineStr">
        <is>
          <t>PUBLICA(1)</t>
        </is>
      </c>
      <c r="Q1243" s="10" t="inlineStr">
        <is>
          <t>ALTA(3)</t>
        </is>
      </c>
      <c r="R1243" s="10" t="inlineStr">
        <is>
          <t>MEDIA(2)</t>
        </is>
      </c>
      <c r="S1243" s="10">
        <f>+(IF(P1243="PUBLICA(1)",1,IF(P1243="USO INTERNO(2)",2,IF(P1243="RESTRINGIDO(3)",3,3))))+(IF(Q1243="BAJA(1)",1,IF(Q1243="MEDIA(2)",2,IF(Q1243="ALTA(3)",3,3))))+(IF(R1243="BAJA(1)",1,IF(R1243="MEDIA(2)",2,IF(R1243="ALTA(3)",3,3))))</f>
        <v/>
      </c>
      <c r="T1243" s="10">
        <f>+IF(S1243&lt;6,"BAJA",IF(S1243&lt;8,"MEDIA","ALTA"))</f>
        <v/>
      </c>
      <c r="U1243" s="10" t="inlineStr">
        <is>
          <t>-</t>
        </is>
      </c>
      <c r="V1243" s="24" t="n">
        <v>45617</v>
      </c>
      <c r="W1243" s="19" t="inlineStr">
        <is>
          <t>N/A</t>
        </is>
      </c>
      <c r="X1243" s="10">
        <f>+IFERROR(IF(VLOOKUP(Tabla2[[#This Row],[ID]],'EVALUACION DE RIESGO'!A:A,1,FALSE)=Tabla2[[#This Row],[ID]],"SI","NO"),"NO")</f>
        <v/>
      </c>
    </row>
    <row r="1244">
      <c r="A1244" s="91" t="inlineStr">
        <is>
          <t>222-GRI</t>
        </is>
      </c>
      <c r="B1244" s="10" t="inlineStr">
        <is>
          <t>ESTRATÉGICO</t>
        </is>
      </c>
      <c r="C1244" s="10" t="inlineStr">
        <is>
          <t>Gestión de Riesgos</t>
        </is>
      </c>
      <c r="D1244" s="10" t="inlineStr">
        <is>
          <t>GRI</t>
        </is>
      </c>
      <c r="E1244" s="10" t="inlineStr">
        <is>
          <t>Gestión de Riesgo de Crédito</t>
        </is>
      </c>
      <c r="F1244" s="10" t="inlineStr">
        <is>
          <t>-</t>
        </is>
      </c>
      <c r="G1244" s="10" t="inlineStr">
        <is>
          <t xml:space="preserve">Validación de  la calificación de cartera y valor de provisión    </t>
        </is>
      </c>
      <c r="H1244" s="10" t="inlineStr">
        <is>
          <t>Reporte Cali_tot</t>
        </is>
      </c>
      <c r="I1244" s="10" t="inlineStr">
        <is>
          <t>Reporte</t>
        </is>
      </c>
      <c r="J1244" s="10" t="inlineStr">
        <is>
          <t>GERENTE DE RIESGOS</t>
        </is>
      </c>
      <c r="K1244" s="10" t="inlineStr">
        <is>
          <t>ANALISTA DE RIESGO DE CREDITO</t>
        </is>
      </c>
      <c r="L1244" s="10" t="inlineStr">
        <is>
          <t>UBICACIÓN DIGITAL-EQUIPO DEL RESPONSABLE</t>
        </is>
      </c>
      <c r="M1244" s="10" t="inlineStr">
        <is>
          <t>DOCUMENTO DE ARCHIVO-ELECTRÓNICO</t>
        </is>
      </c>
      <c r="N1244" s="10" t="inlineStr">
        <is>
          <t>PRIMARIOS</t>
        </is>
      </c>
      <c r="O1244" s="10" t="inlineStr">
        <is>
          <t>DOCUMENTOS TÉCNICOS</t>
        </is>
      </c>
      <c r="P1244" s="10" t="inlineStr">
        <is>
          <t>PUBLICA(1)</t>
        </is>
      </c>
      <c r="Q1244" s="10" t="inlineStr">
        <is>
          <t>ALTA(3)</t>
        </is>
      </c>
      <c r="R1244" s="10" t="inlineStr">
        <is>
          <t>MEDIA(2)</t>
        </is>
      </c>
      <c r="S1244" s="10">
        <f>+(IF(P1244="PUBLICA(1)",1,IF(P1244="USO INTERNO(2)",2,IF(P1244="RESTRINGIDO(3)",3,3))))+(IF(Q1244="BAJA(1)",1,IF(Q1244="MEDIA(2)",2,IF(Q1244="ALTA(3)",3,3))))+(IF(R1244="BAJA(1)",1,IF(R1244="MEDIA(2)",2,IF(R1244="ALTA(3)",3,3))))</f>
        <v/>
      </c>
      <c r="T1244" s="10">
        <f>+IF(S1244&lt;6,"BAJA",IF(S1244&lt;8,"MEDIA","ALTA"))</f>
        <v/>
      </c>
      <c r="U1244" s="10" t="inlineStr">
        <is>
          <t>-</t>
        </is>
      </c>
      <c r="V1244" s="24" t="n">
        <v>45617</v>
      </c>
      <c r="W1244" s="19" t="inlineStr">
        <is>
          <t>N/A</t>
        </is>
      </c>
      <c r="X1244" s="10">
        <f>+IFERROR(IF(VLOOKUP(Tabla2[[#This Row],[ID]],'EVALUACION DE RIESGO'!A:A,1,FALSE)=Tabla2[[#This Row],[ID]],"SI","NO"),"NO")</f>
        <v/>
      </c>
    </row>
    <row r="1245">
      <c r="A1245" s="91" t="inlineStr">
        <is>
          <t>223-GRI</t>
        </is>
      </c>
      <c r="B1245" s="10" t="inlineStr">
        <is>
          <t>ESTRATÉGICO</t>
        </is>
      </c>
      <c r="C1245" s="10" t="inlineStr">
        <is>
          <t>Gestión de Riesgos</t>
        </is>
      </c>
      <c r="D1245" s="10" t="inlineStr">
        <is>
          <t>GRI</t>
        </is>
      </c>
      <c r="E1245" s="10" t="inlineStr">
        <is>
          <t>Gestión de Riesgo de Crédito</t>
        </is>
      </c>
      <c r="F1245" s="10" t="inlineStr">
        <is>
          <t>-</t>
        </is>
      </c>
      <c r="G1245" s="10" t="inlineStr">
        <is>
          <t xml:space="preserve">Validación de  la calificación de cartera y valor de provisión    </t>
        </is>
      </c>
      <c r="H1245" s="10" t="inlineStr">
        <is>
          <t>Reporte de Calificación de Reestructurados y Refinanciados</t>
        </is>
      </c>
      <c r="I1245" s="10" t="inlineStr">
        <is>
          <t>Herramienta de calificación - excel</t>
        </is>
      </c>
      <c r="J1245" s="10" t="inlineStr">
        <is>
          <t>GERENTE DE RIESGOS</t>
        </is>
      </c>
      <c r="K1245" s="10" t="inlineStr">
        <is>
          <t>ANALISTA DE RIESGO DE CREDITO</t>
        </is>
      </c>
      <c r="L1245" s="10" t="inlineStr">
        <is>
          <t>UBICACIÓN DIGITAL-EQUIPO DEL RESPONSABLE</t>
        </is>
      </c>
      <c r="M1245" s="10" t="inlineStr">
        <is>
          <t>DOCUMENTO DE ARCHIVO-ELECTRÓNICO</t>
        </is>
      </c>
      <c r="N1245" s="10" t="inlineStr">
        <is>
          <t>PRIMARIOS</t>
        </is>
      </c>
      <c r="O1245" s="10" t="inlineStr">
        <is>
          <t>DOCUMENTOS TÉCNICOS</t>
        </is>
      </c>
      <c r="P1245" s="10" t="inlineStr">
        <is>
          <t>PUBLICA(1)</t>
        </is>
      </c>
      <c r="Q1245" s="10" t="inlineStr">
        <is>
          <t>ALTA(3)</t>
        </is>
      </c>
      <c r="R1245" s="10" t="inlineStr">
        <is>
          <t>MEDIA(2)</t>
        </is>
      </c>
      <c r="S1245" s="10">
        <f>+(IF(P1245="PUBLICA(1)",1,IF(P1245="USO INTERNO(2)",2,IF(P1245="RESTRINGIDO(3)",3,3))))+(IF(Q1245="BAJA(1)",1,IF(Q1245="MEDIA(2)",2,IF(Q1245="ALTA(3)",3,3))))+(IF(R1245="BAJA(1)",1,IF(R1245="MEDIA(2)",2,IF(R1245="ALTA(3)",3,3))))</f>
        <v/>
      </c>
      <c r="T1245" s="10">
        <f>+IF(S1245&lt;6,"BAJA",IF(S1245&lt;8,"MEDIA","ALTA"))</f>
        <v/>
      </c>
      <c r="U1245" s="10" t="inlineStr">
        <is>
          <t>-</t>
        </is>
      </c>
      <c r="V1245" s="24" t="n">
        <v>45617</v>
      </c>
      <c r="W1245" s="19" t="inlineStr">
        <is>
          <t>N/A</t>
        </is>
      </c>
      <c r="X1245" s="10">
        <f>+IFERROR(IF(VLOOKUP(Tabla2[[#This Row],[ID]],'EVALUACION DE RIESGO'!A:A,1,FALSE)=Tabla2[[#This Row],[ID]],"SI","NO"),"NO")</f>
        <v/>
      </c>
    </row>
    <row r="1246">
      <c r="A1246" s="91" t="inlineStr">
        <is>
          <t>224-GRI</t>
        </is>
      </c>
      <c r="B1246" s="10" t="inlineStr">
        <is>
          <t>ESTRATÉGICO</t>
        </is>
      </c>
      <c r="C1246" s="10" t="inlineStr">
        <is>
          <t>Gestión de Riesgos</t>
        </is>
      </c>
      <c r="D1246" s="10" t="inlineStr">
        <is>
          <t>GRI</t>
        </is>
      </c>
      <c r="E1246" s="10" t="inlineStr">
        <is>
          <t>Gestión de Riesgo de Crédito</t>
        </is>
      </c>
      <c r="F1246" s="10" t="inlineStr">
        <is>
          <t>-</t>
        </is>
      </c>
      <c r="G1246" s="10" t="inlineStr">
        <is>
          <t xml:space="preserve">Validación de  la calificación de cartera y valor de provisión    </t>
        </is>
      </c>
      <c r="H1246" s="10" t="inlineStr">
        <is>
          <t>Reporte Cartera Provisión</t>
        </is>
      </c>
      <c r="I1246" s="10" t="inlineStr">
        <is>
          <t>Hoja de trabajo</t>
        </is>
      </c>
      <c r="J1246" s="10" t="inlineStr">
        <is>
          <t>GERENTE DE RIESGOS</t>
        </is>
      </c>
      <c r="K1246" s="10" t="inlineStr">
        <is>
          <t>ANALISTA DE RIESGO DE CREDITO</t>
        </is>
      </c>
      <c r="L1246" s="10" t="inlineStr">
        <is>
          <t>UBICACIÓN DIGITAL-EQUIPO DEL RESPONSABLE</t>
        </is>
      </c>
      <c r="M1246" s="10" t="inlineStr">
        <is>
          <t>DOCUMENTO DE ARCHIVO-ELECTRÓNICO</t>
        </is>
      </c>
      <c r="N1246" s="10" t="inlineStr">
        <is>
          <t>PRIMARIOS</t>
        </is>
      </c>
      <c r="O1246" s="10" t="inlineStr">
        <is>
          <t>DOCUMENTOS TÉCNICOS</t>
        </is>
      </c>
      <c r="P1246" s="10" t="inlineStr">
        <is>
          <t>PUBLICA(1)</t>
        </is>
      </c>
      <c r="Q1246" s="10" t="inlineStr">
        <is>
          <t>ALTA(3)</t>
        </is>
      </c>
      <c r="R1246" s="10" t="inlineStr">
        <is>
          <t>MEDIA(2)</t>
        </is>
      </c>
      <c r="S1246" s="10">
        <f>+(IF(P1246="PUBLICA(1)",1,IF(P1246="USO INTERNO(2)",2,IF(P1246="RESTRINGIDO(3)",3,3))))+(IF(Q1246="BAJA(1)",1,IF(Q1246="MEDIA(2)",2,IF(Q1246="ALTA(3)",3,3))))+(IF(R1246="BAJA(1)",1,IF(R1246="MEDIA(2)",2,IF(R1246="ALTA(3)",3,3))))</f>
        <v/>
      </c>
      <c r="T1246" s="10">
        <f>+IF(S1246&lt;6,"BAJA",IF(S1246&lt;8,"MEDIA","ALTA"))</f>
        <v/>
      </c>
      <c r="U1246" s="10" t="inlineStr">
        <is>
          <t>-</t>
        </is>
      </c>
      <c r="V1246" s="24" t="n">
        <v>45618</v>
      </c>
      <c r="W1246" s="19" t="inlineStr">
        <is>
          <t>N/A</t>
        </is>
      </c>
      <c r="X1246" s="10">
        <f>+IFERROR(IF(VLOOKUP(Tabla2[[#This Row],[ID]],'EVALUACION DE RIESGO'!A:A,1,FALSE)=Tabla2[[#This Row],[ID]],"SI","NO"),"NO")</f>
        <v/>
      </c>
    </row>
    <row r="1247">
      <c r="A1247" s="91" t="inlineStr">
        <is>
          <t>225-GRI</t>
        </is>
      </c>
      <c r="B1247" s="10" t="inlineStr">
        <is>
          <t>ESTRATÉGICO</t>
        </is>
      </c>
      <c r="C1247" s="10" t="inlineStr">
        <is>
          <t>Gestión de Riesgos</t>
        </is>
      </c>
      <c r="D1247" s="10" t="inlineStr">
        <is>
          <t>GRI</t>
        </is>
      </c>
      <c r="E1247" s="10" t="inlineStr">
        <is>
          <t>Gestión de Riesgo de Crédito</t>
        </is>
      </c>
      <c r="F1247" s="10" t="inlineStr">
        <is>
          <t>-</t>
        </is>
      </c>
      <c r="G1247" s="10" t="inlineStr">
        <is>
          <t xml:space="preserve">Validación de  la calificación de cartera y valor de provisión    </t>
        </is>
      </c>
      <c r="H1247" s="10" t="inlineStr">
        <is>
          <t>Reporte Aux Contable</t>
        </is>
      </c>
      <c r="I1247" s="10" t="inlineStr">
        <is>
          <t>Hoja de trabajo</t>
        </is>
      </c>
      <c r="J1247" s="10" t="inlineStr">
        <is>
          <t>GERENTE DE RIESGOS</t>
        </is>
      </c>
      <c r="K1247" s="10" t="inlineStr">
        <is>
          <t>ANALISTA DE RIESGO DE CREDITO</t>
        </is>
      </c>
      <c r="L1247" s="10" t="inlineStr">
        <is>
          <t>UBICACIÓN DIGITAL-EQUIPO DEL RESPONSABLE</t>
        </is>
      </c>
      <c r="M1247" s="10" t="inlineStr">
        <is>
          <t>DOCUMENTO DE ARCHIVO-ELECTRÓNICO</t>
        </is>
      </c>
      <c r="N1247" s="10" t="inlineStr">
        <is>
          <t>PRIMARIOS</t>
        </is>
      </c>
      <c r="O1247" s="10" t="inlineStr">
        <is>
          <t>DOCUMENTOS TÉCNICOS</t>
        </is>
      </c>
      <c r="P1247" s="10" t="inlineStr">
        <is>
          <t>PUBLICA(1)</t>
        </is>
      </c>
      <c r="Q1247" s="10" t="inlineStr">
        <is>
          <t>ALTA(3)</t>
        </is>
      </c>
      <c r="R1247" s="10" t="inlineStr">
        <is>
          <t>MEDIA(2)</t>
        </is>
      </c>
      <c r="S1247" s="10">
        <f>+(IF(P1247="PUBLICA(1)",1,IF(P1247="USO INTERNO(2)",2,IF(P1247="RESTRINGIDO(3)",3,3))))+(IF(Q1247="BAJA(1)",1,IF(Q1247="MEDIA(2)",2,IF(Q1247="ALTA(3)",3,3))))+(IF(R1247="BAJA(1)",1,IF(R1247="MEDIA(2)",2,IF(R1247="ALTA(3)",3,3))))</f>
        <v/>
      </c>
      <c r="T1247" s="10">
        <f>+IF(S1247&lt;6,"BAJA",IF(S1247&lt;8,"MEDIA","ALTA"))</f>
        <v/>
      </c>
      <c r="U1247" s="10" t="inlineStr">
        <is>
          <t>-</t>
        </is>
      </c>
      <c r="V1247" s="24" t="n">
        <v>45618</v>
      </c>
      <c r="W1247" s="19" t="inlineStr">
        <is>
          <t>N/A</t>
        </is>
      </c>
      <c r="X1247" s="10">
        <f>+IFERROR(IF(VLOOKUP(Tabla2[[#This Row],[ID]],'EVALUACION DE RIESGO'!A:A,1,FALSE)=Tabla2[[#This Row],[ID]],"SI","NO"),"NO")</f>
        <v/>
      </c>
    </row>
    <row r="1248">
      <c r="A1248" s="91" t="inlineStr">
        <is>
          <t>226-GRI</t>
        </is>
      </c>
      <c r="B1248" s="10" t="inlineStr">
        <is>
          <t>ESTRATÉGICO</t>
        </is>
      </c>
      <c r="C1248" s="10" t="inlineStr">
        <is>
          <t>Gestión de Riesgos</t>
        </is>
      </c>
      <c r="D1248" s="10" t="inlineStr">
        <is>
          <t>GRI</t>
        </is>
      </c>
      <c r="E1248" s="10" t="inlineStr">
        <is>
          <t>Gestión de Riesgo de Crédito</t>
        </is>
      </c>
      <c r="F1248" s="10" t="inlineStr">
        <is>
          <t>-</t>
        </is>
      </c>
      <c r="G1248" s="10" t="inlineStr">
        <is>
          <t xml:space="preserve">Validación de  la calificación de cartera y valor de provisión    </t>
        </is>
      </c>
      <c r="H1248" s="10" t="inlineStr">
        <is>
          <t>Informe de activos de riesgos y constitución de provisiones</t>
        </is>
      </c>
      <c r="I1248" s="10" t="inlineStr">
        <is>
          <t>Informe</t>
        </is>
      </c>
      <c r="J1248" s="10" t="inlineStr">
        <is>
          <t>GERENTE DE RIESGOS</t>
        </is>
      </c>
      <c r="K1248" s="10" t="inlineStr">
        <is>
          <t>ANALISTA DE RIESGO DE CREDITO</t>
        </is>
      </c>
      <c r="L1248" s="10" t="inlineStr">
        <is>
          <t>UBICACIÓN DIGITAL-EQUIPO DEL RESPONSABLE</t>
        </is>
      </c>
      <c r="M1248" s="10" t="inlineStr">
        <is>
          <t>DOCUMENTO DE ARCHIVO-ELECTRÓNICO</t>
        </is>
      </c>
      <c r="N1248" s="10" t="inlineStr">
        <is>
          <t>PRIMARIOS</t>
        </is>
      </c>
      <c r="O1248" s="10" t="inlineStr">
        <is>
          <t>DOCUMENTOS TÉCNICOS</t>
        </is>
      </c>
      <c r="P1248" s="10" t="inlineStr">
        <is>
          <t>PUBLICA(1)</t>
        </is>
      </c>
      <c r="Q1248" s="10" t="inlineStr">
        <is>
          <t>ALTA(3)</t>
        </is>
      </c>
      <c r="R1248" s="10" t="inlineStr">
        <is>
          <t>MEDIA(2)</t>
        </is>
      </c>
      <c r="S1248" s="10">
        <f>+(IF(P1248="PUBLICA(1)",1,IF(P1248="USO INTERNO(2)",2,IF(P1248="RESTRINGIDO(3)",3,3))))+(IF(Q1248="BAJA(1)",1,IF(Q1248="MEDIA(2)",2,IF(Q1248="ALTA(3)",3,3))))+(IF(R1248="BAJA(1)",1,IF(R1248="MEDIA(2)",2,IF(R1248="ALTA(3)",3,3))))</f>
        <v/>
      </c>
      <c r="T1248" s="10">
        <f>+IF(S1248&lt;6,"BAJA",IF(S1248&lt;8,"MEDIA","ALTA"))</f>
        <v/>
      </c>
      <c r="U1248" s="10" t="inlineStr">
        <is>
          <t>-</t>
        </is>
      </c>
      <c r="V1248" s="24" t="n">
        <v>45617</v>
      </c>
      <c r="W1248" s="19" t="inlineStr">
        <is>
          <t>N/A</t>
        </is>
      </c>
      <c r="X1248" s="10">
        <f>+IFERROR(IF(VLOOKUP(Tabla2[[#This Row],[ID]],'EVALUACION DE RIESGO'!A:A,1,FALSE)=Tabla2[[#This Row],[ID]],"SI","NO"),"NO")</f>
        <v/>
      </c>
    </row>
    <row r="1249">
      <c r="A1249" s="91" t="inlineStr">
        <is>
          <t>227-GRI</t>
        </is>
      </c>
      <c r="B1249" s="10" t="inlineStr">
        <is>
          <t>ESTRATÉGICO</t>
        </is>
      </c>
      <c r="C1249" s="10" t="inlineStr">
        <is>
          <t>Gestión de Riesgos</t>
        </is>
      </c>
      <c r="D1249" s="10" t="inlineStr">
        <is>
          <t>GRI</t>
        </is>
      </c>
      <c r="E1249" s="10" t="inlineStr">
        <is>
          <t>Gestión de Riesgo de Crédito</t>
        </is>
      </c>
      <c r="F1249" s="10" t="inlineStr">
        <is>
          <t>-</t>
        </is>
      </c>
      <c r="G1249" s="10" t="inlineStr">
        <is>
          <t>Seguimiento al valor de provisiones</t>
        </is>
      </c>
      <c r="H1249" s="10" t="inlineStr">
        <is>
          <t>Reporte Cadetaca</t>
        </is>
      </c>
      <c r="I1249" s="10" t="inlineStr">
        <is>
          <t>Reporte</t>
        </is>
      </c>
      <c r="J1249" s="10" t="inlineStr">
        <is>
          <t>GERENTE DE RIESGOS</t>
        </is>
      </c>
      <c r="K1249" s="10" t="inlineStr">
        <is>
          <t>ANALISTA DE RIESGO DE CREDITO</t>
        </is>
      </c>
      <c r="L1249" s="10" t="inlineStr">
        <is>
          <t>UBICACIÓN DIGITAL-EQUIPO DEL RESPONSABLE</t>
        </is>
      </c>
      <c r="M1249" s="10" t="inlineStr">
        <is>
          <t>DOCUMENTO DE ARCHIVO-ELECTRÓNICO</t>
        </is>
      </c>
      <c r="N1249" s="10" t="inlineStr">
        <is>
          <t>PRIMARIOS</t>
        </is>
      </c>
      <c r="O1249" s="10" t="inlineStr">
        <is>
          <t>DOCUMENTOS TÉCNICOS</t>
        </is>
      </c>
      <c r="P1249" s="10" t="inlineStr">
        <is>
          <t>PUBLICA(1)</t>
        </is>
      </c>
      <c r="Q1249" s="10" t="inlineStr">
        <is>
          <t>ALTA(3)</t>
        </is>
      </c>
      <c r="R1249" s="10" t="inlineStr">
        <is>
          <t>MEDIA(2)</t>
        </is>
      </c>
      <c r="S1249" s="10">
        <f>+(IF(P1249="PUBLICA(1)",1,IF(P1249="USO INTERNO(2)",2,IF(P1249="RESTRINGIDO(3)",3,3))))+(IF(Q1249="BAJA(1)",1,IF(Q1249="MEDIA(2)",2,IF(Q1249="ALTA(3)",3,3))))+(IF(R1249="BAJA(1)",1,IF(R1249="MEDIA(2)",2,IF(R1249="ALTA(3)",3,3))))</f>
        <v/>
      </c>
      <c r="T1249" s="10">
        <f>+IF(S1249&lt;6,"BAJA",IF(S1249&lt;8,"MEDIA","ALTA"))</f>
        <v/>
      </c>
      <c r="U1249" s="10" t="inlineStr">
        <is>
          <t>-</t>
        </is>
      </c>
      <c r="V1249" s="24" t="n">
        <v>45618</v>
      </c>
      <c r="W1249" s="19" t="inlineStr">
        <is>
          <t>N/A</t>
        </is>
      </c>
      <c r="X1249" s="10">
        <f>+IFERROR(IF(VLOOKUP(Tabla2[[#This Row],[ID]],'EVALUACION DE RIESGO'!A:A,1,FALSE)=Tabla2[[#This Row],[ID]],"SI","NO"),"NO")</f>
        <v/>
      </c>
    </row>
    <row r="1250">
      <c r="A1250" s="91" t="inlineStr">
        <is>
          <t>228-GRI</t>
        </is>
      </c>
      <c r="B1250" s="10" t="inlineStr">
        <is>
          <t>ESTRATÉGICO</t>
        </is>
      </c>
      <c r="C1250" s="10" t="inlineStr">
        <is>
          <t>Gestión de Riesgos</t>
        </is>
      </c>
      <c r="D1250" s="10" t="inlineStr">
        <is>
          <t>GRI</t>
        </is>
      </c>
      <c r="E1250" s="10" t="inlineStr">
        <is>
          <t>Gestión de Riesgo de Crédito</t>
        </is>
      </c>
      <c r="F1250" s="10" t="inlineStr">
        <is>
          <t>-</t>
        </is>
      </c>
      <c r="G1250" s="10" t="inlineStr">
        <is>
          <t>Seguimiento al valor de provisiones</t>
        </is>
      </c>
      <c r="H1250" s="10" t="inlineStr">
        <is>
          <t xml:space="preserve">Reporte de calificación y provisión semanal </t>
        </is>
      </c>
      <c r="I1250" s="10" t="inlineStr">
        <is>
          <t>Hoja de trabajo</t>
        </is>
      </c>
      <c r="J1250" s="10" t="inlineStr">
        <is>
          <t>GERENTE DE RIESGOS</t>
        </is>
      </c>
      <c r="K1250" s="10" t="inlineStr">
        <is>
          <t>ANALISTA DE RIESGO DE CREDITO</t>
        </is>
      </c>
      <c r="L1250" s="10" t="inlineStr">
        <is>
          <t>UBICACIÓN DIGITAL-EQUIPO DEL RESPONSABLE</t>
        </is>
      </c>
      <c r="M1250" s="10" t="inlineStr">
        <is>
          <t>DOCUMENTO DE ARCHIVO-ELECTRÓNICO</t>
        </is>
      </c>
      <c r="N1250" s="10" t="inlineStr">
        <is>
          <t>PRIMARIOS</t>
        </is>
      </c>
      <c r="O1250" s="10" t="inlineStr">
        <is>
          <t>DOCUMENTOS TÉCNICOS</t>
        </is>
      </c>
      <c r="P1250" s="10" t="inlineStr">
        <is>
          <t>PUBLICA(1)</t>
        </is>
      </c>
      <c r="Q1250" s="10" t="inlineStr">
        <is>
          <t>ALTA(3)</t>
        </is>
      </c>
      <c r="R1250" s="10" t="inlineStr">
        <is>
          <t>MEDIA(2)</t>
        </is>
      </c>
      <c r="S1250" s="10">
        <f>+(IF(P1250="PUBLICA(1)",1,IF(P1250="USO INTERNO(2)",2,IF(P1250="RESTRINGIDO(3)",3,3))))+(IF(Q1250="BAJA(1)",1,IF(Q1250="MEDIA(2)",2,IF(Q1250="ALTA(3)",3,3))))+(IF(R1250="BAJA(1)",1,IF(R1250="MEDIA(2)",2,IF(R1250="ALTA(3)",3,3))))</f>
        <v/>
      </c>
      <c r="T1250" s="10">
        <f>+IF(S1250&lt;6,"BAJA",IF(S1250&lt;8,"MEDIA","ALTA"))</f>
        <v/>
      </c>
      <c r="U1250" s="10" t="inlineStr">
        <is>
          <t>-</t>
        </is>
      </c>
      <c r="V1250" s="24" t="n">
        <v>45618</v>
      </c>
      <c r="W1250" s="19" t="inlineStr">
        <is>
          <t>N/A</t>
        </is>
      </c>
      <c r="X1250" s="10">
        <f>+IFERROR(IF(VLOOKUP(Tabla2[[#This Row],[ID]],'EVALUACION DE RIESGO'!A:A,1,FALSE)=Tabla2[[#This Row],[ID]],"SI","NO"),"NO")</f>
        <v/>
      </c>
    </row>
    <row r="1251">
      <c r="A1251" s="91" t="inlineStr">
        <is>
          <t>229-GRI</t>
        </is>
      </c>
      <c r="B1251" s="10" t="inlineStr">
        <is>
          <t>ESTRATÉGICO</t>
        </is>
      </c>
      <c r="C1251" s="10" t="inlineStr">
        <is>
          <t>Gestión de Riesgos</t>
        </is>
      </c>
      <c r="D1251" s="10" t="inlineStr">
        <is>
          <t>GRI</t>
        </is>
      </c>
      <c r="E1251" s="10" t="inlineStr">
        <is>
          <t>Gestión de Riesgo de Crédito</t>
        </is>
      </c>
      <c r="F1251" s="10" t="inlineStr">
        <is>
          <t>-</t>
        </is>
      </c>
      <c r="G1251" s="10" t="inlineStr">
        <is>
          <t>Gestión de Indicadores de Riesgo y Reportes</t>
        </is>
      </c>
      <c r="H1251" s="10" t="inlineStr">
        <is>
          <t>Tabla rc_cliente_variable</t>
        </is>
      </c>
      <c r="I1251" s="10" t="inlineStr">
        <is>
          <t>Reporte</t>
        </is>
      </c>
      <c r="J1251" s="10" t="inlineStr">
        <is>
          <t>GERENTE DE RIESGOS</t>
        </is>
      </c>
      <c r="K1251" s="10" t="inlineStr">
        <is>
          <t>ANALISTA DE RIESGO DE CREDITO</t>
        </is>
      </c>
      <c r="L1251" s="10" t="inlineStr">
        <is>
          <t>UBICACIÓN DIGITAL-EQUIPO DEL RESPONSABLE</t>
        </is>
      </c>
      <c r="M1251" s="10" t="inlineStr">
        <is>
          <t>DOCUMENTO DE ARCHIVO-ELECTRÓNICO</t>
        </is>
      </c>
      <c r="N1251" s="10" t="inlineStr">
        <is>
          <t>PRIMARIOS</t>
        </is>
      </c>
      <c r="O1251" s="10" t="inlineStr">
        <is>
          <t>DOCUMENTOS TÉCNICOS</t>
        </is>
      </c>
      <c r="P1251" s="10" t="inlineStr">
        <is>
          <t>PUBLICA(1)</t>
        </is>
      </c>
      <c r="Q1251" s="10" t="inlineStr">
        <is>
          <t>ALTA(3)</t>
        </is>
      </c>
      <c r="R1251" s="10" t="inlineStr">
        <is>
          <t>MEDIA(2)</t>
        </is>
      </c>
      <c r="S1251" s="10">
        <f>+(IF(P1251="PUBLICA(1)",1,IF(P1251="USO INTERNO(2)",2,IF(P1251="RESTRINGIDO(3)",3,3))))+(IF(Q1251="BAJA(1)",1,IF(Q1251="MEDIA(2)",2,IF(Q1251="ALTA(3)",3,3))))+(IF(R1251="BAJA(1)",1,IF(R1251="MEDIA(2)",2,IF(R1251="ALTA(3)",3,3))))</f>
        <v/>
      </c>
      <c r="T1251" s="10">
        <f>+IF(S1251&lt;6,"BAJA",IF(S1251&lt;8,"MEDIA","ALTA"))</f>
        <v/>
      </c>
      <c r="U1251" s="10" t="inlineStr">
        <is>
          <t>-</t>
        </is>
      </c>
      <c r="V1251" s="24" t="n">
        <v>45617</v>
      </c>
      <c r="W1251" s="19" t="inlineStr">
        <is>
          <t>N/A</t>
        </is>
      </c>
      <c r="X1251" s="10">
        <f>+IFERROR(IF(VLOOKUP(Tabla2[[#This Row],[ID]],'EVALUACION DE RIESGO'!A:A,1,FALSE)=Tabla2[[#This Row],[ID]],"SI","NO"),"NO")</f>
        <v/>
      </c>
    </row>
    <row r="1252">
      <c r="A1252" s="91" t="inlineStr">
        <is>
          <t>230-GRI</t>
        </is>
      </c>
      <c r="B1252" s="10" t="inlineStr">
        <is>
          <t>ESTRATÉGICO</t>
        </is>
      </c>
      <c r="C1252" s="10" t="inlineStr">
        <is>
          <t>Gestión de Riesgos</t>
        </is>
      </c>
      <c r="D1252" s="10" t="inlineStr">
        <is>
          <t>GRI</t>
        </is>
      </c>
      <c r="E1252" s="10" t="inlineStr">
        <is>
          <t>Gestión de Riesgo de Crédito</t>
        </is>
      </c>
      <c r="F1252" s="10" t="inlineStr">
        <is>
          <t>-</t>
        </is>
      </c>
      <c r="G1252" s="10" t="inlineStr">
        <is>
          <t>Gestión de Indicadores de Riesgo y Reportes</t>
        </is>
      </c>
      <c r="H1252" s="10" t="inlineStr">
        <is>
          <t>Indicadores y Reportes para: Seguimiento y Control Rentabilidad ajustada al riesgo Requerimiento de Capital Reforzar el otorgamiento</t>
        </is>
      </c>
      <c r="I1252" s="10" t="inlineStr">
        <is>
          <t>Herramienta</t>
        </is>
      </c>
      <c r="J1252" s="10" t="inlineStr">
        <is>
          <t>GERENTE DE RIESGOS</t>
        </is>
      </c>
      <c r="K1252" s="10" t="inlineStr">
        <is>
          <t>ANALISTA DE RIESGO DE CREDITO</t>
        </is>
      </c>
      <c r="L1252" s="10" t="inlineStr">
        <is>
          <t>UBICACIÓN DIGITAL-WEBCOOP</t>
        </is>
      </c>
      <c r="M1252" s="10" t="inlineStr">
        <is>
          <t>SISTEMA DE ADMINISTRACIÓN DE DOCUMENTOS</t>
        </is>
      </c>
      <c r="N1252" s="10" t="inlineStr">
        <is>
          <t>APOYO</t>
        </is>
      </c>
      <c r="O1252" s="10" t="inlineStr">
        <is>
          <t>SOFTWARE</t>
        </is>
      </c>
      <c r="P1252" s="10" t="inlineStr">
        <is>
          <t>PUBLICA(1)</t>
        </is>
      </c>
      <c r="Q1252" s="10" t="inlineStr">
        <is>
          <t>ALTA(3)</t>
        </is>
      </c>
      <c r="R1252" s="10" t="inlineStr">
        <is>
          <t>MEDIA(2)</t>
        </is>
      </c>
      <c r="S1252" s="10">
        <f>+(IF(P1252="PUBLICA(1)",1,IF(P1252="USO INTERNO(2)",2,IF(P1252="RESTRINGIDO(3)",3,3))))+(IF(Q1252="BAJA(1)",1,IF(Q1252="MEDIA(2)",2,IF(Q1252="ALTA(3)",3,3))))+(IF(R1252="BAJA(1)",1,IF(R1252="MEDIA(2)",2,IF(R1252="ALTA(3)",3,3))))</f>
        <v/>
      </c>
      <c r="T1252" s="10">
        <f>+IF(S1252&lt;6,"BAJA",IF(S1252&lt;8,"MEDIA","ALTA"))</f>
        <v/>
      </c>
      <c r="U1252" s="10" t="inlineStr">
        <is>
          <t>-</t>
        </is>
      </c>
      <c r="V1252" s="24" t="n">
        <v>45618</v>
      </c>
      <c r="W1252" s="19" t="inlineStr">
        <is>
          <t>N/A</t>
        </is>
      </c>
      <c r="X1252" s="10">
        <f>+IFERROR(IF(VLOOKUP(Tabla2[[#This Row],[ID]],'EVALUACION DE RIESGO'!A:A,1,FALSE)=Tabla2[[#This Row],[ID]],"SI","NO"),"NO")</f>
        <v/>
      </c>
    </row>
    <row r="1253">
      <c r="A1253" s="91" t="inlineStr">
        <is>
          <t>231-GRI</t>
        </is>
      </c>
      <c r="B1253" s="10" t="inlineStr">
        <is>
          <t>ESTRATÉGICO</t>
        </is>
      </c>
      <c r="C1253" s="10" t="inlineStr">
        <is>
          <t>Gestión de Riesgos</t>
        </is>
      </c>
      <c r="D1253" s="10" t="inlineStr">
        <is>
          <t>GRI</t>
        </is>
      </c>
      <c r="E1253" s="10" t="inlineStr">
        <is>
          <t>Gestión de Riesgo de Crédito</t>
        </is>
      </c>
      <c r="F1253" s="10" t="inlineStr">
        <is>
          <t>-</t>
        </is>
      </c>
      <c r="G1253" s="10" t="inlineStr">
        <is>
          <t xml:space="preserve">Análisis de Cartera Vigente </t>
        </is>
      </c>
      <c r="H1253" s="10" t="inlineStr">
        <is>
          <t>Reporte de Matrices de Transición</t>
        </is>
      </c>
      <c r="I1253" s="10" t="inlineStr">
        <is>
          <t>Herramienta de matriz de transición en excel</t>
        </is>
      </c>
      <c r="J1253" s="10" t="inlineStr">
        <is>
          <t>GERENTE DE RIESGOS</t>
        </is>
      </c>
      <c r="K1253" s="10" t="inlineStr">
        <is>
          <t>ANALISTA DE RIESGO DE CREDITO</t>
        </is>
      </c>
      <c r="L1253" s="10" t="inlineStr">
        <is>
          <t>UBICACIÓN DIGITAL-EQUIPO DEL RESPONSABLE</t>
        </is>
      </c>
      <c r="M1253" s="10" t="inlineStr">
        <is>
          <t>DOCUMENTO DE ARCHIVO-ELECTRÓNICO</t>
        </is>
      </c>
      <c r="N1253" s="10" t="inlineStr">
        <is>
          <t>PRIMARIOS</t>
        </is>
      </c>
      <c r="O1253" s="10" t="inlineStr">
        <is>
          <t>DOCUMENTOS TÉCNICOS</t>
        </is>
      </c>
      <c r="P1253" s="10" t="inlineStr">
        <is>
          <t>PUBLICA(1)</t>
        </is>
      </c>
      <c r="Q1253" s="10" t="inlineStr">
        <is>
          <t>ALTA(3)</t>
        </is>
      </c>
      <c r="R1253" s="10" t="inlineStr">
        <is>
          <t>MEDIA(2)</t>
        </is>
      </c>
      <c r="S1253" s="10">
        <f>+(IF(P1253="PUBLICA(1)",1,IF(P1253="USO INTERNO(2)",2,IF(P1253="RESTRINGIDO(3)",3,3))))+(IF(Q1253="BAJA(1)",1,IF(Q1253="MEDIA(2)",2,IF(Q1253="ALTA(3)",3,3))))+(IF(R1253="BAJA(1)",1,IF(R1253="MEDIA(2)",2,IF(R1253="ALTA(3)",3,3))))</f>
        <v/>
      </c>
      <c r="T1253" s="10">
        <f>+IF(S1253&lt;6,"BAJA",IF(S1253&lt;8,"MEDIA","ALTA"))</f>
        <v/>
      </c>
      <c r="U1253" s="10" t="inlineStr">
        <is>
          <t>-</t>
        </is>
      </c>
      <c r="V1253" s="24" t="n">
        <v>45617</v>
      </c>
      <c r="W1253" s="19" t="inlineStr">
        <is>
          <t>N/A</t>
        </is>
      </c>
      <c r="X1253" s="10">
        <f>+IFERROR(IF(VLOOKUP(Tabla2[[#This Row],[ID]],'EVALUACION DE RIESGO'!A:A,1,FALSE)=Tabla2[[#This Row],[ID]],"SI","NO"),"NO")</f>
        <v/>
      </c>
    </row>
    <row r="1254">
      <c r="A1254" s="91" t="inlineStr">
        <is>
          <t>232-GRI</t>
        </is>
      </c>
      <c r="B1254" s="10" t="inlineStr">
        <is>
          <t>ESTRATÉGICO</t>
        </is>
      </c>
      <c r="C1254" s="10" t="inlineStr">
        <is>
          <t>Gestión de Riesgos</t>
        </is>
      </c>
      <c r="D1254" s="10" t="inlineStr">
        <is>
          <t>GRI</t>
        </is>
      </c>
      <c r="E1254" s="10" t="inlineStr">
        <is>
          <t>Gestión de Riesgo de Crédito</t>
        </is>
      </c>
      <c r="F1254" s="10" t="inlineStr">
        <is>
          <t>-</t>
        </is>
      </c>
      <c r="G1254" s="10" t="inlineStr">
        <is>
          <t xml:space="preserve">Análisis de Cartera Vigente </t>
        </is>
      </c>
      <c r="H1254" s="10" t="inlineStr">
        <is>
          <t>Reporte de Cosechas</t>
        </is>
      </c>
      <c r="I1254" s="10" t="inlineStr">
        <is>
          <t>Herramienta de matriz de cosecha en excel</t>
        </is>
      </c>
      <c r="J1254" s="10" t="inlineStr">
        <is>
          <t>GERENTE DE RIESGOS</t>
        </is>
      </c>
      <c r="K1254" s="10" t="inlineStr">
        <is>
          <t>ANALISTA DE RIESGO DE CREDITO</t>
        </is>
      </c>
      <c r="L1254" s="10" t="inlineStr">
        <is>
          <t>UBICACIÓN DIGITAL-EQUIPO DEL RESPONSABLE</t>
        </is>
      </c>
      <c r="M1254" s="10" t="inlineStr">
        <is>
          <t>DOCUMENTO DE ARCHIVO-ELECTRÓNICO</t>
        </is>
      </c>
      <c r="N1254" s="10" t="inlineStr">
        <is>
          <t>PRIMARIOS</t>
        </is>
      </c>
      <c r="O1254" s="10" t="inlineStr">
        <is>
          <t>DOCUMENTOS TÉCNICOS</t>
        </is>
      </c>
      <c r="P1254" s="10" t="inlineStr">
        <is>
          <t>PUBLICA(1)</t>
        </is>
      </c>
      <c r="Q1254" s="10" t="inlineStr">
        <is>
          <t>ALTA(3)</t>
        </is>
      </c>
      <c r="R1254" s="10" t="inlineStr">
        <is>
          <t>MEDIA(2)</t>
        </is>
      </c>
      <c r="S1254" s="10">
        <f>+(IF(P1254="PUBLICA(1)",1,IF(P1254="USO INTERNO(2)",2,IF(P1254="RESTRINGIDO(3)",3,3))))+(IF(Q1254="BAJA(1)",1,IF(Q1254="MEDIA(2)",2,IF(Q1254="ALTA(3)",3,3))))+(IF(R1254="BAJA(1)",1,IF(R1254="MEDIA(2)",2,IF(R1254="ALTA(3)",3,3))))</f>
        <v/>
      </c>
      <c r="T1254" s="10">
        <f>+IF(S1254&lt;6,"BAJA",IF(S1254&lt;8,"MEDIA","ALTA"))</f>
        <v/>
      </c>
      <c r="U1254" s="10" t="inlineStr">
        <is>
          <t>-</t>
        </is>
      </c>
      <c r="V1254" s="24" t="n">
        <v>45618</v>
      </c>
      <c r="W1254" s="19" t="inlineStr">
        <is>
          <t>N/A</t>
        </is>
      </c>
      <c r="X1254" s="10">
        <f>+IFERROR(IF(VLOOKUP(Tabla2[[#This Row],[ID]],'EVALUACION DE RIESGO'!A:A,1,FALSE)=Tabla2[[#This Row],[ID]],"SI","NO"),"NO")</f>
        <v/>
      </c>
    </row>
    <row r="1255">
      <c r="A1255" s="91" t="inlineStr">
        <is>
          <t>233-GRI</t>
        </is>
      </c>
      <c r="B1255" s="10" t="inlineStr">
        <is>
          <t>ESTRATÉGICO</t>
        </is>
      </c>
      <c r="C1255" s="10" t="inlineStr">
        <is>
          <t>Gestión de Riesgos</t>
        </is>
      </c>
      <c r="D1255" s="10" t="inlineStr">
        <is>
          <t>GRI</t>
        </is>
      </c>
      <c r="E1255" s="10" t="inlineStr">
        <is>
          <t>Gestión de Riesgo de Crédito</t>
        </is>
      </c>
      <c r="F1255" s="10" t="inlineStr">
        <is>
          <t>-</t>
        </is>
      </c>
      <c r="G1255" s="10" t="inlineStr">
        <is>
          <t xml:space="preserve">Análisis de Cartera Vigente </t>
        </is>
      </c>
      <c r="H1255" s="10" t="inlineStr">
        <is>
          <t>Reporte Cartera_Total</t>
        </is>
      </c>
      <c r="I1255" s="10" t="inlineStr">
        <is>
          <t>Reporte</t>
        </is>
      </c>
      <c r="J1255" s="10" t="inlineStr">
        <is>
          <t>GERENTE DE RIESGOS</t>
        </is>
      </c>
      <c r="K1255" s="10" t="inlineStr">
        <is>
          <t>ANALISTA DE RIESGO DE CREDITO</t>
        </is>
      </c>
      <c r="L1255" s="10" t="inlineStr">
        <is>
          <t>UBICACIÓN DIGITAL-EQUIPO DEL RESPONSABLE</t>
        </is>
      </c>
      <c r="M1255" s="10" t="inlineStr">
        <is>
          <t>DOCUMENTO DE ARCHIVO-ELECTRÓNICO</t>
        </is>
      </c>
      <c r="N1255" s="10" t="inlineStr">
        <is>
          <t>PRIMARIOS</t>
        </is>
      </c>
      <c r="O1255" s="10" t="inlineStr">
        <is>
          <t>DOCUMENTOS TÉCNICOS</t>
        </is>
      </c>
      <c r="P1255" s="10" t="inlineStr">
        <is>
          <t>PUBLICA(1)</t>
        </is>
      </c>
      <c r="Q1255" s="10" t="inlineStr">
        <is>
          <t>ALTA(3)</t>
        </is>
      </c>
      <c r="R1255" s="10" t="inlineStr">
        <is>
          <t>MEDIA(2)</t>
        </is>
      </c>
      <c r="S1255" s="10">
        <f>+(IF(P1255="PUBLICA(1)",1,IF(P1255="USO INTERNO(2)",2,IF(P1255="RESTRINGIDO(3)",3,3))))+(IF(Q1255="BAJA(1)",1,IF(Q1255="MEDIA(2)",2,IF(Q1255="ALTA(3)",3,3))))+(IF(R1255="BAJA(1)",1,IF(R1255="MEDIA(2)",2,IF(R1255="ALTA(3)",3,3))))</f>
        <v/>
      </c>
      <c r="T1255" s="10">
        <f>+IF(S1255&lt;6,"BAJA",IF(S1255&lt;8,"MEDIA","ALTA"))</f>
        <v/>
      </c>
      <c r="U1255" s="10" t="inlineStr">
        <is>
          <t>-</t>
        </is>
      </c>
      <c r="V1255" s="24" t="n">
        <v>45618</v>
      </c>
      <c r="W1255" s="19" t="inlineStr">
        <is>
          <t>N/A</t>
        </is>
      </c>
      <c r="X1255" s="10">
        <f>+IFERROR(IF(VLOOKUP(Tabla2[[#This Row],[ID]],'EVALUACION DE RIESGO'!A:A,1,FALSE)=Tabla2[[#This Row],[ID]],"SI","NO"),"NO")</f>
        <v/>
      </c>
    </row>
    <row r="1256">
      <c r="A1256" s="91" t="inlineStr">
        <is>
          <t>234-GRI</t>
        </is>
      </c>
      <c r="B1256" s="10" t="inlineStr">
        <is>
          <t>ESTRATÉGICO</t>
        </is>
      </c>
      <c r="C1256" s="10" t="inlineStr">
        <is>
          <t>Gestión de Riesgos</t>
        </is>
      </c>
      <c r="D1256" s="10" t="inlineStr">
        <is>
          <t>GRI</t>
        </is>
      </c>
      <c r="E1256" s="10" t="inlineStr">
        <is>
          <t>Gestión de Riesgo de Crédito</t>
        </is>
      </c>
      <c r="F1256" s="10" t="inlineStr">
        <is>
          <t>-</t>
        </is>
      </c>
      <c r="G1256" s="10" t="inlineStr">
        <is>
          <t xml:space="preserve">Análisis de Cartera Vigente </t>
        </is>
      </c>
      <c r="H1256" s="10" t="inlineStr">
        <is>
          <t>Hoja de Trabajo de Revisión de Créditos vigentes Normativa Interna</t>
        </is>
      </c>
      <c r="I1256" s="10" t="inlineStr">
        <is>
          <t>Hoja de trabajo</t>
        </is>
      </c>
      <c r="J1256" s="10" t="inlineStr">
        <is>
          <t>GERENTE DE RIESGOS</t>
        </is>
      </c>
      <c r="K1256" s="10" t="inlineStr">
        <is>
          <t>ANALISTA DE RIESGO DE CREDITO</t>
        </is>
      </c>
      <c r="L1256" s="10" t="inlineStr">
        <is>
          <t>UBICACIÓN DIGITAL-EQUIPO DEL RESPONSABLE</t>
        </is>
      </c>
      <c r="M1256" s="10" t="inlineStr">
        <is>
          <t>DOCUMENTO DE ARCHIVO-ELECTRÓNICO</t>
        </is>
      </c>
      <c r="N1256" s="10" t="inlineStr">
        <is>
          <t>PRIMARIOS</t>
        </is>
      </c>
      <c r="O1256" s="10" t="inlineStr">
        <is>
          <t>DOCUMENTOS TÉCNICOS</t>
        </is>
      </c>
      <c r="P1256" s="10" t="inlineStr">
        <is>
          <t>PUBLICA(1)</t>
        </is>
      </c>
      <c r="Q1256" s="10" t="inlineStr">
        <is>
          <t>ALTA(3)</t>
        </is>
      </c>
      <c r="R1256" s="10" t="inlineStr">
        <is>
          <t>MEDIA(2)</t>
        </is>
      </c>
      <c r="S1256" s="10">
        <f>+(IF(P1256="PUBLICA(1)",1,IF(P1256="USO INTERNO(2)",2,IF(P1256="RESTRINGIDO(3)",3,3))))+(IF(Q1256="BAJA(1)",1,IF(Q1256="MEDIA(2)",2,IF(Q1256="ALTA(3)",3,3))))+(IF(R1256="BAJA(1)",1,IF(R1256="MEDIA(2)",2,IF(R1256="ALTA(3)",3,3))))</f>
        <v/>
      </c>
      <c r="T1256" s="10">
        <f>+IF(S1256&lt;6,"BAJA",IF(S1256&lt;8,"MEDIA","ALTA"))</f>
        <v/>
      </c>
      <c r="U1256" s="10" t="inlineStr">
        <is>
          <t>-</t>
        </is>
      </c>
      <c r="V1256" s="24" t="n">
        <v>45617</v>
      </c>
      <c r="W1256" s="19" t="inlineStr">
        <is>
          <t>N/A</t>
        </is>
      </c>
      <c r="X1256" s="10">
        <f>+IFERROR(IF(VLOOKUP(Tabla2[[#This Row],[ID]],'EVALUACION DE RIESGO'!A:A,1,FALSE)=Tabla2[[#This Row],[ID]],"SI","NO"),"NO")</f>
        <v/>
      </c>
    </row>
    <row r="1257">
      <c r="A1257" s="91" t="inlineStr">
        <is>
          <t>235-GRI</t>
        </is>
      </c>
      <c r="B1257" s="10" t="inlineStr">
        <is>
          <t>ESTRATÉGICO</t>
        </is>
      </c>
      <c r="C1257" s="10" t="inlineStr">
        <is>
          <t>Gestión de Riesgos</t>
        </is>
      </c>
      <c r="D1257" s="10" t="inlineStr">
        <is>
          <t>GRI</t>
        </is>
      </c>
      <c r="E1257" s="10" t="inlineStr">
        <is>
          <t>Gestión de Riesgo de Crédito</t>
        </is>
      </c>
      <c r="F1257" s="10" t="inlineStr">
        <is>
          <t>-</t>
        </is>
      </c>
      <c r="G1257" s="10" t="inlineStr">
        <is>
          <t>Análisis de las Operaciones con Cupo (vinculadas)</t>
        </is>
      </c>
      <c r="H1257" s="10" t="inlineStr">
        <is>
          <t>Reporte Cartera_Total</t>
        </is>
      </c>
      <c r="I1257" s="10" t="inlineStr">
        <is>
          <t>Reporte</t>
        </is>
      </c>
      <c r="J1257" s="10" t="inlineStr">
        <is>
          <t>GERENTE DE RIESGOS</t>
        </is>
      </c>
      <c r="K1257" s="10" t="inlineStr">
        <is>
          <t>ANALISTA DE RIESGO DE CREDITO</t>
        </is>
      </c>
      <c r="L1257" s="10" t="inlineStr">
        <is>
          <t>UBICACIÓN DIGITAL-EQUIPO DEL RESPONSABLE</t>
        </is>
      </c>
      <c r="M1257" s="10" t="inlineStr">
        <is>
          <t>DOCUMENTO DE ARCHIVO-ELECTRÓNICO</t>
        </is>
      </c>
      <c r="N1257" s="10" t="inlineStr">
        <is>
          <t>PRIMARIOS</t>
        </is>
      </c>
      <c r="O1257" s="10" t="inlineStr">
        <is>
          <t>DOCUMENTOS TÉCNICOS</t>
        </is>
      </c>
      <c r="P1257" s="10" t="inlineStr">
        <is>
          <t>PUBLICA(1)</t>
        </is>
      </c>
      <c r="Q1257" s="10" t="inlineStr">
        <is>
          <t>ALTA(3)</t>
        </is>
      </c>
      <c r="R1257" s="10" t="inlineStr">
        <is>
          <t>MEDIA(2)</t>
        </is>
      </c>
      <c r="S1257" s="10">
        <f>+(IF(P1257="PUBLICA(1)",1,IF(P1257="USO INTERNO(2)",2,IF(P1257="RESTRINGIDO(3)",3,3))))+(IF(Q1257="BAJA(1)",1,IF(Q1257="MEDIA(2)",2,IF(Q1257="ALTA(3)",3,3))))+(IF(R1257="BAJA(1)",1,IF(R1257="MEDIA(2)",2,IF(R1257="ALTA(3)",3,3))))</f>
        <v/>
      </c>
      <c r="T1257" s="10">
        <f>+IF(S1257&lt;6,"BAJA",IF(S1257&lt;8,"MEDIA","ALTA"))</f>
        <v/>
      </c>
      <c r="U1257" s="10" t="inlineStr">
        <is>
          <t>-</t>
        </is>
      </c>
      <c r="V1257" s="24" t="n">
        <v>45618</v>
      </c>
      <c r="W1257" s="19" t="inlineStr">
        <is>
          <t>N/A</t>
        </is>
      </c>
      <c r="X1257" s="10">
        <f>+IFERROR(IF(VLOOKUP(Tabla2[[#This Row],[ID]],'EVALUACION DE RIESGO'!A:A,1,FALSE)=Tabla2[[#This Row],[ID]],"SI","NO"),"NO")</f>
        <v/>
      </c>
    </row>
    <row r="1258">
      <c r="A1258" s="91" t="inlineStr">
        <is>
          <t>236-GRI</t>
        </is>
      </c>
      <c r="B1258" s="10" t="inlineStr">
        <is>
          <t>ESTRATÉGICO</t>
        </is>
      </c>
      <c r="C1258" s="10" t="inlineStr">
        <is>
          <t>Gestión de Riesgos</t>
        </is>
      </c>
      <c r="D1258" s="10" t="inlineStr">
        <is>
          <t>GRI</t>
        </is>
      </c>
      <c r="E1258" s="10" t="inlineStr">
        <is>
          <t>Gestión de Riesgo de Crédito</t>
        </is>
      </c>
      <c r="F1258" s="10" t="inlineStr">
        <is>
          <t>-</t>
        </is>
      </c>
      <c r="G1258" s="10" t="inlineStr">
        <is>
          <t>Análisis de las Operaciones con Cupo (vinculadas)</t>
        </is>
      </c>
      <c r="H1258" s="10" t="inlineStr">
        <is>
          <t>Reporte de vinculados y familiares de las personas reportadas en el formulario 250</t>
        </is>
      </c>
      <c r="I1258" s="10" t="inlineStr">
        <is>
          <t>Reporte</t>
        </is>
      </c>
      <c r="J1258" s="10" t="inlineStr">
        <is>
          <t>GERENTE DE RIESGOS</t>
        </is>
      </c>
      <c r="K1258" s="10" t="inlineStr">
        <is>
          <t>ANALISTA DE RIESGO DE CREDITO</t>
        </is>
      </c>
      <c r="L1258" s="10" t="inlineStr">
        <is>
          <t>UBICACIÓN DIGITAL-EQUIPO DEL RESPONSABLE</t>
        </is>
      </c>
      <c r="M1258" s="10" t="inlineStr">
        <is>
          <t>DOCUMENTO DE ARCHIVO-ELECTRÓNICO</t>
        </is>
      </c>
      <c r="N1258" s="10" t="inlineStr">
        <is>
          <t>PRIMARIOS</t>
        </is>
      </c>
      <c r="O1258" s="10" t="inlineStr">
        <is>
          <t>DOCUMENTOS TÉCNICOS</t>
        </is>
      </c>
      <c r="P1258" s="10" t="inlineStr">
        <is>
          <t>PUBLICA(1)</t>
        </is>
      </c>
      <c r="Q1258" s="10" t="inlineStr">
        <is>
          <t>ALTA(3)</t>
        </is>
      </c>
      <c r="R1258" s="10" t="inlineStr">
        <is>
          <t>MEDIA(2)</t>
        </is>
      </c>
      <c r="S1258" s="10">
        <f>+(IF(P1258="PUBLICA(1)",1,IF(P1258="USO INTERNO(2)",2,IF(P1258="RESTRINGIDO(3)",3,3))))+(IF(Q1258="BAJA(1)",1,IF(Q1258="MEDIA(2)",2,IF(Q1258="ALTA(3)",3,3))))+(IF(R1258="BAJA(1)",1,IF(R1258="MEDIA(2)",2,IF(R1258="ALTA(3)",3,3))))</f>
        <v/>
      </c>
      <c r="T1258" s="10">
        <f>+IF(S1258&lt;6,"BAJA",IF(S1258&lt;8,"MEDIA","ALTA"))</f>
        <v/>
      </c>
      <c r="U1258" s="10" t="inlineStr">
        <is>
          <t>-</t>
        </is>
      </c>
      <c r="V1258" s="24" t="n">
        <v>45618</v>
      </c>
      <c r="W1258" s="19" t="inlineStr">
        <is>
          <t>N/A</t>
        </is>
      </c>
      <c r="X1258" s="10">
        <f>+IFERROR(IF(VLOOKUP(Tabla2[[#This Row],[ID]],'EVALUACION DE RIESGO'!A:A,1,FALSE)=Tabla2[[#This Row],[ID]],"SI","NO"),"NO")</f>
        <v/>
      </c>
    </row>
    <row r="1259">
      <c r="A1259" s="91" t="inlineStr">
        <is>
          <t>237-GRI</t>
        </is>
      </c>
      <c r="B1259" s="10" t="inlineStr">
        <is>
          <t>ESTRATÉGICO</t>
        </is>
      </c>
      <c r="C1259" s="10" t="inlineStr">
        <is>
          <t>Gestión de Riesgos</t>
        </is>
      </c>
      <c r="D1259" s="10" t="inlineStr">
        <is>
          <t>GRI</t>
        </is>
      </c>
      <c r="E1259" s="10" t="inlineStr">
        <is>
          <t>Gestión de Riesgo de Crédito</t>
        </is>
      </c>
      <c r="F1259" s="10" t="inlineStr">
        <is>
          <t>-</t>
        </is>
      </c>
      <c r="G1259" s="10" t="inlineStr">
        <is>
          <t>Análisis de las Operaciones con Cupo (vinculadas)</t>
        </is>
      </c>
      <c r="H1259" s="10" t="inlineStr">
        <is>
          <t>Formulario 250B</t>
        </is>
      </c>
      <c r="I1259" s="10" t="inlineStr">
        <is>
          <t>Formulario</t>
        </is>
      </c>
      <c r="J1259" s="10" t="inlineStr">
        <is>
          <t>GERENTE DE RIESGOS</t>
        </is>
      </c>
      <c r="K1259" s="10" t="inlineStr">
        <is>
          <t>ANALISTA DE RIESGO DE CREDITO</t>
        </is>
      </c>
      <c r="L1259" s="10" t="inlineStr">
        <is>
          <t>UBICACIÓN DIGITAL-EQUIPO DEL RESPONSABLE</t>
        </is>
      </c>
      <c r="M1259" s="10" t="inlineStr">
        <is>
          <t>DOCUMENTO DE ARCHIVO-ELECTRÓNICO</t>
        </is>
      </c>
      <c r="N1259" s="10" t="inlineStr">
        <is>
          <t>PRIMARIOS</t>
        </is>
      </c>
      <c r="O1259" s="10" t="inlineStr">
        <is>
          <t>DOCUMENTOS TÉCNICOS</t>
        </is>
      </c>
      <c r="P1259" s="10" t="inlineStr">
        <is>
          <t>PUBLICA(1)</t>
        </is>
      </c>
      <c r="Q1259" s="10" t="inlineStr">
        <is>
          <t>ALTA(3)</t>
        </is>
      </c>
      <c r="R1259" s="10" t="inlineStr">
        <is>
          <t>MEDIA(2)</t>
        </is>
      </c>
      <c r="S1259" s="10">
        <f>+(IF(P1259="PUBLICA(1)",1,IF(P1259="USO INTERNO(2)",2,IF(P1259="RESTRINGIDO(3)",3,3))))+(IF(Q1259="BAJA(1)",1,IF(Q1259="MEDIA(2)",2,IF(Q1259="ALTA(3)",3,3))))+(IF(R1259="BAJA(1)",1,IF(R1259="MEDIA(2)",2,IF(R1259="ALTA(3)",3,3))))</f>
        <v/>
      </c>
      <c r="T1259" s="10">
        <f>+IF(S1259&lt;6,"BAJA",IF(S1259&lt;8,"MEDIA","ALTA"))</f>
        <v/>
      </c>
      <c r="U1259" s="10" t="inlineStr">
        <is>
          <t>-</t>
        </is>
      </c>
      <c r="V1259" s="24" t="n">
        <v>45617</v>
      </c>
      <c r="W1259" s="19" t="inlineStr">
        <is>
          <t>N/A</t>
        </is>
      </c>
      <c r="X1259" s="10">
        <f>+IFERROR(IF(VLOOKUP(Tabla2[[#This Row],[ID]],'EVALUACION DE RIESGO'!A:A,1,FALSE)=Tabla2[[#This Row],[ID]],"SI","NO"),"NO")</f>
        <v/>
      </c>
    </row>
    <row r="1260">
      <c r="A1260" s="91" t="inlineStr">
        <is>
          <t>238-GRI</t>
        </is>
      </c>
      <c r="B1260" s="10" t="inlineStr">
        <is>
          <t>ESTRATÉGICO</t>
        </is>
      </c>
      <c r="C1260" s="10" t="inlineStr">
        <is>
          <t>Gestión de Riesgos</t>
        </is>
      </c>
      <c r="D1260" s="10" t="inlineStr">
        <is>
          <t>GRI</t>
        </is>
      </c>
      <c r="E1260" s="10" t="inlineStr">
        <is>
          <t>Gestión de Riesgo de Crédito</t>
        </is>
      </c>
      <c r="F1260" s="10" t="inlineStr">
        <is>
          <t>-</t>
        </is>
      </c>
      <c r="G1260" s="10" t="inlineStr">
        <is>
          <t>Análisis de las Operaciones con Cupo (vinculadas)</t>
        </is>
      </c>
      <c r="H1260" s="10" t="inlineStr">
        <is>
          <t>Reporte de Gestión de Recuperación de Créditos Vinculados</t>
        </is>
      </c>
      <c r="I1260" s="10" t="inlineStr">
        <is>
          <t>Reporte</t>
        </is>
      </c>
      <c r="J1260" s="10" t="inlineStr">
        <is>
          <t>GERENTE DE RIESGOS</t>
        </is>
      </c>
      <c r="K1260" s="10" t="inlineStr">
        <is>
          <t>ANALISTA DE RIESGO DE CREDITO</t>
        </is>
      </c>
      <c r="L1260" s="10" t="inlineStr">
        <is>
          <t>UBICACIÓN DIGITAL-EQUIPO DEL RESPONSABLE</t>
        </is>
      </c>
      <c r="M1260" s="10" t="inlineStr">
        <is>
          <t>DOCUMENTO DE ARCHIVO-ELECTRÓNICO</t>
        </is>
      </c>
      <c r="N1260" s="10" t="inlineStr">
        <is>
          <t>PRIMARIOS</t>
        </is>
      </c>
      <c r="O1260" s="10" t="inlineStr">
        <is>
          <t>DOCUMENTOS TÉCNICOS</t>
        </is>
      </c>
      <c r="P1260" s="10" t="inlineStr">
        <is>
          <t>PUBLICA(1)</t>
        </is>
      </c>
      <c r="Q1260" s="10" t="inlineStr">
        <is>
          <t>ALTA(3)</t>
        </is>
      </c>
      <c r="R1260" s="10" t="inlineStr">
        <is>
          <t>MEDIA(2)</t>
        </is>
      </c>
      <c r="S1260" s="10">
        <f>+(IF(P1260="PUBLICA(1)",1,IF(P1260="USO INTERNO(2)",2,IF(P1260="RESTRINGIDO(3)",3,3))))+(IF(Q1260="BAJA(1)",1,IF(Q1260="MEDIA(2)",2,IF(Q1260="ALTA(3)",3,3))))+(IF(R1260="BAJA(1)",1,IF(R1260="MEDIA(2)",2,IF(R1260="ALTA(3)",3,3))))</f>
        <v/>
      </c>
      <c r="T1260" s="10">
        <f>+IF(S1260&lt;6,"BAJA",IF(S1260&lt;8,"MEDIA","ALTA"))</f>
        <v/>
      </c>
      <c r="U1260" s="10" t="inlineStr">
        <is>
          <t>-</t>
        </is>
      </c>
      <c r="V1260" s="24" t="n">
        <v>45618</v>
      </c>
      <c r="W1260" s="19" t="inlineStr">
        <is>
          <t>N/A</t>
        </is>
      </c>
      <c r="X1260" s="10">
        <f>+IFERROR(IF(VLOOKUP(Tabla2[[#This Row],[ID]],'EVALUACION DE RIESGO'!A:A,1,FALSE)=Tabla2[[#This Row],[ID]],"SI","NO"),"NO")</f>
        <v/>
      </c>
    </row>
    <row r="1261">
      <c r="A1261" s="91" t="inlineStr">
        <is>
          <t>239-GRI</t>
        </is>
      </c>
      <c r="B1261" s="10" t="inlineStr">
        <is>
          <t>ESTRATÉGICO</t>
        </is>
      </c>
      <c r="C1261" s="10" t="inlineStr">
        <is>
          <t>Gestión de Riesgos</t>
        </is>
      </c>
      <c r="D1261" s="10" t="inlineStr">
        <is>
          <t>GRI</t>
        </is>
      </c>
      <c r="E1261" s="10" t="inlineStr">
        <is>
          <t>Gestión de Riesgo de Crédito</t>
        </is>
      </c>
      <c r="F1261" s="10" t="inlineStr">
        <is>
          <t>-</t>
        </is>
      </c>
      <c r="G1261" s="10" t="inlineStr">
        <is>
          <t>Análisis de las Operaciones con Cupo (vinculadas)</t>
        </is>
      </c>
      <c r="H1261" s="10" t="inlineStr">
        <is>
          <t>Reporte Credireport</t>
        </is>
      </c>
      <c r="I1261" s="10" t="inlineStr">
        <is>
          <t>Reporte</t>
        </is>
      </c>
      <c r="J1261" s="10" t="inlineStr">
        <is>
          <t>GERENTE DE RIESGOS</t>
        </is>
      </c>
      <c r="K1261" s="10" t="inlineStr">
        <is>
          <t>ANALISTA DE RIESGO DE CREDITO</t>
        </is>
      </c>
      <c r="L1261" s="10" t="inlineStr">
        <is>
          <t>UBICACIÓN DIGITAL-EQUIPO DEL RESPONSABLE</t>
        </is>
      </c>
      <c r="M1261" s="10" t="inlineStr">
        <is>
          <t>DOCUMENTO DE ARCHIVO-ELECTRÓNICO</t>
        </is>
      </c>
      <c r="N1261" s="10" t="inlineStr">
        <is>
          <t>PRIMARIOS</t>
        </is>
      </c>
      <c r="O1261" s="10" t="inlineStr">
        <is>
          <t>DOCUMENTOS TÉCNICOS</t>
        </is>
      </c>
      <c r="P1261" s="10" t="inlineStr">
        <is>
          <t>PUBLICA(1)</t>
        </is>
      </c>
      <c r="Q1261" s="10" t="inlineStr">
        <is>
          <t>ALTA(3)</t>
        </is>
      </c>
      <c r="R1261" s="10" t="inlineStr">
        <is>
          <t>MEDIA(2)</t>
        </is>
      </c>
      <c r="S1261" s="10">
        <f>+(IF(P1261="PUBLICA(1)",1,IF(P1261="USO INTERNO(2)",2,IF(P1261="RESTRINGIDO(3)",3,3))))+(IF(Q1261="BAJA(1)",1,IF(Q1261="MEDIA(2)",2,IF(Q1261="ALTA(3)",3,3))))+(IF(R1261="BAJA(1)",1,IF(R1261="MEDIA(2)",2,IF(R1261="ALTA(3)",3,3))))</f>
        <v/>
      </c>
      <c r="T1261" s="10">
        <f>+IF(S1261&lt;6,"BAJA",IF(S1261&lt;8,"MEDIA","ALTA"))</f>
        <v/>
      </c>
      <c r="U1261" s="10" t="inlineStr">
        <is>
          <t>-</t>
        </is>
      </c>
      <c r="V1261" s="24" t="n">
        <v>45617</v>
      </c>
      <c r="W1261" s="19" t="inlineStr">
        <is>
          <t>N/A</t>
        </is>
      </c>
      <c r="X1261" s="10">
        <f>+IFERROR(IF(VLOOKUP(Tabla2[[#This Row],[ID]],'EVALUACION DE RIESGO'!A:A,1,FALSE)=Tabla2[[#This Row],[ID]],"SI","NO"),"NO")</f>
        <v/>
      </c>
    </row>
    <row r="1262">
      <c r="A1262" s="91" t="inlineStr">
        <is>
          <t>240-GRI</t>
        </is>
      </c>
      <c r="B1262" s="10" t="inlineStr">
        <is>
          <t>ESTRATÉGICO</t>
        </is>
      </c>
      <c r="C1262" s="10" t="inlineStr">
        <is>
          <t>Gestión de Riesgos</t>
        </is>
      </c>
      <c r="D1262" s="10" t="inlineStr">
        <is>
          <t>GRI</t>
        </is>
      </c>
      <c r="E1262" s="10" t="inlineStr">
        <is>
          <t>Gestión de Riesgo de Crédito</t>
        </is>
      </c>
      <c r="F1262" s="10" t="inlineStr">
        <is>
          <t>-</t>
        </is>
      </c>
      <c r="G1262" s="10" t="inlineStr">
        <is>
          <t>Análisis de las Operaciones con Cupo (vinculadas)</t>
        </is>
      </c>
      <c r="H1262" s="10" t="inlineStr">
        <is>
          <t>Reporte de Vinculados</t>
        </is>
      </c>
      <c r="I1262" s="10" t="inlineStr">
        <is>
          <t>Reporte</t>
        </is>
      </c>
      <c r="J1262" s="10" t="inlineStr">
        <is>
          <t>GERENTE DE RIESGOS</t>
        </is>
      </c>
      <c r="K1262" s="10" t="inlineStr">
        <is>
          <t>ANALISTA DE RIESGO DE CREDITO</t>
        </is>
      </c>
      <c r="L1262" s="10" t="inlineStr">
        <is>
          <t>UBICACIÓN DIGITAL-EQUIPO DEL RESPONSABLE</t>
        </is>
      </c>
      <c r="M1262" s="10" t="inlineStr">
        <is>
          <t>DOCUMENTO DE ARCHIVO-ELECTRÓNICO</t>
        </is>
      </c>
      <c r="N1262" s="10" t="inlineStr">
        <is>
          <t>PRIMARIOS</t>
        </is>
      </c>
      <c r="O1262" s="10" t="inlineStr">
        <is>
          <t>DOCUMENTOS TÉCNICOS</t>
        </is>
      </c>
      <c r="P1262" s="10" t="inlineStr">
        <is>
          <t>PUBLICA(1)</t>
        </is>
      </c>
      <c r="Q1262" s="10" t="inlineStr">
        <is>
          <t>ALTA(3)</t>
        </is>
      </c>
      <c r="R1262" s="10" t="inlineStr">
        <is>
          <t>MEDIA(2)</t>
        </is>
      </c>
      <c r="S1262" s="10">
        <f>+(IF(P1262="PUBLICA(1)",1,IF(P1262="USO INTERNO(2)",2,IF(P1262="RESTRINGIDO(3)",3,3))))+(IF(Q1262="BAJA(1)",1,IF(Q1262="MEDIA(2)",2,IF(Q1262="ALTA(3)",3,3))))+(IF(R1262="BAJA(1)",1,IF(R1262="MEDIA(2)",2,IF(R1262="ALTA(3)",3,3))))</f>
        <v/>
      </c>
      <c r="T1262" s="10">
        <f>+IF(S1262&lt;6,"BAJA",IF(S1262&lt;8,"MEDIA","ALTA"))</f>
        <v/>
      </c>
      <c r="U1262" s="10" t="inlineStr">
        <is>
          <t>-</t>
        </is>
      </c>
      <c r="V1262" s="24" t="n">
        <v>45618</v>
      </c>
      <c r="W1262" s="19" t="inlineStr">
        <is>
          <t>N/A</t>
        </is>
      </c>
      <c r="X1262" s="10">
        <f>+IFERROR(IF(VLOOKUP(Tabla2[[#This Row],[ID]],'EVALUACION DE RIESGO'!A:A,1,FALSE)=Tabla2[[#This Row],[ID]],"SI","NO"),"NO")</f>
        <v/>
      </c>
    </row>
    <row r="1263">
      <c r="A1263" s="91" t="inlineStr">
        <is>
          <t>241-GRI</t>
        </is>
      </c>
      <c r="B1263" s="10" t="inlineStr">
        <is>
          <t>ESTRATÉGICO</t>
        </is>
      </c>
      <c r="C1263" s="10" t="inlineStr">
        <is>
          <t>Gestión de Riesgos</t>
        </is>
      </c>
      <c r="D1263" s="10" t="inlineStr">
        <is>
          <t>GRI</t>
        </is>
      </c>
      <c r="E1263" s="10" t="inlineStr">
        <is>
          <t>Gestión de Riesgo de Crédito</t>
        </is>
      </c>
      <c r="F1263" s="10" t="inlineStr">
        <is>
          <t>-</t>
        </is>
      </c>
      <c r="G1263" s="10" t="inlineStr">
        <is>
          <t>Análisis de las Operaciones con Cupo (vinculadas)</t>
        </is>
      </c>
      <c r="H1263" s="10" t="inlineStr">
        <is>
          <t xml:space="preserve">Reporte de validación del listado 250 </t>
        </is>
      </c>
      <c r="I1263" s="10" t="inlineStr">
        <is>
          <t>Hoja de trabajo</t>
        </is>
      </c>
      <c r="J1263" s="10" t="inlineStr">
        <is>
          <t>GERENTE DE RIESGOS</t>
        </is>
      </c>
      <c r="K1263" s="10" t="inlineStr">
        <is>
          <t>ANALISTA DE RIESGO DE CREDITO</t>
        </is>
      </c>
      <c r="L1263" s="10" t="inlineStr">
        <is>
          <t>UBICACIÓN DIGITAL-EQUIPO DEL RESPONSABLE</t>
        </is>
      </c>
      <c r="M1263" s="10" t="inlineStr">
        <is>
          <t>DOCUMENTO DE ARCHIVO-ELECTRÓNICO</t>
        </is>
      </c>
      <c r="N1263" s="10" t="inlineStr">
        <is>
          <t>PRIMARIOS</t>
        </is>
      </c>
      <c r="O1263" s="10" t="inlineStr">
        <is>
          <t>DOCUMENTOS TÉCNICOS</t>
        </is>
      </c>
      <c r="P1263" s="10" t="inlineStr">
        <is>
          <t>PUBLICA(1)</t>
        </is>
      </c>
      <c r="Q1263" s="10" t="inlineStr">
        <is>
          <t>ALTA(3)</t>
        </is>
      </c>
      <c r="R1263" s="10" t="inlineStr">
        <is>
          <t>MEDIA(2)</t>
        </is>
      </c>
      <c r="S1263" s="10">
        <f>+(IF(P1263="PUBLICA(1)",1,IF(P1263="USO INTERNO(2)",2,IF(P1263="RESTRINGIDO(3)",3,3))))+(IF(Q1263="BAJA(1)",1,IF(Q1263="MEDIA(2)",2,IF(Q1263="ALTA(3)",3,3))))+(IF(R1263="BAJA(1)",1,IF(R1263="MEDIA(2)",2,IF(R1263="ALTA(3)",3,3))))</f>
        <v/>
      </c>
      <c r="T1263" s="10">
        <f>+IF(S1263&lt;6,"BAJA",IF(S1263&lt;8,"MEDIA","ALTA"))</f>
        <v/>
      </c>
      <c r="U1263" s="10" t="inlineStr">
        <is>
          <t>-</t>
        </is>
      </c>
      <c r="V1263" s="24" t="n">
        <v>45618</v>
      </c>
      <c r="W1263" s="19" t="inlineStr">
        <is>
          <t>N/A</t>
        </is>
      </c>
      <c r="X1263" s="10">
        <f>+IFERROR(IF(VLOOKUP(Tabla2[[#This Row],[ID]],'EVALUACION DE RIESGO'!A:A,1,FALSE)=Tabla2[[#This Row],[ID]],"SI","NO"),"NO")</f>
        <v/>
      </c>
    </row>
    <row r="1264">
      <c r="A1264" s="91" t="inlineStr">
        <is>
          <t>242-GRI</t>
        </is>
      </c>
      <c r="B1264" s="10" t="inlineStr">
        <is>
          <t>ESTRATÉGICO</t>
        </is>
      </c>
      <c r="C1264" s="10" t="inlineStr">
        <is>
          <t>Gestión de Riesgos</t>
        </is>
      </c>
      <c r="D1264" s="10" t="inlineStr">
        <is>
          <t>GRI</t>
        </is>
      </c>
      <c r="E1264" s="10" t="inlineStr">
        <is>
          <t>Gestión de Riesgo de Crédito</t>
        </is>
      </c>
      <c r="F1264" s="10" t="inlineStr">
        <is>
          <t>-</t>
        </is>
      </c>
      <c r="G1264" s="10" t="inlineStr">
        <is>
          <t xml:space="preserve">Análisis de las Operaciones Reestructuradas y Refinanciadas  </t>
        </is>
      </c>
      <c r="H1264" s="10" t="inlineStr">
        <is>
          <t>Reporte restrucfin</t>
        </is>
      </c>
      <c r="I1264" s="10" t="inlineStr">
        <is>
          <t>Reporte</t>
        </is>
      </c>
      <c r="J1264" s="10" t="inlineStr">
        <is>
          <t>GERENTE DE RIESGOS</t>
        </is>
      </c>
      <c r="K1264" s="10" t="inlineStr">
        <is>
          <t>ANALISTA DE RIESGO DE CREDITO</t>
        </is>
      </c>
      <c r="L1264" s="10" t="inlineStr">
        <is>
          <t>UBICACIÓN DIGITAL-EQUIPO DEL RESPONSABLE</t>
        </is>
      </c>
      <c r="M1264" s="10" t="inlineStr">
        <is>
          <t>DOCUMENTO DE ARCHIVO-ELECTRÓNICO</t>
        </is>
      </c>
      <c r="N1264" s="10" t="inlineStr">
        <is>
          <t>PRIMARIOS</t>
        </is>
      </c>
      <c r="O1264" s="10" t="inlineStr">
        <is>
          <t>DOCUMENTOS TÉCNICOS</t>
        </is>
      </c>
      <c r="P1264" s="10" t="inlineStr">
        <is>
          <t>PUBLICA(1)</t>
        </is>
      </c>
      <c r="Q1264" s="10" t="inlineStr">
        <is>
          <t>ALTA(3)</t>
        </is>
      </c>
      <c r="R1264" s="10" t="inlineStr">
        <is>
          <t>MEDIA(2)</t>
        </is>
      </c>
      <c r="S1264" s="10">
        <f>+(IF(P1264="PUBLICA(1)",1,IF(P1264="USO INTERNO(2)",2,IF(P1264="RESTRINGIDO(3)",3,3))))+(IF(Q1264="BAJA(1)",1,IF(Q1264="MEDIA(2)",2,IF(Q1264="ALTA(3)",3,3))))+(IF(R1264="BAJA(1)",1,IF(R1264="MEDIA(2)",2,IF(R1264="ALTA(3)",3,3))))</f>
        <v/>
      </c>
      <c r="T1264" s="10">
        <f>+IF(S1264&lt;6,"BAJA",IF(S1264&lt;8,"MEDIA","ALTA"))</f>
        <v/>
      </c>
      <c r="U1264" s="10" t="inlineStr">
        <is>
          <t>-</t>
        </is>
      </c>
      <c r="V1264" s="24" t="n">
        <v>45617</v>
      </c>
      <c r="W1264" s="19" t="inlineStr">
        <is>
          <t>N/A</t>
        </is>
      </c>
      <c r="X1264" s="10">
        <f>+IFERROR(IF(VLOOKUP(Tabla2[[#This Row],[ID]],'EVALUACION DE RIESGO'!A:A,1,FALSE)=Tabla2[[#This Row],[ID]],"SI","NO"),"NO")</f>
        <v/>
      </c>
    </row>
    <row r="1265">
      <c r="A1265" s="91" t="inlineStr">
        <is>
          <t>243-GRI</t>
        </is>
      </c>
      <c r="B1265" s="10" t="inlineStr">
        <is>
          <t>ESTRATÉGICO</t>
        </is>
      </c>
      <c r="C1265" s="10" t="inlineStr">
        <is>
          <t>Gestión de Riesgos</t>
        </is>
      </c>
      <c r="D1265" s="10" t="inlineStr">
        <is>
          <t>GRI</t>
        </is>
      </c>
      <c r="E1265" s="10" t="inlineStr">
        <is>
          <t>Gestión de Riesgo de Crédito</t>
        </is>
      </c>
      <c r="F1265" s="10" t="inlineStr">
        <is>
          <t>-</t>
        </is>
      </c>
      <c r="G1265" s="10" t="inlineStr">
        <is>
          <t xml:space="preserve">Análisis de las Operaciones Reestructuradas y Refinanciadas  </t>
        </is>
      </c>
      <c r="H1265" s="10" t="inlineStr">
        <is>
          <t>Reporte de calificación créditos restructurados y refinanciados</t>
        </is>
      </c>
      <c r="I1265" s="10" t="inlineStr">
        <is>
          <t>Hoja de trabajo</t>
        </is>
      </c>
      <c r="J1265" s="10" t="inlineStr">
        <is>
          <t>GERENTE DE RIESGOS</t>
        </is>
      </c>
      <c r="K1265" s="10" t="inlineStr">
        <is>
          <t>ANALISTA DE RIESGO DE CREDITO</t>
        </is>
      </c>
      <c r="L1265" s="10" t="inlineStr">
        <is>
          <t>UBICACIÓN DIGITAL-EQUIPO DEL RESPONSABLE</t>
        </is>
      </c>
      <c r="M1265" s="10" t="inlineStr">
        <is>
          <t>DOCUMENTO DE ARCHIVO-ELECTRÓNICO</t>
        </is>
      </c>
      <c r="N1265" s="10" t="inlineStr">
        <is>
          <t>PRIMARIOS</t>
        </is>
      </c>
      <c r="O1265" s="10" t="inlineStr">
        <is>
          <t>DOCUMENTOS TÉCNICOS</t>
        </is>
      </c>
      <c r="P1265" s="10" t="inlineStr">
        <is>
          <t>PUBLICA(1)</t>
        </is>
      </c>
      <c r="Q1265" s="10" t="inlineStr">
        <is>
          <t>ALTA(3)</t>
        </is>
      </c>
      <c r="R1265" s="10" t="inlineStr">
        <is>
          <t>MEDIA(2)</t>
        </is>
      </c>
      <c r="S1265" s="10">
        <f>+(IF(P1265="PUBLICA(1)",1,IF(P1265="USO INTERNO(2)",2,IF(P1265="RESTRINGIDO(3)",3,3))))+(IF(Q1265="BAJA(1)",1,IF(Q1265="MEDIA(2)",2,IF(Q1265="ALTA(3)",3,3))))+(IF(R1265="BAJA(1)",1,IF(R1265="MEDIA(2)",2,IF(R1265="ALTA(3)",3,3))))</f>
        <v/>
      </c>
      <c r="T1265" s="10">
        <f>+IF(S1265&lt;6,"BAJA",IF(S1265&lt;8,"MEDIA","ALTA"))</f>
        <v/>
      </c>
      <c r="U1265" s="10" t="inlineStr">
        <is>
          <t>-</t>
        </is>
      </c>
      <c r="V1265" s="24" t="n">
        <v>45618</v>
      </c>
      <c r="W1265" s="19" t="inlineStr">
        <is>
          <t>N/A</t>
        </is>
      </c>
      <c r="X1265" s="10">
        <f>+IFERROR(IF(VLOOKUP(Tabla2[[#This Row],[ID]],'EVALUACION DE RIESGO'!A:A,1,FALSE)=Tabla2[[#This Row],[ID]],"SI","NO"),"NO")</f>
        <v/>
      </c>
    </row>
    <row r="1266">
      <c r="A1266" s="91" t="inlineStr">
        <is>
          <t>244-GRI</t>
        </is>
      </c>
      <c r="B1266" s="10" t="inlineStr">
        <is>
          <t>ESTRATÉGICO</t>
        </is>
      </c>
      <c r="C1266" s="10" t="inlineStr">
        <is>
          <t>Gestión de Riesgos</t>
        </is>
      </c>
      <c r="D1266" s="10" t="inlineStr">
        <is>
          <t>GRI</t>
        </is>
      </c>
      <c r="E1266" s="10" t="inlineStr">
        <is>
          <t>Gestión de Riesgo de Crédito</t>
        </is>
      </c>
      <c r="F1266" s="10" t="inlineStr">
        <is>
          <t>-</t>
        </is>
      </c>
      <c r="G1266" s="10" t="inlineStr">
        <is>
          <t xml:space="preserve">Análisis de las Operaciones Reestructuradas y Refinanciadas  </t>
        </is>
      </c>
      <c r="H1266" s="10" t="inlineStr">
        <is>
          <t xml:space="preserve">Solicitud de Crédito de operaciones Reestructuras y Refinanciadas </t>
        </is>
      </c>
      <c r="I1266" s="10" t="inlineStr">
        <is>
          <t>solicitud de credito</t>
        </is>
      </c>
      <c r="J1266" s="10" t="inlineStr">
        <is>
          <t>GERENTE DE RIESGOS</t>
        </is>
      </c>
      <c r="K1266" s="10" t="inlineStr">
        <is>
          <t>ANALISTA DE RIESGO DE CREDITO</t>
        </is>
      </c>
      <c r="L1266" s="10" t="inlineStr">
        <is>
          <t>UBICACIÓN DIGITAL-EQUIPO DEL RESPONSABLE</t>
        </is>
      </c>
      <c r="M1266" s="10" t="inlineStr">
        <is>
          <t>DOCUMENTO DE ARCHIVO-ELECTRÓNICO</t>
        </is>
      </c>
      <c r="N1266" s="10" t="inlineStr">
        <is>
          <t>PRIMARIOS</t>
        </is>
      </c>
      <c r="O1266" s="10" t="inlineStr">
        <is>
          <t>DOCUMENTOS TÉCNICOS</t>
        </is>
      </c>
      <c r="P1266" s="10" t="inlineStr">
        <is>
          <t>PUBLICA(1)</t>
        </is>
      </c>
      <c r="Q1266" s="10" t="inlineStr">
        <is>
          <t>ALTA(3)</t>
        </is>
      </c>
      <c r="R1266" s="10" t="inlineStr">
        <is>
          <t>MEDIA(2)</t>
        </is>
      </c>
      <c r="S1266" s="10">
        <f>+(IF(P1266="PUBLICA(1)",1,IF(P1266="USO INTERNO(2)",2,IF(P1266="RESTRINGIDO(3)",3,3))))+(IF(Q1266="BAJA(1)",1,IF(Q1266="MEDIA(2)",2,IF(Q1266="ALTA(3)",3,3))))+(IF(R1266="BAJA(1)",1,IF(R1266="MEDIA(2)",2,IF(R1266="ALTA(3)",3,3))))</f>
        <v/>
      </c>
      <c r="T1266" s="10">
        <f>+IF(S1266&lt;6,"BAJA",IF(S1266&lt;8,"MEDIA","ALTA"))</f>
        <v/>
      </c>
      <c r="U1266" s="10" t="inlineStr">
        <is>
          <t>-</t>
        </is>
      </c>
      <c r="V1266" s="24" t="n">
        <v>45618</v>
      </c>
      <c r="W1266" s="19" t="inlineStr">
        <is>
          <t>N/A</t>
        </is>
      </c>
      <c r="X1266" s="10">
        <f>+IFERROR(IF(VLOOKUP(Tabla2[[#This Row],[ID]],'EVALUACION DE RIESGO'!A:A,1,FALSE)=Tabla2[[#This Row],[ID]],"SI","NO"),"NO")</f>
        <v/>
      </c>
    </row>
    <row r="1267">
      <c r="A1267" s="91" t="inlineStr">
        <is>
          <t>245-GRI</t>
        </is>
      </c>
      <c r="B1267" s="10" t="inlineStr">
        <is>
          <t>ESTRATÉGICO</t>
        </is>
      </c>
      <c r="C1267" s="10" t="inlineStr">
        <is>
          <t>Gestión de Riesgos</t>
        </is>
      </c>
      <c r="D1267" s="10" t="inlineStr">
        <is>
          <t>GRI</t>
        </is>
      </c>
      <c r="E1267" s="10" t="inlineStr">
        <is>
          <t>Gestión de Riesgo de Crédito</t>
        </is>
      </c>
      <c r="F1267" s="10" t="inlineStr">
        <is>
          <t>-</t>
        </is>
      </c>
      <c r="G1267" s="10" t="inlineStr">
        <is>
          <t xml:space="preserve">Análisis de las Operaciones Reestructuradas y Refinanciadas  </t>
        </is>
      </c>
      <c r="H1267" s="10" t="inlineStr">
        <is>
          <t>Reporte de Seguimiento Reestr-Ref</t>
        </is>
      </c>
      <c r="I1267" s="10" t="inlineStr">
        <is>
          <t>Hoja de trabajo</t>
        </is>
      </c>
      <c r="J1267" s="10" t="inlineStr">
        <is>
          <t>GERENTE DE RIESGOS</t>
        </is>
      </c>
      <c r="K1267" s="10" t="inlineStr">
        <is>
          <t>ANALISTA DE RIESGO DE CREDITO</t>
        </is>
      </c>
      <c r="L1267" s="10" t="inlineStr">
        <is>
          <t>UBICACIÓN DIGITAL-EQUIPO DEL RESPONSABLE</t>
        </is>
      </c>
      <c r="M1267" s="10" t="inlineStr">
        <is>
          <t>DOCUMENTO DE ARCHIVO-ELECTRÓNICO</t>
        </is>
      </c>
      <c r="N1267" s="10" t="inlineStr">
        <is>
          <t>PRIMARIOS</t>
        </is>
      </c>
      <c r="O1267" s="10" t="inlineStr">
        <is>
          <t>DOCUMENTOS TÉCNICOS</t>
        </is>
      </c>
      <c r="P1267" s="10" t="inlineStr">
        <is>
          <t>PUBLICA(1)</t>
        </is>
      </c>
      <c r="Q1267" s="10" t="inlineStr">
        <is>
          <t>ALTA(3)</t>
        </is>
      </c>
      <c r="R1267" s="10" t="inlineStr">
        <is>
          <t>MEDIA(2)</t>
        </is>
      </c>
      <c r="S1267" s="10">
        <f>+(IF(P1267="PUBLICA(1)",1,IF(P1267="USO INTERNO(2)",2,IF(P1267="RESTRINGIDO(3)",3,3))))+(IF(Q1267="BAJA(1)",1,IF(Q1267="MEDIA(2)",2,IF(Q1267="ALTA(3)",3,3))))+(IF(R1267="BAJA(1)",1,IF(R1267="MEDIA(2)",2,IF(R1267="ALTA(3)",3,3))))</f>
        <v/>
      </c>
      <c r="T1267" s="10">
        <f>+IF(S1267&lt;6,"BAJA",IF(S1267&lt;8,"MEDIA","ALTA"))</f>
        <v/>
      </c>
      <c r="U1267" s="10" t="inlineStr">
        <is>
          <t>-</t>
        </is>
      </c>
      <c r="V1267" s="24" t="n">
        <v>45617</v>
      </c>
      <c r="W1267" s="19" t="inlineStr">
        <is>
          <t>N/A</t>
        </is>
      </c>
      <c r="X1267" s="10">
        <f>+IFERROR(IF(VLOOKUP(Tabla2[[#This Row],[ID]],'EVALUACION DE RIESGO'!A:A,1,FALSE)=Tabla2[[#This Row],[ID]],"SI","NO"),"NO")</f>
        <v/>
      </c>
    </row>
    <row r="1268">
      <c r="A1268" s="91" t="inlineStr">
        <is>
          <t>246-GRI</t>
        </is>
      </c>
      <c r="B1268" s="10" t="inlineStr">
        <is>
          <t>ESTRATÉGICO</t>
        </is>
      </c>
      <c r="C1268" s="10" t="inlineStr">
        <is>
          <t>Gestión de Riesgos</t>
        </is>
      </c>
      <c r="D1268" s="10" t="inlineStr">
        <is>
          <t>GRI</t>
        </is>
      </c>
      <c r="E1268" s="10" t="inlineStr">
        <is>
          <t>Gestión de Riesgo de Crédito</t>
        </is>
      </c>
      <c r="F1268" s="10" t="inlineStr">
        <is>
          <t>-</t>
        </is>
      </c>
      <c r="G1268" s="10" t="inlineStr">
        <is>
          <t xml:space="preserve">Análisis de las Operaciones Reestructuradas y Refinanciadas  </t>
        </is>
      </c>
      <c r="H1268" s="10" t="inlineStr">
        <is>
          <t xml:space="preserve">Recomendación de aprobación o negación de las operaciones reestructuradas y refinanciadas </t>
        </is>
      </c>
      <c r="I1268" s="10" t="inlineStr">
        <is>
          <t>comentario de negacion y aprobación del credito en Fitbank</t>
        </is>
      </c>
      <c r="J1268" s="10" t="inlineStr">
        <is>
          <t>GERENTE DE RIESGOS</t>
        </is>
      </c>
      <c r="K1268" s="10" t="inlineStr">
        <is>
          <t>GERENTE DE RIESGOS</t>
        </is>
      </c>
      <c r="L1268" s="10" t="inlineStr">
        <is>
          <t>UBICACIÓN DIGITAL-EQUIPO DEL RESPONSABLE</t>
        </is>
      </c>
      <c r="M1268" s="10" t="inlineStr">
        <is>
          <t>DOCUMENTO DE ARCHIVO-ELECTRÓNICO</t>
        </is>
      </c>
      <c r="N1268" s="10" t="inlineStr">
        <is>
          <t>PRIMARIOS</t>
        </is>
      </c>
      <c r="O1268" s="10" t="inlineStr">
        <is>
          <t>DOCUMENTOS TÉCNICOS</t>
        </is>
      </c>
      <c r="P1268" s="10" t="inlineStr">
        <is>
          <t>PUBLICA(1)</t>
        </is>
      </c>
      <c r="Q1268" s="10" t="inlineStr">
        <is>
          <t>ALTA(3)</t>
        </is>
      </c>
      <c r="R1268" s="10" t="inlineStr">
        <is>
          <t>MEDIA(2)</t>
        </is>
      </c>
      <c r="S1268" s="10">
        <f>+(IF(P1268="PUBLICA(1)",1,IF(P1268="USO INTERNO(2)",2,IF(P1268="RESTRINGIDO(3)",3,3))))+(IF(Q1268="BAJA(1)",1,IF(Q1268="MEDIA(2)",2,IF(Q1268="ALTA(3)",3,3))))+(IF(R1268="BAJA(1)",1,IF(R1268="MEDIA(2)",2,IF(R1268="ALTA(3)",3,3))))</f>
        <v/>
      </c>
      <c r="T1268" s="10">
        <f>+IF(S1268&lt;6,"BAJA",IF(S1268&lt;8,"MEDIA","ALTA"))</f>
        <v/>
      </c>
      <c r="U1268" s="10" t="inlineStr">
        <is>
          <t>-</t>
        </is>
      </c>
      <c r="V1268" s="24" t="n">
        <v>45618</v>
      </c>
      <c r="W1268" s="19" t="inlineStr">
        <is>
          <t>N/A</t>
        </is>
      </c>
      <c r="X1268" s="10">
        <f>+IFERROR(IF(VLOOKUP(Tabla2[[#This Row],[ID]],'EVALUACION DE RIESGO'!A:A,1,FALSE)=Tabla2[[#This Row],[ID]],"SI","NO"),"NO")</f>
        <v/>
      </c>
    </row>
    <row r="1269">
      <c r="A1269" s="91" t="inlineStr">
        <is>
          <t>247-GRI</t>
        </is>
      </c>
      <c r="B1269" s="10" t="inlineStr">
        <is>
          <t>ESTRATÉGICO</t>
        </is>
      </c>
      <c r="C1269" s="10" t="inlineStr">
        <is>
          <t>Gestión de Riesgos</t>
        </is>
      </c>
      <c r="D1269" s="10" t="inlineStr">
        <is>
          <t>GRI</t>
        </is>
      </c>
      <c r="E1269" s="10" t="inlineStr">
        <is>
          <t>Gestión de Riesgo de Crédito</t>
        </is>
      </c>
      <c r="F1269" s="10" t="inlineStr">
        <is>
          <t>-</t>
        </is>
      </c>
      <c r="G1269" s="10" t="inlineStr">
        <is>
          <t xml:space="preserve">Análisis e Interpretación de las Alertas Tempranas de Crédito y Seguimiento de Límites de Tolerancia </t>
        </is>
      </c>
      <c r="H1269" s="10" t="inlineStr">
        <is>
          <t>Balance Mensual validado</t>
        </is>
      </c>
      <c r="I1269" s="10" t="inlineStr">
        <is>
          <t>Balance</t>
        </is>
      </c>
      <c r="J1269" s="10" t="inlineStr">
        <is>
          <t>GERENTE DE RIESGOS</t>
        </is>
      </c>
      <c r="K1269" s="10" t="inlineStr">
        <is>
          <t>ANALISTA DE RIESGO DE CREDITO</t>
        </is>
      </c>
      <c r="L1269" s="10" t="inlineStr">
        <is>
          <t>UBICACIÓN DIGITAL-EQUIPO DEL RESPONSABLE</t>
        </is>
      </c>
      <c r="M1269" s="10" t="inlineStr">
        <is>
          <t>DOCUMENTO DE ARCHIVO-ELECTRÓNICO</t>
        </is>
      </c>
      <c r="N1269" s="10" t="inlineStr">
        <is>
          <t>PRIMARIOS</t>
        </is>
      </c>
      <c r="O1269" s="10" t="inlineStr">
        <is>
          <t>DOCUMENTOS TÉCNICOS</t>
        </is>
      </c>
      <c r="P1269" s="10" t="inlineStr">
        <is>
          <t>PUBLICA(1)</t>
        </is>
      </c>
      <c r="Q1269" s="10" t="inlineStr">
        <is>
          <t>ALTA(3)</t>
        </is>
      </c>
      <c r="R1269" s="10" t="inlineStr">
        <is>
          <t>MEDIA(2)</t>
        </is>
      </c>
      <c r="S1269" s="10">
        <f>+(IF(P1269="PUBLICA(1)",1,IF(P1269="USO INTERNO(2)",2,IF(P1269="RESTRINGIDO(3)",3,3))))+(IF(Q1269="BAJA(1)",1,IF(Q1269="MEDIA(2)",2,IF(Q1269="ALTA(3)",3,3))))+(IF(R1269="BAJA(1)",1,IF(R1269="MEDIA(2)",2,IF(R1269="ALTA(3)",3,3))))</f>
        <v/>
      </c>
      <c r="T1269" s="10">
        <f>+IF(S1269&lt;6,"BAJA",IF(S1269&lt;8,"MEDIA","ALTA"))</f>
        <v/>
      </c>
      <c r="U1269" s="10" t="inlineStr">
        <is>
          <t>-</t>
        </is>
      </c>
      <c r="V1269" s="24" t="n">
        <v>45617</v>
      </c>
      <c r="W1269" s="19" t="inlineStr">
        <is>
          <t>N/A</t>
        </is>
      </c>
      <c r="X1269" s="10">
        <f>+IFERROR(IF(VLOOKUP(Tabla2[[#This Row],[ID]],'EVALUACION DE RIESGO'!A:A,1,FALSE)=Tabla2[[#This Row],[ID]],"SI","NO"),"NO")</f>
        <v/>
      </c>
    </row>
    <row r="1270">
      <c r="A1270" s="91" t="inlineStr">
        <is>
          <t>248-GRI</t>
        </is>
      </c>
      <c r="B1270" s="10" t="inlineStr">
        <is>
          <t>ESTRATÉGICO</t>
        </is>
      </c>
      <c r="C1270" s="10" t="inlineStr">
        <is>
          <t>Gestión de Riesgos</t>
        </is>
      </c>
      <c r="D1270" s="10" t="inlineStr">
        <is>
          <t>GRI</t>
        </is>
      </c>
      <c r="E1270" s="10" t="inlineStr">
        <is>
          <t>Gestión de Riesgo de Crédito</t>
        </is>
      </c>
      <c r="F1270" s="10" t="inlineStr">
        <is>
          <t>-</t>
        </is>
      </c>
      <c r="G1270" s="10" t="inlineStr">
        <is>
          <t xml:space="preserve">Análisis e Interpretación de las Alertas Tempranas de Crédito y Seguimiento de Límites de Tolerancia </t>
        </is>
      </c>
      <c r="H1270" s="10" t="inlineStr">
        <is>
          <t>Registro de definición indicadores y límites de riesgos</t>
        </is>
      </c>
      <c r="I1270" s="10" t="inlineStr">
        <is>
          <t>Registro</t>
        </is>
      </c>
      <c r="J1270" s="10" t="inlineStr">
        <is>
          <t>GERENTE DE RIESGOS</t>
        </is>
      </c>
      <c r="K1270" s="10" t="inlineStr">
        <is>
          <t>ANALISTA DE RIESGO DE CREDITO</t>
        </is>
      </c>
      <c r="L1270" s="10" t="inlineStr">
        <is>
          <t>UBICACIÓN DIGITAL-EQUIPO DEL RESPONSABLE</t>
        </is>
      </c>
      <c r="M1270" s="10" t="inlineStr">
        <is>
          <t>DOCUMENTO DE ARCHIVO-ELECTRÓNICO</t>
        </is>
      </c>
      <c r="N1270" s="10" t="inlineStr">
        <is>
          <t>PRIMARIOS</t>
        </is>
      </c>
      <c r="O1270" s="10" t="inlineStr">
        <is>
          <t>DOCUMENTOS TÉCNICOS</t>
        </is>
      </c>
      <c r="P1270" s="10" t="inlineStr">
        <is>
          <t>PUBLICA(1)</t>
        </is>
      </c>
      <c r="Q1270" s="10" t="inlineStr">
        <is>
          <t>ALTA(3)</t>
        </is>
      </c>
      <c r="R1270" s="10" t="inlineStr">
        <is>
          <t>MEDIA(2)</t>
        </is>
      </c>
      <c r="S1270" s="10">
        <f>+(IF(P1270="PUBLICA(1)",1,IF(P1270="USO INTERNO(2)",2,IF(P1270="RESTRINGIDO(3)",3,3))))+(IF(Q1270="BAJA(1)",1,IF(Q1270="MEDIA(2)",2,IF(Q1270="ALTA(3)",3,3))))+(IF(R1270="BAJA(1)",1,IF(R1270="MEDIA(2)",2,IF(R1270="ALTA(3)",3,3))))</f>
        <v/>
      </c>
      <c r="T1270" s="10">
        <f>+IF(S1270&lt;6,"BAJA",IF(S1270&lt;8,"MEDIA","ALTA"))</f>
        <v/>
      </c>
      <c r="U1270" s="10" t="inlineStr">
        <is>
          <t>-</t>
        </is>
      </c>
      <c r="V1270" s="24" t="n">
        <v>45618</v>
      </c>
      <c r="W1270" s="19" t="inlineStr">
        <is>
          <t>N/A</t>
        </is>
      </c>
      <c r="X1270" s="10">
        <f>+IFERROR(IF(VLOOKUP(Tabla2[[#This Row],[ID]],'EVALUACION DE RIESGO'!A:A,1,FALSE)=Tabla2[[#This Row],[ID]],"SI","NO"),"NO")</f>
        <v/>
      </c>
    </row>
    <row r="1271">
      <c r="A1271" s="91" t="inlineStr">
        <is>
          <t>249-GRI</t>
        </is>
      </c>
      <c r="B1271" s="10" t="inlineStr">
        <is>
          <t>ESTRATÉGICO</t>
        </is>
      </c>
      <c r="C1271" s="10" t="inlineStr">
        <is>
          <t>Gestión de Riesgos</t>
        </is>
      </c>
      <c r="D1271" s="10" t="inlineStr">
        <is>
          <t>GRI</t>
        </is>
      </c>
      <c r="E1271" s="10" t="inlineStr">
        <is>
          <t>Gestión de Riesgo de Crédito</t>
        </is>
      </c>
      <c r="F1271" s="10" t="inlineStr">
        <is>
          <t>-</t>
        </is>
      </c>
      <c r="G1271" s="10" t="inlineStr">
        <is>
          <t xml:space="preserve">Análisis e Interpretación de las Alertas Tempranas de Crédito y Seguimiento de Límites de Tolerancia </t>
        </is>
      </c>
      <c r="H1271" s="10" t="inlineStr">
        <is>
          <t>Reporte Cartera_Vigente</t>
        </is>
      </c>
      <c r="I1271" s="10" t="inlineStr">
        <is>
          <t>Reporte</t>
        </is>
      </c>
      <c r="J1271" s="10" t="inlineStr">
        <is>
          <t>GERENTE DE RIESGOS</t>
        </is>
      </c>
      <c r="K1271" s="10" t="inlineStr">
        <is>
          <t>ANALISTA DE RIESGO DE CREDITO</t>
        </is>
      </c>
      <c r="L1271" s="10" t="inlineStr">
        <is>
          <t>UBICACIÓN DIGITAL-EQUIPO DEL RESPONSABLE</t>
        </is>
      </c>
      <c r="M1271" s="10" t="inlineStr">
        <is>
          <t>DOCUMENTO DE ARCHIVO-ELECTRÓNICO</t>
        </is>
      </c>
      <c r="N1271" s="10" t="inlineStr">
        <is>
          <t>PRIMARIOS</t>
        </is>
      </c>
      <c r="O1271" s="10" t="inlineStr">
        <is>
          <t>DOCUMENTOS TÉCNICOS</t>
        </is>
      </c>
      <c r="P1271" s="10" t="inlineStr">
        <is>
          <t>PUBLICA(1)</t>
        </is>
      </c>
      <c r="Q1271" s="10" t="inlineStr">
        <is>
          <t>ALTA(3)</t>
        </is>
      </c>
      <c r="R1271" s="10" t="inlineStr">
        <is>
          <t>MEDIA(2)</t>
        </is>
      </c>
      <c r="S1271" s="10">
        <f>+(IF(P1271="PUBLICA(1)",1,IF(P1271="USO INTERNO(2)",2,IF(P1271="RESTRINGIDO(3)",3,3))))+(IF(Q1271="BAJA(1)",1,IF(Q1271="MEDIA(2)",2,IF(Q1271="ALTA(3)",3,3))))+(IF(R1271="BAJA(1)",1,IF(R1271="MEDIA(2)",2,IF(R1271="ALTA(3)",3,3))))</f>
        <v/>
      </c>
      <c r="T1271" s="10">
        <f>+IF(S1271&lt;6,"BAJA",IF(S1271&lt;8,"MEDIA","ALTA"))</f>
        <v/>
      </c>
      <c r="U1271" s="10" t="inlineStr">
        <is>
          <t>-</t>
        </is>
      </c>
      <c r="V1271" s="24" t="n">
        <v>45618</v>
      </c>
      <c r="W1271" s="19" t="inlineStr">
        <is>
          <t>N/A</t>
        </is>
      </c>
      <c r="X1271" s="10">
        <f>+IFERROR(IF(VLOOKUP(Tabla2[[#This Row],[ID]],'EVALUACION DE RIESGO'!A:A,1,FALSE)=Tabla2[[#This Row],[ID]],"SI","NO"),"NO")</f>
        <v/>
      </c>
    </row>
    <row r="1272">
      <c r="A1272" s="91" t="inlineStr">
        <is>
          <t>250-GRI</t>
        </is>
      </c>
      <c r="B1272" s="10" t="inlineStr">
        <is>
          <t>ESTRATÉGICO</t>
        </is>
      </c>
      <c r="C1272" s="10" t="inlineStr">
        <is>
          <t>Gestión de Riesgos</t>
        </is>
      </c>
      <c r="D1272" s="10" t="inlineStr">
        <is>
          <t>GRI</t>
        </is>
      </c>
      <c r="E1272" s="10" t="inlineStr">
        <is>
          <t>Gestión de Riesgo de Crédito</t>
        </is>
      </c>
      <c r="F1272" s="10" t="inlineStr">
        <is>
          <t>-</t>
        </is>
      </c>
      <c r="G1272" s="10" t="inlineStr">
        <is>
          <t xml:space="preserve">Análisis e Interpretación de las Alertas Tempranas de Crédito y Seguimiento de Límites de Tolerancia </t>
        </is>
      </c>
      <c r="H1272" s="10" t="inlineStr">
        <is>
          <t>Reporte Credireport</t>
        </is>
      </c>
      <c r="I1272" s="10" t="inlineStr">
        <is>
          <t>Reporte</t>
        </is>
      </c>
      <c r="J1272" s="10" t="inlineStr">
        <is>
          <t>GERENTE DE RIESGOS</t>
        </is>
      </c>
      <c r="K1272" s="10" t="inlineStr">
        <is>
          <t>ANALISTA DE RIESGO DE CREDITO</t>
        </is>
      </c>
      <c r="L1272" s="10" t="inlineStr">
        <is>
          <t>UBICACIÓN DIGITAL-EQUIPO DEL RESPONSABLE</t>
        </is>
      </c>
      <c r="M1272" s="10" t="inlineStr">
        <is>
          <t>DOCUMENTO DE ARCHIVO-ELECTRÓNICO</t>
        </is>
      </c>
      <c r="N1272" s="10" t="inlineStr">
        <is>
          <t>PRIMARIOS</t>
        </is>
      </c>
      <c r="O1272" s="10" t="inlineStr">
        <is>
          <t>DOCUMENTOS TÉCNICOS</t>
        </is>
      </c>
      <c r="P1272" s="10" t="inlineStr">
        <is>
          <t>PUBLICA(1)</t>
        </is>
      </c>
      <c r="Q1272" s="10" t="inlineStr">
        <is>
          <t>ALTA(3)</t>
        </is>
      </c>
      <c r="R1272" s="10" t="inlineStr">
        <is>
          <t>MEDIA(2)</t>
        </is>
      </c>
      <c r="S1272" s="10">
        <f>+(IF(P1272="PUBLICA(1)",1,IF(P1272="USO INTERNO(2)",2,IF(P1272="RESTRINGIDO(3)",3,3))))+(IF(Q1272="BAJA(1)",1,IF(Q1272="MEDIA(2)",2,IF(Q1272="ALTA(3)",3,3))))+(IF(R1272="BAJA(1)",1,IF(R1272="MEDIA(2)",2,IF(R1272="ALTA(3)",3,3))))</f>
        <v/>
      </c>
      <c r="T1272" s="10">
        <f>+IF(S1272&lt;6,"BAJA",IF(S1272&lt;8,"MEDIA","ALTA"))</f>
        <v/>
      </c>
      <c r="U1272" s="10" t="inlineStr">
        <is>
          <t>-</t>
        </is>
      </c>
      <c r="V1272" s="24" t="n">
        <v>45617</v>
      </c>
      <c r="W1272" s="19" t="inlineStr">
        <is>
          <t>N/A</t>
        </is>
      </c>
      <c r="X1272" s="10">
        <f>+IFERROR(IF(VLOOKUP(Tabla2[[#This Row],[ID]],'EVALUACION DE RIESGO'!A:A,1,FALSE)=Tabla2[[#This Row],[ID]],"SI","NO"),"NO")</f>
        <v/>
      </c>
    </row>
    <row r="1273">
      <c r="A1273" s="91" t="inlineStr">
        <is>
          <t>251-GRI</t>
        </is>
      </c>
      <c r="B1273" s="10" t="inlineStr">
        <is>
          <t>ESTRATÉGICO</t>
        </is>
      </c>
      <c r="C1273" s="10" t="inlineStr">
        <is>
          <t>Gestión de Riesgos</t>
        </is>
      </c>
      <c r="D1273" s="10" t="inlineStr">
        <is>
          <t>GRI</t>
        </is>
      </c>
      <c r="E1273" s="10" t="inlineStr">
        <is>
          <t>Gestión de Riesgo de Crédito</t>
        </is>
      </c>
      <c r="F1273" s="10" t="inlineStr">
        <is>
          <t>-</t>
        </is>
      </c>
      <c r="G1273" s="10" t="inlineStr">
        <is>
          <t xml:space="preserve">Análisis e Interpretación de las Alertas Tempranas de Crédito y Seguimiento de Límites de Tolerancia </t>
        </is>
      </c>
      <c r="H1273" s="10" t="inlineStr">
        <is>
          <t>Reporte de Alertas Tempranas de Crédito</t>
        </is>
      </c>
      <c r="I1273" s="10" t="inlineStr">
        <is>
          <t>Herramienta de alertas tempranas en excel</t>
        </is>
      </c>
      <c r="J1273" s="10" t="inlineStr">
        <is>
          <t>GERENTE DE RIESGOS</t>
        </is>
      </c>
      <c r="K1273" s="10" t="inlineStr">
        <is>
          <t>ANALISTA DE RIESGO DE CREDITO</t>
        </is>
      </c>
      <c r="L1273" s="10" t="inlineStr">
        <is>
          <t>UBICACIÓN DIGITAL-EQUIPO DEL RESPONSABLE</t>
        </is>
      </c>
      <c r="M1273" s="10" t="inlineStr">
        <is>
          <t>DOCUMENTO DE ARCHIVO-ELECTRÓNICO</t>
        </is>
      </c>
      <c r="N1273" s="10" t="inlineStr">
        <is>
          <t>PRIMARIOS</t>
        </is>
      </c>
      <c r="O1273" s="10" t="inlineStr">
        <is>
          <t>DOCUMENTOS TÉCNICOS</t>
        </is>
      </c>
      <c r="P1273" s="10" t="inlineStr">
        <is>
          <t>PUBLICA(1)</t>
        </is>
      </c>
      <c r="Q1273" s="10" t="inlineStr">
        <is>
          <t>ALTA(3)</t>
        </is>
      </c>
      <c r="R1273" s="10" t="inlineStr">
        <is>
          <t>MEDIA(2)</t>
        </is>
      </c>
      <c r="S1273" s="10">
        <f>+(IF(P1273="PUBLICA(1)",1,IF(P1273="USO INTERNO(2)",2,IF(P1273="RESTRINGIDO(3)",3,3))))+(IF(Q1273="BAJA(1)",1,IF(Q1273="MEDIA(2)",2,IF(Q1273="ALTA(3)",3,3))))+(IF(R1273="BAJA(1)",1,IF(R1273="MEDIA(2)",2,IF(R1273="ALTA(3)",3,3))))</f>
        <v/>
      </c>
      <c r="T1273" s="10">
        <f>+IF(S1273&lt;6,"BAJA",IF(S1273&lt;8,"MEDIA","ALTA"))</f>
        <v/>
      </c>
      <c r="U1273" s="10" t="inlineStr">
        <is>
          <t>-</t>
        </is>
      </c>
      <c r="V1273" s="24" t="n">
        <v>45618</v>
      </c>
      <c r="W1273" s="19" t="inlineStr">
        <is>
          <t>N/A</t>
        </is>
      </c>
      <c r="X1273" s="10">
        <f>+IFERROR(IF(VLOOKUP(Tabla2[[#This Row],[ID]],'EVALUACION DE RIESGO'!A:A,1,FALSE)=Tabla2[[#This Row],[ID]],"SI","NO"),"NO")</f>
        <v/>
      </c>
    </row>
    <row r="1274">
      <c r="A1274" s="91" t="inlineStr">
        <is>
          <t>252-GRI</t>
        </is>
      </c>
      <c r="B1274" s="10" t="inlineStr">
        <is>
          <t>ESTRATÉGICO</t>
        </is>
      </c>
      <c r="C1274" s="10" t="inlineStr">
        <is>
          <t>Gestión de Riesgos</t>
        </is>
      </c>
      <c r="D1274" s="10" t="inlineStr">
        <is>
          <t>GRI</t>
        </is>
      </c>
      <c r="E1274" s="10" t="inlineStr">
        <is>
          <t>Gestión de Riesgo de Crédito</t>
        </is>
      </c>
      <c r="F1274" s="10" t="inlineStr">
        <is>
          <t>-</t>
        </is>
      </c>
      <c r="G1274" s="10" t="inlineStr">
        <is>
          <t xml:space="preserve">Análisis e Interpretación de las Alertas Tempranas de Crédito y Seguimiento de Límites de Tolerancia </t>
        </is>
      </c>
      <c r="H1274" s="10" t="inlineStr">
        <is>
          <t>Reporte de Seguimiento de límites</t>
        </is>
      </c>
      <c r="I1274" s="10" t="inlineStr">
        <is>
          <t>Hoja de trabajo</t>
        </is>
      </c>
      <c r="J1274" s="10" t="inlineStr">
        <is>
          <t>GERENTE DE RIESGOS</t>
        </is>
      </c>
      <c r="K1274" s="10" t="inlineStr">
        <is>
          <t>ANALISTA DE RIESGO DE CREDITO</t>
        </is>
      </c>
      <c r="L1274" s="10" t="inlineStr">
        <is>
          <t>UBICACIÓN DIGITAL-EQUIPO DEL RESPONSABLE</t>
        </is>
      </c>
      <c r="M1274" s="10" t="inlineStr">
        <is>
          <t>DOCUMENTO DE ARCHIVO-ELECTRÓNICO</t>
        </is>
      </c>
      <c r="N1274" s="10" t="inlineStr">
        <is>
          <t>PRIMARIOS</t>
        </is>
      </c>
      <c r="O1274" s="10" t="inlineStr">
        <is>
          <t>DOCUMENTOS TÉCNICOS</t>
        </is>
      </c>
      <c r="P1274" s="10" t="inlineStr">
        <is>
          <t>PUBLICA(1)</t>
        </is>
      </c>
      <c r="Q1274" s="10" t="inlineStr">
        <is>
          <t>ALTA(3)</t>
        </is>
      </c>
      <c r="R1274" s="10" t="inlineStr">
        <is>
          <t>MEDIA(2)</t>
        </is>
      </c>
      <c r="S1274" s="10">
        <f>+(IF(P1274="PUBLICA(1)",1,IF(P1274="USO INTERNO(2)",2,IF(P1274="RESTRINGIDO(3)",3,3))))+(IF(Q1274="BAJA(1)",1,IF(Q1274="MEDIA(2)",2,IF(Q1274="ALTA(3)",3,3))))+(IF(R1274="BAJA(1)",1,IF(R1274="MEDIA(2)",2,IF(R1274="ALTA(3)",3,3))))</f>
        <v/>
      </c>
      <c r="T1274" s="10">
        <f>+IF(S1274&lt;6,"BAJA",IF(S1274&lt;8,"MEDIA","ALTA"))</f>
        <v/>
      </c>
      <c r="U1274" s="10" t="inlineStr">
        <is>
          <t>-</t>
        </is>
      </c>
      <c r="V1274" s="24" t="n">
        <v>45618</v>
      </c>
      <c r="W1274" s="19" t="inlineStr">
        <is>
          <t>N/A</t>
        </is>
      </c>
      <c r="X1274" s="10">
        <f>+IFERROR(IF(VLOOKUP(Tabla2[[#This Row],[ID]],'EVALUACION DE RIESGO'!A:A,1,FALSE)=Tabla2[[#This Row],[ID]],"SI","NO"),"NO")</f>
        <v/>
      </c>
    </row>
    <row r="1275">
      <c r="A1275" s="91" t="inlineStr">
        <is>
          <t>253-GRI</t>
        </is>
      </c>
      <c r="B1275" s="10" t="inlineStr">
        <is>
          <t>ESTRATÉGICO</t>
        </is>
      </c>
      <c r="C1275" s="10" t="inlineStr">
        <is>
          <t>Gestión de Riesgos</t>
        </is>
      </c>
      <c r="D1275" s="10" t="inlineStr">
        <is>
          <t>GRI</t>
        </is>
      </c>
      <c r="E1275" s="10" t="inlineStr">
        <is>
          <t>Gestión de Riesgo de Crédito</t>
        </is>
      </c>
      <c r="F1275" s="10" t="inlineStr">
        <is>
          <t>-</t>
        </is>
      </c>
      <c r="G1275" s="10" t="inlineStr">
        <is>
          <t xml:space="preserve">Análisis e Interpretación de las Alertas Tempranas de Crédito y Seguimiento de Límites de Tolerancia </t>
        </is>
      </c>
      <c r="H1275" s="10" t="inlineStr">
        <is>
          <t xml:space="preserve">Reporte Maduración de Cartera </t>
        </is>
      </c>
      <c r="I1275" s="10" t="inlineStr">
        <is>
          <t>Hoja de trabajo</t>
        </is>
      </c>
      <c r="J1275" s="10" t="inlineStr">
        <is>
          <t>GERENTE DE RIESGOS</t>
        </is>
      </c>
      <c r="K1275" s="10" t="inlineStr">
        <is>
          <t>ANALISTA DE RIESGO DE CREDITO</t>
        </is>
      </c>
      <c r="L1275" s="10" t="inlineStr">
        <is>
          <t>UBICACIÓN DIGITAL-EQUIPO DEL RESPONSABLE</t>
        </is>
      </c>
      <c r="M1275" s="10" t="inlineStr">
        <is>
          <t>DOCUMENTO DE ARCHIVO-ELECTRÓNICO</t>
        </is>
      </c>
      <c r="N1275" s="10" t="inlineStr">
        <is>
          <t>PRIMARIOS</t>
        </is>
      </c>
      <c r="O1275" s="10" t="inlineStr">
        <is>
          <t>DOCUMENTOS TÉCNICOS</t>
        </is>
      </c>
      <c r="P1275" s="10" t="inlineStr">
        <is>
          <t>PUBLICA(1)</t>
        </is>
      </c>
      <c r="Q1275" s="10" t="inlineStr">
        <is>
          <t>ALTA(3)</t>
        </is>
      </c>
      <c r="R1275" s="10" t="inlineStr">
        <is>
          <t>MEDIA(2)</t>
        </is>
      </c>
      <c r="S1275" s="10">
        <f>+(IF(P1275="PUBLICA(1)",1,IF(P1275="USO INTERNO(2)",2,IF(P1275="RESTRINGIDO(3)",3,3))))+(IF(Q1275="BAJA(1)",1,IF(Q1275="MEDIA(2)",2,IF(Q1275="ALTA(3)",3,3))))+(IF(R1275="BAJA(1)",1,IF(R1275="MEDIA(2)",2,IF(R1275="ALTA(3)",3,3))))</f>
        <v/>
      </c>
      <c r="T1275" s="10">
        <f>+IF(S1275&lt;6,"BAJA",IF(S1275&lt;8,"MEDIA","ALTA"))</f>
        <v/>
      </c>
      <c r="U1275" s="10" t="inlineStr">
        <is>
          <t>-</t>
        </is>
      </c>
      <c r="V1275" s="24" t="n">
        <v>45617</v>
      </c>
      <c r="W1275" s="19" t="inlineStr">
        <is>
          <t>N/A</t>
        </is>
      </c>
      <c r="X1275" s="10">
        <f>+IFERROR(IF(VLOOKUP(Tabla2[[#This Row],[ID]],'EVALUACION DE RIESGO'!A:A,1,FALSE)=Tabla2[[#This Row],[ID]],"SI","NO"),"NO")</f>
        <v/>
      </c>
    </row>
    <row r="1276">
      <c r="A1276" s="91" t="inlineStr">
        <is>
          <t>254-GRI</t>
        </is>
      </c>
      <c r="B1276" s="10" t="inlineStr">
        <is>
          <t>ESTRATÉGICO</t>
        </is>
      </c>
      <c r="C1276" s="10" t="inlineStr">
        <is>
          <t>Gestión de Riesgos</t>
        </is>
      </c>
      <c r="D1276" s="10" t="inlineStr">
        <is>
          <t>GRI</t>
        </is>
      </c>
      <c r="E1276" s="10" t="inlineStr">
        <is>
          <t>Gestión de Riesgo de Crédito</t>
        </is>
      </c>
      <c r="F1276" s="10" t="inlineStr">
        <is>
          <t>-</t>
        </is>
      </c>
      <c r="G1276" s="10" t="inlineStr">
        <is>
          <t>Consolidación de la información</t>
        </is>
      </c>
      <c r="H1276" s="10" t="inlineStr">
        <is>
          <t>Reporte de Matrices de Transición</t>
        </is>
      </c>
      <c r="I1276" s="10" t="inlineStr">
        <is>
          <t>Herramienta de matriz de transición en excel</t>
        </is>
      </c>
      <c r="J1276" s="10" t="inlineStr">
        <is>
          <t>GERENTE DE RIESGOS</t>
        </is>
      </c>
      <c r="K1276" s="10" t="inlineStr">
        <is>
          <t>ANALISTA DE RIESGO DE CREDITO</t>
        </is>
      </c>
      <c r="L1276" s="10" t="inlineStr">
        <is>
          <t>UBICACIÓN DIGITAL-EQUIPO DEL RESPONSABLE</t>
        </is>
      </c>
      <c r="M1276" s="10" t="inlineStr">
        <is>
          <t>DOCUMENTO DE ARCHIVO-ELECTRÓNICO</t>
        </is>
      </c>
      <c r="N1276" s="10" t="inlineStr">
        <is>
          <t>PRIMARIOS</t>
        </is>
      </c>
      <c r="O1276" s="10" t="inlineStr">
        <is>
          <t>DOCUMENTOS TÉCNICOS</t>
        </is>
      </c>
      <c r="P1276" s="10" t="inlineStr">
        <is>
          <t>PUBLICA(1)</t>
        </is>
      </c>
      <c r="Q1276" s="10" t="inlineStr">
        <is>
          <t>ALTA(3)</t>
        </is>
      </c>
      <c r="R1276" s="10" t="inlineStr">
        <is>
          <t>MEDIA(2)</t>
        </is>
      </c>
      <c r="S1276" s="10">
        <f>+(IF(P1276="PUBLICA(1)",1,IF(P1276="USO INTERNO(2)",2,IF(P1276="RESTRINGIDO(3)",3,3))))+(IF(Q1276="BAJA(1)",1,IF(Q1276="MEDIA(2)",2,IF(Q1276="ALTA(3)",3,3))))+(IF(R1276="BAJA(1)",1,IF(R1276="MEDIA(2)",2,IF(R1276="ALTA(3)",3,3))))</f>
        <v/>
      </c>
      <c r="T1276" s="10">
        <f>+IF(S1276&lt;6,"BAJA",IF(S1276&lt;8,"MEDIA","ALTA"))</f>
        <v/>
      </c>
      <c r="U1276" s="10" t="inlineStr">
        <is>
          <t>-</t>
        </is>
      </c>
      <c r="V1276" s="24" t="n">
        <v>45618</v>
      </c>
      <c r="W1276" s="19" t="inlineStr">
        <is>
          <t>N/A</t>
        </is>
      </c>
      <c r="X1276" s="10">
        <f>+IFERROR(IF(VLOOKUP(Tabla2[[#This Row],[ID]],'EVALUACION DE RIESGO'!A:A,1,FALSE)=Tabla2[[#This Row],[ID]],"SI","NO"),"NO")</f>
        <v/>
      </c>
    </row>
    <row r="1277">
      <c r="A1277" s="91" t="inlineStr">
        <is>
          <t>255-GRI</t>
        </is>
      </c>
      <c r="B1277" s="10" t="inlineStr">
        <is>
          <t>ESTRATÉGICO</t>
        </is>
      </c>
      <c r="C1277" s="10" t="inlineStr">
        <is>
          <t>Gestión de Riesgos</t>
        </is>
      </c>
      <c r="D1277" s="10" t="inlineStr">
        <is>
          <t>GRI</t>
        </is>
      </c>
      <c r="E1277" s="10" t="inlineStr">
        <is>
          <t>Gestión de Riesgo de Crédito</t>
        </is>
      </c>
      <c r="F1277" s="10" t="inlineStr">
        <is>
          <t>-</t>
        </is>
      </c>
      <c r="G1277" s="10" t="inlineStr">
        <is>
          <t>Consolidación de la información</t>
        </is>
      </c>
      <c r="H1277" s="10" t="inlineStr">
        <is>
          <t>Reporte de Cosechas</t>
        </is>
      </c>
      <c r="I1277" s="10" t="inlineStr">
        <is>
          <t>Herramienta de matriz de cosecha en excel</t>
        </is>
      </c>
      <c r="J1277" s="10" t="inlineStr">
        <is>
          <t>GERENTE DE RIESGOS</t>
        </is>
      </c>
      <c r="K1277" s="10" t="inlineStr">
        <is>
          <t>ANALISTA DE RIESGO DE CREDITO</t>
        </is>
      </c>
      <c r="L1277" s="10" t="inlineStr">
        <is>
          <t>UBICACIÓN DIGITAL-EQUIPO DEL RESPONSABLE</t>
        </is>
      </c>
      <c r="M1277" s="10" t="inlineStr">
        <is>
          <t>DOCUMENTO DE ARCHIVO-ELECTRÓNICO</t>
        </is>
      </c>
      <c r="N1277" s="10" t="inlineStr">
        <is>
          <t>PRIMARIOS</t>
        </is>
      </c>
      <c r="O1277" s="10" t="inlineStr">
        <is>
          <t>DOCUMENTOS TÉCNICOS</t>
        </is>
      </c>
      <c r="P1277" s="10" t="inlineStr">
        <is>
          <t>PUBLICA(1)</t>
        </is>
      </c>
      <c r="Q1277" s="10" t="inlineStr">
        <is>
          <t>ALTA(3)</t>
        </is>
      </c>
      <c r="R1277" s="10" t="inlineStr">
        <is>
          <t>MEDIA(2)</t>
        </is>
      </c>
      <c r="S1277" s="10">
        <f>+(IF(P1277="PUBLICA(1)",1,IF(P1277="USO INTERNO(2)",2,IF(P1277="RESTRINGIDO(3)",3,3))))+(IF(Q1277="BAJA(1)",1,IF(Q1277="MEDIA(2)",2,IF(Q1277="ALTA(3)",3,3))))+(IF(R1277="BAJA(1)",1,IF(R1277="MEDIA(2)",2,IF(R1277="ALTA(3)",3,3))))</f>
        <v/>
      </c>
      <c r="T1277" s="10">
        <f>+IF(S1277&lt;6,"BAJA",IF(S1277&lt;8,"MEDIA","ALTA"))</f>
        <v/>
      </c>
      <c r="U1277" s="10" t="inlineStr">
        <is>
          <t>-</t>
        </is>
      </c>
      <c r="V1277" s="24" t="n">
        <v>45617</v>
      </c>
      <c r="W1277" s="19" t="inlineStr">
        <is>
          <t>N/A</t>
        </is>
      </c>
      <c r="X1277" s="10">
        <f>+IFERROR(IF(VLOOKUP(Tabla2[[#This Row],[ID]],'EVALUACION DE RIESGO'!A:A,1,FALSE)=Tabla2[[#This Row],[ID]],"SI","NO"),"NO")</f>
        <v/>
      </c>
    </row>
    <row r="1278">
      <c r="A1278" s="91" t="inlineStr">
        <is>
          <t>256-GRI</t>
        </is>
      </c>
      <c r="B1278" s="10" t="inlineStr">
        <is>
          <t>ESTRATÉGICO</t>
        </is>
      </c>
      <c r="C1278" s="10" t="inlineStr">
        <is>
          <t>Gestión de Riesgos</t>
        </is>
      </c>
      <c r="D1278" s="10" t="inlineStr">
        <is>
          <t>GRI</t>
        </is>
      </c>
      <c r="E1278" s="10" t="inlineStr">
        <is>
          <t>Gestión de Riesgo de Crédito</t>
        </is>
      </c>
      <c r="F1278" s="10" t="inlineStr">
        <is>
          <t>-</t>
        </is>
      </c>
      <c r="G1278" s="10" t="inlineStr">
        <is>
          <t>Consolidación de la información</t>
        </is>
      </c>
      <c r="H1278" s="10" t="inlineStr">
        <is>
          <t>Reporte de Alturas de Vida</t>
        </is>
      </c>
      <c r="I1278" s="10" t="inlineStr">
        <is>
          <t>Herramienta de matriz de cosecha en excel</t>
        </is>
      </c>
      <c r="J1278" s="10" t="inlineStr">
        <is>
          <t>GERENTE DE RIESGOS</t>
        </is>
      </c>
      <c r="K1278" s="10" t="inlineStr">
        <is>
          <t>ANALISTA DE RIESGO DE CREDITO</t>
        </is>
      </c>
      <c r="L1278" s="10" t="inlineStr">
        <is>
          <t>UBICACIÓN DIGITAL-EQUIPO DEL RESPONSABLE</t>
        </is>
      </c>
      <c r="M1278" s="10" t="inlineStr">
        <is>
          <t>DOCUMENTO DE ARCHIVO-ELECTRÓNICO</t>
        </is>
      </c>
      <c r="N1278" s="10" t="inlineStr">
        <is>
          <t>PRIMARIOS</t>
        </is>
      </c>
      <c r="O1278" s="10" t="inlineStr">
        <is>
          <t>DOCUMENTOS TÉCNICOS</t>
        </is>
      </c>
      <c r="P1278" s="10" t="inlineStr">
        <is>
          <t>PUBLICA(1)</t>
        </is>
      </c>
      <c r="Q1278" s="10" t="inlineStr">
        <is>
          <t>ALTA(3)</t>
        </is>
      </c>
      <c r="R1278" s="10" t="inlineStr">
        <is>
          <t>MEDIA(2)</t>
        </is>
      </c>
      <c r="S1278" s="10">
        <f>+(IF(P1278="PUBLICA(1)",1,IF(P1278="USO INTERNO(2)",2,IF(P1278="RESTRINGIDO(3)",3,3))))+(IF(Q1278="BAJA(1)",1,IF(Q1278="MEDIA(2)",2,IF(Q1278="ALTA(3)",3,3))))+(IF(R1278="BAJA(1)",1,IF(R1278="MEDIA(2)",2,IF(R1278="ALTA(3)",3,3))))</f>
        <v/>
      </c>
      <c r="T1278" s="10">
        <f>+IF(S1278&lt;6,"BAJA",IF(S1278&lt;8,"MEDIA","ALTA"))</f>
        <v/>
      </c>
      <c r="U1278" s="10" t="inlineStr">
        <is>
          <t>-</t>
        </is>
      </c>
      <c r="V1278" s="24" t="n">
        <v>45618</v>
      </c>
      <c r="W1278" s="19" t="inlineStr">
        <is>
          <t>N/A</t>
        </is>
      </c>
      <c r="X1278" s="10">
        <f>+IFERROR(IF(VLOOKUP(Tabla2[[#This Row],[ID]],'EVALUACION DE RIESGO'!A:A,1,FALSE)=Tabla2[[#This Row],[ID]],"SI","NO"),"NO")</f>
        <v/>
      </c>
    </row>
    <row r="1279">
      <c r="A1279" s="91" t="inlineStr">
        <is>
          <t>257-GRI</t>
        </is>
      </c>
      <c r="B1279" s="10" t="inlineStr">
        <is>
          <t>ESTRATÉGICO</t>
        </is>
      </c>
      <c r="C1279" s="10" t="inlineStr">
        <is>
          <t>Gestión de Riesgos</t>
        </is>
      </c>
      <c r="D1279" s="10" t="inlineStr">
        <is>
          <t>GRI</t>
        </is>
      </c>
      <c r="E1279" s="10" t="inlineStr">
        <is>
          <t>Gestión de Riesgo de Crédito</t>
        </is>
      </c>
      <c r="F1279" s="10" t="inlineStr">
        <is>
          <t>-</t>
        </is>
      </c>
      <c r="G1279" s="10" t="inlineStr">
        <is>
          <t>Consolidación de la información</t>
        </is>
      </c>
      <c r="H1279" s="10" t="inlineStr">
        <is>
          <t>Resumen de Cumplimiento de políticas y normativa interna</t>
        </is>
      </c>
      <c r="I1279" s="10" t="inlineStr">
        <is>
          <t>Hoja de trabajo</t>
        </is>
      </c>
      <c r="J1279" s="10" t="inlineStr">
        <is>
          <t>GERENTE DE RIESGOS</t>
        </is>
      </c>
      <c r="K1279" s="10" t="inlineStr">
        <is>
          <t>ANALISTA DE RIESGO DE CREDITO</t>
        </is>
      </c>
      <c r="L1279" s="10" t="inlineStr">
        <is>
          <t>UBICACIÓN DIGITAL-EQUIPO DEL RESPONSABLE</t>
        </is>
      </c>
      <c r="M1279" s="10" t="inlineStr">
        <is>
          <t>DOCUMENTO DE ARCHIVO-ELECTRÓNICO</t>
        </is>
      </c>
      <c r="N1279" s="10" t="inlineStr">
        <is>
          <t>PRIMARIOS</t>
        </is>
      </c>
      <c r="O1279" s="10" t="inlineStr">
        <is>
          <t>DOCUMENTOS TÉCNICOS</t>
        </is>
      </c>
      <c r="P1279" s="10" t="inlineStr">
        <is>
          <t>PUBLICA(1)</t>
        </is>
      </c>
      <c r="Q1279" s="10" t="inlineStr">
        <is>
          <t>ALTA(3)</t>
        </is>
      </c>
      <c r="R1279" s="10" t="inlineStr">
        <is>
          <t>MEDIA(2)</t>
        </is>
      </c>
      <c r="S1279" s="10">
        <f>+(IF(P1279="PUBLICA(1)",1,IF(P1279="USO INTERNO(2)",2,IF(P1279="RESTRINGIDO(3)",3,3))))+(IF(Q1279="BAJA(1)",1,IF(Q1279="MEDIA(2)",2,IF(Q1279="ALTA(3)",3,3))))+(IF(R1279="BAJA(1)",1,IF(R1279="MEDIA(2)",2,IF(R1279="ALTA(3)",3,3))))</f>
        <v/>
      </c>
      <c r="T1279" s="10">
        <f>+IF(S1279&lt;6,"BAJA",IF(S1279&lt;8,"MEDIA","ALTA"))</f>
        <v/>
      </c>
      <c r="U1279" s="10" t="inlineStr">
        <is>
          <t>-</t>
        </is>
      </c>
      <c r="V1279" s="24" t="n">
        <v>45618</v>
      </c>
      <c r="W1279" s="19" t="inlineStr">
        <is>
          <t>N/A</t>
        </is>
      </c>
      <c r="X1279" s="10">
        <f>+IFERROR(IF(VLOOKUP(Tabla2[[#This Row],[ID]],'EVALUACION DE RIESGO'!A:A,1,FALSE)=Tabla2[[#This Row],[ID]],"SI","NO"),"NO")</f>
        <v/>
      </c>
    </row>
    <row r="1280">
      <c r="A1280" s="91" t="inlineStr">
        <is>
          <t>258-GRI</t>
        </is>
      </c>
      <c r="B1280" s="10" t="inlineStr">
        <is>
          <t>ESTRATÉGICO</t>
        </is>
      </c>
      <c r="C1280" s="10" t="inlineStr">
        <is>
          <t>Gestión de Riesgos</t>
        </is>
      </c>
      <c r="D1280" s="10" t="inlineStr">
        <is>
          <t>GRI</t>
        </is>
      </c>
      <c r="E1280" s="10" t="inlineStr">
        <is>
          <t>Gestión de Riesgo de Crédito</t>
        </is>
      </c>
      <c r="F1280" s="10" t="inlineStr">
        <is>
          <t>-</t>
        </is>
      </c>
      <c r="G1280" s="10" t="inlineStr">
        <is>
          <t>Consolidación de la información</t>
        </is>
      </c>
      <c r="H1280" s="10" t="inlineStr">
        <is>
          <t xml:space="preserve">Reporte de Vinculados </t>
        </is>
      </c>
      <c r="I1280" s="10" t="inlineStr">
        <is>
          <t>Reporte</t>
        </is>
      </c>
      <c r="J1280" s="10" t="inlineStr">
        <is>
          <t>GERENTE DE RIESGOS</t>
        </is>
      </c>
      <c r="K1280" s="10" t="inlineStr">
        <is>
          <t>ANALISTA DE RIESGO DE CREDITO</t>
        </is>
      </c>
      <c r="L1280" s="10" t="inlineStr">
        <is>
          <t>UBICACIÓN DIGITAL-EQUIPO DEL RESPONSABLE</t>
        </is>
      </c>
      <c r="M1280" s="10" t="inlineStr">
        <is>
          <t>DOCUMENTO DE ARCHIVO-ELECTRÓNICO</t>
        </is>
      </c>
      <c r="N1280" s="10" t="inlineStr">
        <is>
          <t>PRIMARIOS</t>
        </is>
      </c>
      <c r="O1280" s="10" t="inlineStr">
        <is>
          <t>DOCUMENTOS TÉCNICOS</t>
        </is>
      </c>
      <c r="P1280" s="10" t="inlineStr">
        <is>
          <t>PUBLICA(1)</t>
        </is>
      </c>
      <c r="Q1280" s="10" t="inlineStr">
        <is>
          <t>ALTA(3)</t>
        </is>
      </c>
      <c r="R1280" s="10" t="inlineStr">
        <is>
          <t>MEDIA(2)</t>
        </is>
      </c>
      <c r="S1280" s="10">
        <f>+(IF(P1280="PUBLICA(1)",1,IF(P1280="USO INTERNO(2)",2,IF(P1280="RESTRINGIDO(3)",3,3))))+(IF(Q1280="BAJA(1)",1,IF(Q1280="MEDIA(2)",2,IF(Q1280="ALTA(3)",3,3))))+(IF(R1280="BAJA(1)",1,IF(R1280="MEDIA(2)",2,IF(R1280="ALTA(3)",3,3))))</f>
        <v/>
      </c>
      <c r="T1280" s="10">
        <f>+IF(S1280&lt;6,"BAJA",IF(S1280&lt;8,"MEDIA","ALTA"))</f>
        <v/>
      </c>
      <c r="U1280" s="10" t="inlineStr">
        <is>
          <t>-</t>
        </is>
      </c>
      <c r="V1280" s="24" t="n">
        <v>45617</v>
      </c>
      <c r="W1280" s="19" t="inlineStr">
        <is>
          <t>N/A</t>
        </is>
      </c>
      <c r="X1280" s="10">
        <f>+IFERROR(IF(VLOOKUP(Tabla2[[#This Row],[ID]],'EVALUACION DE RIESGO'!A:A,1,FALSE)=Tabla2[[#This Row],[ID]],"SI","NO"),"NO")</f>
        <v/>
      </c>
    </row>
    <row r="1281">
      <c r="A1281" s="91" t="inlineStr">
        <is>
          <t>259-GRI</t>
        </is>
      </c>
      <c r="B1281" s="10" t="inlineStr">
        <is>
          <t>ESTRATÉGICO</t>
        </is>
      </c>
      <c r="C1281" s="10" t="inlineStr">
        <is>
          <t>Gestión de Riesgos</t>
        </is>
      </c>
      <c r="D1281" s="10" t="inlineStr">
        <is>
          <t>GRI</t>
        </is>
      </c>
      <c r="E1281" s="10" t="inlineStr">
        <is>
          <t>Gestión de Riesgo de Crédito</t>
        </is>
      </c>
      <c r="F1281" s="10" t="inlineStr">
        <is>
          <t>-</t>
        </is>
      </c>
      <c r="G1281" s="10" t="inlineStr">
        <is>
          <t>Consolidación de la información</t>
        </is>
      </c>
      <c r="H1281" s="10" t="inlineStr">
        <is>
          <t xml:space="preserve">Reporte de validación del listado 250 </t>
        </is>
      </c>
      <c r="I1281" s="10" t="inlineStr">
        <is>
          <t>Hoja de trabajo</t>
        </is>
      </c>
      <c r="J1281" s="10" t="inlineStr">
        <is>
          <t>GERENTE DE RIESGOS</t>
        </is>
      </c>
      <c r="K1281" s="10" t="inlineStr">
        <is>
          <t>ANALISTA DE RIESGO DE CREDITO</t>
        </is>
      </c>
      <c r="L1281" s="10" t="inlineStr">
        <is>
          <t>UBICACIÓN DIGITAL-EQUIPO DEL RESPONSABLE</t>
        </is>
      </c>
      <c r="M1281" s="10" t="inlineStr">
        <is>
          <t>DOCUMENTO DE ARCHIVO-ELECTRÓNICO</t>
        </is>
      </c>
      <c r="N1281" s="10" t="inlineStr">
        <is>
          <t>PRIMARIOS</t>
        </is>
      </c>
      <c r="O1281" s="10" t="inlineStr">
        <is>
          <t>DOCUMENTOS TÉCNICOS</t>
        </is>
      </c>
      <c r="P1281" s="10" t="inlineStr">
        <is>
          <t>PUBLICA(1)</t>
        </is>
      </c>
      <c r="Q1281" s="10" t="inlineStr">
        <is>
          <t>ALTA(3)</t>
        </is>
      </c>
      <c r="R1281" s="10" t="inlineStr">
        <is>
          <t>MEDIA(2)</t>
        </is>
      </c>
      <c r="S1281" s="10">
        <f>+(IF(P1281="PUBLICA(1)",1,IF(P1281="USO INTERNO(2)",2,IF(P1281="RESTRINGIDO(3)",3,3))))+(IF(Q1281="BAJA(1)",1,IF(Q1281="MEDIA(2)",2,IF(Q1281="ALTA(3)",3,3))))+(IF(R1281="BAJA(1)",1,IF(R1281="MEDIA(2)",2,IF(R1281="ALTA(3)",3,3))))</f>
        <v/>
      </c>
      <c r="T1281" s="10">
        <f>+IF(S1281&lt;6,"BAJA",IF(S1281&lt;8,"MEDIA","ALTA"))</f>
        <v/>
      </c>
      <c r="U1281" s="10" t="inlineStr">
        <is>
          <t>-</t>
        </is>
      </c>
      <c r="V1281" s="24" t="n">
        <v>45618</v>
      </c>
      <c r="W1281" s="19" t="inlineStr">
        <is>
          <t>N/A</t>
        </is>
      </c>
      <c r="X1281" s="10">
        <f>+IFERROR(IF(VLOOKUP(Tabla2[[#This Row],[ID]],'EVALUACION DE RIESGO'!A:A,1,FALSE)=Tabla2[[#This Row],[ID]],"SI","NO"),"NO")</f>
        <v/>
      </c>
    </row>
    <row r="1282">
      <c r="A1282" s="91" t="inlineStr">
        <is>
          <t>260-GRI</t>
        </is>
      </c>
      <c r="B1282" s="10" t="inlineStr">
        <is>
          <t>ESTRATÉGICO</t>
        </is>
      </c>
      <c r="C1282" s="10" t="inlineStr">
        <is>
          <t>Gestión de Riesgos</t>
        </is>
      </c>
      <c r="D1282" s="10" t="inlineStr">
        <is>
          <t>GRI</t>
        </is>
      </c>
      <c r="E1282" s="10" t="inlineStr">
        <is>
          <t>Gestión de Riesgo de Crédito</t>
        </is>
      </c>
      <c r="F1282" s="10" t="inlineStr">
        <is>
          <t>-</t>
        </is>
      </c>
      <c r="G1282" s="10" t="inlineStr">
        <is>
          <t>Consolidación de la información</t>
        </is>
      </c>
      <c r="H1282" s="10" t="inlineStr">
        <is>
          <t>Reporte de Seguimiento Reestr-Ref</t>
        </is>
      </c>
      <c r="I1282" s="10" t="inlineStr">
        <is>
          <t>Hoja de trabajo</t>
        </is>
      </c>
      <c r="J1282" s="10" t="inlineStr">
        <is>
          <t>GERENTE DE RIESGOS</t>
        </is>
      </c>
      <c r="K1282" s="10" t="inlineStr">
        <is>
          <t>ANALISTA DE RIESGO DE CREDITO</t>
        </is>
      </c>
      <c r="L1282" s="10" t="inlineStr">
        <is>
          <t>UBICACIÓN DIGITAL-EQUIPO DEL RESPONSABLE</t>
        </is>
      </c>
      <c r="M1282" s="10" t="inlineStr">
        <is>
          <t>DOCUMENTO DE ARCHIVO-ELECTRÓNICO</t>
        </is>
      </c>
      <c r="N1282" s="10" t="inlineStr">
        <is>
          <t>PRIMARIOS</t>
        </is>
      </c>
      <c r="O1282" s="10" t="inlineStr">
        <is>
          <t>DOCUMENTOS TÉCNICOS</t>
        </is>
      </c>
      <c r="P1282" s="10" t="inlineStr">
        <is>
          <t>PUBLICA(1)</t>
        </is>
      </c>
      <c r="Q1282" s="10" t="inlineStr">
        <is>
          <t>ALTA(3)</t>
        </is>
      </c>
      <c r="R1282" s="10" t="inlineStr">
        <is>
          <t>MEDIA(2)</t>
        </is>
      </c>
      <c r="S1282" s="10">
        <f>+(IF(P1282="PUBLICA(1)",1,IF(P1282="USO INTERNO(2)",2,IF(P1282="RESTRINGIDO(3)",3,3))))+(IF(Q1282="BAJA(1)",1,IF(Q1282="MEDIA(2)",2,IF(Q1282="ALTA(3)",3,3))))+(IF(R1282="BAJA(1)",1,IF(R1282="MEDIA(2)",2,IF(R1282="ALTA(3)",3,3))))</f>
        <v/>
      </c>
      <c r="T1282" s="10">
        <f>+IF(S1282&lt;6,"BAJA",IF(S1282&lt;8,"MEDIA","ALTA"))</f>
        <v/>
      </c>
      <c r="U1282" s="10" t="inlineStr">
        <is>
          <t>-</t>
        </is>
      </c>
      <c r="V1282" s="24" t="n">
        <v>45618</v>
      </c>
      <c r="W1282" s="19" t="inlineStr">
        <is>
          <t>N/A</t>
        </is>
      </c>
      <c r="X1282" s="10">
        <f>+IFERROR(IF(VLOOKUP(Tabla2[[#This Row],[ID]],'EVALUACION DE RIESGO'!A:A,1,FALSE)=Tabla2[[#This Row],[ID]],"SI","NO"),"NO")</f>
        <v/>
      </c>
    </row>
    <row r="1283">
      <c r="A1283" s="91" t="inlineStr">
        <is>
          <t>261-GRI</t>
        </is>
      </c>
      <c r="B1283" s="10" t="inlineStr">
        <is>
          <t>ESTRATÉGICO</t>
        </is>
      </c>
      <c r="C1283" s="10" t="inlineStr">
        <is>
          <t>Gestión de Riesgos</t>
        </is>
      </c>
      <c r="D1283" s="10" t="inlineStr">
        <is>
          <t>GRI</t>
        </is>
      </c>
      <c r="E1283" s="10" t="inlineStr">
        <is>
          <t>Gestión de Riesgo de Crédito</t>
        </is>
      </c>
      <c r="F1283" s="10" t="inlineStr">
        <is>
          <t>-</t>
        </is>
      </c>
      <c r="G1283" s="10" t="inlineStr">
        <is>
          <t>Consolidación de la información</t>
        </is>
      </c>
      <c r="H1283" s="10" t="inlineStr">
        <is>
          <t>Reporte de Alertas Tempranas de Crédito</t>
        </is>
      </c>
      <c r="I1283" s="10" t="inlineStr">
        <is>
          <t>Herramienta de alertas tempranas en excel</t>
        </is>
      </c>
      <c r="J1283" s="10" t="inlineStr">
        <is>
          <t>GERENTE DE RIESGOS</t>
        </is>
      </c>
      <c r="K1283" s="10" t="inlineStr">
        <is>
          <t>ANALISTA DE RIESGO DE CREDITO</t>
        </is>
      </c>
      <c r="L1283" s="10" t="inlineStr">
        <is>
          <t>UBICACIÓN DIGITAL-EQUIPO DEL RESPONSABLE</t>
        </is>
      </c>
      <c r="M1283" s="10" t="inlineStr">
        <is>
          <t>DOCUMENTO DE ARCHIVO-ELECTRÓNICO</t>
        </is>
      </c>
      <c r="N1283" s="10" t="inlineStr">
        <is>
          <t>PRIMARIOS</t>
        </is>
      </c>
      <c r="O1283" s="10" t="inlineStr">
        <is>
          <t>DOCUMENTOS TÉCNICOS</t>
        </is>
      </c>
      <c r="P1283" s="10" t="inlineStr">
        <is>
          <t>PUBLICA(1)</t>
        </is>
      </c>
      <c r="Q1283" s="10" t="inlineStr">
        <is>
          <t>ALTA(3)</t>
        </is>
      </c>
      <c r="R1283" s="10" t="inlineStr">
        <is>
          <t>MEDIA(2)</t>
        </is>
      </c>
      <c r="S1283" s="10">
        <f>+(IF(P1283="PUBLICA(1)",1,IF(P1283="USO INTERNO(2)",2,IF(P1283="RESTRINGIDO(3)",3,3))))+(IF(Q1283="BAJA(1)",1,IF(Q1283="MEDIA(2)",2,IF(Q1283="ALTA(3)",3,3))))+(IF(R1283="BAJA(1)",1,IF(R1283="MEDIA(2)",2,IF(R1283="ALTA(3)",3,3))))</f>
        <v/>
      </c>
      <c r="T1283" s="10">
        <f>+IF(S1283&lt;6,"BAJA",IF(S1283&lt;8,"MEDIA","ALTA"))</f>
        <v/>
      </c>
      <c r="U1283" s="10" t="inlineStr">
        <is>
          <t>-</t>
        </is>
      </c>
      <c r="V1283" s="24" t="n">
        <v>45617</v>
      </c>
      <c r="W1283" s="19" t="inlineStr">
        <is>
          <t>N/A</t>
        </is>
      </c>
      <c r="X1283" s="10">
        <f>+IFERROR(IF(VLOOKUP(Tabla2[[#This Row],[ID]],'EVALUACION DE RIESGO'!A:A,1,FALSE)=Tabla2[[#This Row],[ID]],"SI","NO"),"NO")</f>
        <v/>
      </c>
    </row>
    <row r="1284">
      <c r="A1284" s="91" t="inlineStr">
        <is>
          <t>262-GRI</t>
        </is>
      </c>
      <c r="B1284" s="10" t="inlineStr">
        <is>
          <t>ESTRATÉGICO</t>
        </is>
      </c>
      <c r="C1284" s="10" t="inlineStr">
        <is>
          <t>Gestión de Riesgos</t>
        </is>
      </c>
      <c r="D1284" s="10" t="inlineStr">
        <is>
          <t>GRI</t>
        </is>
      </c>
      <c r="E1284" s="10" t="inlineStr">
        <is>
          <t>Gestión de Riesgo de Crédito</t>
        </is>
      </c>
      <c r="F1284" s="10" t="inlineStr">
        <is>
          <t>-</t>
        </is>
      </c>
      <c r="G1284" s="10" t="inlineStr">
        <is>
          <t>Consolidación de la información</t>
        </is>
      </c>
      <c r="H1284" s="10" t="inlineStr">
        <is>
          <t>Balances Mensuales</t>
        </is>
      </c>
      <c r="I1284" s="10" t="inlineStr">
        <is>
          <t>Balance</t>
        </is>
      </c>
      <c r="J1284" s="10" t="inlineStr">
        <is>
          <t>GERENTE DE RIESGOS</t>
        </is>
      </c>
      <c r="K1284" s="10" t="inlineStr">
        <is>
          <t>ANALISTA DE RIESGO DE CREDITO</t>
        </is>
      </c>
      <c r="L1284" s="10" t="inlineStr">
        <is>
          <t>UBICACIÓN DIGITAL-EQUIPO DEL RESPONSABLE</t>
        </is>
      </c>
      <c r="M1284" s="10" t="inlineStr">
        <is>
          <t>DOCUMENTO DE ARCHIVO-ELECTRÓNICO</t>
        </is>
      </c>
      <c r="N1284" s="10" t="inlineStr">
        <is>
          <t>PRIMARIOS</t>
        </is>
      </c>
      <c r="O1284" s="10" t="inlineStr">
        <is>
          <t>DOCUMENTOS TÉCNICOS</t>
        </is>
      </c>
      <c r="P1284" s="10" t="inlineStr">
        <is>
          <t>PUBLICA(1)</t>
        </is>
      </c>
      <c r="Q1284" s="10" t="inlineStr">
        <is>
          <t>ALTA(3)</t>
        </is>
      </c>
      <c r="R1284" s="10" t="inlineStr">
        <is>
          <t>MEDIA(2)</t>
        </is>
      </c>
      <c r="S1284" s="10">
        <f>+(IF(P1284="PUBLICA(1)",1,IF(P1284="USO INTERNO(2)",2,IF(P1284="RESTRINGIDO(3)",3,3))))+(IF(Q1284="BAJA(1)",1,IF(Q1284="MEDIA(2)",2,IF(Q1284="ALTA(3)",3,3))))+(IF(R1284="BAJA(1)",1,IF(R1284="MEDIA(2)",2,IF(R1284="ALTA(3)",3,3))))</f>
        <v/>
      </c>
      <c r="T1284" s="10">
        <f>+IF(S1284&lt;6,"BAJA",IF(S1284&lt;8,"MEDIA","ALTA"))</f>
        <v/>
      </c>
      <c r="U1284" s="10" t="inlineStr">
        <is>
          <t>-</t>
        </is>
      </c>
      <c r="V1284" s="24" t="n">
        <v>45618</v>
      </c>
      <c r="W1284" s="19" t="inlineStr">
        <is>
          <t>N/A</t>
        </is>
      </c>
      <c r="X1284" s="10">
        <f>+IFERROR(IF(VLOOKUP(Tabla2[[#This Row],[ID]],'EVALUACION DE RIESGO'!A:A,1,FALSE)=Tabla2[[#This Row],[ID]],"SI","NO"),"NO")</f>
        <v/>
      </c>
    </row>
    <row r="1285">
      <c r="A1285" s="91" t="inlineStr">
        <is>
          <t>263-GRI</t>
        </is>
      </c>
      <c r="B1285" s="10" t="inlineStr">
        <is>
          <t>ESTRATÉGICO</t>
        </is>
      </c>
      <c r="C1285" s="10" t="inlineStr">
        <is>
          <t>Gestión de Riesgos</t>
        </is>
      </c>
      <c r="D1285" s="10" t="inlineStr">
        <is>
          <t>GRI</t>
        </is>
      </c>
      <c r="E1285" s="10" t="inlineStr">
        <is>
          <t>Gestión de Riesgo de Crédito</t>
        </is>
      </c>
      <c r="F1285" s="10" t="inlineStr">
        <is>
          <t>-</t>
        </is>
      </c>
      <c r="G1285" s="10" t="inlineStr">
        <is>
          <t>Consolidación de la información</t>
        </is>
      </c>
      <c r="H1285" s="10" t="inlineStr">
        <is>
          <t>Reporte Seguimiento de Límites</t>
        </is>
      </c>
      <c r="I1285" s="10" t="inlineStr">
        <is>
          <t>Hoja de trabajo</t>
        </is>
      </c>
      <c r="J1285" s="10" t="inlineStr">
        <is>
          <t>GERENTE DE RIESGOS</t>
        </is>
      </c>
      <c r="K1285" s="10" t="inlineStr">
        <is>
          <t>ANALISTA DE RIESGO DE CREDITO</t>
        </is>
      </c>
      <c r="L1285" s="10" t="inlineStr">
        <is>
          <t>UBICACIÓN DIGITAL-EQUIPO DEL RESPONSABLE</t>
        </is>
      </c>
      <c r="M1285" s="10" t="inlineStr">
        <is>
          <t>DOCUMENTO DE ARCHIVO-ELECTRÓNICO</t>
        </is>
      </c>
      <c r="N1285" s="10" t="inlineStr">
        <is>
          <t>PRIMARIOS</t>
        </is>
      </c>
      <c r="O1285" s="10" t="inlineStr">
        <is>
          <t>DOCUMENTOS TÉCNICOS</t>
        </is>
      </c>
      <c r="P1285" s="10" t="inlineStr">
        <is>
          <t>PUBLICA(1)</t>
        </is>
      </c>
      <c r="Q1285" s="10" t="inlineStr">
        <is>
          <t>ALTA(3)</t>
        </is>
      </c>
      <c r="R1285" s="10" t="inlineStr">
        <is>
          <t>MEDIA(2)</t>
        </is>
      </c>
      <c r="S1285" s="10">
        <f>+(IF(P1285="PUBLICA(1)",1,IF(P1285="USO INTERNO(2)",2,IF(P1285="RESTRINGIDO(3)",3,3))))+(IF(Q1285="BAJA(1)",1,IF(Q1285="MEDIA(2)",2,IF(Q1285="ALTA(3)",3,3))))+(IF(R1285="BAJA(1)",1,IF(R1285="MEDIA(2)",2,IF(R1285="ALTA(3)",3,3))))</f>
        <v/>
      </c>
      <c r="T1285" s="10">
        <f>+IF(S1285&lt;6,"BAJA",IF(S1285&lt;8,"MEDIA","ALTA"))</f>
        <v/>
      </c>
      <c r="U1285" s="10" t="inlineStr">
        <is>
          <t>-</t>
        </is>
      </c>
      <c r="V1285" s="24" t="n">
        <v>45617</v>
      </c>
      <c r="W1285" s="19" t="inlineStr">
        <is>
          <t>N/A</t>
        </is>
      </c>
      <c r="X1285" s="10">
        <f>+IFERROR(IF(VLOOKUP(Tabla2[[#This Row],[ID]],'EVALUACION DE RIESGO'!A:A,1,FALSE)=Tabla2[[#This Row],[ID]],"SI","NO"),"NO")</f>
        <v/>
      </c>
    </row>
    <row r="1286">
      <c r="A1286" s="91" t="inlineStr">
        <is>
          <t>264-GRI</t>
        </is>
      </c>
      <c r="B1286" s="10" t="inlineStr">
        <is>
          <t>ESTRATÉGICO</t>
        </is>
      </c>
      <c r="C1286" s="10" t="inlineStr">
        <is>
          <t>Gestión de Riesgos</t>
        </is>
      </c>
      <c r="D1286" s="10" t="inlineStr">
        <is>
          <t>GRI</t>
        </is>
      </c>
      <c r="E1286" s="10" t="inlineStr">
        <is>
          <t>Gestión de Riesgo de Crédito</t>
        </is>
      </c>
      <c r="F1286" s="10" t="inlineStr">
        <is>
          <t>-</t>
        </is>
      </c>
      <c r="G1286" s="10" t="inlineStr">
        <is>
          <t>Consolidación de la información</t>
        </is>
      </c>
      <c r="H1286" s="10" t="inlineStr">
        <is>
          <t>Reporte Credireport</t>
        </is>
      </c>
      <c r="I1286" s="10" t="inlineStr">
        <is>
          <t>Reporte</t>
        </is>
      </c>
      <c r="J1286" s="10" t="inlineStr">
        <is>
          <t>GERENTE DE RIESGOS</t>
        </is>
      </c>
      <c r="K1286" s="10" t="inlineStr">
        <is>
          <t>ANALISTA DE RIESGO DE CREDITO</t>
        </is>
      </c>
      <c r="L1286" s="10" t="inlineStr">
        <is>
          <t>UBICACIÓN DIGITAL-EQUIPO DEL RESPONSABLE</t>
        </is>
      </c>
      <c r="M1286" s="10" t="inlineStr">
        <is>
          <t>DOCUMENTO DE ARCHIVO-ELECTRÓNICO</t>
        </is>
      </c>
      <c r="N1286" s="10" t="inlineStr">
        <is>
          <t>PRIMARIOS</t>
        </is>
      </c>
      <c r="O1286" s="10" t="inlineStr">
        <is>
          <t>DOCUMENTOS TÉCNICOS</t>
        </is>
      </c>
      <c r="P1286" s="10" t="inlineStr">
        <is>
          <t>PUBLICA(1)</t>
        </is>
      </c>
      <c r="Q1286" s="10" t="inlineStr">
        <is>
          <t>ALTA(3)</t>
        </is>
      </c>
      <c r="R1286" s="10" t="inlineStr">
        <is>
          <t>MEDIA(2)</t>
        </is>
      </c>
      <c r="S1286" s="10">
        <f>+(IF(P1286="PUBLICA(1)",1,IF(P1286="USO INTERNO(2)",2,IF(P1286="RESTRINGIDO(3)",3,3))))+(IF(Q1286="BAJA(1)",1,IF(Q1286="MEDIA(2)",2,IF(Q1286="ALTA(3)",3,3))))+(IF(R1286="BAJA(1)",1,IF(R1286="MEDIA(2)",2,IF(R1286="ALTA(3)",3,3))))</f>
        <v/>
      </c>
      <c r="T1286" s="10">
        <f>+IF(S1286&lt;6,"BAJA",IF(S1286&lt;8,"MEDIA","ALTA"))</f>
        <v/>
      </c>
      <c r="U1286" s="10" t="inlineStr">
        <is>
          <t>-</t>
        </is>
      </c>
      <c r="V1286" s="24" t="n">
        <v>45618</v>
      </c>
      <c r="W1286" s="19" t="inlineStr">
        <is>
          <t>N/A</t>
        </is>
      </c>
      <c r="X1286" s="10">
        <f>+IFERROR(IF(VLOOKUP(Tabla2[[#This Row],[ID]],'EVALUACION DE RIESGO'!A:A,1,FALSE)=Tabla2[[#This Row],[ID]],"SI","NO"),"NO")</f>
        <v/>
      </c>
    </row>
    <row r="1287">
      <c r="A1287" s="91" t="inlineStr">
        <is>
          <t>265-GRI</t>
        </is>
      </c>
      <c r="B1287" s="10" t="inlineStr">
        <is>
          <t>ESTRATÉGICO</t>
        </is>
      </c>
      <c r="C1287" s="10" t="inlineStr">
        <is>
          <t>Gestión de Riesgos</t>
        </is>
      </c>
      <c r="D1287" s="10" t="inlineStr">
        <is>
          <t>GRI</t>
        </is>
      </c>
      <c r="E1287" s="10" t="inlineStr">
        <is>
          <t>Gestión de Riesgo de Crédito</t>
        </is>
      </c>
      <c r="F1287" s="10" t="inlineStr">
        <is>
          <t>-</t>
        </is>
      </c>
      <c r="G1287" s="10" t="inlineStr">
        <is>
          <t>Consolidación de la información</t>
        </is>
      </c>
      <c r="H1287" s="10" t="inlineStr">
        <is>
          <t>Reporte Cartera_vig</t>
        </is>
      </c>
      <c r="I1287" s="10" t="inlineStr">
        <is>
          <t>reporte</t>
        </is>
      </c>
      <c r="J1287" s="10" t="inlineStr">
        <is>
          <t>GERENTE DE RIESGOS</t>
        </is>
      </c>
      <c r="K1287" s="10" t="inlineStr">
        <is>
          <t>ANALISTA DE RIESGO DE CREDITO</t>
        </is>
      </c>
      <c r="L1287" s="10" t="inlineStr">
        <is>
          <t>UBICACIÓN DIGITAL-EQUIPO DEL RESPONSABLE</t>
        </is>
      </c>
      <c r="M1287" s="10" t="inlineStr">
        <is>
          <t>DOCUMENTO DE ARCHIVO-ELECTRÓNICO</t>
        </is>
      </c>
      <c r="N1287" s="10" t="inlineStr">
        <is>
          <t>PRIMARIOS</t>
        </is>
      </c>
      <c r="O1287" s="10" t="inlineStr">
        <is>
          <t>DOCUMENTOS TÉCNICOS</t>
        </is>
      </c>
      <c r="P1287" s="10" t="inlineStr">
        <is>
          <t>PUBLICA(1)</t>
        </is>
      </c>
      <c r="Q1287" s="10" t="inlineStr">
        <is>
          <t>ALTA(3)</t>
        </is>
      </c>
      <c r="R1287" s="10" t="inlineStr">
        <is>
          <t>MEDIA(2)</t>
        </is>
      </c>
      <c r="S1287" s="10">
        <f>+(IF(P1287="PUBLICA(1)",1,IF(P1287="USO INTERNO(2)",2,IF(P1287="RESTRINGIDO(3)",3,3))))+(IF(Q1287="BAJA(1)",1,IF(Q1287="MEDIA(2)",2,IF(Q1287="ALTA(3)",3,3))))+(IF(R1287="BAJA(1)",1,IF(R1287="MEDIA(2)",2,IF(R1287="ALTA(3)",3,3))))</f>
        <v/>
      </c>
      <c r="T1287" s="10">
        <f>+IF(S1287&lt;6,"BAJA",IF(S1287&lt;8,"MEDIA","ALTA"))</f>
        <v/>
      </c>
      <c r="U1287" s="10" t="inlineStr">
        <is>
          <t>-</t>
        </is>
      </c>
      <c r="V1287" s="24" t="n">
        <v>45618</v>
      </c>
      <c r="W1287" s="19" t="inlineStr">
        <is>
          <t>N/A</t>
        </is>
      </c>
      <c r="X1287" s="10">
        <f>+IFERROR(IF(VLOOKUP(Tabla2[[#This Row],[ID]],'EVALUACION DE RIESGO'!A:A,1,FALSE)=Tabla2[[#This Row],[ID]],"SI","NO"),"NO")</f>
        <v/>
      </c>
    </row>
    <row r="1288">
      <c r="A1288" s="91" t="inlineStr">
        <is>
          <t>266-GRI</t>
        </is>
      </c>
      <c r="B1288" s="10" t="inlineStr">
        <is>
          <t>ESTRATÉGICO</t>
        </is>
      </c>
      <c r="C1288" s="10" t="inlineStr">
        <is>
          <t>Gestión de Riesgos</t>
        </is>
      </c>
      <c r="D1288" s="10" t="inlineStr">
        <is>
          <t>GRI</t>
        </is>
      </c>
      <c r="E1288" s="10" t="inlineStr">
        <is>
          <t>Gestión de Riesgo de Crédito</t>
        </is>
      </c>
      <c r="F1288" s="10" t="inlineStr">
        <is>
          <t>-</t>
        </is>
      </c>
      <c r="G1288" s="10" t="inlineStr">
        <is>
          <t>Consolidación de la información</t>
        </is>
      </c>
      <c r="H1288" s="10" t="inlineStr">
        <is>
          <t>Indicadores de Riesgos, seguimiento y rentabilidad generados en el Software de Riesgo de Crédito HCRISK</t>
        </is>
      </c>
      <c r="I1288" s="10" t="inlineStr">
        <is>
          <t>Herramienta de Riesgo de Credito</t>
        </is>
      </c>
      <c r="J1288" s="10" t="inlineStr">
        <is>
          <t>GERENTE DE RIESGOS</t>
        </is>
      </c>
      <c r="K1288" s="10" t="inlineStr">
        <is>
          <t>ANALISTA DE RIESGO DE CREDITO</t>
        </is>
      </c>
      <c r="L1288" s="10" t="inlineStr">
        <is>
          <t>UBICACIÓN DIGITAL-WEBCOOP</t>
        </is>
      </c>
      <c r="M1288" s="10" t="inlineStr">
        <is>
          <t>DOCUMENTO DE ARCHIVO-ELECTRÓNICO</t>
        </is>
      </c>
      <c r="N1288" s="10" t="inlineStr">
        <is>
          <t>PRIMARIOS</t>
        </is>
      </c>
      <c r="O1288" s="10" t="inlineStr">
        <is>
          <t>DOCUMENTOS TÉCNICOS</t>
        </is>
      </c>
      <c r="P1288" s="10" t="inlineStr">
        <is>
          <t>PUBLICA(1)</t>
        </is>
      </c>
      <c r="Q1288" s="10" t="inlineStr">
        <is>
          <t>ALTA(3)</t>
        </is>
      </c>
      <c r="R1288" s="10" t="inlineStr">
        <is>
          <t>MEDIA(2)</t>
        </is>
      </c>
      <c r="S1288" s="10">
        <f>+(IF(P1288="PUBLICA(1)",1,IF(P1288="USO INTERNO(2)",2,IF(P1288="RESTRINGIDO(3)",3,3))))+(IF(Q1288="BAJA(1)",1,IF(Q1288="MEDIA(2)",2,IF(Q1288="ALTA(3)",3,3))))+(IF(R1288="BAJA(1)",1,IF(R1288="MEDIA(2)",2,IF(R1288="ALTA(3)",3,3))))</f>
        <v/>
      </c>
      <c r="T1288" s="10">
        <f>+IF(S1288&lt;6,"BAJA",IF(S1288&lt;8,"MEDIA","ALTA"))</f>
        <v/>
      </c>
      <c r="U1288" s="10" t="inlineStr">
        <is>
          <t>-</t>
        </is>
      </c>
      <c r="V1288" s="24" t="n">
        <v>45617</v>
      </c>
      <c r="W1288" s="19" t="inlineStr">
        <is>
          <t>N/A</t>
        </is>
      </c>
      <c r="X1288" s="10">
        <f>+IFERROR(IF(VLOOKUP(Tabla2[[#This Row],[ID]],'EVALUACION DE RIESGO'!A:A,1,FALSE)=Tabla2[[#This Row],[ID]],"SI","NO"),"NO")</f>
        <v/>
      </c>
    </row>
    <row r="1289">
      <c r="A1289" s="91" t="inlineStr">
        <is>
          <t>267-GRI</t>
        </is>
      </c>
      <c r="B1289" s="10" t="inlineStr">
        <is>
          <t>ESTRATÉGICO</t>
        </is>
      </c>
      <c r="C1289" s="10" t="inlineStr">
        <is>
          <t>Gestión de Riesgos</t>
        </is>
      </c>
      <c r="D1289" s="10" t="inlineStr">
        <is>
          <t>GRI</t>
        </is>
      </c>
      <c r="E1289" s="10" t="inlineStr">
        <is>
          <t>Gestión de Riesgo de Crédito</t>
        </is>
      </c>
      <c r="F1289" s="10" t="inlineStr">
        <is>
          <t>-</t>
        </is>
      </c>
      <c r="G1289" s="10" t="inlineStr">
        <is>
          <t>Consolidación de la información</t>
        </is>
      </c>
      <c r="H1289" s="10" t="inlineStr">
        <is>
          <t>Reporte Aux Contable</t>
        </is>
      </c>
      <c r="I1289" s="10" t="inlineStr">
        <is>
          <t>Hoja de trabajo</t>
        </is>
      </c>
      <c r="J1289" s="10" t="inlineStr">
        <is>
          <t>GERENTE DE RIESGOS</t>
        </is>
      </c>
      <c r="K1289" s="10" t="inlineStr">
        <is>
          <t>ANALISTA DE RIESGO DE CREDITO</t>
        </is>
      </c>
      <c r="L1289" s="10" t="inlineStr">
        <is>
          <t>UBICACIÓN DIGITAL-EQUIPO DEL RESPONSABLE</t>
        </is>
      </c>
      <c r="M1289" s="10" t="inlineStr">
        <is>
          <t>DOCUMENTO DE ARCHIVO-ELECTRÓNICO</t>
        </is>
      </c>
      <c r="N1289" s="10" t="inlineStr">
        <is>
          <t>PRIMARIOS</t>
        </is>
      </c>
      <c r="O1289" s="10" t="inlineStr">
        <is>
          <t>DOCUMENTOS TÉCNICOS</t>
        </is>
      </c>
      <c r="P1289" s="10" t="inlineStr">
        <is>
          <t>PUBLICA(1)</t>
        </is>
      </c>
      <c r="Q1289" s="10" t="inlineStr">
        <is>
          <t>ALTA(3)</t>
        </is>
      </c>
      <c r="R1289" s="10" t="inlineStr">
        <is>
          <t>MEDIA(2)</t>
        </is>
      </c>
      <c r="S1289" s="10">
        <f>+(IF(P1289="PUBLICA(1)",1,IF(P1289="USO INTERNO(2)",2,IF(P1289="RESTRINGIDO(3)",3,3))))+(IF(Q1289="BAJA(1)",1,IF(Q1289="MEDIA(2)",2,IF(Q1289="ALTA(3)",3,3))))+(IF(R1289="BAJA(1)",1,IF(R1289="MEDIA(2)",2,IF(R1289="ALTA(3)",3,3))))</f>
        <v/>
      </c>
      <c r="T1289" s="10">
        <f>+IF(S1289&lt;6,"BAJA",IF(S1289&lt;8,"MEDIA","ALTA"))</f>
        <v/>
      </c>
      <c r="U1289" s="10" t="inlineStr">
        <is>
          <t>-</t>
        </is>
      </c>
      <c r="V1289" s="24" t="n">
        <v>45618</v>
      </c>
      <c r="W1289" s="19" t="inlineStr">
        <is>
          <t>N/A</t>
        </is>
      </c>
      <c r="X1289" s="10">
        <f>+IFERROR(IF(VLOOKUP(Tabla2[[#This Row],[ID]],'EVALUACION DE RIESGO'!A:A,1,FALSE)=Tabla2[[#This Row],[ID]],"SI","NO"),"NO")</f>
        <v/>
      </c>
    </row>
    <row r="1290">
      <c r="A1290" s="91" t="inlineStr">
        <is>
          <t>268-GRI</t>
        </is>
      </c>
      <c r="B1290" s="10" t="inlineStr">
        <is>
          <t>ESTRATÉGICO</t>
        </is>
      </c>
      <c r="C1290" s="10" t="inlineStr">
        <is>
          <t>Gestión de Riesgos</t>
        </is>
      </c>
      <c r="D1290" s="10" t="inlineStr">
        <is>
          <t>GRI</t>
        </is>
      </c>
      <c r="E1290" s="10" t="inlineStr">
        <is>
          <t>Gestión de Riesgo de Crédito</t>
        </is>
      </c>
      <c r="F1290" s="10" t="inlineStr">
        <is>
          <t>-</t>
        </is>
      </c>
      <c r="G1290" s="10" t="inlineStr">
        <is>
          <t>Consolidación de la información</t>
        </is>
      </c>
      <c r="H1290" s="10" t="inlineStr">
        <is>
          <t>Reporte Gestión Crédito</t>
        </is>
      </c>
      <c r="I1290" s="10" t="inlineStr">
        <is>
          <t>Hoja de trabajo</t>
        </is>
      </c>
      <c r="J1290" s="10" t="inlineStr">
        <is>
          <t>GERENTE DE RIESGOS</t>
        </is>
      </c>
      <c r="K1290" s="10" t="inlineStr">
        <is>
          <t>ANALISTA DE RIESGO DE CREDITO</t>
        </is>
      </c>
      <c r="L1290" s="10" t="inlineStr">
        <is>
          <t>UBICACIÓN DIGITAL-EQUIPO DEL RESPONSABLE</t>
        </is>
      </c>
      <c r="M1290" s="10" t="inlineStr">
        <is>
          <t>DOCUMENTO DE ARCHIVO-ELECTRÓNICO</t>
        </is>
      </c>
      <c r="N1290" s="10" t="inlineStr">
        <is>
          <t>PRIMARIOS</t>
        </is>
      </c>
      <c r="O1290" s="10" t="inlineStr">
        <is>
          <t>DOCUMENTOS TÉCNICOS</t>
        </is>
      </c>
      <c r="P1290" s="10" t="inlineStr">
        <is>
          <t>PUBLICA(1)</t>
        </is>
      </c>
      <c r="Q1290" s="10" t="inlineStr">
        <is>
          <t>ALTA(3)</t>
        </is>
      </c>
      <c r="R1290" s="10" t="inlineStr">
        <is>
          <t>MEDIA(2)</t>
        </is>
      </c>
      <c r="S1290" s="10">
        <f>+(IF(P1290="PUBLICA(1)",1,IF(P1290="USO INTERNO(2)",2,IF(P1290="RESTRINGIDO(3)",3,3))))+(IF(Q1290="BAJA(1)",1,IF(Q1290="MEDIA(2)",2,IF(Q1290="ALTA(3)",3,3))))+(IF(R1290="BAJA(1)",1,IF(R1290="MEDIA(2)",2,IF(R1290="ALTA(3)",3,3))))</f>
        <v/>
      </c>
      <c r="T1290" s="10">
        <f>+IF(S1290&lt;6,"BAJA",IF(S1290&lt;8,"MEDIA","ALTA"))</f>
        <v/>
      </c>
      <c r="U1290" s="10" t="inlineStr">
        <is>
          <t>-</t>
        </is>
      </c>
      <c r="V1290" s="24" t="n">
        <v>45618</v>
      </c>
      <c r="W1290" s="19" t="inlineStr">
        <is>
          <t>N/A</t>
        </is>
      </c>
      <c r="X1290" s="10">
        <f>+IFERROR(IF(VLOOKUP(Tabla2[[#This Row],[ID]],'EVALUACION DE RIESGO'!A:A,1,FALSE)=Tabla2[[#This Row],[ID]],"SI","NO"),"NO")</f>
        <v/>
      </c>
    </row>
    <row r="1291">
      <c r="A1291" s="91" t="inlineStr">
        <is>
          <t>269-GRI</t>
        </is>
      </c>
      <c r="B1291" s="10" t="inlineStr">
        <is>
          <t>ESTRATÉGICO</t>
        </is>
      </c>
      <c r="C1291" s="10" t="inlineStr">
        <is>
          <t>Gestión de Riesgos</t>
        </is>
      </c>
      <c r="D1291" s="10" t="inlineStr">
        <is>
          <t>GRI</t>
        </is>
      </c>
      <c r="E1291" s="10" t="inlineStr">
        <is>
          <t>Gestión de Riesgo de Crédito</t>
        </is>
      </c>
      <c r="F1291" s="10" t="inlineStr">
        <is>
          <t>-</t>
        </is>
      </c>
      <c r="G1291" s="10" t="inlineStr">
        <is>
          <t>Consolidación de la información</t>
        </is>
      </c>
      <c r="H1291" s="10" t="inlineStr">
        <is>
          <t>Reporte Mora Asesores</t>
        </is>
      </c>
      <c r="I1291" s="10" t="inlineStr">
        <is>
          <t>Hoja de trabajo</t>
        </is>
      </c>
      <c r="J1291" s="10" t="inlineStr">
        <is>
          <t>GERENTE DE RIESGOS</t>
        </is>
      </c>
      <c r="K1291" s="10" t="inlineStr">
        <is>
          <t>ANALISTA DE RIESGO DE CREDITO</t>
        </is>
      </c>
      <c r="L1291" s="10" t="inlineStr">
        <is>
          <t>UBICACIÓN DIGITAL-EQUIPO DEL RESPONSABLE</t>
        </is>
      </c>
      <c r="M1291" s="10" t="inlineStr">
        <is>
          <t>DOCUMENTO DE ARCHIVO-ELECTRÓNICO</t>
        </is>
      </c>
      <c r="N1291" s="10" t="inlineStr">
        <is>
          <t>PRIMARIOS</t>
        </is>
      </c>
      <c r="O1291" s="10" t="inlineStr">
        <is>
          <t>DOCUMENTOS TÉCNICOS</t>
        </is>
      </c>
      <c r="P1291" s="10" t="inlineStr">
        <is>
          <t>PUBLICA(1)</t>
        </is>
      </c>
      <c r="Q1291" s="10" t="inlineStr">
        <is>
          <t>ALTA(3)</t>
        </is>
      </c>
      <c r="R1291" s="10" t="inlineStr">
        <is>
          <t>MEDIA(2)</t>
        </is>
      </c>
      <c r="S1291" s="10">
        <f>+(IF(P1291="PUBLICA(1)",1,IF(P1291="USO INTERNO(2)",2,IF(P1291="RESTRINGIDO(3)",3,3))))+(IF(Q1291="BAJA(1)",1,IF(Q1291="MEDIA(2)",2,IF(Q1291="ALTA(3)",3,3))))+(IF(R1291="BAJA(1)",1,IF(R1291="MEDIA(2)",2,IF(R1291="ALTA(3)",3,3))))</f>
        <v/>
      </c>
      <c r="T1291" s="10">
        <f>+IF(S1291&lt;6,"BAJA",IF(S1291&lt;8,"MEDIA","ALTA"))</f>
        <v/>
      </c>
      <c r="U1291" s="10" t="inlineStr">
        <is>
          <t>-</t>
        </is>
      </c>
      <c r="V1291" s="24" t="n">
        <v>45617</v>
      </c>
      <c r="W1291" s="19" t="inlineStr">
        <is>
          <t>N/A</t>
        </is>
      </c>
      <c r="X1291" s="10">
        <f>+IFERROR(IF(VLOOKUP(Tabla2[[#This Row],[ID]],'EVALUACION DE RIESGO'!A:A,1,FALSE)=Tabla2[[#This Row],[ID]],"SI","NO"),"NO")</f>
        <v/>
      </c>
    </row>
    <row r="1292">
      <c r="A1292" s="91" t="inlineStr">
        <is>
          <t>270-GRI</t>
        </is>
      </c>
      <c r="B1292" s="10" t="inlineStr">
        <is>
          <t>ESTRATÉGICO</t>
        </is>
      </c>
      <c r="C1292" s="10" t="inlineStr">
        <is>
          <t>Gestión de Riesgos</t>
        </is>
      </c>
      <c r="D1292" s="10" t="inlineStr">
        <is>
          <t>GRI</t>
        </is>
      </c>
      <c r="E1292" s="10" t="inlineStr">
        <is>
          <t>Gestión de Riesgo de Crédito</t>
        </is>
      </c>
      <c r="F1292" s="10" t="inlineStr">
        <is>
          <t>-</t>
        </is>
      </c>
      <c r="G1292" s="10" t="inlineStr">
        <is>
          <t>Consolidación de la información</t>
        </is>
      </c>
      <c r="H1292" s="10" t="inlineStr">
        <is>
          <t>Reporte Colocación</t>
        </is>
      </c>
      <c r="I1292" s="10" t="inlineStr">
        <is>
          <t>Hoja de trabajo</t>
        </is>
      </c>
      <c r="J1292" s="10" t="inlineStr">
        <is>
          <t>GERENTE DE RIESGOS</t>
        </is>
      </c>
      <c r="K1292" s="10" t="inlineStr">
        <is>
          <t>ANALISTA DE RIESGO DE CREDITO</t>
        </is>
      </c>
      <c r="L1292" s="10" t="inlineStr">
        <is>
          <t>UBICACIÓN DIGITAL-EQUIPO DEL RESPONSABLE</t>
        </is>
      </c>
      <c r="M1292" s="10" t="inlineStr">
        <is>
          <t>DOCUMENTO DE ARCHIVO-ELECTRÓNICO</t>
        </is>
      </c>
      <c r="N1292" s="10" t="inlineStr">
        <is>
          <t>PRIMARIOS</t>
        </is>
      </c>
      <c r="O1292" s="10" t="inlineStr">
        <is>
          <t>DOCUMENTOS TÉCNICOS</t>
        </is>
      </c>
      <c r="P1292" s="10" t="inlineStr">
        <is>
          <t>PUBLICA(1)</t>
        </is>
      </c>
      <c r="Q1292" s="10" t="inlineStr">
        <is>
          <t>ALTA(3)</t>
        </is>
      </c>
      <c r="R1292" s="10" t="inlineStr">
        <is>
          <t>MEDIA(2)</t>
        </is>
      </c>
      <c r="S1292" s="10">
        <f>+(IF(P1292="PUBLICA(1)",1,IF(P1292="USO INTERNO(2)",2,IF(P1292="RESTRINGIDO(3)",3,3))))+(IF(Q1292="BAJA(1)",1,IF(Q1292="MEDIA(2)",2,IF(Q1292="ALTA(3)",3,3))))+(IF(R1292="BAJA(1)",1,IF(R1292="MEDIA(2)",2,IF(R1292="ALTA(3)",3,3))))</f>
        <v/>
      </c>
      <c r="T1292" s="10">
        <f>+IF(S1292&lt;6,"BAJA",IF(S1292&lt;8,"MEDIA","ALTA"))</f>
        <v/>
      </c>
      <c r="U1292" s="10" t="inlineStr">
        <is>
          <t>-</t>
        </is>
      </c>
      <c r="V1292" s="24" t="n">
        <v>45618</v>
      </c>
      <c r="W1292" s="19" t="inlineStr">
        <is>
          <t>N/A</t>
        </is>
      </c>
      <c r="X1292" s="10">
        <f>+IFERROR(IF(VLOOKUP(Tabla2[[#This Row],[ID]],'EVALUACION DE RIESGO'!A:A,1,FALSE)=Tabla2[[#This Row],[ID]],"SI","NO"),"NO")</f>
        <v/>
      </c>
    </row>
    <row r="1293">
      <c r="A1293" s="91" t="inlineStr">
        <is>
          <t>271-GRI</t>
        </is>
      </c>
      <c r="B1293" s="10" t="inlineStr">
        <is>
          <t>ESTRATÉGICO</t>
        </is>
      </c>
      <c r="C1293" s="10" t="inlineStr">
        <is>
          <t>Gestión de Riesgos</t>
        </is>
      </c>
      <c r="D1293" s="10" t="inlineStr">
        <is>
          <t>GRI</t>
        </is>
      </c>
      <c r="E1293" s="10" t="inlineStr">
        <is>
          <t>Gestión de Riesgo de Crédito</t>
        </is>
      </c>
      <c r="F1293" s="10" t="inlineStr">
        <is>
          <t>-</t>
        </is>
      </c>
      <c r="G1293" s="10" t="inlineStr">
        <is>
          <t>Consolidación de la información</t>
        </is>
      </c>
      <c r="H1293" s="10" t="inlineStr">
        <is>
          <t>Hojas de Trabajo</t>
        </is>
      </c>
      <c r="I1293" s="10" t="inlineStr">
        <is>
          <t>Hoja de trabajo</t>
        </is>
      </c>
      <c r="J1293" s="10" t="inlineStr">
        <is>
          <t>GERENTE DE RIESGOS</t>
        </is>
      </c>
      <c r="K1293" s="10" t="inlineStr">
        <is>
          <t>ANALISTA DE RIESGO DE CREDITO</t>
        </is>
      </c>
      <c r="L1293" s="10" t="inlineStr">
        <is>
          <t>UBICACIÓN DIGITAL-EQUIPO DEL RESPONSABLE</t>
        </is>
      </c>
      <c r="M1293" s="10" t="inlineStr">
        <is>
          <t>DOCUMENTO DE ARCHIVO-ELECTRÓNICO</t>
        </is>
      </c>
      <c r="N1293" s="10" t="inlineStr">
        <is>
          <t>PRIMARIOS</t>
        </is>
      </c>
      <c r="O1293" s="10" t="inlineStr">
        <is>
          <t>DOCUMENTOS TÉCNICOS</t>
        </is>
      </c>
      <c r="P1293" s="10" t="inlineStr">
        <is>
          <t>PUBLICA(1)</t>
        </is>
      </c>
      <c r="Q1293" s="10" t="inlineStr">
        <is>
          <t>ALTA(3)</t>
        </is>
      </c>
      <c r="R1293" s="10" t="inlineStr">
        <is>
          <t>MEDIA(2)</t>
        </is>
      </c>
      <c r="S1293" s="10">
        <f>+(IF(P1293="PUBLICA(1)",1,IF(P1293="USO INTERNO(2)",2,IF(P1293="RESTRINGIDO(3)",3,3))))+(IF(Q1293="BAJA(1)",1,IF(Q1293="MEDIA(2)",2,IF(Q1293="ALTA(3)",3,3))))+(IF(R1293="BAJA(1)",1,IF(R1293="MEDIA(2)",2,IF(R1293="ALTA(3)",3,3))))</f>
        <v/>
      </c>
      <c r="T1293" s="10">
        <f>+IF(S1293&lt;6,"BAJA",IF(S1293&lt;8,"MEDIA","ALTA"))</f>
        <v/>
      </c>
      <c r="U1293" s="10" t="inlineStr">
        <is>
          <t>-</t>
        </is>
      </c>
      <c r="V1293" s="24" t="n">
        <v>45617</v>
      </c>
      <c r="W1293" s="19" t="inlineStr">
        <is>
          <t>N/A</t>
        </is>
      </c>
      <c r="X1293" s="10">
        <f>+IFERROR(IF(VLOOKUP(Tabla2[[#This Row],[ID]],'EVALUACION DE RIESGO'!A:A,1,FALSE)=Tabla2[[#This Row],[ID]],"SI","NO"),"NO")</f>
        <v/>
      </c>
    </row>
    <row r="1294">
      <c r="A1294" s="91" t="inlineStr">
        <is>
          <t>272-GRI</t>
        </is>
      </c>
      <c r="B1294" s="10" t="inlineStr">
        <is>
          <t>ESTRATÉGICO</t>
        </is>
      </c>
      <c r="C1294" s="10" t="inlineStr">
        <is>
          <t>Gestión de Riesgos</t>
        </is>
      </c>
      <c r="D1294" s="10" t="inlineStr">
        <is>
          <t>GRI</t>
        </is>
      </c>
      <c r="E1294" s="10" t="inlineStr">
        <is>
          <t>Gestión de Riesgo de Crédito</t>
        </is>
      </c>
      <c r="F1294" s="10" t="inlineStr">
        <is>
          <t>-</t>
        </is>
      </c>
      <c r="G1294" s="10" t="inlineStr">
        <is>
          <t>Consolidación de la información</t>
        </is>
      </c>
      <c r="H1294" s="10" t="inlineStr">
        <is>
          <t>Informe mensual del Departamento de Riesgos</t>
        </is>
      </c>
      <c r="I1294" s="10" t="inlineStr">
        <is>
          <t>Informe de Riesgos</t>
        </is>
      </c>
      <c r="J1294" s="10" t="inlineStr">
        <is>
          <t>GERENTE DE RIESGOS</t>
        </is>
      </c>
      <c r="K1294" s="10" t="inlineStr">
        <is>
          <t>GERENTE DE RIESGOS</t>
        </is>
      </c>
      <c r="L1294" s="10" t="inlineStr">
        <is>
          <t>UBICACIÓN DIGITAL-EQUIPO DEL RESPONSABLE</t>
        </is>
      </c>
      <c r="M1294" s="10" t="inlineStr">
        <is>
          <t>DOCUMENTO DE ARCHIVO-ELECTRÓNICO</t>
        </is>
      </c>
      <c r="N1294" s="10" t="inlineStr">
        <is>
          <t>PRIMARIOS</t>
        </is>
      </c>
      <c r="O1294" s="10" t="inlineStr">
        <is>
          <t>DOCUMENTOS TÉCNICOS</t>
        </is>
      </c>
      <c r="P1294" s="10" t="inlineStr">
        <is>
          <t>PUBLICA(1)</t>
        </is>
      </c>
      <c r="Q1294" s="10" t="inlineStr">
        <is>
          <t>ALTA(3)</t>
        </is>
      </c>
      <c r="R1294" s="10" t="inlineStr">
        <is>
          <t>MEDIA(2)</t>
        </is>
      </c>
      <c r="S1294" s="10">
        <f>+(IF(P1294="PUBLICA(1)",1,IF(P1294="USO INTERNO(2)",2,IF(P1294="RESTRINGIDO(3)",3,3))))+(IF(Q1294="BAJA(1)",1,IF(Q1294="MEDIA(2)",2,IF(Q1294="ALTA(3)",3,3))))+(IF(R1294="BAJA(1)",1,IF(R1294="MEDIA(2)",2,IF(R1294="ALTA(3)",3,3))))</f>
        <v/>
      </c>
      <c r="T1294" s="10">
        <f>+IF(S1294&lt;6,"BAJA",IF(S1294&lt;8,"MEDIA","ALTA"))</f>
        <v/>
      </c>
      <c r="U1294" s="10" t="inlineStr">
        <is>
          <t>-</t>
        </is>
      </c>
      <c r="V1294" s="24" t="n">
        <v>45618</v>
      </c>
      <c r="W1294" s="19" t="inlineStr">
        <is>
          <t>N/A</t>
        </is>
      </c>
      <c r="X1294" s="10">
        <f>+IFERROR(IF(VLOOKUP(Tabla2[[#This Row],[ID]],'EVALUACION DE RIESGO'!A:A,1,FALSE)=Tabla2[[#This Row],[ID]],"SI","NO"),"NO")</f>
        <v/>
      </c>
    </row>
    <row r="1295">
      <c r="A1295" s="91" t="inlineStr">
        <is>
          <t>273-GRI</t>
        </is>
      </c>
      <c r="B1295" s="10" t="inlineStr">
        <is>
          <t>ESTRATÉGICO</t>
        </is>
      </c>
      <c r="C1295" s="10" t="inlineStr">
        <is>
          <t>Gestión de Riesgos</t>
        </is>
      </c>
      <c r="D1295" s="10" t="inlineStr">
        <is>
          <t>GRI</t>
        </is>
      </c>
      <c r="E1295" s="10" t="inlineStr">
        <is>
          <t>Gestión de Riesgo de Crédito</t>
        </is>
      </c>
      <c r="F1295" s="10" t="inlineStr">
        <is>
          <t>-</t>
        </is>
      </c>
      <c r="G1295" s="10" t="inlineStr">
        <is>
          <t>Comunicación</t>
        </is>
      </c>
      <c r="H1295" s="10" t="inlineStr">
        <is>
          <t>Informe mensual del Departamento de Riesgos</t>
        </is>
      </c>
      <c r="I1295" s="10" t="inlineStr">
        <is>
          <t>Informe de Riesgos</t>
        </is>
      </c>
      <c r="J1295" s="10" t="inlineStr">
        <is>
          <t>GERENTE DE RIESGOS</t>
        </is>
      </c>
      <c r="K1295" s="10" t="inlineStr">
        <is>
          <t>GERENTE DE RIESGOS</t>
        </is>
      </c>
      <c r="L1295" s="10" t="inlineStr">
        <is>
          <t>UBICACIÓN DIGITAL-EQUIPO DEL RESPONSABLE</t>
        </is>
      </c>
      <c r="M1295" s="10" t="inlineStr">
        <is>
          <t>DOCUMENTO DE ARCHIVO-ELECTRÓNICO</t>
        </is>
      </c>
      <c r="N1295" s="10" t="inlineStr">
        <is>
          <t>PRIMARIOS</t>
        </is>
      </c>
      <c r="O1295" s="10" t="inlineStr">
        <is>
          <t>DOCUMENTOS TÉCNICOS</t>
        </is>
      </c>
      <c r="P1295" s="10" t="inlineStr">
        <is>
          <t>PUBLICA(1)</t>
        </is>
      </c>
      <c r="Q1295" s="10" t="inlineStr">
        <is>
          <t>ALTA(3)</t>
        </is>
      </c>
      <c r="R1295" s="10" t="inlineStr">
        <is>
          <t>MEDIA(2)</t>
        </is>
      </c>
      <c r="S1295" s="10">
        <f>+(IF(P1295="PUBLICA(1)",1,IF(P1295="USO INTERNO(2)",2,IF(P1295="RESTRINGIDO(3)",3,3))))+(IF(Q1295="BAJA(1)",1,IF(Q1295="MEDIA(2)",2,IF(Q1295="ALTA(3)",3,3))))+(IF(R1295="BAJA(1)",1,IF(R1295="MEDIA(2)",2,IF(R1295="ALTA(3)",3,3))))</f>
        <v/>
      </c>
      <c r="T1295" s="10">
        <f>+IF(S1295&lt;6,"BAJA",IF(S1295&lt;8,"MEDIA","ALTA"))</f>
        <v/>
      </c>
      <c r="U1295" s="10" t="inlineStr">
        <is>
          <t>-</t>
        </is>
      </c>
      <c r="V1295" s="24" t="n">
        <v>45618</v>
      </c>
      <c r="W1295" s="19" t="inlineStr">
        <is>
          <t>N/A</t>
        </is>
      </c>
      <c r="X1295" s="10">
        <f>+IFERROR(IF(VLOOKUP(Tabla2[[#This Row],[ID]],'EVALUACION DE RIESGO'!A:A,1,FALSE)=Tabla2[[#This Row],[ID]],"SI","NO"),"NO")</f>
        <v/>
      </c>
    </row>
    <row r="1296">
      <c r="A1296" s="91" t="inlineStr">
        <is>
          <t>274-GRI</t>
        </is>
      </c>
      <c r="B1296" s="10" t="inlineStr">
        <is>
          <t>ESTRATÉGICO</t>
        </is>
      </c>
      <c r="C1296" s="10" t="inlineStr">
        <is>
          <t>Gestión de Riesgos</t>
        </is>
      </c>
      <c r="D1296" s="10" t="inlineStr">
        <is>
          <t>GRI</t>
        </is>
      </c>
      <c r="E1296" s="10" t="inlineStr">
        <is>
          <t>Gestión de Riesgo de Crédito</t>
        </is>
      </c>
      <c r="F1296" s="10" t="inlineStr">
        <is>
          <t>-</t>
        </is>
      </c>
      <c r="G1296" s="10" t="inlineStr">
        <is>
          <t>Comunicación</t>
        </is>
      </c>
      <c r="H1296" s="10" t="inlineStr">
        <is>
          <t>Resolución del CAIR</t>
        </is>
      </c>
      <c r="I1296" s="10" t="inlineStr">
        <is>
          <t>Resoluciones</t>
        </is>
      </c>
      <c r="J1296" s="10" t="inlineStr">
        <is>
          <t>GERENTE DE RIESGOS</t>
        </is>
      </c>
      <c r="K1296" s="10" t="inlineStr">
        <is>
          <t>ANALISTA DE RIESGO DE CREDITO</t>
        </is>
      </c>
      <c r="L1296" s="10" t="inlineStr">
        <is>
          <t>UBICACIÓN DIGITAL-EQUIPO DEL RESPONSABLE</t>
        </is>
      </c>
      <c r="M1296" s="10" t="inlineStr">
        <is>
          <t>DOCUMENTO DE ARCHIVO-ELECTRÓNICO</t>
        </is>
      </c>
      <c r="N1296" s="10" t="inlineStr">
        <is>
          <t>PRIMARIOS</t>
        </is>
      </c>
      <c r="O1296" s="10" t="inlineStr">
        <is>
          <t>DOCUMENTOS TÉCNICOS</t>
        </is>
      </c>
      <c r="P1296" s="10" t="inlineStr">
        <is>
          <t>PUBLICA(1)</t>
        </is>
      </c>
      <c r="Q1296" s="10" t="inlineStr">
        <is>
          <t>ALTA(3)</t>
        </is>
      </c>
      <c r="R1296" s="10" t="inlineStr">
        <is>
          <t>MEDIA(2)</t>
        </is>
      </c>
      <c r="S1296" s="10">
        <f>+(IF(P1296="PUBLICA(1)",1,IF(P1296="USO INTERNO(2)",2,IF(P1296="RESTRINGIDO(3)",3,3))))+(IF(Q1296="BAJA(1)",1,IF(Q1296="MEDIA(2)",2,IF(Q1296="ALTA(3)",3,3))))+(IF(R1296="BAJA(1)",1,IF(R1296="MEDIA(2)",2,IF(R1296="ALTA(3)",3,3))))</f>
        <v/>
      </c>
      <c r="T1296" s="10">
        <f>+IF(S1296&lt;6,"BAJA",IF(S1296&lt;8,"MEDIA","ALTA"))</f>
        <v/>
      </c>
      <c r="U1296" s="10" t="inlineStr">
        <is>
          <t>-</t>
        </is>
      </c>
      <c r="V1296" s="24" t="n">
        <v>45617</v>
      </c>
      <c r="W1296" s="19" t="inlineStr">
        <is>
          <t>N/A</t>
        </is>
      </c>
      <c r="X1296" s="10">
        <f>+IFERROR(IF(VLOOKUP(Tabla2[[#This Row],[ID]],'EVALUACION DE RIESGO'!A:A,1,FALSE)=Tabla2[[#This Row],[ID]],"SI","NO"),"NO")</f>
        <v/>
      </c>
    </row>
    <row r="1297">
      <c r="A1297" s="91" t="inlineStr">
        <is>
          <t>275-GRI</t>
        </is>
      </c>
      <c r="B1297" s="10" t="inlineStr">
        <is>
          <t>ESTRATÉGICO</t>
        </is>
      </c>
      <c r="C1297" s="10" t="inlineStr">
        <is>
          <t>Gestión de Riesgos</t>
        </is>
      </c>
      <c r="D1297" s="10" t="inlineStr">
        <is>
          <t>GRI</t>
        </is>
      </c>
      <c r="E1297" s="10" t="inlineStr">
        <is>
          <t>Gestión de Riesgo de Crédito</t>
        </is>
      </c>
      <c r="F1297" s="10" t="inlineStr">
        <is>
          <t>-</t>
        </is>
      </c>
      <c r="G1297" s="10" t="inlineStr">
        <is>
          <t>Comunicación</t>
        </is>
      </c>
      <c r="H1297" s="10" t="inlineStr">
        <is>
          <t>Resolución del Consejo de Administración</t>
        </is>
      </c>
      <c r="I1297" s="10" t="inlineStr">
        <is>
          <t>Resoluciones</t>
        </is>
      </c>
      <c r="J1297" s="10" t="inlineStr">
        <is>
          <t>GERENTE DE RIESGOS</t>
        </is>
      </c>
      <c r="K1297" s="10" t="inlineStr">
        <is>
          <t>ANALISTA DE RIESGO DE CREDITO</t>
        </is>
      </c>
      <c r="L1297" s="10" t="inlineStr">
        <is>
          <t>UBICACIÓN DIGITAL-EQUIPO DEL RESPONSABLE</t>
        </is>
      </c>
      <c r="M1297" s="10" t="inlineStr">
        <is>
          <t>DOCUMENTO DE ARCHIVO-ELECTRÓNICO</t>
        </is>
      </c>
      <c r="N1297" s="10" t="inlineStr">
        <is>
          <t>PRIMARIOS</t>
        </is>
      </c>
      <c r="O1297" s="10" t="inlineStr">
        <is>
          <t>DOCUMENTOS TÉCNICOS</t>
        </is>
      </c>
      <c r="P1297" s="10" t="inlineStr">
        <is>
          <t>PUBLICA(1)</t>
        </is>
      </c>
      <c r="Q1297" s="10" t="inlineStr">
        <is>
          <t>ALTA(3)</t>
        </is>
      </c>
      <c r="R1297" s="10" t="inlineStr">
        <is>
          <t>MEDIA(2)</t>
        </is>
      </c>
      <c r="S1297" s="10">
        <f>+(IF(P1297="PUBLICA(1)",1,IF(P1297="USO INTERNO(2)",2,IF(P1297="RESTRINGIDO(3)",3,3))))+(IF(Q1297="BAJA(1)",1,IF(Q1297="MEDIA(2)",2,IF(Q1297="ALTA(3)",3,3))))+(IF(R1297="BAJA(1)",1,IF(R1297="MEDIA(2)",2,IF(R1297="ALTA(3)",3,3))))</f>
        <v/>
      </c>
      <c r="T1297" s="10">
        <f>+IF(S1297&lt;6,"BAJA",IF(S1297&lt;8,"MEDIA","ALTA"))</f>
        <v/>
      </c>
      <c r="U1297" s="10" t="inlineStr">
        <is>
          <t>-</t>
        </is>
      </c>
      <c r="V1297" s="24" t="n">
        <v>45618</v>
      </c>
      <c r="W1297" s="19" t="inlineStr">
        <is>
          <t>N/A</t>
        </is>
      </c>
      <c r="X1297" s="10">
        <f>+IFERROR(IF(VLOOKUP(Tabla2[[#This Row],[ID]],'EVALUACION DE RIESGO'!A:A,1,FALSE)=Tabla2[[#This Row],[ID]],"SI","NO"),"NO")</f>
        <v/>
      </c>
    </row>
    <row r="1298">
      <c r="A1298" s="91" t="inlineStr">
        <is>
          <t>276-GRI</t>
        </is>
      </c>
      <c r="B1298" s="10" t="inlineStr">
        <is>
          <t>ESTRATÉGICO</t>
        </is>
      </c>
      <c r="C1298" s="10" t="inlineStr">
        <is>
          <t>Gestión de Riesgos</t>
        </is>
      </c>
      <c r="D1298" s="10" t="inlineStr">
        <is>
          <t>GRI</t>
        </is>
      </c>
      <c r="E1298" s="10" t="inlineStr">
        <is>
          <t>Gestión de Riesgo de Crédito</t>
        </is>
      </c>
      <c r="F1298" s="10" t="inlineStr">
        <is>
          <t>-</t>
        </is>
      </c>
      <c r="G1298" s="10" t="inlineStr">
        <is>
          <t xml:space="preserve">Comunicación </t>
        </is>
      </c>
      <c r="H1298" s="10" t="inlineStr">
        <is>
          <t>Resolución del Consejo de Vigilancia</t>
        </is>
      </c>
      <c r="I1298" s="10" t="inlineStr">
        <is>
          <t>Resoluciones</t>
        </is>
      </c>
      <c r="J1298" s="10" t="inlineStr">
        <is>
          <t>GERENTE DE RIESGOS</t>
        </is>
      </c>
      <c r="K1298" s="10" t="inlineStr">
        <is>
          <t>ANALISTA DE RIESGO DE CREDITO</t>
        </is>
      </c>
      <c r="L1298" s="10" t="inlineStr">
        <is>
          <t>UBICACIÓN DIGITAL-EQUIPO DEL RESPONSABLE</t>
        </is>
      </c>
      <c r="M1298" s="10" t="inlineStr">
        <is>
          <t>DOCUMENTO DE ARCHIVO-ELECTRÓNICO</t>
        </is>
      </c>
      <c r="N1298" s="10" t="inlineStr">
        <is>
          <t>PRIMARIOS</t>
        </is>
      </c>
      <c r="O1298" s="10" t="inlineStr">
        <is>
          <t>DOCUMENTOS TÉCNICOS</t>
        </is>
      </c>
      <c r="P1298" s="10" t="inlineStr">
        <is>
          <t>PUBLICA(1)</t>
        </is>
      </c>
      <c r="Q1298" s="10" t="inlineStr">
        <is>
          <t>ALTA(3)</t>
        </is>
      </c>
      <c r="R1298" s="10" t="inlineStr">
        <is>
          <t>MEDIA(2)</t>
        </is>
      </c>
      <c r="S1298" s="10">
        <f>+(IF(P1298="PUBLICA(1)",1,IF(P1298="USO INTERNO(2)",2,IF(P1298="RESTRINGIDO(3)",3,3))))+(IF(Q1298="BAJA(1)",1,IF(Q1298="MEDIA(2)",2,IF(Q1298="ALTA(3)",3,3))))+(IF(R1298="BAJA(1)",1,IF(R1298="MEDIA(2)",2,IF(R1298="ALTA(3)",3,3))))</f>
        <v/>
      </c>
      <c r="T1298" s="10">
        <f>+IF(S1298&lt;6,"BAJA",IF(S1298&lt;8,"MEDIA","ALTA"))</f>
        <v/>
      </c>
      <c r="U1298" s="10" t="inlineStr">
        <is>
          <t>-</t>
        </is>
      </c>
      <c r="V1298" s="24" t="n">
        <v>45618</v>
      </c>
      <c r="W1298" s="19" t="inlineStr">
        <is>
          <t>N/A</t>
        </is>
      </c>
      <c r="X1298" s="10">
        <f>+IFERROR(IF(VLOOKUP(Tabla2[[#This Row],[ID]],'EVALUACION DE RIESGO'!A:A,1,FALSE)=Tabla2[[#This Row],[ID]],"SI","NO"),"NO")</f>
        <v/>
      </c>
    </row>
    <row r="1299">
      <c r="A1299" s="91" t="inlineStr">
        <is>
          <t>277-GRI</t>
        </is>
      </c>
      <c r="B1299" s="10" t="inlineStr">
        <is>
          <t>ESTRATÉGICO</t>
        </is>
      </c>
      <c r="C1299" s="10" t="inlineStr">
        <is>
          <t>Gestión de Riesgos</t>
        </is>
      </c>
      <c r="D1299" s="10" t="inlineStr">
        <is>
          <t>GRI</t>
        </is>
      </c>
      <c r="E1299" s="10" t="inlineStr">
        <is>
          <t>Gestión de Riesgo de Crédito</t>
        </is>
      </c>
      <c r="F1299" s="10" t="inlineStr">
        <is>
          <t>-</t>
        </is>
      </c>
      <c r="G1299" s="10" t="inlineStr">
        <is>
          <t xml:space="preserve">Análisis de Calificación de Empresas para Compra de Cartera </t>
        </is>
      </c>
      <c r="H1299" s="10" t="inlineStr">
        <is>
          <t>Solicitud de calificación de empresa proveedora</t>
        </is>
      </c>
      <c r="I1299" s="10" t="inlineStr">
        <is>
          <t>correo</t>
        </is>
      </c>
      <c r="J1299" s="10" t="inlineStr">
        <is>
          <t>GERENTE DE RIESGOS</t>
        </is>
      </c>
      <c r="K1299" s="10" t="inlineStr">
        <is>
          <t>ANALISTA DE RIESGO DE CREDITO</t>
        </is>
      </c>
      <c r="L1299" s="10" t="inlineStr">
        <is>
          <t>UBICACIÓN DIGITAL-EQUIPO DEL RESPONSABLE</t>
        </is>
      </c>
      <c r="M1299" s="10" t="inlineStr">
        <is>
          <t>DOCUMENTO DE ARCHIVO-ELECTRÓNICO</t>
        </is>
      </c>
      <c r="N1299" s="10" t="inlineStr">
        <is>
          <t>PRIMARIOS</t>
        </is>
      </c>
      <c r="O1299" s="10" t="inlineStr">
        <is>
          <t>COMUNICACIÓN INTERNA</t>
        </is>
      </c>
      <c r="P1299" s="10" t="inlineStr">
        <is>
          <t>PUBLICA(1)</t>
        </is>
      </c>
      <c r="Q1299" s="10" t="inlineStr">
        <is>
          <t>ALTA(3)</t>
        </is>
      </c>
      <c r="R1299" s="10" t="inlineStr">
        <is>
          <t>MEDIA(2)</t>
        </is>
      </c>
      <c r="S1299" s="10">
        <f>+(IF(P1299="PUBLICA(1)",1,IF(P1299="USO INTERNO(2)",2,IF(P1299="RESTRINGIDO(3)",3,3))))+(IF(Q1299="BAJA(1)",1,IF(Q1299="MEDIA(2)",2,IF(Q1299="ALTA(3)",3,3))))+(IF(R1299="BAJA(1)",1,IF(R1299="MEDIA(2)",2,IF(R1299="ALTA(3)",3,3))))</f>
        <v/>
      </c>
      <c r="T1299" s="10">
        <f>+IF(S1299&lt;6,"BAJA",IF(S1299&lt;8,"MEDIA","ALTA"))</f>
        <v/>
      </c>
      <c r="U1299" s="10" t="inlineStr">
        <is>
          <t>-</t>
        </is>
      </c>
      <c r="V1299" s="24" t="n">
        <v>45617</v>
      </c>
      <c r="W1299" s="19" t="inlineStr">
        <is>
          <t>N/A</t>
        </is>
      </c>
      <c r="X1299" s="10">
        <f>+IFERROR(IF(VLOOKUP(Tabla2[[#This Row],[ID]],'EVALUACION DE RIESGO'!A:A,1,FALSE)=Tabla2[[#This Row],[ID]],"SI","NO"),"NO")</f>
        <v/>
      </c>
    </row>
    <row r="1300">
      <c r="A1300" s="91" t="inlineStr">
        <is>
          <t>278-GRI</t>
        </is>
      </c>
      <c r="B1300" s="10" t="inlineStr">
        <is>
          <t>ESTRATÉGICO</t>
        </is>
      </c>
      <c r="C1300" s="10" t="inlineStr">
        <is>
          <t>Gestión de Riesgos</t>
        </is>
      </c>
      <c r="D1300" s="10" t="inlineStr">
        <is>
          <t>GRI</t>
        </is>
      </c>
      <c r="E1300" s="10" t="inlineStr">
        <is>
          <t>Gestión de Riesgo de Crédito</t>
        </is>
      </c>
      <c r="F1300" s="10" t="inlineStr">
        <is>
          <t>-</t>
        </is>
      </c>
      <c r="G1300" s="10" t="inlineStr">
        <is>
          <t xml:space="preserve">Análisis de Calificación de Empresas para Compra de Cartera </t>
        </is>
      </c>
      <c r="H1300" s="10" t="inlineStr">
        <is>
          <t>Matriz de Evaluación al Proveedor</t>
        </is>
      </c>
      <c r="I1300" s="10" t="inlineStr">
        <is>
          <t>Hoja de trabajo</t>
        </is>
      </c>
      <c r="J1300" s="10" t="inlineStr">
        <is>
          <t>GERENTE DE RIESGOS</t>
        </is>
      </c>
      <c r="K1300" s="10" t="inlineStr">
        <is>
          <t>ANALISTA DE RIESGO DE CREDITO</t>
        </is>
      </c>
      <c r="L1300" s="10" t="inlineStr">
        <is>
          <t>UBICACIÓN DIGITAL-EQUIPO DEL RESPONSABLE</t>
        </is>
      </c>
      <c r="M1300" s="10" t="inlineStr">
        <is>
          <t>DOCUMENTO DE ARCHIVO-ELECTRÓNICO</t>
        </is>
      </c>
      <c r="N1300" s="10" t="inlineStr">
        <is>
          <t>PRIMARIOS</t>
        </is>
      </c>
      <c r="O1300" s="10" t="inlineStr">
        <is>
          <t>DOCUMENTOS TÉCNICOS</t>
        </is>
      </c>
      <c r="P1300" s="10" t="inlineStr">
        <is>
          <t>PUBLICA(1)</t>
        </is>
      </c>
      <c r="Q1300" s="10" t="inlineStr">
        <is>
          <t>ALTA(3)</t>
        </is>
      </c>
      <c r="R1300" s="10" t="inlineStr">
        <is>
          <t>MEDIA(2)</t>
        </is>
      </c>
      <c r="S1300" s="10">
        <f>+(IF(P1300="PUBLICA(1)",1,IF(P1300="USO INTERNO(2)",2,IF(P1300="RESTRINGIDO(3)",3,3))))+(IF(Q1300="BAJA(1)",1,IF(Q1300="MEDIA(2)",2,IF(Q1300="ALTA(3)",3,3))))+(IF(R1300="BAJA(1)",1,IF(R1300="MEDIA(2)",2,IF(R1300="ALTA(3)",3,3))))</f>
        <v/>
      </c>
      <c r="T1300" s="10">
        <f>+IF(S1300&lt;6,"BAJA",IF(S1300&lt;8,"MEDIA","ALTA"))</f>
        <v/>
      </c>
      <c r="U1300" s="10" t="inlineStr">
        <is>
          <t>-</t>
        </is>
      </c>
      <c r="V1300" s="24" t="n">
        <v>45618</v>
      </c>
      <c r="W1300" s="19" t="inlineStr">
        <is>
          <t>N/A</t>
        </is>
      </c>
      <c r="X1300" s="10">
        <f>+IFERROR(IF(VLOOKUP(Tabla2[[#This Row],[ID]],'EVALUACION DE RIESGO'!A:A,1,FALSE)=Tabla2[[#This Row],[ID]],"SI","NO"),"NO")</f>
        <v/>
      </c>
    </row>
    <row r="1301">
      <c r="A1301" s="91" t="inlineStr">
        <is>
          <t>279-GRI</t>
        </is>
      </c>
      <c r="B1301" s="10" t="inlineStr">
        <is>
          <t>ESTRATÉGICO</t>
        </is>
      </c>
      <c r="C1301" s="10" t="inlineStr">
        <is>
          <t>Gestión de Riesgos</t>
        </is>
      </c>
      <c r="D1301" s="10" t="inlineStr">
        <is>
          <t>GRI</t>
        </is>
      </c>
      <c r="E1301" s="10" t="inlineStr">
        <is>
          <t>Gestión de Riesgo de Crédito</t>
        </is>
      </c>
      <c r="F1301" s="10" t="inlineStr">
        <is>
          <t>-</t>
        </is>
      </c>
      <c r="G1301" s="10" t="inlineStr">
        <is>
          <t xml:space="preserve">Análisis de Calificación de Empresas para Compra de Cartera </t>
        </is>
      </c>
      <c r="H1301" s="10" t="inlineStr">
        <is>
          <t>Informe de Calificación de Empresas para la compra de cartera</t>
        </is>
      </c>
      <c r="I1301" s="10" t="inlineStr">
        <is>
          <t>informe</t>
        </is>
      </c>
      <c r="J1301" s="10" t="inlineStr">
        <is>
          <t>GERENTE DE RIESGOS</t>
        </is>
      </c>
      <c r="K1301" s="10" t="inlineStr">
        <is>
          <t>ANALISTA DE RIESGO DE CREDITO</t>
        </is>
      </c>
      <c r="L1301" s="10" t="inlineStr">
        <is>
          <t>UBICACIÓN DIGITAL-EQUIPO DEL RESPONSABLE</t>
        </is>
      </c>
      <c r="M1301" s="10" t="inlineStr">
        <is>
          <t>DOCUMENTO DE ARCHIVO-ELECTRÓNICO</t>
        </is>
      </c>
      <c r="N1301" s="10" t="inlineStr">
        <is>
          <t>PRIMARIOS</t>
        </is>
      </c>
      <c r="O1301" s="10" t="inlineStr">
        <is>
          <t>DOCUMENTOS TÉCNICOS</t>
        </is>
      </c>
      <c r="P1301" s="10" t="inlineStr">
        <is>
          <t>PUBLICA(1)</t>
        </is>
      </c>
      <c r="Q1301" s="10" t="inlineStr">
        <is>
          <t>ALTA(3)</t>
        </is>
      </c>
      <c r="R1301" s="10" t="inlineStr">
        <is>
          <t>MEDIA(2)</t>
        </is>
      </c>
      <c r="S1301" s="10">
        <f>+(IF(P1301="PUBLICA(1)",1,IF(P1301="USO INTERNO(2)",2,IF(P1301="RESTRINGIDO(3)",3,3))))+(IF(Q1301="BAJA(1)",1,IF(Q1301="MEDIA(2)",2,IF(Q1301="ALTA(3)",3,3))))+(IF(R1301="BAJA(1)",1,IF(R1301="MEDIA(2)",2,IF(R1301="ALTA(3)",3,3))))</f>
        <v/>
      </c>
      <c r="T1301" s="10">
        <f>+IF(S1301&lt;6,"BAJA",IF(S1301&lt;8,"MEDIA","ALTA"))</f>
        <v/>
      </c>
      <c r="U1301" s="10" t="inlineStr">
        <is>
          <t>-</t>
        </is>
      </c>
      <c r="V1301" s="24" t="n">
        <v>45617</v>
      </c>
      <c r="W1301" s="19" t="inlineStr">
        <is>
          <t>N/A</t>
        </is>
      </c>
      <c r="X1301" s="10">
        <f>+IFERROR(IF(VLOOKUP(Tabla2[[#This Row],[ID]],'EVALUACION DE RIESGO'!A:A,1,FALSE)=Tabla2[[#This Row],[ID]],"SI","NO"),"NO")</f>
        <v/>
      </c>
    </row>
    <row r="1302">
      <c r="A1302" s="91" t="inlineStr">
        <is>
          <t>280-GRI</t>
        </is>
      </c>
      <c r="B1302" s="10" t="inlineStr">
        <is>
          <t>ESTRATÉGICO</t>
        </is>
      </c>
      <c r="C1302" s="10" t="inlineStr">
        <is>
          <t>Gestión de Riesgos</t>
        </is>
      </c>
      <c r="D1302" s="10" t="inlineStr">
        <is>
          <t>GRI</t>
        </is>
      </c>
      <c r="E1302" s="10" t="inlineStr">
        <is>
          <t>Gestión de Riesgo de Crédito</t>
        </is>
      </c>
      <c r="F1302" s="10" t="inlineStr">
        <is>
          <t>-</t>
        </is>
      </c>
      <c r="G1302" s="10" t="inlineStr">
        <is>
          <t xml:space="preserve">Análisis de operaciones para compra de cartera </t>
        </is>
      </c>
      <c r="H1302" s="10" t="inlineStr">
        <is>
          <t>Files de Crédito de las Operaciones posibles de compra</t>
        </is>
      </c>
      <c r="I1302" s="10" t="inlineStr">
        <is>
          <t>Archivos de creditos</t>
        </is>
      </c>
      <c r="J1302" s="10" t="inlineStr">
        <is>
          <t>GERENTE DE NEGOCIOS</t>
        </is>
      </c>
      <c r="K1302" s="10" t="inlineStr">
        <is>
          <t>GERENTE DE NEGOCIOS</t>
        </is>
      </c>
      <c r="L1302" s="10" t="inlineStr">
        <is>
          <t>UBICACIÓN DIGITAL-EQUIPO DEL RESPONSABLE</t>
        </is>
      </c>
      <c r="M1302" s="10" t="inlineStr">
        <is>
          <t>DOCUMENTO DE ARCHIVO-ELECTRÓNICO</t>
        </is>
      </c>
      <c r="N1302" s="10" t="inlineStr">
        <is>
          <t>PRIMARIOS</t>
        </is>
      </c>
      <c r="O1302" s="10" t="inlineStr">
        <is>
          <t>OTROS</t>
        </is>
      </c>
      <c r="P1302" s="10" t="inlineStr">
        <is>
          <t>PUBLICA(1)</t>
        </is>
      </c>
      <c r="Q1302" s="10" t="inlineStr">
        <is>
          <t>ALTA(3)</t>
        </is>
      </c>
      <c r="R1302" s="10" t="inlineStr">
        <is>
          <t>MEDIA(2)</t>
        </is>
      </c>
      <c r="S1302" s="10">
        <f>+(IF(P1302="PUBLICA(1)",1,IF(P1302="USO INTERNO(2)",2,IF(P1302="RESTRINGIDO(3)",3,3))))+(IF(Q1302="BAJA(1)",1,IF(Q1302="MEDIA(2)",2,IF(Q1302="ALTA(3)",3,3))))+(IF(R1302="BAJA(1)",1,IF(R1302="MEDIA(2)",2,IF(R1302="ALTA(3)",3,3))))</f>
        <v/>
      </c>
      <c r="T1302" s="10">
        <f>+IF(S1302&lt;6,"BAJA",IF(S1302&lt;8,"MEDIA","ALTA"))</f>
        <v/>
      </c>
      <c r="U1302" s="10" t="inlineStr">
        <is>
          <t>-</t>
        </is>
      </c>
      <c r="V1302" s="24" t="n">
        <v>45618</v>
      </c>
      <c r="W1302" s="19" t="inlineStr">
        <is>
          <t>N/A</t>
        </is>
      </c>
      <c r="X1302" s="10">
        <f>+IFERROR(IF(VLOOKUP(Tabla2[[#This Row],[ID]],'EVALUACION DE RIESGO'!A:A,1,FALSE)=Tabla2[[#This Row],[ID]],"SI","NO"),"NO")</f>
        <v/>
      </c>
    </row>
    <row r="1303">
      <c r="A1303" s="91" t="inlineStr">
        <is>
          <t>281-GRI</t>
        </is>
      </c>
      <c r="B1303" s="10" t="inlineStr">
        <is>
          <t>ESTRATÉGICO</t>
        </is>
      </c>
      <c r="C1303" s="10" t="inlineStr">
        <is>
          <t>Gestión de Riesgos</t>
        </is>
      </c>
      <c r="D1303" s="10" t="inlineStr">
        <is>
          <t>GRI</t>
        </is>
      </c>
      <c r="E1303" s="10" t="inlineStr">
        <is>
          <t>Gestión de Riesgo de Crédito</t>
        </is>
      </c>
      <c r="F1303" s="10" t="inlineStr">
        <is>
          <t>-</t>
        </is>
      </c>
      <c r="G1303" s="10" t="inlineStr">
        <is>
          <t xml:space="preserve">Análisis de operaciones para compra de cartera </t>
        </is>
      </c>
      <c r="H1303" s="10" t="inlineStr">
        <is>
          <t>Revisión Buró de Crédito</t>
        </is>
      </c>
      <c r="I1303" s="10" t="inlineStr">
        <is>
          <t>reporte</t>
        </is>
      </c>
      <c r="J1303" s="10" t="inlineStr">
        <is>
          <t>GERENTE DE NEGOCIOS</t>
        </is>
      </c>
      <c r="K1303" s="10" t="inlineStr">
        <is>
          <t>GERENTE DE NEGOCIOS</t>
        </is>
      </c>
      <c r="L1303" s="10" t="inlineStr">
        <is>
          <t>UBICACIÓN DIGITAL-EQUIPO DEL RESPONSABLE</t>
        </is>
      </c>
      <c r="M1303" s="10" t="inlineStr">
        <is>
          <t>DOCUMENTO DE ARCHIVO-ELECTRÓNICO</t>
        </is>
      </c>
      <c r="N1303" s="10" t="inlineStr">
        <is>
          <t>PRIMARIOS</t>
        </is>
      </c>
      <c r="O1303" s="10" t="inlineStr">
        <is>
          <t>DOCUMENTOS TÉCNICOS</t>
        </is>
      </c>
      <c r="P1303" s="10" t="inlineStr">
        <is>
          <t>PUBLICA(1)</t>
        </is>
      </c>
      <c r="Q1303" s="10" t="inlineStr">
        <is>
          <t>ALTA(3)</t>
        </is>
      </c>
      <c r="R1303" s="10" t="inlineStr">
        <is>
          <t>MEDIA(2)</t>
        </is>
      </c>
      <c r="S1303" s="10">
        <f>+(IF(P1303="PUBLICA(1)",1,IF(P1303="USO INTERNO(2)",2,IF(P1303="RESTRINGIDO(3)",3,3))))+(IF(Q1303="BAJA(1)",1,IF(Q1303="MEDIA(2)",2,IF(Q1303="ALTA(3)",3,3))))+(IF(R1303="BAJA(1)",1,IF(R1303="MEDIA(2)",2,IF(R1303="ALTA(3)",3,3))))</f>
        <v/>
      </c>
      <c r="T1303" s="10">
        <f>+IF(S1303&lt;6,"BAJA",IF(S1303&lt;8,"MEDIA","ALTA"))</f>
        <v/>
      </c>
      <c r="U1303" s="10" t="inlineStr">
        <is>
          <t>-</t>
        </is>
      </c>
      <c r="V1303" s="24" t="n">
        <v>45618</v>
      </c>
      <c r="W1303" s="19" t="inlineStr">
        <is>
          <t>N/A</t>
        </is>
      </c>
      <c r="X1303" s="10">
        <f>+IFERROR(IF(VLOOKUP(Tabla2[[#This Row],[ID]],'EVALUACION DE RIESGO'!A:A,1,FALSE)=Tabla2[[#This Row],[ID]],"SI","NO"),"NO")</f>
        <v/>
      </c>
    </row>
    <row r="1304">
      <c r="A1304" s="91" t="inlineStr">
        <is>
          <t>282-GRI</t>
        </is>
      </c>
      <c r="B1304" s="10" t="inlineStr">
        <is>
          <t>ESTRATÉGICO</t>
        </is>
      </c>
      <c r="C1304" s="10" t="inlineStr">
        <is>
          <t>Gestión de Riesgos</t>
        </is>
      </c>
      <c r="D1304" s="10" t="inlineStr">
        <is>
          <t>GRI</t>
        </is>
      </c>
      <c r="E1304" s="10" t="inlineStr">
        <is>
          <t>Gestión de Riesgo de Crédito</t>
        </is>
      </c>
      <c r="F1304" s="10" t="inlineStr">
        <is>
          <t>-</t>
        </is>
      </c>
      <c r="G1304" s="10" t="inlineStr">
        <is>
          <t xml:space="preserve">Análisis de operaciones para compra de cartera </t>
        </is>
      </c>
      <c r="H1304" s="10" t="inlineStr">
        <is>
          <t>Matriz de revisión para Comprar de Cartera</t>
        </is>
      </c>
      <c r="I1304" s="10" t="inlineStr">
        <is>
          <t>Reporte</t>
        </is>
      </c>
      <c r="J1304" s="10" t="inlineStr">
        <is>
          <t>GERENTE DE RIESGOS</t>
        </is>
      </c>
      <c r="K1304" s="10" t="inlineStr">
        <is>
          <t>ANALISTA DE RIESGO DE CREDITO</t>
        </is>
      </c>
      <c r="L1304" s="10" t="inlineStr">
        <is>
          <t>UBICACIÓN DIGITAL-EQUIPO DEL RESPONSABLE</t>
        </is>
      </c>
      <c r="M1304" s="10" t="inlineStr">
        <is>
          <t>DOCUMENTO DE ARCHIVO-ELECTRÓNICO</t>
        </is>
      </c>
      <c r="N1304" s="10" t="inlineStr">
        <is>
          <t>PRIMARIOS</t>
        </is>
      </c>
      <c r="O1304" s="10" t="inlineStr">
        <is>
          <t>DOCUMENTOS TÉCNICOS</t>
        </is>
      </c>
      <c r="P1304" s="10" t="inlineStr">
        <is>
          <t>PUBLICA(1)</t>
        </is>
      </c>
      <c r="Q1304" s="10" t="inlineStr">
        <is>
          <t>ALTA(3)</t>
        </is>
      </c>
      <c r="R1304" s="10" t="inlineStr">
        <is>
          <t>MEDIA(2)</t>
        </is>
      </c>
      <c r="S1304" s="10">
        <f>+(IF(P1304="PUBLICA(1)",1,IF(P1304="USO INTERNO(2)",2,IF(P1304="RESTRINGIDO(3)",3,3))))+(IF(Q1304="BAJA(1)",1,IF(Q1304="MEDIA(2)",2,IF(Q1304="ALTA(3)",3,3))))+(IF(R1304="BAJA(1)",1,IF(R1304="MEDIA(2)",2,IF(R1304="ALTA(3)",3,3))))</f>
        <v/>
      </c>
      <c r="T1304" s="10">
        <f>+IF(S1304&lt;6,"BAJA",IF(S1304&lt;8,"MEDIA","ALTA"))</f>
        <v/>
      </c>
      <c r="U1304" s="10" t="inlineStr">
        <is>
          <t>-</t>
        </is>
      </c>
      <c r="V1304" s="24" t="n">
        <v>45617</v>
      </c>
      <c r="W1304" s="19" t="inlineStr">
        <is>
          <t>N/A</t>
        </is>
      </c>
      <c r="X1304" s="10">
        <f>+IFERROR(IF(VLOOKUP(Tabla2[[#This Row],[ID]],'EVALUACION DE RIESGO'!A:A,1,FALSE)=Tabla2[[#This Row],[ID]],"SI","NO"),"NO")</f>
        <v/>
      </c>
    </row>
    <row r="1305">
      <c r="A1305" s="91" t="inlineStr">
        <is>
          <t>283-GRI</t>
        </is>
      </c>
      <c r="B1305" s="10" t="inlineStr">
        <is>
          <t>ESTRATÉGICO</t>
        </is>
      </c>
      <c r="C1305" s="10" t="inlineStr">
        <is>
          <t>Gestión de Riesgos</t>
        </is>
      </c>
      <c r="D1305" s="10" t="inlineStr">
        <is>
          <t>GRI</t>
        </is>
      </c>
      <c r="E1305" s="10" t="inlineStr">
        <is>
          <t>Gestión de Riesgo de Crédito</t>
        </is>
      </c>
      <c r="F1305" s="10" t="inlineStr">
        <is>
          <t>-</t>
        </is>
      </c>
      <c r="G1305" s="10" t="inlineStr">
        <is>
          <t xml:space="preserve">Análisis de operaciones para compra de cartera </t>
        </is>
      </c>
      <c r="H1305" s="10" t="inlineStr">
        <is>
          <t>Informe de Compra de Cartera</t>
        </is>
      </c>
      <c r="I1305" s="10" t="inlineStr">
        <is>
          <t>Informe</t>
        </is>
      </c>
      <c r="J1305" s="10" t="inlineStr">
        <is>
          <t>GERENTE DE RIESGOS</t>
        </is>
      </c>
      <c r="K1305" s="10" t="inlineStr">
        <is>
          <t>ANALISTA DE RIESGO DE CREDITO</t>
        </is>
      </c>
      <c r="L1305" s="10" t="inlineStr">
        <is>
          <t>UBICACIÓN DIGITAL-EQUIPO DEL RESPONSABLE</t>
        </is>
      </c>
      <c r="M1305" s="10" t="inlineStr">
        <is>
          <t>DOCUMENTO DE ARCHIVO-ELECTRÓNICO</t>
        </is>
      </c>
      <c r="N1305" s="10" t="inlineStr">
        <is>
          <t>PRIMARIOS</t>
        </is>
      </c>
      <c r="O1305" s="10" t="inlineStr">
        <is>
          <t>DOCUMENTOS TÉCNICOS</t>
        </is>
      </c>
      <c r="P1305" s="10" t="inlineStr">
        <is>
          <t>PUBLICA(1)</t>
        </is>
      </c>
      <c r="Q1305" s="10" t="inlineStr">
        <is>
          <t>ALTA(3)</t>
        </is>
      </c>
      <c r="R1305" s="10" t="inlineStr">
        <is>
          <t>MEDIA(2)</t>
        </is>
      </c>
      <c r="S1305" s="10">
        <f>+(IF(P1305="PUBLICA(1)",1,IF(P1305="USO INTERNO(2)",2,IF(P1305="RESTRINGIDO(3)",3,3))))+(IF(Q1305="BAJA(1)",1,IF(Q1305="MEDIA(2)",2,IF(Q1305="ALTA(3)",3,3))))+(IF(R1305="BAJA(1)",1,IF(R1305="MEDIA(2)",2,IF(R1305="ALTA(3)",3,3))))</f>
        <v/>
      </c>
      <c r="T1305" s="10">
        <f>+IF(S1305&lt;6,"BAJA",IF(S1305&lt;8,"MEDIA","ALTA"))</f>
        <v/>
      </c>
      <c r="U1305" s="10" t="inlineStr">
        <is>
          <t>-</t>
        </is>
      </c>
      <c r="V1305" s="24" t="n">
        <v>45618</v>
      </c>
      <c r="W1305" s="19" t="inlineStr">
        <is>
          <t>N/A</t>
        </is>
      </c>
      <c r="X1305" s="10">
        <f>+IFERROR(IF(VLOOKUP(Tabla2[[#This Row],[ID]],'EVALUACION DE RIESGO'!A:A,1,FALSE)=Tabla2[[#This Row],[ID]],"SI","NO"),"NO")</f>
        <v/>
      </c>
    </row>
    <row r="1306">
      <c r="A1306" s="91" t="inlineStr">
        <is>
          <t>284-GRI</t>
        </is>
      </c>
      <c r="B1306" s="10" t="inlineStr">
        <is>
          <t>ESTRATÉGICO</t>
        </is>
      </c>
      <c r="C1306" s="10" t="inlineStr">
        <is>
          <t>Gestión de Riesgos</t>
        </is>
      </c>
      <c r="D1306" s="10" t="inlineStr">
        <is>
          <t>GRI</t>
        </is>
      </c>
      <c r="E1306" s="10" t="inlineStr">
        <is>
          <t>Gestión de Riesgo de Crédito</t>
        </is>
      </c>
      <c r="F1306" s="10" t="inlineStr">
        <is>
          <t>-</t>
        </is>
      </c>
      <c r="G1306" s="10" t="inlineStr">
        <is>
          <t>Análisis de operaciones para castigos</t>
        </is>
      </c>
      <c r="H1306" s="10" t="inlineStr">
        <is>
          <t xml:space="preserve">Informes de gestión del área de Cobranza </t>
        </is>
      </c>
      <c r="I1306" s="10" t="inlineStr">
        <is>
          <t>Informes</t>
        </is>
      </c>
      <c r="J1306" s="10" t="inlineStr">
        <is>
          <t>GERENTE DE RIESGOS</t>
        </is>
      </c>
      <c r="K1306" s="10" t="inlineStr">
        <is>
          <t>ANALISTA DE RIESGO DE CREDITO</t>
        </is>
      </c>
      <c r="L1306" s="10" t="inlineStr">
        <is>
          <t>UBICACIÓN DIGITAL-EQUIPO DEL RESPONSABLE</t>
        </is>
      </c>
      <c r="M1306" s="10" t="inlineStr">
        <is>
          <t>DOCUMENTO DE ARCHIVO-ELECTRÓNICO</t>
        </is>
      </c>
      <c r="N1306" s="10" t="inlineStr">
        <is>
          <t>PRIMARIOS</t>
        </is>
      </c>
      <c r="O1306" s="10" t="inlineStr">
        <is>
          <t>DOCUMENTOS TÉCNICOS</t>
        </is>
      </c>
      <c r="P1306" s="10" t="inlineStr">
        <is>
          <t>PUBLICA(1)</t>
        </is>
      </c>
      <c r="Q1306" s="10" t="inlineStr">
        <is>
          <t>ALTA(3)</t>
        </is>
      </c>
      <c r="R1306" s="10" t="inlineStr">
        <is>
          <t>MEDIA(2)</t>
        </is>
      </c>
      <c r="S1306" s="10">
        <f>+(IF(P1306="PUBLICA(1)",1,IF(P1306="USO INTERNO(2)",2,IF(P1306="RESTRINGIDO(3)",3,3))))+(IF(Q1306="BAJA(1)",1,IF(Q1306="MEDIA(2)",2,IF(Q1306="ALTA(3)",3,3))))+(IF(R1306="BAJA(1)",1,IF(R1306="MEDIA(2)",2,IF(R1306="ALTA(3)",3,3))))</f>
        <v/>
      </c>
      <c r="T1306" s="10">
        <f>+IF(S1306&lt;6,"BAJA",IF(S1306&lt;8,"MEDIA","ALTA"))</f>
        <v/>
      </c>
      <c r="U1306" s="10" t="inlineStr">
        <is>
          <t>-</t>
        </is>
      </c>
      <c r="V1306" s="24" t="n">
        <v>45618</v>
      </c>
      <c r="W1306" s="19" t="inlineStr">
        <is>
          <t>N/A</t>
        </is>
      </c>
      <c r="X1306" s="10">
        <f>+IFERROR(IF(VLOOKUP(Tabla2[[#This Row],[ID]],'EVALUACION DE RIESGO'!A:A,1,FALSE)=Tabla2[[#This Row],[ID]],"SI","NO"),"NO")</f>
        <v/>
      </c>
    </row>
    <row r="1307">
      <c r="A1307" s="91" t="inlineStr">
        <is>
          <t>285-GRI</t>
        </is>
      </c>
      <c r="B1307" s="10" t="inlineStr">
        <is>
          <t>ESTRATÉGICO</t>
        </is>
      </c>
      <c r="C1307" s="10" t="inlineStr">
        <is>
          <t>Gestión de Riesgos</t>
        </is>
      </c>
      <c r="D1307" s="10" t="inlineStr">
        <is>
          <t>GRI</t>
        </is>
      </c>
      <c r="E1307" s="10" t="inlineStr">
        <is>
          <t>Gestión de Riesgo de Crédito</t>
        </is>
      </c>
      <c r="F1307" s="10" t="inlineStr">
        <is>
          <t>-</t>
        </is>
      </c>
      <c r="G1307" s="10" t="inlineStr">
        <is>
          <t>Análisis de operaciones para castigos</t>
        </is>
      </c>
      <c r="H1307" s="10" t="inlineStr">
        <is>
          <t xml:space="preserve">Informes de gestión del Departamento Jurídico </t>
        </is>
      </c>
      <c r="I1307" s="10" t="inlineStr">
        <is>
          <t>Informes</t>
        </is>
      </c>
      <c r="J1307" s="10" t="inlineStr">
        <is>
          <t>GERENTE DE RIESGOS</t>
        </is>
      </c>
      <c r="K1307" s="10" t="inlineStr">
        <is>
          <t>ANALISTA DE RIESGO DE CREDITO</t>
        </is>
      </c>
      <c r="L1307" s="10" t="inlineStr">
        <is>
          <t>UBICACIÓN DIGITAL-EQUIPO DEL RESPONSABLE</t>
        </is>
      </c>
      <c r="M1307" s="10" t="inlineStr">
        <is>
          <t>DOCUMENTO DE ARCHIVO-ELECTRÓNICO</t>
        </is>
      </c>
      <c r="N1307" s="10" t="inlineStr">
        <is>
          <t>PRIMARIOS</t>
        </is>
      </c>
      <c r="O1307" s="10" t="inlineStr">
        <is>
          <t>DOCUMENTOS TÉCNICOS</t>
        </is>
      </c>
      <c r="P1307" s="10" t="inlineStr">
        <is>
          <t>PUBLICA(1)</t>
        </is>
      </c>
      <c r="Q1307" s="10" t="inlineStr">
        <is>
          <t>ALTA(3)</t>
        </is>
      </c>
      <c r="R1307" s="10" t="inlineStr">
        <is>
          <t>MEDIA(2)</t>
        </is>
      </c>
      <c r="S1307" s="10">
        <f>+(IF(P1307="PUBLICA(1)",1,IF(P1307="USO INTERNO(2)",2,IF(P1307="RESTRINGIDO(3)",3,3))))+(IF(Q1307="BAJA(1)",1,IF(Q1307="MEDIA(2)",2,IF(Q1307="ALTA(3)",3,3))))+(IF(R1307="BAJA(1)",1,IF(R1307="MEDIA(2)",2,IF(R1307="ALTA(3)",3,3))))</f>
        <v/>
      </c>
      <c r="T1307" s="10">
        <f>+IF(S1307&lt;6,"BAJA",IF(S1307&lt;8,"MEDIA","ALTA"))</f>
        <v/>
      </c>
      <c r="U1307" s="10" t="inlineStr">
        <is>
          <t>-</t>
        </is>
      </c>
      <c r="V1307" s="24" t="n">
        <v>45617</v>
      </c>
      <c r="W1307" s="19" t="inlineStr">
        <is>
          <t>N/A</t>
        </is>
      </c>
      <c r="X1307" s="10">
        <f>+IFERROR(IF(VLOOKUP(Tabla2[[#This Row],[ID]],'EVALUACION DE RIESGO'!A:A,1,FALSE)=Tabla2[[#This Row],[ID]],"SI","NO"),"NO")</f>
        <v/>
      </c>
    </row>
    <row r="1308">
      <c r="A1308" s="91" t="inlineStr">
        <is>
          <t>286-GRI</t>
        </is>
      </c>
      <c r="B1308" s="10" t="inlineStr">
        <is>
          <t>ESTRATÉGICO</t>
        </is>
      </c>
      <c r="C1308" s="10" t="inlineStr">
        <is>
          <t>Gestión de Riesgos</t>
        </is>
      </c>
      <c r="D1308" s="10" t="inlineStr">
        <is>
          <t>GRI</t>
        </is>
      </c>
      <c r="E1308" s="10" t="inlineStr">
        <is>
          <t>Gestión de Riesgo de Crédito</t>
        </is>
      </c>
      <c r="F1308" s="10" t="inlineStr">
        <is>
          <t>-</t>
        </is>
      </c>
      <c r="G1308" s="10" t="inlineStr">
        <is>
          <t>Análisis de operaciones para castigos</t>
        </is>
      </c>
      <c r="H1308" s="10" t="inlineStr">
        <is>
          <t>Reporte Cartera_Total</t>
        </is>
      </c>
      <c r="I1308" s="10" t="inlineStr">
        <is>
          <t>Reporte</t>
        </is>
      </c>
      <c r="J1308" s="10" t="inlineStr">
        <is>
          <t>GERENTE DE RIESGOS</t>
        </is>
      </c>
      <c r="K1308" s="10" t="inlineStr">
        <is>
          <t>ANALISTA DE RIESGO DE CREDITO</t>
        </is>
      </c>
      <c r="L1308" s="10" t="inlineStr">
        <is>
          <t>UBICACIÓN DIGITAL-EQUIPO DEL RESPONSABLE</t>
        </is>
      </c>
      <c r="M1308" s="10" t="inlineStr">
        <is>
          <t>DOCUMENTO DE ARCHIVO-ELECTRÓNICO</t>
        </is>
      </c>
      <c r="N1308" s="10" t="inlineStr">
        <is>
          <t>PRIMARIOS</t>
        </is>
      </c>
      <c r="O1308" s="10" t="inlineStr">
        <is>
          <t>DOCUMENTOS TÉCNICOS</t>
        </is>
      </c>
      <c r="P1308" s="10" t="inlineStr">
        <is>
          <t>PUBLICA(1)</t>
        </is>
      </c>
      <c r="Q1308" s="10" t="inlineStr">
        <is>
          <t>ALTA(3)</t>
        </is>
      </c>
      <c r="R1308" s="10" t="inlineStr">
        <is>
          <t>MEDIA(2)</t>
        </is>
      </c>
      <c r="S1308" s="10">
        <f>+(IF(P1308="PUBLICA(1)",1,IF(P1308="USO INTERNO(2)",2,IF(P1308="RESTRINGIDO(3)",3,3))))+(IF(Q1308="BAJA(1)",1,IF(Q1308="MEDIA(2)",2,IF(Q1308="ALTA(3)",3,3))))+(IF(R1308="BAJA(1)",1,IF(R1308="MEDIA(2)",2,IF(R1308="ALTA(3)",3,3))))</f>
        <v/>
      </c>
      <c r="T1308" s="10">
        <f>+IF(S1308&lt;6,"BAJA",IF(S1308&lt;8,"MEDIA","ALTA"))</f>
        <v/>
      </c>
      <c r="U1308" s="10" t="inlineStr">
        <is>
          <t>-</t>
        </is>
      </c>
      <c r="V1308" s="24" t="n">
        <v>45618</v>
      </c>
      <c r="W1308" s="19" t="inlineStr">
        <is>
          <t>N/A</t>
        </is>
      </c>
      <c r="X1308" s="10">
        <f>+IFERROR(IF(VLOOKUP(Tabla2[[#This Row],[ID]],'EVALUACION DE RIESGO'!A:A,1,FALSE)=Tabla2[[#This Row],[ID]],"SI","NO"),"NO")</f>
        <v/>
      </c>
    </row>
    <row r="1309">
      <c r="A1309" s="91" t="inlineStr">
        <is>
          <t>287-GRI</t>
        </is>
      </c>
      <c r="B1309" s="10" t="inlineStr">
        <is>
          <t>ESTRATÉGICO</t>
        </is>
      </c>
      <c r="C1309" s="10" t="inlineStr">
        <is>
          <t>Gestión de Riesgos</t>
        </is>
      </c>
      <c r="D1309" s="10" t="inlineStr">
        <is>
          <t>GRI</t>
        </is>
      </c>
      <c r="E1309" s="10" t="inlineStr">
        <is>
          <t>Gestión de Riesgo de Crédito</t>
        </is>
      </c>
      <c r="F1309" s="10" t="inlineStr">
        <is>
          <t>-</t>
        </is>
      </c>
      <c r="G1309" s="10" t="inlineStr">
        <is>
          <t>Análisis de operaciones para castigos</t>
        </is>
      </c>
      <c r="H1309" s="10" t="inlineStr">
        <is>
          <t>Reporte Cartera_Vig</t>
        </is>
      </c>
      <c r="I1309" s="10" t="inlineStr">
        <is>
          <t>Reporte</t>
        </is>
      </c>
      <c r="J1309" s="10" t="inlineStr">
        <is>
          <t>GERENTE DE RIESGOS</t>
        </is>
      </c>
      <c r="K1309" s="10" t="inlineStr">
        <is>
          <t>ANALISTA DE RIESGO DE CREDITO</t>
        </is>
      </c>
      <c r="L1309" s="10" t="inlineStr">
        <is>
          <t>UBICACIÓN DIGITAL-EQUIPO DEL RESPONSABLE</t>
        </is>
      </c>
      <c r="M1309" s="10" t="inlineStr">
        <is>
          <t>DOCUMENTO DE ARCHIVO-ELECTRÓNICO</t>
        </is>
      </c>
      <c r="N1309" s="10" t="inlineStr">
        <is>
          <t>PRIMARIOS</t>
        </is>
      </c>
      <c r="O1309" s="10" t="inlineStr">
        <is>
          <t>DOCUMENTOS TÉCNICOS</t>
        </is>
      </c>
      <c r="P1309" s="10" t="inlineStr">
        <is>
          <t>PUBLICA(1)</t>
        </is>
      </c>
      <c r="Q1309" s="10" t="inlineStr">
        <is>
          <t>ALTA(3)</t>
        </is>
      </c>
      <c r="R1309" s="10" t="inlineStr">
        <is>
          <t>MEDIA(2)</t>
        </is>
      </c>
      <c r="S1309" s="10">
        <f>+(IF(P1309="PUBLICA(1)",1,IF(P1309="USO INTERNO(2)",2,IF(P1309="RESTRINGIDO(3)",3,3))))+(IF(Q1309="BAJA(1)",1,IF(Q1309="MEDIA(2)",2,IF(Q1309="ALTA(3)",3,3))))+(IF(R1309="BAJA(1)",1,IF(R1309="MEDIA(2)",2,IF(R1309="ALTA(3)",3,3))))</f>
        <v/>
      </c>
      <c r="T1309" s="10">
        <f>+IF(S1309&lt;6,"BAJA",IF(S1309&lt;8,"MEDIA","ALTA"))</f>
        <v/>
      </c>
      <c r="U1309" s="10" t="inlineStr">
        <is>
          <t>-</t>
        </is>
      </c>
      <c r="V1309" s="24" t="n">
        <v>45617</v>
      </c>
      <c r="W1309" s="19" t="inlineStr">
        <is>
          <t>N/A</t>
        </is>
      </c>
      <c r="X1309" s="10">
        <f>+IFERROR(IF(VLOOKUP(Tabla2[[#This Row],[ID]],'EVALUACION DE RIESGO'!A:A,1,FALSE)=Tabla2[[#This Row],[ID]],"SI","NO"),"NO")</f>
        <v/>
      </c>
    </row>
    <row r="1310">
      <c r="A1310" s="91" t="inlineStr">
        <is>
          <t>288-GRI</t>
        </is>
      </c>
      <c r="B1310" s="10" t="inlineStr">
        <is>
          <t>ESTRATÉGICO</t>
        </is>
      </c>
      <c r="C1310" s="10" t="inlineStr">
        <is>
          <t>Gestión de Riesgos</t>
        </is>
      </c>
      <c r="D1310" s="10" t="inlineStr">
        <is>
          <t>GRI</t>
        </is>
      </c>
      <c r="E1310" s="10" t="inlineStr">
        <is>
          <t>Gestión de Riesgo de Crédito</t>
        </is>
      </c>
      <c r="F1310" s="10" t="inlineStr">
        <is>
          <t>-</t>
        </is>
      </c>
      <c r="G1310" s="10" t="inlineStr">
        <is>
          <t>Análisis de operaciones para castigos</t>
        </is>
      </c>
      <c r="H1310" s="10" t="inlineStr">
        <is>
          <t xml:space="preserve">Reporte de Castigos </t>
        </is>
      </c>
      <c r="I1310" s="10" t="inlineStr">
        <is>
          <t>Reporte</t>
        </is>
      </c>
      <c r="J1310" s="10" t="inlineStr">
        <is>
          <t>GERENTE DE RIESGOS</t>
        </is>
      </c>
      <c r="K1310" s="10" t="inlineStr">
        <is>
          <t>ANALISTA DE RIESGO DE CREDITO</t>
        </is>
      </c>
      <c r="L1310" s="10" t="inlineStr">
        <is>
          <t>UBICACIÓN DIGITAL-EQUIPO DEL RESPONSABLE</t>
        </is>
      </c>
      <c r="M1310" s="10" t="inlineStr">
        <is>
          <t>DOCUMENTO DE ARCHIVO-ELECTRÓNICO</t>
        </is>
      </c>
      <c r="N1310" s="10" t="inlineStr">
        <is>
          <t>PRIMARIOS</t>
        </is>
      </c>
      <c r="O1310" s="10" t="inlineStr">
        <is>
          <t>DOCUMENTOS TÉCNICOS</t>
        </is>
      </c>
      <c r="P1310" s="10" t="inlineStr">
        <is>
          <t>PUBLICA(1)</t>
        </is>
      </c>
      <c r="Q1310" s="10" t="inlineStr">
        <is>
          <t>ALTA(3)</t>
        </is>
      </c>
      <c r="R1310" s="10" t="inlineStr">
        <is>
          <t>MEDIA(2)</t>
        </is>
      </c>
      <c r="S1310" s="10">
        <f>+(IF(P1310="PUBLICA(1)",1,IF(P1310="USO INTERNO(2)",2,IF(P1310="RESTRINGIDO(3)",3,3))))+(IF(Q1310="BAJA(1)",1,IF(Q1310="MEDIA(2)",2,IF(Q1310="ALTA(3)",3,3))))+(IF(R1310="BAJA(1)",1,IF(R1310="MEDIA(2)",2,IF(R1310="ALTA(3)",3,3))))</f>
        <v/>
      </c>
      <c r="T1310" s="10">
        <f>+IF(S1310&lt;6,"BAJA",IF(S1310&lt;8,"MEDIA","ALTA"))</f>
        <v/>
      </c>
      <c r="U1310" s="10" t="inlineStr">
        <is>
          <t>-</t>
        </is>
      </c>
      <c r="V1310" s="24" t="n">
        <v>45618</v>
      </c>
      <c r="W1310" s="19" t="inlineStr">
        <is>
          <t>N/A</t>
        </is>
      </c>
      <c r="X1310" s="10">
        <f>+IFERROR(IF(VLOOKUP(Tabla2[[#This Row],[ID]],'EVALUACION DE RIESGO'!A:A,1,FALSE)=Tabla2[[#This Row],[ID]],"SI","NO"),"NO")</f>
        <v/>
      </c>
    </row>
    <row r="1311">
      <c r="A1311" s="91" t="inlineStr">
        <is>
          <t>289-GRI</t>
        </is>
      </c>
      <c r="B1311" s="10" t="inlineStr">
        <is>
          <t>ESTRATÉGICO</t>
        </is>
      </c>
      <c r="C1311" s="10" t="inlineStr">
        <is>
          <t>Gestión de Riesgos</t>
        </is>
      </c>
      <c r="D1311" s="10" t="inlineStr">
        <is>
          <t>GRI</t>
        </is>
      </c>
      <c r="E1311" s="10" t="inlineStr">
        <is>
          <t>Gestión de Riesgo de Crédito</t>
        </is>
      </c>
      <c r="F1311" s="10" t="inlineStr">
        <is>
          <t>-</t>
        </is>
      </c>
      <c r="G1311" s="10" t="inlineStr">
        <is>
          <t>Análisis de operaciones para castigos</t>
        </is>
      </c>
      <c r="H1311" s="10" t="inlineStr">
        <is>
          <t>Informe de Operaciones a Castigar</t>
        </is>
      </c>
      <c r="I1311" s="10" t="inlineStr">
        <is>
          <t>Informe</t>
        </is>
      </c>
      <c r="J1311" s="10" t="inlineStr">
        <is>
          <t>GERENTE DE RIESGOS</t>
        </is>
      </c>
      <c r="K1311" s="10" t="inlineStr">
        <is>
          <t>ANALISTA DE RIESGO DE CREDITO</t>
        </is>
      </c>
      <c r="L1311" s="10" t="inlineStr">
        <is>
          <t>UBICACIÓN DIGITAL-EQUIPO DEL RESPONSABLE</t>
        </is>
      </c>
      <c r="M1311" s="10" t="inlineStr">
        <is>
          <t>DOCUMENTO DE ARCHIVO-ELECTRÓNICO</t>
        </is>
      </c>
      <c r="N1311" s="10" t="inlineStr">
        <is>
          <t>PRIMARIOS</t>
        </is>
      </c>
      <c r="O1311" s="10" t="inlineStr">
        <is>
          <t>DOCUMENTOS TÉCNICOS</t>
        </is>
      </c>
      <c r="P1311" s="10" t="inlineStr">
        <is>
          <t>PUBLICA(1)</t>
        </is>
      </c>
      <c r="Q1311" s="10" t="inlineStr">
        <is>
          <t>ALTA(3)</t>
        </is>
      </c>
      <c r="R1311" s="10" t="inlineStr">
        <is>
          <t>MEDIA(2)</t>
        </is>
      </c>
      <c r="S1311" s="10">
        <f>+(IF(P1311="PUBLICA(1)",1,IF(P1311="USO INTERNO(2)",2,IF(P1311="RESTRINGIDO(3)",3,3))))+(IF(Q1311="BAJA(1)",1,IF(Q1311="MEDIA(2)",2,IF(Q1311="ALTA(3)",3,3))))+(IF(R1311="BAJA(1)",1,IF(R1311="MEDIA(2)",2,IF(R1311="ALTA(3)",3,3))))</f>
        <v/>
      </c>
      <c r="T1311" s="10">
        <f>+IF(S1311&lt;6,"BAJA",IF(S1311&lt;8,"MEDIA","ALTA"))</f>
        <v/>
      </c>
      <c r="U1311" s="10" t="inlineStr">
        <is>
          <t>-</t>
        </is>
      </c>
      <c r="V1311" s="24" t="n">
        <v>45618</v>
      </c>
      <c r="W1311" s="19" t="inlineStr">
        <is>
          <t>N/A</t>
        </is>
      </c>
      <c r="X1311" s="10">
        <f>+IFERROR(IF(VLOOKUP(Tabla2[[#This Row],[ID]],'EVALUACION DE RIESGO'!A:A,1,FALSE)=Tabla2[[#This Row],[ID]],"SI","NO"),"NO")</f>
        <v/>
      </c>
    </row>
    <row r="1312">
      <c r="A1312" s="91" t="inlineStr">
        <is>
          <t>290-GRI</t>
        </is>
      </c>
      <c r="B1312" s="10" t="inlineStr">
        <is>
          <t>ESTRATÉGICO</t>
        </is>
      </c>
      <c r="C1312" s="10" t="inlineStr">
        <is>
          <t>Gestión de Riesgos</t>
        </is>
      </c>
      <c r="D1312" s="10" t="inlineStr">
        <is>
          <t>GRI</t>
        </is>
      </c>
      <c r="E1312" s="10" t="inlineStr">
        <is>
          <t>Gestión de Riesgo Ambiental y Social</t>
        </is>
      </c>
      <c r="F1312" s="10" t="inlineStr">
        <is>
          <t>-</t>
        </is>
      </c>
      <c r="G1312" s="10" t="inlineStr">
        <is>
          <t>Otros Activos</t>
        </is>
      </c>
      <c r="H1312" s="10" t="inlineStr">
        <is>
          <t>Resolución SEPS-IGT-IGS-IGJ-INFMR-INR-INGINT-2022-003</t>
        </is>
      </c>
      <c r="I1312" s="10" t="inlineStr">
        <is>
          <t>Norma de la Seps</t>
        </is>
      </c>
      <c r="J1312" s="10" t="inlineStr">
        <is>
          <t>GERENTE DE RIESGOS</t>
        </is>
      </c>
      <c r="K1312" s="10" t="inlineStr">
        <is>
          <t>OFICIAL INTEGRAL DE RIESGOS</t>
        </is>
      </c>
      <c r="L1312" s="10" t="inlineStr">
        <is>
          <t>UBICACIÓN DIGITAL-EQUIPO DEL RESPONSABLE</t>
        </is>
      </c>
      <c r="M1312" s="10" t="inlineStr">
        <is>
          <t>DOCUMENTO DE ARCHIVO-ELECTRÓNICO</t>
        </is>
      </c>
      <c r="N1312" s="10" t="inlineStr">
        <is>
          <t>PRIMARIOS</t>
        </is>
      </c>
      <c r="O1312" s="10" t="inlineStr">
        <is>
          <t>OTROS</t>
        </is>
      </c>
      <c r="P1312" s="10" t="inlineStr">
        <is>
          <t>PUBLICA(1)</t>
        </is>
      </c>
      <c r="Q1312" s="10" t="inlineStr">
        <is>
          <t>BAJA(1)</t>
        </is>
      </c>
      <c r="R1312" s="10" t="inlineStr">
        <is>
          <t>MEDIA(2)</t>
        </is>
      </c>
      <c r="S1312" s="10">
        <f>+(IF(P1312="PUBLICA(1)",1,IF(P1312="USO INTERNO(2)",2,IF(P1312="RESTRINGIDO(3)",3,3))))+(IF(Q1312="BAJA(1)",1,IF(Q1312="MEDIA(2)",2,IF(Q1312="ALTA(3)",3,3))))+(IF(R1312="BAJA(1)",1,IF(R1312="MEDIA(2)",2,IF(R1312="ALTA(3)",3,3))))</f>
        <v/>
      </c>
      <c r="T1312" s="10">
        <f>+IF(S1312&lt;6,"BAJA",IF(S1312&lt;8,"MEDIA","ALTA"))</f>
        <v/>
      </c>
      <c r="U1312" s="10" t="inlineStr">
        <is>
          <t>-</t>
        </is>
      </c>
      <c r="V1312" s="24" t="n">
        <v>45635</v>
      </c>
      <c r="W1312" s="19" t="inlineStr">
        <is>
          <t>N/A</t>
        </is>
      </c>
      <c r="X1312" s="10">
        <f>+IFERROR(IF(VLOOKUP(Tabla2[[#This Row],[ID]],'EVALUACION DE RIESGO'!A:A,1,FALSE)=Tabla2[[#This Row],[ID]],"SI","NO"),"NO")</f>
        <v/>
      </c>
    </row>
    <row r="1313">
      <c r="A1313" s="91" t="inlineStr">
        <is>
          <t>291-GRI</t>
        </is>
      </c>
      <c r="B1313" s="10" t="inlineStr">
        <is>
          <t>ESTRATÉGICO</t>
        </is>
      </c>
      <c r="C1313" s="10" t="inlineStr">
        <is>
          <t>Gestión de Riesgos</t>
        </is>
      </c>
      <c r="D1313" s="10" t="inlineStr">
        <is>
          <t>GRI</t>
        </is>
      </c>
      <c r="E1313" s="10" t="inlineStr">
        <is>
          <t>Gestión de Riesgo Ambiental y Social</t>
        </is>
      </c>
      <c r="F1313" s="10" t="inlineStr">
        <is>
          <t>-</t>
        </is>
      </c>
      <c r="G1313" s="10" t="inlineStr">
        <is>
          <t>Otros Activos</t>
        </is>
      </c>
      <c r="H1313" s="10" t="inlineStr">
        <is>
          <t>Código Orgánico del Ambiente</t>
        </is>
      </c>
      <c r="I1313" s="10" t="inlineStr">
        <is>
          <t>Ministerio del ambiente</t>
        </is>
      </c>
      <c r="J1313" s="10" t="inlineStr">
        <is>
          <t>GERENTE DE RIESGOS</t>
        </is>
      </c>
      <c r="K1313" s="10" t="inlineStr">
        <is>
          <t>OFICIAL INTEGRAL DE RIESGOS</t>
        </is>
      </c>
      <c r="L1313" s="10" t="inlineStr">
        <is>
          <t>UBICACIÓN DIGITAL-EQUIPO DEL RESPONSABLE</t>
        </is>
      </c>
      <c r="M1313" s="10" t="inlineStr">
        <is>
          <t>DOCUMENTO DE ARCHIVO-ELECTRÓNICO</t>
        </is>
      </c>
      <c r="N1313" s="10" t="inlineStr">
        <is>
          <t>PRIMARIOS</t>
        </is>
      </c>
      <c r="O1313" s="10" t="inlineStr">
        <is>
          <t>OTROS</t>
        </is>
      </c>
      <c r="P1313" s="10" t="inlineStr">
        <is>
          <t>PUBLICA(1)</t>
        </is>
      </c>
      <c r="Q1313" s="10" t="inlineStr">
        <is>
          <t>BAJA(1)</t>
        </is>
      </c>
      <c r="R1313" s="10" t="inlineStr">
        <is>
          <t>MEDIA(2)</t>
        </is>
      </c>
      <c r="S1313" s="10">
        <f>+(IF(P1313="PUBLICA(1)",1,IF(P1313="USO INTERNO(2)",2,IF(P1313="RESTRINGIDO(3)",3,3))))+(IF(Q1313="BAJA(1)",1,IF(Q1313="MEDIA(2)",2,IF(Q1313="ALTA(3)",3,3))))+(IF(R1313="BAJA(1)",1,IF(R1313="MEDIA(2)",2,IF(R1313="ALTA(3)",3,3))))</f>
        <v/>
      </c>
      <c r="T1313" s="10">
        <f>+IF(S1313&lt;6,"BAJA",IF(S1313&lt;8,"MEDIA","ALTA"))</f>
        <v/>
      </c>
      <c r="U1313" s="10" t="inlineStr">
        <is>
          <t>-</t>
        </is>
      </c>
      <c r="V1313" s="24" t="n">
        <v>45635</v>
      </c>
      <c r="W1313" s="19" t="inlineStr">
        <is>
          <t>N/A</t>
        </is>
      </c>
      <c r="X1313" s="10">
        <f>+IFERROR(IF(VLOOKUP(Tabla2[[#This Row],[ID]],'EVALUACION DE RIESGO'!A:A,1,FALSE)=Tabla2[[#This Row],[ID]],"SI","NO"),"NO")</f>
        <v/>
      </c>
    </row>
    <row r="1314">
      <c r="A1314" s="91" t="inlineStr">
        <is>
          <t>292-GRI</t>
        </is>
      </c>
      <c r="B1314" s="10" t="inlineStr">
        <is>
          <t>ESTRATÉGICO</t>
        </is>
      </c>
      <c r="C1314" s="10" t="inlineStr">
        <is>
          <t>Gestión de Riesgos</t>
        </is>
      </c>
      <c r="D1314" s="10" t="inlineStr">
        <is>
          <t>GRI</t>
        </is>
      </c>
      <c r="E1314" s="10" t="inlineStr">
        <is>
          <t>Gestión de Riesgo Ambiental y Social</t>
        </is>
      </c>
      <c r="F1314" s="10" t="inlineStr">
        <is>
          <t>-</t>
        </is>
      </c>
      <c r="G1314" s="10" t="inlineStr">
        <is>
          <t>Otros Activos</t>
        </is>
      </c>
      <c r="H1314" s="10" t="inlineStr">
        <is>
          <t>Categorización Ambiental Nacional (CCAN)</t>
        </is>
      </c>
      <c r="I1314" s="10" t="inlineStr">
        <is>
          <t>Describe el nivel de riesgo ambiental</t>
        </is>
      </c>
      <c r="J1314" s="10" t="inlineStr">
        <is>
          <t>GERENTE DE RIESGOS</t>
        </is>
      </c>
      <c r="K1314" s="10" t="inlineStr">
        <is>
          <t>OFICIAL INTEGRAL DE RIESGOS</t>
        </is>
      </c>
      <c r="L1314" s="10" t="inlineStr">
        <is>
          <t>UBICACIÓN DIGITAL-EQUIPO DEL RESPONSABLE</t>
        </is>
      </c>
      <c r="M1314" s="10" t="inlineStr">
        <is>
          <t>DOCUMENTO DE ARCHIVO-ELECTRÓNICO</t>
        </is>
      </c>
      <c r="N1314" s="10" t="inlineStr">
        <is>
          <t>PRIMARIOS</t>
        </is>
      </c>
      <c r="O1314" s="10" t="inlineStr">
        <is>
          <t>OTROS</t>
        </is>
      </c>
      <c r="P1314" s="10" t="inlineStr">
        <is>
          <t>PUBLICA(1)</t>
        </is>
      </c>
      <c r="Q1314" s="10" t="inlineStr">
        <is>
          <t>BAJA(1)</t>
        </is>
      </c>
      <c r="R1314" s="10" t="inlineStr">
        <is>
          <t>MEDIA(2)</t>
        </is>
      </c>
      <c r="S1314" s="10">
        <f>+(IF(P1314="PUBLICA(1)",1,IF(P1314="USO INTERNO(2)",2,IF(P1314="RESTRINGIDO(3)",3,3))))+(IF(Q1314="BAJA(1)",1,IF(Q1314="MEDIA(2)",2,IF(Q1314="ALTA(3)",3,3))))+(IF(R1314="BAJA(1)",1,IF(R1314="MEDIA(2)",2,IF(R1314="ALTA(3)",3,3))))</f>
        <v/>
      </c>
      <c r="T1314" s="10">
        <f>+IF(S1314&lt;6,"BAJA",IF(S1314&lt;8,"MEDIA","ALTA"))</f>
        <v/>
      </c>
      <c r="U1314" s="10" t="inlineStr">
        <is>
          <t>-</t>
        </is>
      </c>
      <c r="V1314" s="24" t="n">
        <v>45635</v>
      </c>
      <c r="W1314" s="19" t="inlineStr">
        <is>
          <t>N/A</t>
        </is>
      </c>
      <c r="X1314" s="10">
        <f>+IFERROR(IF(VLOOKUP(Tabla2[[#This Row],[ID]],'EVALUACION DE RIESGO'!A:A,1,FALSE)=Tabla2[[#This Row],[ID]],"SI","NO"),"NO")</f>
        <v/>
      </c>
    </row>
    <row r="1315">
      <c r="A1315" s="91" t="inlineStr">
        <is>
          <t>293-GRI</t>
        </is>
      </c>
      <c r="B1315" s="10" t="inlineStr">
        <is>
          <t>ESTRATÉGICO</t>
        </is>
      </c>
      <c r="C1315" s="10" t="inlineStr">
        <is>
          <t>Gestión de Riesgos</t>
        </is>
      </c>
      <c r="D1315" s="10" t="inlineStr">
        <is>
          <t>GRI</t>
        </is>
      </c>
      <c r="E1315" s="10" t="inlineStr">
        <is>
          <t>Gestión de Riesgo Ambiental y Social</t>
        </is>
      </c>
      <c r="F1315" s="10" t="inlineStr">
        <is>
          <t>-</t>
        </is>
      </c>
      <c r="G1315" s="10" t="inlineStr">
        <is>
          <t>Otros Activos</t>
        </is>
      </c>
      <c r="H1315" s="10" t="inlineStr">
        <is>
          <t>Sistema Único de información Ambiental-SUIA</t>
        </is>
      </c>
      <c r="I1315" s="10" t="inlineStr">
        <is>
          <t>Describe el nivel de riesgo ambiental</t>
        </is>
      </c>
      <c r="J1315" s="10" t="inlineStr">
        <is>
          <t>GERENTE DE RIESGOS</t>
        </is>
      </c>
      <c r="K1315" s="10" t="inlineStr">
        <is>
          <t>OFICIAL INTEGRAL DE RIESGOS</t>
        </is>
      </c>
      <c r="L1315" s="10" t="inlineStr">
        <is>
          <t>UBICACIÓN DIGITAL-EQUIPO DEL RESPONSABLE</t>
        </is>
      </c>
      <c r="M1315" s="10" t="inlineStr">
        <is>
          <t>DOCUMENTO DE ARCHIVO-ELECTRÓNICO</t>
        </is>
      </c>
      <c r="N1315" s="10" t="inlineStr">
        <is>
          <t>PRIMARIOS</t>
        </is>
      </c>
      <c r="O1315" s="10" t="inlineStr">
        <is>
          <t>OTROS</t>
        </is>
      </c>
      <c r="P1315" s="10" t="inlineStr">
        <is>
          <t>PUBLICA(1)</t>
        </is>
      </c>
      <c r="Q1315" s="10" t="inlineStr">
        <is>
          <t>BAJA(1)</t>
        </is>
      </c>
      <c r="R1315" s="10" t="inlineStr">
        <is>
          <t>MEDIA(2)</t>
        </is>
      </c>
      <c r="S1315" s="10">
        <f>+(IF(P1315="PUBLICA(1)",1,IF(P1315="USO INTERNO(2)",2,IF(P1315="RESTRINGIDO(3)",3,3))))+(IF(Q1315="BAJA(1)",1,IF(Q1315="MEDIA(2)",2,IF(Q1315="ALTA(3)",3,3))))+(IF(R1315="BAJA(1)",1,IF(R1315="MEDIA(2)",2,IF(R1315="ALTA(3)",3,3))))</f>
        <v/>
      </c>
      <c r="T1315" s="10">
        <f>+IF(S1315&lt;6,"BAJA",IF(S1315&lt;8,"MEDIA","ALTA"))</f>
        <v/>
      </c>
      <c r="U1315" s="10" t="inlineStr">
        <is>
          <t>-</t>
        </is>
      </c>
      <c r="V1315" s="24" t="n">
        <v>45635</v>
      </c>
      <c r="W1315" s="19" t="inlineStr">
        <is>
          <t>N/A</t>
        </is>
      </c>
      <c r="X1315" s="10">
        <f>+IFERROR(IF(VLOOKUP(Tabla2[[#This Row],[ID]],'EVALUACION DE RIESGO'!A:A,1,FALSE)=Tabla2[[#This Row],[ID]],"SI","NO"),"NO")</f>
        <v/>
      </c>
    </row>
    <row r="1316">
      <c r="A1316" s="91" t="inlineStr">
        <is>
          <t>294-GRI</t>
        </is>
      </c>
      <c r="B1316" s="10" t="inlineStr">
        <is>
          <t>ESTRATÉGICO</t>
        </is>
      </c>
      <c r="C1316" s="10" t="inlineStr">
        <is>
          <t>Gestión de Riesgos</t>
        </is>
      </c>
      <c r="D1316" s="10" t="inlineStr">
        <is>
          <t>GRI</t>
        </is>
      </c>
      <c r="E1316" s="10" t="inlineStr">
        <is>
          <t>Gestión de Riesgo Ambiental y Social</t>
        </is>
      </c>
      <c r="F1316" s="10" t="inlineStr">
        <is>
          <t>-</t>
        </is>
      </c>
      <c r="G1316" s="10" t="inlineStr">
        <is>
          <t>Otros Activos</t>
        </is>
      </c>
      <c r="H1316" s="10" t="inlineStr">
        <is>
          <t>Normas de desempeño de la Corporación Financiera Internacional-IFC</t>
        </is>
      </c>
      <c r="I1316" s="10" t="inlineStr">
        <is>
          <t>Describe el nivel de riesgo ambiental</t>
        </is>
      </c>
      <c r="J1316" s="10" t="inlineStr">
        <is>
          <t>GERENTE DE RIESGOS</t>
        </is>
      </c>
      <c r="K1316" s="10" t="inlineStr">
        <is>
          <t>OFICIAL INTEGRAL DE RIESGOS</t>
        </is>
      </c>
      <c r="L1316" s="10" t="inlineStr">
        <is>
          <t>UBICACIÓN DIGITAL-EQUIPO DEL RESPONSABLE</t>
        </is>
      </c>
      <c r="M1316" s="10" t="inlineStr">
        <is>
          <t>DOCUMENTO DE ARCHIVO-ELECTRÓNICO</t>
        </is>
      </c>
      <c r="N1316" s="10" t="inlineStr">
        <is>
          <t>PRIMARIOS</t>
        </is>
      </c>
      <c r="O1316" s="10" t="inlineStr">
        <is>
          <t>OTROS</t>
        </is>
      </c>
      <c r="P1316" s="10" t="inlineStr">
        <is>
          <t>PUBLICA(1)</t>
        </is>
      </c>
      <c r="Q1316" s="10" t="inlineStr">
        <is>
          <t>BAJA(1)</t>
        </is>
      </c>
      <c r="R1316" s="10" t="inlineStr">
        <is>
          <t>MEDIA(2)</t>
        </is>
      </c>
      <c r="S1316" s="10">
        <f>+(IF(P1316="PUBLICA(1)",1,IF(P1316="USO INTERNO(2)",2,IF(P1316="RESTRINGIDO(3)",3,3))))+(IF(Q1316="BAJA(1)",1,IF(Q1316="MEDIA(2)",2,IF(Q1316="ALTA(3)",3,3))))+(IF(R1316="BAJA(1)",1,IF(R1316="MEDIA(2)",2,IF(R1316="ALTA(3)",3,3))))</f>
        <v/>
      </c>
      <c r="T1316" s="10">
        <f>+IF(S1316&lt;6,"BAJA",IF(S1316&lt;8,"MEDIA","ALTA"))</f>
        <v/>
      </c>
      <c r="U1316" s="10" t="inlineStr">
        <is>
          <t>-</t>
        </is>
      </c>
      <c r="V1316" s="24" t="n">
        <v>45635</v>
      </c>
      <c r="W1316" s="19" t="inlineStr">
        <is>
          <t>N/A</t>
        </is>
      </c>
      <c r="X1316" s="10">
        <f>+IFERROR(IF(VLOOKUP(Tabla2[[#This Row],[ID]],'EVALUACION DE RIESGO'!A:A,1,FALSE)=Tabla2[[#This Row],[ID]],"SI","NO"),"NO")</f>
        <v/>
      </c>
    </row>
    <row r="1317">
      <c r="A1317" s="91" t="inlineStr">
        <is>
          <t>295-GRI</t>
        </is>
      </c>
      <c r="B1317" s="10" t="inlineStr">
        <is>
          <t>ESTRATÉGICO</t>
        </is>
      </c>
      <c r="C1317" s="10" t="inlineStr">
        <is>
          <t>Gestión de Riesgos</t>
        </is>
      </c>
      <c r="D1317" s="10" t="inlineStr">
        <is>
          <t>GRI</t>
        </is>
      </c>
      <c r="E1317" s="10" t="inlineStr">
        <is>
          <t>Gestión de Riesgo Ambiental y Social</t>
        </is>
      </c>
      <c r="F1317" s="10" t="inlineStr">
        <is>
          <t>-</t>
        </is>
      </c>
      <c r="G1317" s="10" t="inlineStr">
        <is>
          <t>Otros Activos</t>
        </is>
      </c>
      <c r="H1317" s="10" t="inlineStr">
        <is>
          <t>Sistema de gestión Ambiental y social (SGAS)- MIPYMES</t>
        </is>
      </c>
      <c r="I1317" s="10" t="inlineStr">
        <is>
          <t>Describe gestión Ambiental y social</t>
        </is>
      </c>
      <c r="J1317" s="10" t="inlineStr">
        <is>
          <t>GERENTE DE RIESGOS</t>
        </is>
      </c>
      <c r="K1317" s="10" t="inlineStr">
        <is>
          <t>OFICIAL INTEGRAL DE RIESGOS</t>
        </is>
      </c>
      <c r="L1317" s="10" t="inlineStr">
        <is>
          <t>UBICACIÓN DIGITAL-EQUIPO DEL RESPONSABLE</t>
        </is>
      </c>
      <c r="M1317" s="10" t="inlineStr">
        <is>
          <t>DOCUMENTO DE ARCHIVO-ELECTRÓNICO</t>
        </is>
      </c>
      <c r="N1317" s="10" t="inlineStr">
        <is>
          <t>PRIMARIOS</t>
        </is>
      </c>
      <c r="O1317" s="10" t="inlineStr">
        <is>
          <t>OTROS</t>
        </is>
      </c>
      <c r="P1317" s="10" t="inlineStr">
        <is>
          <t>PUBLICA(1)</t>
        </is>
      </c>
      <c r="Q1317" s="10" t="inlineStr">
        <is>
          <t>BAJA(1)</t>
        </is>
      </c>
      <c r="R1317" s="10" t="inlineStr">
        <is>
          <t>MEDIA(2)</t>
        </is>
      </c>
      <c r="S1317" s="10">
        <f>+(IF(P1317="PUBLICA(1)",1,IF(P1317="USO INTERNO(2)",2,IF(P1317="RESTRINGIDO(3)",3,3))))+(IF(Q1317="BAJA(1)",1,IF(Q1317="MEDIA(2)",2,IF(Q1317="ALTA(3)",3,3))))+(IF(R1317="BAJA(1)",1,IF(R1317="MEDIA(2)",2,IF(R1317="ALTA(3)",3,3))))</f>
        <v/>
      </c>
      <c r="T1317" s="10">
        <f>+IF(S1317&lt;6,"BAJA",IF(S1317&lt;8,"MEDIA","ALTA"))</f>
        <v/>
      </c>
      <c r="U1317" s="10" t="inlineStr">
        <is>
          <t>-</t>
        </is>
      </c>
      <c r="V1317" s="24" t="n">
        <v>45635</v>
      </c>
      <c r="W1317" s="19" t="inlineStr">
        <is>
          <t>N/A</t>
        </is>
      </c>
      <c r="X1317" s="10">
        <f>+IFERROR(IF(VLOOKUP(Tabla2[[#This Row],[ID]],'EVALUACION DE RIESGO'!A:A,1,FALSE)=Tabla2[[#This Row],[ID]],"SI","NO"),"NO")</f>
        <v/>
      </c>
    </row>
    <row r="1318">
      <c r="A1318" s="91" t="inlineStr">
        <is>
          <t>296-GRI</t>
        </is>
      </c>
      <c r="B1318" s="10" t="inlineStr">
        <is>
          <t>ESTRATÉGICO</t>
        </is>
      </c>
      <c r="C1318" s="10" t="inlineStr">
        <is>
          <t>Gestión de Riesgos</t>
        </is>
      </c>
      <c r="D1318" s="10" t="inlineStr">
        <is>
          <t>GRI</t>
        </is>
      </c>
      <c r="E1318" s="10" t="inlineStr">
        <is>
          <t>Gestión de Riesgo Ambiental y Social</t>
        </is>
      </c>
      <c r="F1318" s="10" t="inlineStr">
        <is>
          <t>-</t>
        </is>
      </c>
      <c r="G1318" s="10" t="inlineStr">
        <is>
          <t>Otros Activos</t>
        </is>
      </c>
      <c r="H1318" s="10" t="inlineStr">
        <is>
          <t xml:space="preserve">Metodología para la administración del riesgo ambiental y social </t>
        </is>
      </c>
      <c r="I1318" s="10" t="inlineStr">
        <is>
          <t>Describe la gestion ambiental y social</t>
        </is>
      </c>
      <c r="J1318" s="10" t="inlineStr">
        <is>
          <t>GERENTE DE RIESGOS</t>
        </is>
      </c>
      <c r="K1318" s="10" t="inlineStr">
        <is>
          <t>OFICIAL INTEGRAL DE RIESGOS</t>
        </is>
      </c>
      <c r="L1318" s="10" t="inlineStr">
        <is>
          <t>UBICACIÓN DIGITAL-EQUIPO DEL RESPONSABLE</t>
        </is>
      </c>
      <c r="M1318" s="10" t="inlineStr">
        <is>
          <t>DOCUMENTO DE ARCHIVO-ELECTRÓNICO</t>
        </is>
      </c>
      <c r="N1318" s="10" t="inlineStr">
        <is>
          <t>PRIMARIOS</t>
        </is>
      </c>
      <c r="O1318" s="10" t="inlineStr">
        <is>
          <t>DOCUMENTOS TÉCNICOS</t>
        </is>
      </c>
      <c r="P1318" s="10" t="inlineStr">
        <is>
          <t>PUBLICA(1)</t>
        </is>
      </c>
      <c r="Q1318" s="10" t="inlineStr">
        <is>
          <t>BAJA(1)</t>
        </is>
      </c>
      <c r="R1318" s="10" t="inlineStr">
        <is>
          <t>MEDIA(2)</t>
        </is>
      </c>
      <c r="S1318" s="10">
        <f>+(IF(P1318="PUBLICA(1)",1,IF(P1318="USO INTERNO(2)",2,IF(P1318="RESTRINGIDO(3)",3,3))))+(IF(Q1318="BAJA(1)",1,IF(Q1318="MEDIA(2)",2,IF(Q1318="ALTA(3)",3,3))))+(IF(R1318="BAJA(1)",1,IF(R1318="MEDIA(2)",2,IF(R1318="ALTA(3)",3,3))))</f>
        <v/>
      </c>
      <c r="T1318" s="10">
        <f>+IF(S1318&lt;6,"BAJA",IF(S1318&lt;8,"MEDIA","ALTA"))</f>
        <v/>
      </c>
      <c r="U1318" s="10" t="inlineStr">
        <is>
          <t>-</t>
        </is>
      </c>
      <c r="V1318" s="24" t="n">
        <v>45635</v>
      </c>
      <c r="W1318" s="19" t="inlineStr">
        <is>
          <t>N/A</t>
        </is>
      </c>
      <c r="X1318" s="10">
        <f>+IFERROR(IF(VLOOKUP(Tabla2[[#This Row],[ID]],'EVALUACION DE RIESGO'!A:A,1,FALSE)=Tabla2[[#This Row],[ID]],"SI","NO"),"NO")</f>
        <v/>
      </c>
    </row>
    <row r="1319">
      <c r="A1319" s="91" t="inlineStr">
        <is>
          <t>297-GRI</t>
        </is>
      </c>
      <c r="B1319" s="10" t="inlineStr">
        <is>
          <t>ESTRATÉGICO</t>
        </is>
      </c>
      <c r="C1319" s="10" t="inlineStr">
        <is>
          <t>Gestión de Riesgos</t>
        </is>
      </c>
      <c r="D1319" s="10" t="inlineStr">
        <is>
          <t>GRI</t>
        </is>
      </c>
      <c r="E1319" s="10" t="inlineStr">
        <is>
          <t>Gestión de Riesgo Ambiental y Social</t>
        </is>
      </c>
      <c r="F1319" s="10" t="inlineStr">
        <is>
          <t>-</t>
        </is>
      </c>
      <c r="G1319" s="10" t="inlineStr">
        <is>
          <t>Determinación de la lista de Exclusión</t>
        </is>
      </c>
      <c r="H1319" s="10" t="inlineStr">
        <is>
          <t>Anexo 2: Categorización por Actividad Económica – Ecuador</t>
        </is>
      </c>
      <c r="I1319" s="10" t="inlineStr">
        <is>
          <t>El nivel de riesgo de las actividades económicas</t>
        </is>
      </c>
      <c r="J1319" s="10" t="inlineStr">
        <is>
          <t>GERENTE DE RIESGOS</t>
        </is>
      </c>
      <c r="K1319" s="10" t="inlineStr">
        <is>
          <t>OFICIAL INTEGRAL DE RIESGOS</t>
        </is>
      </c>
      <c r="L1319" s="10" t="inlineStr">
        <is>
          <t>UBICACIÓN DIGITAL-EQUIPO DEL RESPONSABLE</t>
        </is>
      </c>
      <c r="M1319" s="10" t="inlineStr">
        <is>
          <t>DOCUMENTO DE ARCHIVO-ELECTRÓNICO</t>
        </is>
      </c>
      <c r="N1319" s="10" t="inlineStr">
        <is>
          <t>PRIMARIOS</t>
        </is>
      </c>
      <c r="O1319" s="10" t="inlineStr">
        <is>
          <t>DOCUMENTOS TÉCNICOS</t>
        </is>
      </c>
      <c r="P1319" s="10" t="inlineStr">
        <is>
          <t>PUBLICA(1)</t>
        </is>
      </c>
      <c r="Q1319" s="10" t="inlineStr">
        <is>
          <t>BAJA(1)</t>
        </is>
      </c>
      <c r="R1319" s="10" t="inlineStr">
        <is>
          <t>MEDIA(2)</t>
        </is>
      </c>
      <c r="S1319" s="10">
        <f>+(IF(P1319="PUBLICA(1)",1,IF(P1319="USO INTERNO(2)",2,IF(P1319="RESTRINGIDO(3)",3,3))))+(IF(Q1319="BAJA(1)",1,IF(Q1319="MEDIA(2)",2,IF(Q1319="ALTA(3)",3,3))))+(IF(R1319="BAJA(1)",1,IF(R1319="MEDIA(2)",2,IF(R1319="ALTA(3)",3,3))))</f>
        <v/>
      </c>
      <c r="T1319" s="10">
        <f>+IF(S1319&lt;6,"BAJA",IF(S1319&lt;8,"MEDIA","ALTA"))</f>
        <v/>
      </c>
      <c r="U1319" s="10" t="inlineStr">
        <is>
          <t>-</t>
        </is>
      </c>
      <c r="V1319" s="24" t="n">
        <v>45635</v>
      </c>
      <c r="W1319" s="19" t="inlineStr">
        <is>
          <t>N/A</t>
        </is>
      </c>
      <c r="X1319" s="10">
        <f>+IFERROR(IF(VLOOKUP(Tabla2[[#This Row],[ID]],'EVALUACION DE RIESGO'!A:A,1,FALSE)=Tabla2[[#This Row],[ID]],"SI","NO"),"NO")</f>
        <v/>
      </c>
    </row>
    <row r="1320">
      <c r="A1320" s="91" t="inlineStr">
        <is>
          <t>298-GRI</t>
        </is>
      </c>
      <c r="B1320" s="10" t="inlineStr">
        <is>
          <t>ESTRATÉGICO</t>
        </is>
      </c>
      <c r="C1320" s="10" t="inlineStr">
        <is>
          <t>Gestión de Riesgos</t>
        </is>
      </c>
      <c r="D1320" s="10" t="inlineStr">
        <is>
          <t>GRI</t>
        </is>
      </c>
      <c r="E1320" s="10" t="inlineStr">
        <is>
          <t>Gestión de Riesgo Ambiental y Social</t>
        </is>
      </c>
      <c r="F1320" s="10" t="inlineStr">
        <is>
          <t>-</t>
        </is>
      </c>
      <c r="G1320" s="10" t="inlineStr">
        <is>
          <t>Determinación de la lista de Exclusión</t>
        </is>
      </c>
      <c r="H1320" s="10" t="inlineStr">
        <is>
          <t>Lista de Exclusión</t>
        </is>
      </c>
      <c r="I1320" s="10" t="inlineStr">
        <is>
          <t>Describe las actividades excluidas</t>
        </is>
      </c>
      <c r="J1320" s="10" t="inlineStr">
        <is>
          <t>GERENTE DE RIESGOS</t>
        </is>
      </c>
      <c r="K1320" s="10" t="inlineStr">
        <is>
          <t>OFICIAL INTEGRAL DE RIESGOS</t>
        </is>
      </c>
      <c r="L1320" s="10" t="inlineStr">
        <is>
          <t>UBICACIÓN DIGITAL-EQUIPO DEL RESPONSABLE</t>
        </is>
      </c>
      <c r="M1320" s="10" t="inlineStr">
        <is>
          <t>DOCUMENTO DE ARCHIVO-ELECTRÓNICO</t>
        </is>
      </c>
      <c r="N1320" s="10" t="inlineStr">
        <is>
          <t>PRIMARIOS</t>
        </is>
      </c>
      <c r="O1320" s="10" t="inlineStr">
        <is>
          <t>DOCUMENTOS TÉCNICOS</t>
        </is>
      </c>
      <c r="P1320" s="10" t="inlineStr">
        <is>
          <t>PUBLICA(1)</t>
        </is>
      </c>
      <c r="Q1320" s="10" t="inlineStr">
        <is>
          <t>BAJA(1)</t>
        </is>
      </c>
      <c r="R1320" s="10" t="inlineStr">
        <is>
          <t>MEDIA(2)</t>
        </is>
      </c>
      <c r="S1320" s="10">
        <f>+(IF(P1320="PUBLICA(1)",1,IF(P1320="USO INTERNO(2)",2,IF(P1320="RESTRINGIDO(3)",3,3))))+(IF(Q1320="BAJA(1)",1,IF(Q1320="MEDIA(2)",2,IF(Q1320="ALTA(3)",3,3))))+(IF(R1320="BAJA(1)",1,IF(R1320="MEDIA(2)",2,IF(R1320="ALTA(3)",3,3))))</f>
        <v/>
      </c>
      <c r="T1320" s="10">
        <f>+IF(S1320&lt;6,"BAJA",IF(S1320&lt;8,"MEDIA","ALTA"))</f>
        <v/>
      </c>
      <c r="U1320" s="10" t="inlineStr">
        <is>
          <t>-</t>
        </is>
      </c>
      <c r="V1320" s="24" t="n">
        <v>45635</v>
      </c>
      <c r="W1320" s="19" t="inlineStr">
        <is>
          <t>N/A</t>
        </is>
      </c>
      <c r="X1320" s="10">
        <f>+IFERROR(IF(VLOOKUP(Tabla2[[#This Row],[ID]],'EVALUACION DE RIESGO'!A:A,1,FALSE)=Tabla2[[#This Row],[ID]],"SI","NO"),"NO")</f>
        <v/>
      </c>
    </row>
    <row r="1321">
      <c r="A1321" s="91" t="inlineStr">
        <is>
          <t>299-GRI</t>
        </is>
      </c>
      <c r="B1321" s="10" t="inlineStr">
        <is>
          <t>ESTRATÉGICO</t>
        </is>
      </c>
      <c r="C1321" s="10" t="inlineStr">
        <is>
          <t>Gestión de Riesgos</t>
        </is>
      </c>
      <c r="D1321" s="10" t="inlineStr">
        <is>
          <t>GRI</t>
        </is>
      </c>
      <c r="E1321" s="10" t="inlineStr">
        <is>
          <t>Gestión de Riesgo Ambiental y Social</t>
        </is>
      </c>
      <c r="F1321" s="10" t="inlineStr">
        <is>
          <t>-</t>
        </is>
      </c>
      <c r="G1321" s="10" t="inlineStr">
        <is>
          <t>Determinación de la metodología y categorización de Riesgos</t>
        </is>
      </c>
      <c r="H1321" s="10" t="inlineStr">
        <is>
          <t>Anexo 2: Categorización por Actividad Económica – Ecuador</t>
        </is>
      </c>
      <c r="I1321" s="10" t="inlineStr">
        <is>
          <t>El nivel de riesgo de las actividades económicas</t>
        </is>
      </c>
      <c r="J1321" s="10" t="inlineStr">
        <is>
          <t>GERENTE DE RIESGOS</t>
        </is>
      </c>
      <c r="K1321" s="10" t="inlineStr">
        <is>
          <t>OFICIAL INTEGRAL DE RIESGOS</t>
        </is>
      </c>
      <c r="L1321" s="10" t="inlineStr">
        <is>
          <t>UBICACIÓN DIGITAL-EQUIPO DEL RESPONSABLE</t>
        </is>
      </c>
      <c r="M1321" s="10" t="inlineStr">
        <is>
          <t>DOCUMENTO DE ARCHIVO-ELECTRÓNICO</t>
        </is>
      </c>
      <c r="N1321" s="10" t="inlineStr">
        <is>
          <t>PRIMARIOS</t>
        </is>
      </c>
      <c r="O1321" s="10" t="inlineStr">
        <is>
          <t>DOCUMENTOS TÉCNICOS</t>
        </is>
      </c>
      <c r="P1321" s="10" t="inlineStr">
        <is>
          <t>PUBLICA(1)</t>
        </is>
      </c>
      <c r="Q1321" s="10" t="inlineStr">
        <is>
          <t>BAJA(1)</t>
        </is>
      </c>
      <c r="R1321" s="10" t="inlineStr">
        <is>
          <t>MEDIA(2)</t>
        </is>
      </c>
      <c r="S1321" s="10">
        <f>+(IF(P1321="PUBLICA(1)",1,IF(P1321="USO INTERNO(2)",2,IF(P1321="RESTRINGIDO(3)",3,3))))+(IF(Q1321="BAJA(1)",1,IF(Q1321="MEDIA(2)",2,IF(Q1321="ALTA(3)",3,3))))+(IF(R1321="BAJA(1)",1,IF(R1321="MEDIA(2)",2,IF(R1321="ALTA(3)",3,3))))</f>
        <v/>
      </c>
      <c r="T1321" s="10">
        <f>+IF(S1321&lt;6,"BAJA",IF(S1321&lt;8,"MEDIA","ALTA"))</f>
        <v/>
      </c>
      <c r="U1321" s="10" t="inlineStr">
        <is>
          <t>-</t>
        </is>
      </c>
      <c r="V1321" s="24" t="n">
        <v>45635</v>
      </c>
      <c r="W1321" s="19" t="inlineStr">
        <is>
          <t>N/A</t>
        </is>
      </c>
      <c r="X1321" s="10">
        <f>+IFERROR(IF(VLOOKUP(Tabla2[[#This Row],[ID]],'EVALUACION DE RIESGO'!A:A,1,FALSE)=Tabla2[[#This Row],[ID]],"SI","NO"),"NO")</f>
        <v/>
      </c>
    </row>
    <row r="1322">
      <c r="A1322" s="91" t="inlineStr">
        <is>
          <t>300-GRI</t>
        </is>
      </c>
      <c r="B1322" s="10" t="inlineStr">
        <is>
          <t>ESTRATÉGICO</t>
        </is>
      </c>
      <c r="C1322" s="10" t="inlineStr">
        <is>
          <t>Gestión de Riesgos</t>
        </is>
      </c>
      <c r="D1322" s="10" t="inlineStr">
        <is>
          <t>GRI</t>
        </is>
      </c>
      <c r="E1322" s="10" t="inlineStr">
        <is>
          <t>Gestión de Riesgo Ambiental y Social</t>
        </is>
      </c>
      <c r="F1322" s="10" t="inlineStr">
        <is>
          <t>-</t>
        </is>
      </c>
      <c r="G1322" s="10" t="inlineStr">
        <is>
          <t>Determinación de la metodología y categorización de Riesgos</t>
        </is>
      </c>
      <c r="H1322" s="10" t="inlineStr">
        <is>
          <t>Metodología SARAS</t>
        </is>
      </c>
      <c r="I1322" s="10" t="inlineStr">
        <is>
          <t>Gestión ambiental y social</t>
        </is>
      </c>
      <c r="J1322" s="10" t="inlineStr">
        <is>
          <t>GERENTE DE RIESGOS</t>
        </is>
      </c>
      <c r="K1322" s="10" t="inlineStr">
        <is>
          <t>OFICIAL INTEGRAL DE RIESGOS</t>
        </is>
      </c>
      <c r="L1322" s="10" t="inlineStr">
        <is>
          <t>UBICACIÓN DIGITAL-EQUIPO DEL RESPONSABLE</t>
        </is>
      </c>
      <c r="M1322" s="10" t="inlineStr">
        <is>
          <t>DOCUMENTO DE ARCHIVO-ELECTRÓNICO</t>
        </is>
      </c>
      <c r="N1322" s="10" t="inlineStr">
        <is>
          <t>PRIMARIOS</t>
        </is>
      </c>
      <c r="O1322" s="10" t="inlineStr">
        <is>
          <t>DOCUMENTOS TÉCNICOS</t>
        </is>
      </c>
      <c r="P1322" s="10" t="inlineStr">
        <is>
          <t>PUBLICA(1)</t>
        </is>
      </c>
      <c r="Q1322" s="10" t="inlineStr">
        <is>
          <t>BAJA(1)</t>
        </is>
      </c>
      <c r="R1322" s="10" t="inlineStr">
        <is>
          <t>MEDIA(2)</t>
        </is>
      </c>
      <c r="S1322" s="10">
        <f>+(IF(P1322="PUBLICA(1)",1,IF(P1322="USO INTERNO(2)",2,IF(P1322="RESTRINGIDO(3)",3,3))))+(IF(Q1322="BAJA(1)",1,IF(Q1322="MEDIA(2)",2,IF(Q1322="ALTA(3)",3,3))))+(IF(R1322="BAJA(1)",1,IF(R1322="MEDIA(2)",2,IF(R1322="ALTA(3)",3,3))))</f>
        <v/>
      </c>
      <c r="T1322" s="10">
        <f>+IF(S1322&lt;6,"BAJA",IF(S1322&lt;8,"MEDIA","ALTA"))</f>
        <v/>
      </c>
      <c r="U1322" s="10" t="inlineStr">
        <is>
          <t>-</t>
        </is>
      </c>
      <c r="V1322" s="24" t="n">
        <v>45635</v>
      </c>
      <c r="W1322" s="19" t="inlineStr">
        <is>
          <t>N/A</t>
        </is>
      </c>
      <c r="X1322" s="10">
        <f>+IFERROR(IF(VLOOKUP(Tabla2[[#This Row],[ID]],'EVALUACION DE RIESGO'!A:A,1,FALSE)=Tabla2[[#This Row],[ID]],"SI","NO"),"NO")</f>
        <v/>
      </c>
    </row>
    <row r="1323">
      <c r="A1323" s="91" t="inlineStr">
        <is>
          <t>301-GRI</t>
        </is>
      </c>
      <c r="B1323" s="10" t="inlineStr">
        <is>
          <t>ESTRATÉGICO</t>
        </is>
      </c>
      <c r="C1323" s="10" t="inlineStr">
        <is>
          <t>Gestión de Riesgos</t>
        </is>
      </c>
      <c r="D1323" s="10" t="inlineStr">
        <is>
          <t>GRI</t>
        </is>
      </c>
      <c r="E1323" s="10" t="inlineStr">
        <is>
          <t>Gestión de Riesgo Ambiental y Social</t>
        </is>
      </c>
      <c r="F1323" s="10" t="inlineStr">
        <is>
          <t>-</t>
        </is>
      </c>
      <c r="G1323" s="10" t="inlineStr">
        <is>
          <t>Aplicación de la Metodología de Categorización de Riesgos</t>
        </is>
      </c>
      <c r="H1323" s="10" t="inlineStr">
        <is>
          <t>Metodología de categorización de riesgos</t>
        </is>
      </c>
      <c r="I1323" s="10" t="inlineStr">
        <is>
          <t>Describe la Metodología de categorización de riesgos</t>
        </is>
      </c>
      <c r="J1323" s="10" t="inlineStr">
        <is>
          <t>GERENTE DE RIESGOS</t>
        </is>
      </c>
      <c r="K1323" s="10" t="inlineStr">
        <is>
          <t>OFICIAL INTEGRAL DE RIESGOS</t>
        </is>
      </c>
      <c r="L1323" s="10" t="inlineStr">
        <is>
          <t>UBICACIÓN DIGITAL-EQUIPO DEL RESPONSABLE</t>
        </is>
      </c>
      <c r="M1323" s="10" t="inlineStr">
        <is>
          <t>DOCUMENTO DE ARCHIVO-ELECTRÓNICO</t>
        </is>
      </c>
      <c r="N1323" s="10" t="inlineStr">
        <is>
          <t>PRIMARIOS</t>
        </is>
      </c>
      <c r="O1323" s="10" t="inlineStr">
        <is>
          <t>DOCUMENTOS TÉCNICOS</t>
        </is>
      </c>
      <c r="P1323" s="10" t="inlineStr">
        <is>
          <t>PUBLICA(1)</t>
        </is>
      </c>
      <c r="Q1323" s="10" t="inlineStr">
        <is>
          <t>BAJA(1)</t>
        </is>
      </c>
      <c r="R1323" s="10" t="inlineStr">
        <is>
          <t>MEDIA(2)</t>
        </is>
      </c>
      <c r="S1323" s="10">
        <f>+(IF(P1323="PUBLICA(1)",1,IF(P1323="USO INTERNO(2)",2,IF(P1323="RESTRINGIDO(3)",3,3))))+(IF(Q1323="BAJA(1)",1,IF(Q1323="MEDIA(2)",2,IF(Q1323="ALTA(3)",3,3))))+(IF(R1323="BAJA(1)",1,IF(R1323="MEDIA(2)",2,IF(R1323="ALTA(3)",3,3))))</f>
        <v/>
      </c>
      <c r="T1323" s="10">
        <f>+IF(S1323&lt;6,"BAJA",IF(S1323&lt;8,"MEDIA","ALTA"))</f>
        <v/>
      </c>
      <c r="U1323" s="10" t="inlineStr">
        <is>
          <t>-</t>
        </is>
      </c>
      <c r="V1323" s="24" t="n">
        <v>45635</v>
      </c>
      <c r="W1323" s="19" t="inlineStr">
        <is>
          <t>N/A</t>
        </is>
      </c>
      <c r="X1323" s="10">
        <f>+IFERROR(IF(VLOOKUP(Tabla2[[#This Row],[ID]],'EVALUACION DE RIESGO'!A:A,1,FALSE)=Tabla2[[#This Row],[ID]],"SI","NO"),"NO")</f>
        <v/>
      </c>
    </row>
    <row r="1324">
      <c r="A1324" s="91" t="inlineStr">
        <is>
          <t>302-GRI</t>
        </is>
      </c>
      <c r="B1324" s="10" t="inlineStr">
        <is>
          <t>ESTRATÉGICO</t>
        </is>
      </c>
      <c r="C1324" s="10" t="inlineStr">
        <is>
          <t>Gestión de Riesgos</t>
        </is>
      </c>
      <c r="D1324" s="10" t="inlineStr">
        <is>
          <t>GRI</t>
        </is>
      </c>
      <c r="E1324" s="10" t="inlineStr">
        <is>
          <t>Gestión de Riesgo Ambiental y Social</t>
        </is>
      </c>
      <c r="F1324" s="10" t="inlineStr">
        <is>
          <t>-</t>
        </is>
      </c>
      <c r="G1324" s="10" t="inlineStr">
        <is>
          <t>Aplicación de la Metodología de Categorización de Riesgos</t>
        </is>
      </c>
      <c r="H1324" s="10" t="inlineStr">
        <is>
          <t>Resultado de la aplicación de la metodología</t>
        </is>
      </c>
      <c r="I1324" s="10" t="inlineStr">
        <is>
          <t>Describe la Metodología de categorización de riesgos</t>
        </is>
      </c>
      <c r="J1324" s="10" t="inlineStr">
        <is>
          <t>GERENTE DE RIESGOS</t>
        </is>
      </c>
      <c r="K1324" s="10" t="inlineStr">
        <is>
          <t>OFICIAL INTEGRAL DE RIESGOS</t>
        </is>
      </c>
      <c r="L1324" s="10" t="inlineStr">
        <is>
          <t>UBICACIÓN DIGITAL-EQUIPO DEL RESPONSABLE</t>
        </is>
      </c>
      <c r="M1324" s="10" t="inlineStr">
        <is>
          <t>DOCUMENTO DE ARCHIVO-ELECTRÓNICO</t>
        </is>
      </c>
      <c r="N1324" s="10" t="inlineStr">
        <is>
          <t>PRIMARIOS</t>
        </is>
      </c>
      <c r="O1324" s="10" t="inlineStr">
        <is>
          <t>DOCUMENTOS TÉCNICOS</t>
        </is>
      </c>
      <c r="P1324" s="10" t="inlineStr">
        <is>
          <t>PUBLICA(1)</t>
        </is>
      </c>
      <c r="Q1324" s="10" t="inlineStr">
        <is>
          <t>BAJA(1)</t>
        </is>
      </c>
      <c r="R1324" s="10" t="inlineStr">
        <is>
          <t>MEDIA(2)</t>
        </is>
      </c>
      <c r="S1324" s="10">
        <f>+(IF(P1324="PUBLICA(1)",1,IF(P1324="USO INTERNO(2)",2,IF(P1324="RESTRINGIDO(3)",3,3))))+(IF(Q1324="BAJA(1)",1,IF(Q1324="MEDIA(2)",2,IF(Q1324="ALTA(3)",3,3))))+(IF(R1324="BAJA(1)",1,IF(R1324="MEDIA(2)",2,IF(R1324="ALTA(3)",3,3))))</f>
        <v/>
      </c>
      <c r="T1324" s="10">
        <f>+IF(S1324&lt;6,"BAJA",IF(S1324&lt;8,"MEDIA","ALTA"))</f>
        <v/>
      </c>
      <c r="U1324" s="10" t="inlineStr">
        <is>
          <t>-</t>
        </is>
      </c>
      <c r="V1324" s="24" t="n">
        <v>45635</v>
      </c>
      <c r="W1324" s="19" t="inlineStr">
        <is>
          <t>N/A</t>
        </is>
      </c>
      <c r="X1324" s="10">
        <f>+IFERROR(IF(VLOOKUP(Tabla2[[#This Row],[ID]],'EVALUACION DE RIESGO'!A:A,1,FALSE)=Tabla2[[#This Row],[ID]],"SI","NO"),"NO")</f>
        <v/>
      </c>
    </row>
    <row r="1325">
      <c r="A1325" s="91" t="inlineStr">
        <is>
          <t>303-GRI</t>
        </is>
      </c>
      <c r="B1325" s="10" t="inlineStr">
        <is>
          <t>ESTRATÉGICO</t>
        </is>
      </c>
      <c r="C1325" s="10" t="inlineStr">
        <is>
          <t>Gestión de Riesgos</t>
        </is>
      </c>
      <c r="D1325" s="10" t="inlineStr">
        <is>
          <t>GRI</t>
        </is>
      </c>
      <c r="E1325" s="10" t="inlineStr">
        <is>
          <t>Gestión de Riesgo Ambiental y Social</t>
        </is>
      </c>
      <c r="F1325" s="10" t="inlineStr">
        <is>
          <t>-</t>
        </is>
      </c>
      <c r="G1325" s="10" t="inlineStr">
        <is>
          <t>Debida Diligencia</t>
        </is>
      </c>
      <c r="H1325" s="10" t="inlineStr">
        <is>
          <t>Resultado de la aplicación de la metodología</t>
        </is>
      </c>
      <c r="I1325" s="10" t="inlineStr">
        <is>
          <t>Describe la Metodología de categorización de riesgos</t>
        </is>
      </c>
      <c r="J1325" s="10" t="inlineStr">
        <is>
          <t>GERENTE DE RIESGOS</t>
        </is>
      </c>
      <c r="K1325" s="10" t="inlineStr">
        <is>
          <t>OFICIAL INTEGRAL DE RIESGOS</t>
        </is>
      </c>
      <c r="L1325" s="10" t="inlineStr">
        <is>
          <t>UBICACIÓN DIGITAL-EQUIPO DEL RESPONSABLE</t>
        </is>
      </c>
      <c r="M1325" s="10" t="inlineStr">
        <is>
          <t>DOCUMENTO DE ARCHIVO-ELECTRÓNICO</t>
        </is>
      </c>
      <c r="N1325" s="10" t="inlineStr">
        <is>
          <t>PRIMARIOS</t>
        </is>
      </c>
      <c r="O1325" s="10" t="inlineStr">
        <is>
          <t>DOCUMENTOS TÉCNICOS</t>
        </is>
      </c>
      <c r="P1325" s="10" t="inlineStr">
        <is>
          <t>PUBLICA(1)</t>
        </is>
      </c>
      <c r="Q1325" s="10" t="inlineStr">
        <is>
          <t>BAJA(1)</t>
        </is>
      </c>
      <c r="R1325" s="10" t="inlineStr">
        <is>
          <t>MEDIA(2)</t>
        </is>
      </c>
      <c r="S1325" s="10">
        <f>+(IF(P1325="PUBLICA(1)",1,IF(P1325="USO INTERNO(2)",2,IF(P1325="RESTRINGIDO(3)",3,3))))+(IF(Q1325="BAJA(1)",1,IF(Q1325="MEDIA(2)",2,IF(Q1325="ALTA(3)",3,3))))+(IF(R1325="BAJA(1)",1,IF(R1325="MEDIA(2)",2,IF(R1325="ALTA(3)",3,3))))</f>
        <v/>
      </c>
      <c r="T1325" s="10">
        <f>+IF(S1325&lt;6,"BAJA",IF(S1325&lt;8,"MEDIA","ALTA"))</f>
        <v/>
      </c>
      <c r="U1325" s="10" t="inlineStr">
        <is>
          <t>-</t>
        </is>
      </c>
      <c r="V1325" s="24" t="n">
        <v>45635</v>
      </c>
      <c r="W1325" s="19" t="inlineStr">
        <is>
          <t>N/A</t>
        </is>
      </c>
      <c r="X1325" s="10">
        <f>+IFERROR(IF(VLOOKUP(Tabla2[[#This Row],[ID]],'EVALUACION DE RIESGO'!A:A,1,FALSE)=Tabla2[[#This Row],[ID]],"SI","NO"),"NO")</f>
        <v/>
      </c>
    </row>
    <row r="1326">
      <c r="A1326" s="91" t="inlineStr">
        <is>
          <t>304-GRI</t>
        </is>
      </c>
      <c r="B1326" s="10" t="inlineStr">
        <is>
          <t>ESTRATÉGICO</t>
        </is>
      </c>
      <c r="C1326" s="10" t="inlineStr">
        <is>
          <t>Gestión de Riesgos</t>
        </is>
      </c>
      <c r="D1326" s="10" t="inlineStr">
        <is>
          <t>GRI</t>
        </is>
      </c>
      <c r="E1326" s="10" t="inlineStr">
        <is>
          <t>Gestión de Riesgo Ambiental y Social</t>
        </is>
      </c>
      <c r="F1326" s="10" t="inlineStr">
        <is>
          <t>-</t>
        </is>
      </c>
      <c r="G1326" s="10" t="inlineStr">
        <is>
          <t>Debida Diligencia</t>
        </is>
      </c>
      <c r="H1326" s="10" t="inlineStr">
        <is>
          <t>Matriz de verificación mínima del desempeño ambiental y social</t>
        </is>
      </c>
      <c r="I1326" s="10" t="inlineStr">
        <is>
          <t>Describe cuestionario de debida diligencia</t>
        </is>
      </c>
      <c r="J1326" s="10" t="inlineStr">
        <is>
          <t>GERENTE DE RIESGOS</t>
        </is>
      </c>
      <c r="K1326" s="10" t="inlineStr">
        <is>
          <t>OFICIAL INTEGRAL DE RIESGOS</t>
        </is>
      </c>
      <c r="L1326" s="10" t="inlineStr">
        <is>
          <t>UBICACIÓN DIGITAL-EQUIPO DEL RESPONSABLE</t>
        </is>
      </c>
      <c r="M1326" s="10" t="inlineStr">
        <is>
          <t>DOCUMENTO DE ARCHIVO-ELECTRÓNICO</t>
        </is>
      </c>
      <c r="N1326" s="10" t="inlineStr">
        <is>
          <t>PRIMARIOS</t>
        </is>
      </c>
      <c r="O1326" s="10" t="inlineStr">
        <is>
          <t>DOCUMENTOS TÉCNICOS</t>
        </is>
      </c>
      <c r="P1326" s="10" t="inlineStr">
        <is>
          <t>PUBLICA(1)</t>
        </is>
      </c>
      <c r="Q1326" s="10" t="inlineStr">
        <is>
          <t>BAJA(1)</t>
        </is>
      </c>
      <c r="R1326" s="10" t="inlineStr">
        <is>
          <t>MEDIA(2)</t>
        </is>
      </c>
      <c r="S1326" s="10">
        <f>+(IF(P1326="PUBLICA(1)",1,IF(P1326="USO INTERNO(2)",2,IF(P1326="RESTRINGIDO(3)",3,3))))+(IF(Q1326="BAJA(1)",1,IF(Q1326="MEDIA(2)",2,IF(Q1326="ALTA(3)",3,3))))+(IF(R1326="BAJA(1)",1,IF(R1326="MEDIA(2)",2,IF(R1326="ALTA(3)",3,3))))</f>
        <v/>
      </c>
      <c r="T1326" s="10">
        <f>+IF(S1326&lt;6,"BAJA",IF(S1326&lt;8,"MEDIA","ALTA"))</f>
        <v/>
      </c>
      <c r="U1326" s="10" t="inlineStr">
        <is>
          <t>-</t>
        </is>
      </c>
      <c r="V1326" s="24" t="n">
        <v>45635</v>
      </c>
      <c r="W1326" s="19" t="inlineStr">
        <is>
          <t>N/A</t>
        </is>
      </c>
      <c r="X1326" s="10">
        <f>+IFERROR(IF(VLOOKUP(Tabla2[[#This Row],[ID]],'EVALUACION DE RIESGO'!A:A,1,FALSE)=Tabla2[[#This Row],[ID]],"SI","NO"),"NO")</f>
        <v/>
      </c>
    </row>
    <row r="1327">
      <c r="A1327" s="91" t="inlineStr">
        <is>
          <t>305-GRI</t>
        </is>
      </c>
      <c r="B1327" s="10" t="inlineStr">
        <is>
          <t>ESTRATÉGICO</t>
        </is>
      </c>
      <c r="C1327" s="10" t="inlineStr">
        <is>
          <t>Gestión de Riesgos</t>
        </is>
      </c>
      <c r="D1327" s="10" t="inlineStr">
        <is>
          <t>GRI</t>
        </is>
      </c>
      <c r="E1327" s="10" t="inlineStr">
        <is>
          <t>Gestión de Riesgo Ambiental y Social</t>
        </is>
      </c>
      <c r="F1327" s="10" t="inlineStr">
        <is>
          <t>-</t>
        </is>
      </c>
      <c r="G1327" s="10" t="inlineStr">
        <is>
          <t>Toma de Decisiones</t>
        </is>
      </c>
      <c r="H1327" s="10" t="inlineStr">
        <is>
          <t>Matriz de verificación mínima del desempeño ambiental y social</t>
        </is>
      </c>
      <c r="I1327" s="10" t="inlineStr">
        <is>
          <t>Resultado final</t>
        </is>
      </c>
      <c r="J1327" s="10" t="inlineStr">
        <is>
          <t>GERENTE DE RIESGOS</t>
        </is>
      </c>
      <c r="K1327" s="10" t="inlineStr">
        <is>
          <t>OFICIAL INTEGRAL DE RIESGOS</t>
        </is>
      </c>
      <c r="L1327" s="10" t="inlineStr">
        <is>
          <t>UBICACIÓN DIGITAL-EQUIPO DEL RESPONSABLE</t>
        </is>
      </c>
      <c r="M1327" s="10" t="inlineStr">
        <is>
          <t>DOCUMENTO DE ARCHIVO-ELECTRÓNICO</t>
        </is>
      </c>
      <c r="N1327" s="10" t="inlineStr">
        <is>
          <t>PRIMARIOS</t>
        </is>
      </c>
      <c r="O1327" s="10" t="inlineStr">
        <is>
          <t>DOCUMENTOS TÉCNICOS</t>
        </is>
      </c>
      <c r="P1327" s="10" t="inlineStr">
        <is>
          <t>PUBLICA(1)</t>
        </is>
      </c>
      <c r="Q1327" s="10" t="inlineStr">
        <is>
          <t>BAJA(1)</t>
        </is>
      </c>
      <c r="R1327" s="10" t="inlineStr">
        <is>
          <t>MEDIA(2)</t>
        </is>
      </c>
      <c r="S1327" s="10">
        <f>+(IF(P1327="PUBLICA(1)",1,IF(P1327="USO INTERNO(2)",2,IF(P1327="RESTRINGIDO(3)",3,3))))+(IF(Q1327="BAJA(1)",1,IF(Q1327="MEDIA(2)",2,IF(Q1327="ALTA(3)",3,3))))+(IF(R1327="BAJA(1)",1,IF(R1327="MEDIA(2)",2,IF(R1327="ALTA(3)",3,3))))</f>
        <v/>
      </c>
      <c r="T1327" s="10">
        <f>+IF(S1327&lt;6,"BAJA",IF(S1327&lt;8,"MEDIA","ALTA"))</f>
        <v/>
      </c>
      <c r="U1327" s="10" t="inlineStr">
        <is>
          <t>-</t>
        </is>
      </c>
      <c r="V1327" s="24" t="n">
        <v>45635</v>
      </c>
      <c r="W1327" s="19" t="inlineStr">
        <is>
          <t>N/A</t>
        </is>
      </c>
      <c r="X1327" s="10">
        <f>+IFERROR(IF(VLOOKUP(Tabla2[[#This Row],[ID]],'EVALUACION DE RIESGO'!A:A,1,FALSE)=Tabla2[[#This Row],[ID]],"SI","NO"),"NO")</f>
        <v/>
      </c>
    </row>
    <row r="1328">
      <c r="A1328" s="91" t="inlineStr">
        <is>
          <t>306-GRI</t>
        </is>
      </c>
      <c r="B1328" s="10" t="inlineStr">
        <is>
          <t>ESTRATÉGICO</t>
        </is>
      </c>
      <c r="C1328" s="10" t="inlineStr">
        <is>
          <t>Gestión de Riesgos</t>
        </is>
      </c>
      <c r="D1328" s="10" t="inlineStr">
        <is>
          <t>GRI</t>
        </is>
      </c>
      <c r="E1328" s="10" t="inlineStr">
        <is>
          <t>Gestión de Riesgo Ambiental y Social</t>
        </is>
      </c>
      <c r="F1328" s="10" t="inlineStr">
        <is>
          <t>-</t>
        </is>
      </c>
      <c r="G1328" s="10" t="inlineStr">
        <is>
          <t>Toma de Decisiones</t>
        </is>
      </c>
      <c r="H1328" s="10" t="inlineStr">
        <is>
          <t xml:space="preserve">Matriz de verificación mínima del desempeño ambiental y social </t>
        </is>
      </c>
      <c r="I1328" s="10" t="inlineStr">
        <is>
          <t>Resultado final</t>
        </is>
      </c>
      <c r="J1328" s="10" t="inlineStr">
        <is>
          <t>GERENTE DE RIESGOS</t>
        </is>
      </c>
      <c r="K1328" s="10" t="inlineStr">
        <is>
          <t>OFICIAL INTEGRAL DE RIESGOS</t>
        </is>
      </c>
      <c r="L1328" s="10" t="inlineStr">
        <is>
          <t>UBICACIÓN DIGITAL-EQUIPO DEL RESPONSABLE</t>
        </is>
      </c>
      <c r="M1328" s="10" t="inlineStr">
        <is>
          <t>DOCUMENTO DE ARCHIVO-ELECTRÓNICO</t>
        </is>
      </c>
      <c r="N1328" s="10" t="inlineStr">
        <is>
          <t>PRIMARIOS</t>
        </is>
      </c>
      <c r="O1328" s="10" t="inlineStr">
        <is>
          <t>DOCUMENTOS TÉCNICOS</t>
        </is>
      </c>
      <c r="P1328" s="10" t="inlineStr">
        <is>
          <t>PUBLICA(1)</t>
        </is>
      </c>
      <c r="Q1328" s="10" t="inlineStr">
        <is>
          <t>BAJA(1)</t>
        </is>
      </c>
      <c r="R1328" s="10" t="inlineStr">
        <is>
          <t>MEDIA(2)</t>
        </is>
      </c>
      <c r="S1328" s="10">
        <f>+(IF(P1328="PUBLICA(1)",1,IF(P1328="USO INTERNO(2)",2,IF(P1328="RESTRINGIDO(3)",3,3))))+(IF(Q1328="BAJA(1)",1,IF(Q1328="MEDIA(2)",2,IF(Q1328="ALTA(3)",3,3))))+(IF(R1328="BAJA(1)",1,IF(R1328="MEDIA(2)",2,IF(R1328="ALTA(3)",3,3))))</f>
        <v/>
      </c>
      <c r="T1328" s="10">
        <f>+IF(S1328&lt;6,"BAJA",IF(S1328&lt;8,"MEDIA","ALTA"))</f>
        <v/>
      </c>
      <c r="U1328" s="10" t="inlineStr">
        <is>
          <t>-</t>
        </is>
      </c>
      <c r="V1328" s="24" t="n">
        <v>45635</v>
      </c>
      <c r="W1328" s="19" t="inlineStr">
        <is>
          <t>N/A</t>
        </is>
      </c>
      <c r="X1328" s="10">
        <f>+IFERROR(IF(VLOOKUP(Tabla2[[#This Row],[ID]],'EVALUACION DE RIESGO'!A:A,1,FALSE)=Tabla2[[#This Row],[ID]],"SI","NO"),"NO")</f>
        <v/>
      </c>
    </row>
    <row r="1329">
      <c r="A1329" s="91" t="inlineStr">
        <is>
          <t>307-GRI</t>
        </is>
      </c>
      <c r="B1329" s="10" t="inlineStr">
        <is>
          <t>ESTRATÉGICO</t>
        </is>
      </c>
      <c r="C1329" s="10" t="inlineStr">
        <is>
          <t>Gestión de Riesgos</t>
        </is>
      </c>
      <c r="D1329" s="10" t="inlineStr">
        <is>
          <t>GRI</t>
        </is>
      </c>
      <c r="E1329" s="10" t="inlineStr">
        <is>
          <t>Gestión de Riesgo Ambiental y Social</t>
        </is>
      </c>
      <c r="F1329" s="10" t="inlineStr">
        <is>
          <t>-</t>
        </is>
      </c>
      <c r="G1329" s="10" t="inlineStr">
        <is>
          <t>Toma de Decisiones</t>
        </is>
      </c>
      <c r="H1329" s="10" t="inlineStr">
        <is>
          <t>Plan de Acción</t>
        </is>
      </c>
      <c r="I1329" s="10" t="inlineStr">
        <is>
          <t>Describe detalle de actividades por cumplir enfocados a temas ambientales y sociales</t>
        </is>
      </c>
      <c r="J1329" s="10" t="inlineStr">
        <is>
          <t>GERENTE DE RIESGOS</t>
        </is>
      </c>
      <c r="K1329" s="10" t="inlineStr">
        <is>
          <t>OFICIAL INTEGRAL DE RIESGOS</t>
        </is>
      </c>
      <c r="L1329" s="10" t="inlineStr">
        <is>
          <t>UBICACIÓN DIGITAL-EQUIPO DEL RESPONSABLE</t>
        </is>
      </c>
      <c r="M1329" s="10" t="inlineStr">
        <is>
          <t>DOCUMENTO DE ARCHIVO-ELECTRÓNICO</t>
        </is>
      </c>
      <c r="N1329" s="10" t="inlineStr">
        <is>
          <t>PRIMARIOS</t>
        </is>
      </c>
      <c r="O1329" s="10" t="inlineStr">
        <is>
          <t>DOCUMENTOS TÉCNICOS</t>
        </is>
      </c>
      <c r="P1329" s="10" t="inlineStr">
        <is>
          <t>PUBLICA(1)</t>
        </is>
      </c>
      <c r="Q1329" s="10" t="inlineStr">
        <is>
          <t>BAJA(1)</t>
        </is>
      </c>
      <c r="R1329" s="10" t="inlineStr">
        <is>
          <t>MEDIA(2)</t>
        </is>
      </c>
      <c r="S1329" s="10">
        <f>+(IF(P1329="PUBLICA(1)",1,IF(P1329="USO INTERNO(2)",2,IF(P1329="RESTRINGIDO(3)",3,3))))+(IF(Q1329="BAJA(1)",1,IF(Q1329="MEDIA(2)",2,IF(Q1329="ALTA(3)",3,3))))+(IF(R1329="BAJA(1)",1,IF(R1329="MEDIA(2)",2,IF(R1329="ALTA(3)",3,3))))</f>
        <v/>
      </c>
      <c r="T1329" s="10">
        <f>+IF(S1329&lt;6,"BAJA",IF(S1329&lt;8,"MEDIA","ALTA"))</f>
        <v/>
      </c>
      <c r="U1329" s="10" t="inlineStr">
        <is>
          <t>-</t>
        </is>
      </c>
      <c r="V1329" s="24" t="n">
        <v>45635</v>
      </c>
      <c r="W1329" s="19" t="inlineStr">
        <is>
          <t>N/A</t>
        </is>
      </c>
      <c r="X1329" s="10">
        <f>+IFERROR(IF(VLOOKUP(Tabla2[[#This Row],[ID]],'EVALUACION DE RIESGO'!A:A,1,FALSE)=Tabla2[[#This Row],[ID]],"SI","NO"),"NO")</f>
        <v/>
      </c>
    </row>
    <row r="1330">
      <c r="A1330" s="91" t="inlineStr">
        <is>
          <t>308-GRI</t>
        </is>
      </c>
      <c r="B1330" s="10" t="inlineStr">
        <is>
          <t>ESTRATÉGICO</t>
        </is>
      </c>
      <c r="C1330" s="10" t="inlineStr">
        <is>
          <t>Gestión de Riesgos</t>
        </is>
      </c>
      <c r="D1330" s="10" t="inlineStr">
        <is>
          <t>GRI</t>
        </is>
      </c>
      <c r="E1330" s="10" t="inlineStr">
        <is>
          <t>Gestión de Riesgo Ambiental y Social</t>
        </is>
      </c>
      <c r="F1330" s="10" t="inlineStr">
        <is>
          <t>-</t>
        </is>
      </c>
      <c r="G1330" s="10" t="inlineStr">
        <is>
          <t>Control y Seguimiento</t>
        </is>
      </c>
      <c r="H1330" s="10" t="inlineStr">
        <is>
          <t>Plan de Acción</t>
        </is>
      </c>
      <c r="I1330" s="10" t="inlineStr">
        <is>
          <t>Describe el seguimiento de cumplimiento de planes de acción</t>
        </is>
      </c>
      <c r="J1330" s="10" t="inlineStr">
        <is>
          <t>GERENTE DE RIESGOS</t>
        </is>
      </c>
      <c r="K1330" s="10" t="inlineStr">
        <is>
          <t>OFICIAL INTEGRAL DE RIESGOS</t>
        </is>
      </c>
      <c r="L1330" s="10" t="inlineStr">
        <is>
          <t>UBICACIÓN DIGITAL-EQUIPO DEL RESPONSABLE</t>
        </is>
      </c>
      <c r="M1330" s="10" t="inlineStr">
        <is>
          <t>DOCUMENTO DE ARCHIVO-ELECTRÓNICO</t>
        </is>
      </c>
      <c r="N1330" s="10" t="inlineStr">
        <is>
          <t>PRIMARIOS</t>
        </is>
      </c>
      <c r="O1330" s="10" t="inlineStr">
        <is>
          <t>DOCUMENTOS TÉCNICOS</t>
        </is>
      </c>
      <c r="P1330" s="10" t="inlineStr">
        <is>
          <t>PUBLICA(1)</t>
        </is>
      </c>
      <c r="Q1330" s="10" t="inlineStr">
        <is>
          <t>BAJA(1)</t>
        </is>
      </c>
      <c r="R1330" s="10" t="inlineStr">
        <is>
          <t>MEDIA(2)</t>
        </is>
      </c>
      <c r="S1330" s="10">
        <f>+(IF(P1330="PUBLICA(1)",1,IF(P1330="USO INTERNO(2)",2,IF(P1330="RESTRINGIDO(3)",3,3))))+(IF(Q1330="BAJA(1)",1,IF(Q1330="MEDIA(2)",2,IF(Q1330="ALTA(3)",3,3))))+(IF(R1330="BAJA(1)",1,IF(R1330="MEDIA(2)",2,IF(R1330="ALTA(3)",3,3))))</f>
        <v/>
      </c>
      <c r="T1330" s="10">
        <f>+IF(S1330&lt;6,"BAJA",IF(S1330&lt;8,"MEDIA","ALTA"))</f>
        <v/>
      </c>
      <c r="U1330" s="10" t="inlineStr">
        <is>
          <t>-</t>
        </is>
      </c>
      <c r="V1330" s="24" t="n">
        <v>45635</v>
      </c>
      <c r="W1330" s="19" t="inlineStr">
        <is>
          <t>N/A</t>
        </is>
      </c>
      <c r="X1330" s="10">
        <f>+IFERROR(IF(VLOOKUP(Tabla2[[#This Row],[ID]],'EVALUACION DE RIESGO'!A:A,1,FALSE)=Tabla2[[#This Row],[ID]],"SI","NO"),"NO")</f>
        <v/>
      </c>
    </row>
    <row r="1331">
      <c r="A1331" s="91" t="inlineStr">
        <is>
          <t>309-GRI</t>
        </is>
      </c>
      <c r="B1331" s="10" t="inlineStr">
        <is>
          <t>ESTRATÉGICO</t>
        </is>
      </c>
      <c r="C1331" s="10" t="inlineStr">
        <is>
          <t>Gestión de Riesgos</t>
        </is>
      </c>
      <c r="D1331" s="10" t="inlineStr">
        <is>
          <t>GRI</t>
        </is>
      </c>
      <c r="E1331" s="10" t="inlineStr">
        <is>
          <t>Gestión de Riesgo Ambiental y Social</t>
        </is>
      </c>
      <c r="F1331" s="10" t="inlineStr">
        <is>
          <t>-</t>
        </is>
      </c>
      <c r="G1331" s="10" t="inlineStr">
        <is>
          <t>Control y Seguimiento</t>
        </is>
      </c>
      <c r="H1331" s="10" t="inlineStr">
        <is>
          <t>File del crédito</t>
        </is>
      </c>
      <c r="I1331" s="10" t="inlineStr">
        <is>
          <t>Cumplimiento del aplicación del formulario SARAS</t>
        </is>
      </c>
      <c r="J1331" s="10" t="inlineStr">
        <is>
          <t>GERENTE DE RIESGOS</t>
        </is>
      </c>
      <c r="K1331" s="10" t="inlineStr">
        <is>
          <t>OFICIAL INTEGRAL DE RIESGOS</t>
        </is>
      </c>
      <c r="L1331" s="10" t="inlineStr">
        <is>
          <t>UBICACIÓN DIGITAL-EQUIPO DEL RESPONSABLE</t>
        </is>
      </c>
      <c r="M1331" s="10" t="inlineStr">
        <is>
          <t>DOCUMENTO DE ARCHIVO-ELECTRÓNICO</t>
        </is>
      </c>
      <c r="N1331" s="10" t="inlineStr">
        <is>
          <t>PRIMARIOS</t>
        </is>
      </c>
      <c r="O1331" s="10" t="inlineStr">
        <is>
          <t>DOCUMENTOS TÉCNICOS</t>
        </is>
      </c>
      <c r="P1331" s="10" t="inlineStr">
        <is>
          <t>PUBLICA(1)</t>
        </is>
      </c>
      <c r="Q1331" s="10" t="inlineStr">
        <is>
          <t>BAJA(1)</t>
        </is>
      </c>
      <c r="R1331" s="10" t="inlineStr">
        <is>
          <t>MEDIA(2)</t>
        </is>
      </c>
      <c r="S1331" s="10">
        <f>+(IF(P1331="PUBLICA(1)",1,IF(P1331="USO INTERNO(2)",2,IF(P1331="RESTRINGIDO(3)",3,3))))+(IF(Q1331="BAJA(1)",1,IF(Q1331="MEDIA(2)",2,IF(Q1331="ALTA(3)",3,3))))+(IF(R1331="BAJA(1)",1,IF(R1331="MEDIA(2)",2,IF(R1331="ALTA(3)",3,3))))</f>
        <v/>
      </c>
      <c r="T1331" s="10">
        <f>+IF(S1331&lt;6,"BAJA",IF(S1331&lt;8,"MEDIA","ALTA"))</f>
        <v/>
      </c>
      <c r="U1331" s="10" t="inlineStr">
        <is>
          <t>-</t>
        </is>
      </c>
      <c r="V1331" s="24" t="n">
        <v>45635</v>
      </c>
      <c r="W1331" s="19" t="inlineStr">
        <is>
          <t>N/A</t>
        </is>
      </c>
      <c r="X1331" s="10">
        <f>+IFERROR(IF(VLOOKUP(Tabla2[[#This Row],[ID]],'EVALUACION DE RIESGO'!A:A,1,FALSE)=Tabla2[[#This Row],[ID]],"SI","NO"),"NO")</f>
        <v/>
      </c>
    </row>
    <row r="1332">
      <c r="A1332" s="91" t="inlineStr">
        <is>
          <t>310-GRI</t>
        </is>
      </c>
      <c r="B1332" s="10" t="inlineStr">
        <is>
          <t>ESTRATÉGICO</t>
        </is>
      </c>
      <c r="C1332" s="10" t="inlineStr">
        <is>
          <t>Gestión de Riesgos</t>
        </is>
      </c>
      <c r="D1332" s="10" t="inlineStr">
        <is>
          <t>GRI</t>
        </is>
      </c>
      <c r="E1332" s="10" t="inlineStr">
        <is>
          <t>Gestión de Riesgo Ambiental y Social</t>
        </is>
      </c>
      <c r="F1332" s="10" t="inlineStr">
        <is>
          <t>-</t>
        </is>
      </c>
      <c r="G1332" s="10" t="inlineStr">
        <is>
          <t>Control y Seguimiento</t>
        </is>
      </c>
      <c r="H1332" s="10" t="inlineStr">
        <is>
          <t>Panel del Power BI</t>
        </is>
      </c>
      <c r="I1332" s="10" t="inlineStr">
        <is>
          <t>Describe el seguimiento de cumplimiento de planes de acción</t>
        </is>
      </c>
      <c r="J1332" s="10" t="inlineStr">
        <is>
          <t>GERENTE DE RIESGOS</t>
        </is>
      </c>
      <c r="K1332" s="10" t="inlineStr">
        <is>
          <t>OFICIAL INTEGRAL DE RIESGOS</t>
        </is>
      </c>
      <c r="L1332" s="10" t="inlineStr">
        <is>
          <t>UBICACIÓN DIGITAL-WEBCOOP</t>
        </is>
      </c>
      <c r="M1332" s="10" t="inlineStr">
        <is>
          <t>DOCUMENTO DE ARCHIVO-ELECTRÓNICO</t>
        </is>
      </c>
      <c r="N1332" s="10" t="inlineStr">
        <is>
          <t>PRIMARIOS</t>
        </is>
      </c>
      <c r="O1332" s="10" t="inlineStr">
        <is>
          <t>DOCUMENTOS TÉCNICOS</t>
        </is>
      </c>
      <c r="P1332" s="10" t="inlineStr">
        <is>
          <t>PUBLICA(1)</t>
        </is>
      </c>
      <c r="Q1332" s="10" t="inlineStr">
        <is>
          <t>BAJA(1)</t>
        </is>
      </c>
      <c r="R1332" s="10" t="inlineStr">
        <is>
          <t>MEDIA(2)</t>
        </is>
      </c>
      <c r="S1332" s="10">
        <f>+(IF(P1332="PUBLICA(1)",1,IF(P1332="USO INTERNO(2)",2,IF(P1332="RESTRINGIDO(3)",3,3))))+(IF(Q1332="BAJA(1)",1,IF(Q1332="MEDIA(2)",2,IF(Q1332="ALTA(3)",3,3))))+(IF(R1332="BAJA(1)",1,IF(R1332="MEDIA(2)",2,IF(R1332="ALTA(3)",3,3))))</f>
        <v/>
      </c>
      <c r="T1332" s="10">
        <f>+IF(S1332&lt;6,"BAJA",IF(S1332&lt;8,"MEDIA","ALTA"))</f>
        <v/>
      </c>
      <c r="U1332" s="10" t="inlineStr">
        <is>
          <t>-</t>
        </is>
      </c>
      <c r="V1332" s="24" t="n">
        <v>45635</v>
      </c>
      <c r="W1332" s="19" t="inlineStr">
        <is>
          <t>N/A</t>
        </is>
      </c>
      <c r="X1332" s="10">
        <f>+IFERROR(IF(VLOOKUP(Tabla2[[#This Row],[ID]],'EVALUACION DE RIESGO'!A:A,1,FALSE)=Tabla2[[#This Row],[ID]],"SI","NO"),"NO")</f>
        <v/>
      </c>
    </row>
    <row r="1333">
      <c r="A1333" s="91" t="inlineStr">
        <is>
          <t>311-GRI</t>
        </is>
      </c>
      <c r="B1333" s="10" t="inlineStr">
        <is>
          <t>ESTRATÉGICO</t>
        </is>
      </c>
      <c r="C1333" s="10" t="inlineStr">
        <is>
          <t>Gestión de Riesgos</t>
        </is>
      </c>
      <c r="D1333" s="10" t="inlineStr">
        <is>
          <t>GRI</t>
        </is>
      </c>
      <c r="E1333" s="10" t="inlineStr">
        <is>
          <t>Gestión de Riesgo Ambiental y Social</t>
        </is>
      </c>
      <c r="F1333" s="10" t="inlineStr">
        <is>
          <t>-</t>
        </is>
      </c>
      <c r="G1333" s="10" t="inlineStr">
        <is>
          <t>Recepción de petición, queja o sugerencia por SARAS</t>
        </is>
      </c>
      <c r="H1333" s="10" t="inlineStr">
        <is>
          <t>Formulario de Preguntas, Quejas, Reclamos y Sugerencias</t>
        </is>
      </c>
      <c r="I1333" s="10" t="inlineStr">
        <is>
          <t>Describe los formularios de Quejas, Reclamos y Sugerencias</t>
        </is>
      </c>
      <c r="J1333" s="10" t="inlineStr">
        <is>
          <t>JEFE DE ATENCIÓN AL CLIENTE</t>
        </is>
      </c>
      <c r="K1333" s="10" t="inlineStr">
        <is>
          <t>JEFE DE ATENCIÓN AL CLIENTE</t>
        </is>
      </c>
      <c r="L1333" s="10" t="inlineStr">
        <is>
          <t>UBICACIÓN DIGITAL-WEBCOOP</t>
        </is>
      </c>
      <c r="M1333" s="10" t="inlineStr">
        <is>
          <t>DOCUMENTO DE ARCHIVO-ELECTRÓNICO</t>
        </is>
      </c>
      <c r="N1333" s="10" t="inlineStr">
        <is>
          <t>PRIMARIOS</t>
        </is>
      </c>
      <c r="O1333" s="10" t="inlineStr">
        <is>
          <t>DOCUMENTOS TÉCNICOS</t>
        </is>
      </c>
      <c r="P1333" s="10" t="inlineStr">
        <is>
          <t>PUBLICA(1)</t>
        </is>
      </c>
      <c r="Q1333" s="10" t="inlineStr">
        <is>
          <t>BAJA(1)</t>
        </is>
      </c>
      <c r="R1333" s="10" t="inlineStr">
        <is>
          <t>MEDIA(2)</t>
        </is>
      </c>
      <c r="S1333" s="10">
        <f>+(IF(P1333="PUBLICA(1)",1,IF(P1333="USO INTERNO(2)",2,IF(P1333="RESTRINGIDO(3)",3,3))))+(IF(Q1333="BAJA(1)",1,IF(Q1333="MEDIA(2)",2,IF(Q1333="ALTA(3)",3,3))))+(IF(R1333="BAJA(1)",1,IF(R1333="MEDIA(2)",2,IF(R1333="ALTA(3)",3,3))))</f>
        <v/>
      </c>
      <c r="T1333" s="10">
        <f>+IF(S1333&lt;6,"BAJA",IF(S1333&lt;8,"MEDIA","ALTA"))</f>
        <v/>
      </c>
      <c r="U1333" s="10" t="inlineStr">
        <is>
          <t>-</t>
        </is>
      </c>
      <c r="V1333" s="24" t="n">
        <v>45635</v>
      </c>
      <c r="W1333" s="19" t="inlineStr">
        <is>
          <t>N/A</t>
        </is>
      </c>
      <c r="X1333" s="10">
        <f>+IFERROR(IF(VLOOKUP(Tabla2[[#This Row],[ID]],'EVALUACION DE RIESGO'!A:A,1,FALSE)=Tabla2[[#This Row],[ID]],"SI","NO"),"NO")</f>
        <v/>
      </c>
    </row>
    <row r="1334">
      <c r="A1334" s="91" t="inlineStr">
        <is>
          <t>312-GRI</t>
        </is>
      </c>
      <c r="B1334" s="10" t="inlineStr">
        <is>
          <t>ESTRATÉGICO</t>
        </is>
      </c>
      <c r="C1334" s="10" t="inlineStr">
        <is>
          <t>Gestión de Riesgos</t>
        </is>
      </c>
      <c r="D1334" s="10" t="inlineStr">
        <is>
          <t>GRI</t>
        </is>
      </c>
      <c r="E1334" s="10" t="inlineStr">
        <is>
          <t>Gestión de Riesgo Ambiental y Social</t>
        </is>
      </c>
      <c r="F1334" s="10" t="inlineStr">
        <is>
          <t>-</t>
        </is>
      </c>
      <c r="G1334" s="10" t="inlineStr">
        <is>
          <t>Recepción de petición, queja o sugerencia por SARAS</t>
        </is>
      </c>
      <c r="H1334" s="10" t="inlineStr">
        <is>
          <t>Reporte de quejas por SARAS</t>
        </is>
      </c>
      <c r="I1334" s="10" t="inlineStr">
        <is>
          <t>Describe detalle de las quejas y reclamos y sugerencias</t>
        </is>
      </c>
      <c r="J1334" s="10" t="inlineStr">
        <is>
          <t>JEFE DE ATENCIÓN AL CLIENTE</t>
        </is>
      </c>
      <c r="K1334" s="10" t="inlineStr">
        <is>
          <t>JEFE DE ATENCIÓN AL CLIENTE</t>
        </is>
      </c>
      <c r="L1334" s="10" t="inlineStr">
        <is>
          <t>UBICACIÓN DIGITAL-WEBCOOP</t>
        </is>
      </c>
      <c r="M1334" s="10" t="inlineStr">
        <is>
          <t>SISTEMAS DE BASE DE DATOS</t>
        </is>
      </c>
      <c r="N1334" s="10" t="inlineStr">
        <is>
          <t>APOYO</t>
        </is>
      </c>
      <c r="O1334" s="10" t="inlineStr">
        <is>
          <t>SOFTWARE</t>
        </is>
      </c>
      <c r="P1334" s="10" t="inlineStr">
        <is>
          <t>PUBLICA(1)</t>
        </is>
      </c>
      <c r="Q1334" s="10" t="inlineStr">
        <is>
          <t>BAJA(1)</t>
        </is>
      </c>
      <c r="R1334" s="10" t="inlineStr">
        <is>
          <t>MEDIA(2)</t>
        </is>
      </c>
      <c r="S1334" s="10">
        <f>+(IF(P1334="PUBLICA(1)",1,IF(P1334="USO INTERNO(2)",2,IF(P1334="RESTRINGIDO(3)",3,3))))+(IF(Q1334="BAJA(1)",1,IF(Q1334="MEDIA(2)",2,IF(Q1334="ALTA(3)",3,3))))+(IF(R1334="BAJA(1)",1,IF(R1334="MEDIA(2)",2,IF(R1334="ALTA(3)",3,3))))</f>
        <v/>
      </c>
      <c r="T1334" s="10">
        <f>+IF(S1334&lt;6,"BAJA",IF(S1334&lt;8,"MEDIA","ALTA"))</f>
        <v/>
      </c>
      <c r="U1334" s="10" t="inlineStr">
        <is>
          <t>-</t>
        </is>
      </c>
      <c r="V1334" s="24" t="n">
        <v>45635</v>
      </c>
      <c r="W1334" s="19" t="inlineStr">
        <is>
          <t>N/A</t>
        </is>
      </c>
      <c r="X1334" s="10">
        <f>+IFERROR(IF(VLOOKUP(Tabla2[[#This Row],[ID]],'EVALUACION DE RIESGO'!A:A,1,FALSE)=Tabla2[[#This Row],[ID]],"SI","NO"),"NO")</f>
        <v/>
      </c>
    </row>
    <row r="1335">
      <c r="A1335" s="91" t="inlineStr">
        <is>
          <t>313-GRI</t>
        </is>
      </c>
      <c r="B1335" s="10" t="inlineStr">
        <is>
          <t>ESTRATÉGICO</t>
        </is>
      </c>
      <c r="C1335" s="10" t="inlineStr">
        <is>
          <t>Gestión de Riesgos</t>
        </is>
      </c>
      <c r="D1335" s="10" t="inlineStr">
        <is>
          <t>GRI</t>
        </is>
      </c>
      <c r="E1335" s="10" t="inlineStr">
        <is>
          <t>Gestión de Riesgo Ambiental y Social</t>
        </is>
      </c>
      <c r="F1335" s="10" t="inlineStr">
        <is>
          <t>-</t>
        </is>
      </c>
      <c r="G1335" s="10" t="inlineStr">
        <is>
          <t>Reporte, Consolidación y Comunicación</t>
        </is>
      </c>
      <c r="H1335" s="10" t="inlineStr">
        <is>
          <t xml:space="preserve">Reporte de operaciones de crédito concedidas </t>
        </is>
      </c>
      <c r="I1335" s="10" t="inlineStr">
        <is>
          <t>Describe detalle de operaciones de crédito</t>
        </is>
      </c>
      <c r="J1335" s="10" t="inlineStr">
        <is>
          <t>GERENTE DE RIESGOS</t>
        </is>
      </c>
      <c r="K1335" s="10" t="inlineStr">
        <is>
          <t>OFICIAL INTEGRAL DE RIESGOS</t>
        </is>
      </c>
      <c r="L1335" s="10" t="inlineStr">
        <is>
          <t>UBICACIÓN DIGITAL-EQUIPO DEL RESPONSABLE</t>
        </is>
      </c>
      <c r="M1335" s="10" t="inlineStr">
        <is>
          <t>DOCUMENTO DE ARCHIVO-ELECTRÓNICO</t>
        </is>
      </c>
      <c r="N1335" s="10" t="inlineStr">
        <is>
          <t>PRIMARIOS</t>
        </is>
      </c>
      <c r="O1335" s="10" t="inlineStr">
        <is>
          <t>DOCUMENTOS TÉCNICOS</t>
        </is>
      </c>
      <c r="P1335" s="10" t="inlineStr">
        <is>
          <t>PUBLICA(1)</t>
        </is>
      </c>
      <c r="Q1335" s="10" t="inlineStr">
        <is>
          <t>BAJA(1)</t>
        </is>
      </c>
      <c r="R1335" s="10" t="inlineStr">
        <is>
          <t>MEDIA(2)</t>
        </is>
      </c>
      <c r="S1335" s="10">
        <f>+(IF(P1335="PUBLICA(1)",1,IF(P1335="USO INTERNO(2)",2,IF(P1335="RESTRINGIDO(3)",3,3))))+(IF(Q1335="BAJA(1)",1,IF(Q1335="MEDIA(2)",2,IF(Q1335="ALTA(3)",3,3))))+(IF(R1335="BAJA(1)",1,IF(R1335="MEDIA(2)",2,IF(R1335="ALTA(3)",3,3))))</f>
        <v/>
      </c>
      <c r="T1335" s="10">
        <f>+IF(S1335&lt;6,"BAJA",IF(S1335&lt;8,"MEDIA","ALTA"))</f>
        <v/>
      </c>
      <c r="U1335" s="10" t="inlineStr">
        <is>
          <t>-</t>
        </is>
      </c>
      <c r="V1335" s="24" t="n">
        <v>45635</v>
      </c>
      <c r="W1335" s="19" t="inlineStr">
        <is>
          <t>N/A</t>
        </is>
      </c>
      <c r="X1335" s="10">
        <f>+IFERROR(IF(VLOOKUP(Tabla2[[#This Row],[ID]],'EVALUACION DE RIESGO'!A:A,1,FALSE)=Tabla2[[#This Row],[ID]],"SI","NO"),"NO")</f>
        <v/>
      </c>
    </row>
    <row r="1336">
      <c r="A1336" s="91" t="inlineStr">
        <is>
          <t>314-GRI</t>
        </is>
      </c>
      <c r="B1336" s="10" t="inlineStr">
        <is>
          <t>ESTRATÉGICO</t>
        </is>
      </c>
      <c r="C1336" s="10" t="inlineStr">
        <is>
          <t>Gestión de Riesgos</t>
        </is>
      </c>
      <c r="D1336" s="10" t="inlineStr">
        <is>
          <t>GRI</t>
        </is>
      </c>
      <c r="E1336" s="10" t="inlineStr">
        <is>
          <t>Gestión de Riesgo Ambiental y Social</t>
        </is>
      </c>
      <c r="F1336" s="10" t="inlineStr">
        <is>
          <t>-</t>
        </is>
      </c>
      <c r="G1336" s="10" t="inlineStr">
        <is>
          <t>Reporte, Consolidación y Comunicación</t>
        </is>
      </c>
      <c r="H1336" s="10" t="inlineStr">
        <is>
          <t>Detalle de capacitaciones de SARAS efectuadas</t>
        </is>
      </c>
      <c r="I1336" s="10" t="inlineStr">
        <is>
          <t>describes las capacitaciones de saras ejecutadas</t>
        </is>
      </c>
      <c r="J1336" s="10" t="inlineStr">
        <is>
          <t>GERENTE DE RIESGOS</t>
        </is>
      </c>
      <c r="K1336" s="10" t="inlineStr">
        <is>
          <t>OFICIAL INTEGRAL DE RIESGOS</t>
        </is>
      </c>
      <c r="L1336" s="10" t="inlineStr">
        <is>
          <t>UBICACIÓN DIGITAL-EQUIPO DEL RESPONSABLE</t>
        </is>
      </c>
      <c r="M1336" s="10" t="inlineStr">
        <is>
          <t>DOCUMENTO DE ARCHIVO-ELECTRÓNICO</t>
        </is>
      </c>
      <c r="N1336" s="10" t="inlineStr">
        <is>
          <t>PRIMARIOS</t>
        </is>
      </c>
      <c r="O1336" s="10" t="inlineStr">
        <is>
          <t>DOCUMENTOS TÉCNICOS</t>
        </is>
      </c>
      <c r="P1336" s="10" t="inlineStr">
        <is>
          <t>PUBLICA(1)</t>
        </is>
      </c>
      <c r="Q1336" s="10" t="inlineStr">
        <is>
          <t>BAJA(1)</t>
        </is>
      </c>
      <c r="R1336" s="10" t="inlineStr">
        <is>
          <t>MEDIA(2)</t>
        </is>
      </c>
      <c r="S1336" s="10">
        <f>+(IF(P1336="PUBLICA(1)",1,IF(P1336="USO INTERNO(2)",2,IF(P1336="RESTRINGIDO(3)",3,3))))+(IF(Q1336="BAJA(1)",1,IF(Q1336="MEDIA(2)",2,IF(Q1336="ALTA(3)",3,3))))+(IF(R1336="BAJA(1)",1,IF(R1336="MEDIA(2)",2,IF(R1336="ALTA(3)",3,3))))</f>
        <v/>
      </c>
      <c r="T1336" s="10">
        <f>+IF(S1336&lt;6,"BAJA",IF(S1336&lt;8,"MEDIA","ALTA"))</f>
        <v/>
      </c>
      <c r="U1336" s="10" t="inlineStr">
        <is>
          <t>-</t>
        </is>
      </c>
      <c r="V1336" s="24" t="n">
        <v>45635</v>
      </c>
      <c r="W1336" s="19" t="inlineStr">
        <is>
          <t>N/A</t>
        </is>
      </c>
      <c r="X1336" s="10">
        <f>+IFERROR(IF(VLOOKUP(Tabla2[[#This Row],[ID]],'EVALUACION DE RIESGO'!A:A,1,FALSE)=Tabla2[[#This Row],[ID]],"SI","NO"),"NO")</f>
        <v/>
      </c>
    </row>
    <row r="1337">
      <c r="A1337" s="91" t="inlineStr">
        <is>
          <t>315-GRI</t>
        </is>
      </c>
      <c r="B1337" s="10" t="inlineStr">
        <is>
          <t>ESTRATÉGICO</t>
        </is>
      </c>
      <c r="C1337" s="10" t="inlineStr">
        <is>
          <t>Gestión de Riesgos</t>
        </is>
      </c>
      <c r="D1337" s="10" t="inlineStr">
        <is>
          <t>GRI</t>
        </is>
      </c>
      <c r="E1337" s="10" t="inlineStr">
        <is>
          <t>Gestión de Riesgo Ambiental y Social</t>
        </is>
      </c>
      <c r="F1337" s="10" t="inlineStr">
        <is>
          <t>-</t>
        </is>
      </c>
      <c r="G1337" s="10" t="inlineStr">
        <is>
          <t>Reporte, Consolidación y Comunicación</t>
        </is>
      </c>
      <c r="H1337" s="10" t="inlineStr">
        <is>
          <t>Reporte de quejas por SARAS</t>
        </is>
      </c>
      <c r="I1337" s="10" t="inlineStr">
        <is>
          <t>Reporte de quejas por SARAS</t>
        </is>
      </c>
      <c r="J1337" s="10" t="inlineStr">
        <is>
          <t>GERENTE DE RIESGOS</t>
        </is>
      </c>
      <c r="K1337" s="10" t="inlineStr">
        <is>
          <t>OFICIAL INTEGRAL DE RIESGOS</t>
        </is>
      </c>
      <c r="L1337" s="10" t="inlineStr">
        <is>
          <t>UBICACIÓN DIGITAL-EQUIPO DEL RESPONSABLE</t>
        </is>
      </c>
      <c r="M1337" s="10" t="inlineStr">
        <is>
          <t>DOCUMENTO DE ARCHIVO-ELECTRÓNICO</t>
        </is>
      </c>
      <c r="N1337" s="10" t="inlineStr">
        <is>
          <t>PRIMARIOS</t>
        </is>
      </c>
      <c r="O1337" s="10" t="inlineStr">
        <is>
          <t>DOCUMENTOS TÉCNICOS</t>
        </is>
      </c>
      <c r="P1337" s="10" t="inlineStr">
        <is>
          <t>PUBLICA(1)</t>
        </is>
      </c>
      <c r="Q1337" s="10" t="inlineStr">
        <is>
          <t>BAJA(1)</t>
        </is>
      </c>
      <c r="R1337" s="10" t="inlineStr">
        <is>
          <t>MEDIA(2)</t>
        </is>
      </c>
      <c r="S1337" s="10">
        <f>+(IF(P1337="PUBLICA(1)",1,IF(P1337="USO INTERNO(2)",2,IF(P1337="RESTRINGIDO(3)",3,3))))+(IF(Q1337="BAJA(1)",1,IF(Q1337="MEDIA(2)",2,IF(Q1337="ALTA(3)",3,3))))+(IF(R1337="BAJA(1)",1,IF(R1337="MEDIA(2)",2,IF(R1337="ALTA(3)",3,3))))</f>
        <v/>
      </c>
      <c r="T1337" s="10">
        <f>+IF(S1337&lt;6,"BAJA",IF(S1337&lt;8,"MEDIA","ALTA"))</f>
        <v/>
      </c>
      <c r="U1337" s="10" t="inlineStr">
        <is>
          <t>-</t>
        </is>
      </c>
      <c r="V1337" s="24" t="n">
        <v>45635</v>
      </c>
      <c r="W1337" s="19" t="inlineStr">
        <is>
          <t>N/A</t>
        </is>
      </c>
      <c r="X1337" s="10">
        <f>+IFERROR(IF(VLOOKUP(Tabla2[[#This Row],[ID]],'EVALUACION DE RIESGO'!A:A,1,FALSE)=Tabla2[[#This Row],[ID]],"SI","NO"),"NO")</f>
        <v/>
      </c>
    </row>
    <row r="1338">
      <c r="A1338" s="91" t="inlineStr">
        <is>
          <t>316-GRI</t>
        </is>
      </c>
      <c r="B1338" s="10" t="inlineStr">
        <is>
          <t>ESTRATÉGICO</t>
        </is>
      </c>
      <c r="C1338" s="10" t="inlineStr">
        <is>
          <t>Gestión de Riesgos</t>
        </is>
      </c>
      <c r="D1338" s="10" t="inlineStr">
        <is>
          <t>GRI</t>
        </is>
      </c>
      <c r="E1338" s="10" t="inlineStr">
        <is>
          <t>Gestión de Riesgo Ambiental y Social</t>
        </is>
      </c>
      <c r="F1338" s="10" t="inlineStr">
        <is>
          <t>-</t>
        </is>
      </c>
      <c r="G1338" s="10" t="inlineStr">
        <is>
          <t>Reporte, Consolidación y Comunicación</t>
        </is>
      </c>
      <c r="H1338" s="10" t="inlineStr">
        <is>
          <t>Informe Mensual de Riesgos</t>
        </is>
      </c>
      <c r="I1338" s="10" t="inlineStr">
        <is>
          <t>Describe la gestión ambiental y social</t>
        </is>
      </c>
      <c r="J1338" s="10" t="inlineStr">
        <is>
          <t>GERENTE DE RIESGOS</t>
        </is>
      </c>
      <c r="K1338" s="10" t="inlineStr">
        <is>
          <t>OFICIAL INTEGRAL DE RIESGOS</t>
        </is>
      </c>
      <c r="L1338" s="10" t="inlineStr">
        <is>
          <t>UBICACIÓN DIGITAL-EQUIPO DEL RESPONSABLE</t>
        </is>
      </c>
      <c r="M1338" s="10" t="inlineStr">
        <is>
          <t>DOCUMENTO DE ARCHIVO-ELECTRÓNICO</t>
        </is>
      </c>
      <c r="N1338" s="10" t="inlineStr">
        <is>
          <t>PRIMARIOS</t>
        </is>
      </c>
      <c r="O1338" s="10" t="inlineStr">
        <is>
          <t>DOCUMENTOS TÉCNICOS</t>
        </is>
      </c>
      <c r="P1338" s="10" t="inlineStr">
        <is>
          <t>PUBLICA(1)</t>
        </is>
      </c>
      <c r="Q1338" s="10" t="inlineStr">
        <is>
          <t>BAJA(1)</t>
        </is>
      </c>
      <c r="R1338" s="10" t="inlineStr">
        <is>
          <t>MEDIA(2)</t>
        </is>
      </c>
      <c r="S1338" s="10">
        <f>+(IF(P1338="PUBLICA(1)",1,IF(P1338="USO INTERNO(2)",2,IF(P1338="RESTRINGIDO(3)",3,3))))+(IF(Q1338="BAJA(1)",1,IF(Q1338="MEDIA(2)",2,IF(Q1338="ALTA(3)",3,3))))+(IF(R1338="BAJA(1)",1,IF(R1338="MEDIA(2)",2,IF(R1338="ALTA(3)",3,3))))</f>
        <v/>
      </c>
      <c r="T1338" s="10">
        <f>+IF(S1338&lt;6,"BAJA",IF(S1338&lt;8,"MEDIA","ALTA"))</f>
        <v/>
      </c>
      <c r="U1338" s="10" t="inlineStr">
        <is>
          <t>-</t>
        </is>
      </c>
      <c r="V1338" s="24" t="n">
        <v>45635</v>
      </c>
      <c r="W1338" s="19" t="inlineStr">
        <is>
          <t>N/A</t>
        </is>
      </c>
      <c r="X1338" s="10">
        <f>+IFERROR(IF(VLOOKUP(Tabla2[[#This Row],[ID]],'EVALUACION DE RIESGO'!A:A,1,FALSE)=Tabla2[[#This Row],[ID]],"SI","NO"),"NO")</f>
        <v/>
      </c>
    </row>
    <row r="1339">
      <c r="A1339" s="91" t="inlineStr">
        <is>
          <t>317-GRI</t>
        </is>
      </c>
      <c r="B1339" s="10" t="inlineStr">
        <is>
          <t>ESTRATÉGICO</t>
        </is>
      </c>
      <c r="C1339" s="10" t="inlineStr">
        <is>
          <t>Gestión de Riesgos</t>
        </is>
      </c>
      <c r="D1339" s="10" t="inlineStr">
        <is>
          <t>GRI</t>
        </is>
      </c>
      <c r="E1339" s="10" t="inlineStr">
        <is>
          <t>Gestión de Riesgo Ambiental y Social</t>
        </is>
      </c>
      <c r="F1339" s="10" t="inlineStr">
        <is>
          <t>-</t>
        </is>
      </c>
      <c r="G1339" s="10" t="inlineStr">
        <is>
          <t>Reporte, Consolidación y Comunicación</t>
        </is>
      </c>
      <c r="H1339" s="10" t="inlineStr">
        <is>
          <t>Informe Anual de Gestión de Riesgo Ambiental y Social</t>
        </is>
      </c>
      <c r="I1339" s="10" t="inlineStr">
        <is>
          <t>Describe la gestión ambiental y social</t>
        </is>
      </c>
      <c r="J1339" s="10" t="inlineStr">
        <is>
          <t>GERENTE DE RIESGOS</t>
        </is>
      </c>
      <c r="K1339" s="10" t="inlineStr">
        <is>
          <t>OFICIAL INTEGRAL DE RIESGOS</t>
        </is>
      </c>
      <c r="L1339" s="10" t="inlineStr">
        <is>
          <t>UBICACIÓN DIGITAL-EQUIPO DEL RESPONSABLE</t>
        </is>
      </c>
      <c r="M1339" s="10" t="inlineStr">
        <is>
          <t>DOCUMENTO DE ARCHIVO-ELECTRÓNICO</t>
        </is>
      </c>
      <c r="N1339" s="10" t="inlineStr">
        <is>
          <t>PRIMARIOS</t>
        </is>
      </c>
      <c r="O1339" s="10" t="inlineStr">
        <is>
          <t>DOCUMENTOS TÉCNICOS</t>
        </is>
      </c>
      <c r="P1339" s="10" t="inlineStr">
        <is>
          <t>PUBLICA(1)</t>
        </is>
      </c>
      <c r="Q1339" s="10" t="inlineStr">
        <is>
          <t>BAJA(1)</t>
        </is>
      </c>
      <c r="R1339" s="10" t="inlineStr">
        <is>
          <t>MEDIA(2)</t>
        </is>
      </c>
      <c r="S1339" s="10">
        <f>+(IF(P1339="PUBLICA(1)",1,IF(P1339="USO INTERNO(2)",2,IF(P1339="RESTRINGIDO(3)",3,3))))+(IF(Q1339="BAJA(1)",1,IF(Q1339="MEDIA(2)",2,IF(Q1339="ALTA(3)",3,3))))+(IF(R1339="BAJA(1)",1,IF(R1339="MEDIA(2)",2,IF(R1339="ALTA(3)",3,3))))</f>
        <v/>
      </c>
      <c r="T1339" s="10">
        <f>+IF(S1339&lt;6,"BAJA",IF(S1339&lt;8,"MEDIA","ALTA"))</f>
        <v/>
      </c>
      <c r="U1339" s="10" t="inlineStr">
        <is>
          <t>-</t>
        </is>
      </c>
      <c r="V1339" s="24" t="n">
        <v>45635</v>
      </c>
      <c r="W1339" s="19" t="inlineStr">
        <is>
          <t>N/A</t>
        </is>
      </c>
      <c r="X1339" s="10">
        <f>+IFERROR(IF(VLOOKUP(Tabla2[[#This Row],[ID]],'EVALUACION DE RIESGO'!A:A,1,FALSE)=Tabla2[[#This Row],[ID]],"SI","NO"),"NO")</f>
        <v/>
      </c>
    </row>
    <row r="1340">
      <c r="A1340" s="91" t="inlineStr">
        <is>
          <t>318-GRI</t>
        </is>
      </c>
      <c r="B1340" s="10" t="inlineStr">
        <is>
          <t>ESTRATÉGICO</t>
        </is>
      </c>
      <c r="C1340" s="10" t="inlineStr">
        <is>
          <t>Gestión de Riesgos</t>
        </is>
      </c>
      <c r="D1340" s="10" t="inlineStr">
        <is>
          <t>GRI</t>
        </is>
      </c>
      <c r="E1340" s="10" t="inlineStr">
        <is>
          <t>Gestión de Riesgo Ambiental y Social</t>
        </is>
      </c>
      <c r="F1340" s="10" t="inlineStr">
        <is>
          <t>-</t>
        </is>
      </c>
      <c r="G1340" s="10" t="inlineStr">
        <is>
          <t>Reporte, Consolidación y Comunicación</t>
        </is>
      </c>
      <c r="H1340" s="10" t="inlineStr">
        <is>
          <t>Acta de Consejo de Administración con la aprobación del informe</t>
        </is>
      </c>
      <c r="I1340" s="10" t="inlineStr">
        <is>
          <t>Describe el conocimiento del informe anual de gestion ambiental y social</t>
        </is>
      </c>
      <c r="J1340" s="10" t="inlineStr">
        <is>
          <t>GERENTE DE RIESGOS</t>
        </is>
      </c>
      <c r="K1340" s="10" t="inlineStr">
        <is>
          <t>OFICIAL INTEGRAL DE RIESGOS</t>
        </is>
      </c>
      <c r="L1340" s="10" t="inlineStr">
        <is>
          <t>UBICACIÓN DIGITAL-EQUIPO DEL RESPONSABLE</t>
        </is>
      </c>
      <c r="M1340" s="10" t="inlineStr">
        <is>
          <t>DOCUMENTO DE ARCHIVO-ELECTRÓNICO</t>
        </is>
      </c>
      <c r="N1340" s="10" t="inlineStr">
        <is>
          <t>PRIMARIOS</t>
        </is>
      </c>
      <c r="O1340" s="10" t="inlineStr">
        <is>
          <t>DOCUMENTOS TÉCNICOS</t>
        </is>
      </c>
      <c r="P1340" s="10" t="inlineStr">
        <is>
          <t>PUBLICA(1)</t>
        </is>
      </c>
      <c r="Q1340" s="10" t="inlineStr">
        <is>
          <t>BAJA(1)</t>
        </is>
      </c>
      <c r="R1340" s="10" t="inlineStr">
        <is>
          <t>ALTA(3)</t>
        </is>
      </c>
      <c r="S1340" s="10">
        <f>+(IF(P1340="PUBLICA(1)",1,IF(P1340="USO INTERNO(2)",2,IF(P1340="RESTRINGIDO(3)",3,3))))+(IF(Q1340="BAJA(1)",1,IF(Q1340="MEDIA(2)",2,IF(Q1340="ALTA(3)",3,3))))+(IF(R1340="BAJA(1)",1,IF(R1340="MEDIA(2)",2,IF(R1340="ALTA(3)",3,3))))</f>
        <v/>
      </c>
      <c r="T1340" s="10">
        <f>+IF(S1340&lt;6,"BAJA",IF(S1340&lt;8,"MEDIA","ALTA"))</f>
        <v/>
      </c>
      <c r="U1340" s="10" t="inlineStr">
        <is>
          <t>-</t>
        </is>
      </c>
      <c r="V1340" s="24" t="n">
        <v>45635</v>
      </c>
      <c r="W1340" s="19" t="inlineStr">
        <is>
          <t>N/A</t>
        </is>
      </c>
      <c r="X1340" s="10">
        <f>+IFERROR(IF(VLOOKUP(Tabla2[[#This Row],[ID]],'EVALUACION DE RIESGO'!A:A,1,FALSE)=Tabla2[[#This Row],[ID]],"SI","NO"),"NO")</f>
        <v/>
      </c>
    </row>
    <row r="1341">
      <c r="A1341" s="91" t="inlineStr">
        <is>
          <t>1-GSO</t>
        </is>
      </c>
      <c r="B1341" s="10" t="inlineStr">
        <is>
          <t>APOYO</t>
        </is>
      </c>
      <c r="C1341" s="10" t="inlineStr">
        <is>
          <t>Gestión de Seguridad Organizacional</t>
        </is>
      </c>
      <c r="D1341" s="10" t="inlineStr">
        <is>
          <t>GSO</t>
        </is>
      </c>
      <c r="E1341" s="10" t="inlineStr">
        <is>
          <t>Gestión de Seguridad Física</t>
        </is>
      </c>
      <c r="F1341" s="10" t="inlineStr">
        <is>
          <t>-</t>
        </is>
      </c>
      <c r="G1341" s="10" t="inlineStr">
        <is>
          <t>Análisis de amenazas y vulnerabilidades físicas</t>
        </is>
      </c>
      <c r="H1341" s="10" t="inlineStr">
        <is>
          <t>Matriz de evaluación de riesgos físicos</t>
        </is>
      </c>
      <c r="I1341" s="10" t="inlineStr">
        <is>
          <t>Matriz de evaluación de riesgos físicos considerando niveles de impacto, controles implementados y su nivel de efectividad</t>
        </is>
      </c>
      <c r="J1341" s="10" t="inlineStr">
        <is>
          <t>Oficial de Seguridad Física</t>
        </is>
      </c>
      <c r="K1341" s="10" t="inlineStr">
        <is>
          <t>Oficial de Seguridad Física</t>
        </is>
      </c>
      <c r="L1341" s="10" t="inlineStr">
        <is>
          <t>UBICACIÓN DIGITAL-EQUIPO DEL RESPONSABLE</t>
        </is>
      </c>
      <c r="M1341" s="10" t="inlineStr">
        <is>
          <t>DISCOS DUROS, SERVIDORES, DISCOS O MEDIOS PORTÁTILES, CINTAS O MEDIOS DE VIDEO Y AUDIO, ETC.</t>
        </is>
      </c>
      <c r="N1341" s="10" t="inlineStr">
        <is>
          <t>PRIMARIOS</t>
        </is>
      </c>
      <c r="O1341" s="10" t="inlineStr">
        <is>
          <t>DOCUMENTOS TÉCNICOS</t>
        </is>
      </c>
      <c r="P1341" s="10" t="inlineStr">
        <is>
          <t>RESTRINGIDO(3)</t>
        </is>
      </c>
      <c r="Q1341" s="10" t="inlineStr">
        <is>
          <t>BAJA(1)</t>
        </is>
      </c>
      <c r="R1341" s="10" t="inlineStr">
        <is>
          <t>MEDIA(2)</t>
        </is>
      </c>
      <c r="S1341" s="10">
        <f>+(IF(P1341="PUBLICA(1)",1,IF(P1341="USO INTERNO(2)",2,IF(P1341="RESTRINGIDO(3)",3,3))))+(IF(Q1341="BAJA(1)",1,IF(Q1341="MEDIA(2)",2,IF(Q1341="ALTA(3)",3,3))))+(IF(R1341="BAJA(1)",1,IF(R1341="MEDIA(2)",2,IF(R1341="ALTA(3)",3,3))))</f>
        <v/>
      </c>
      <c r="T1341" s="10">
        <f>+IF(S1341&lt;6,"BAJA",IF(S1341&lt;8,"MEDIA","ALTA"))</f>
        <v/>
      </c>
      <c r="U1341" s="10" t="inlineStr">
        <is>
          <t>-</t>
        </is>
      </c>
      <c r="V1341" s="24" t="n">
        <v>45712</v>
      </c>
      <c r="W1341" s="19" t="inlineStr">
        <is>
          <t>N/A</t>
        </is>
      </c>
      <c r="X1341" s="10">
        <f>+IFERROR(IF(VLOOKUP(Tabla2[[#This Row],[ID]],'EVALUACION DE RIESGO'!A:A,1,FALSE)=Tabla2[[#This Row],[ID]],"SI","NO"),"NO")</f>
        <v/>
      </c>
    </row>
    <row r="1342">
      <c r="A1342" s="91" t="inlineStr">
        <is>
          <t>2-GSO</t>
        </is>
      </c>
      <c r="B1342" s="10" t="inlineStr">
        <is>
          <t>APOYO</t>
        </is>
      </c>
      <c r="C1342" s="10" t="inlineStr">
        <is>
          <t>Gestión de Seguridad Organizacional</t>
        </is>
      </c>
      <c r="D1342" s="10" t="inlineStr">
        <is>
          <t>GSO</t>
        </is>
      </c>
      <c r="E1342" s="10" t="inlineStr">
        <is>
          <t>Gestión de Seguridad Física</t>
        </is>
      </c>
      <c r="F1342" s="10" t="inlineStr">
        <is>
          <t>-</t>
        </is>
      </c>
      <c r="G1342" s="10" t="inlineStr">
        <is>
          <t>Análisis de amenazas y vulnerabilidades físicas</t>
        </is>
      </c>
      <c r="H1342" s="10" t="inlineStr">
        <is>
          <t>Herramienta de Análisis de Vulnerabilidades</t>
        </is>
      </c>
      <c r="I1342" s="10" t="inlineStr">
        <is>
          <t>Documento de análisis parte del estudio de seguridad, an'alisis cuantitativo y nivel de riesgo</t>
        </is>
      </c>
      <c r="J1342" s="10" t="inlineStr">
        <is>
          <t>Oficial de Seguridad Física</t>
        </is>
      </c>
      <c r="K1342" s="10" t="inlineStr">
        <is>
          <t>Oficial de Seguridad Física</t>
        </is>
      </c>
      <c r="L1342" s="10" t="inlineStr">
        <is>
          <t>UBICACIÓN DIGITAL-EQUIPO DEL RESPONSABLE</t>
        </is>
      </c>
      <c r="M1342" s="10" t="inlineStr">
        <is>
          <t>DISCOS DUROS, SERVIDORES, DISCOS O MEDIOS PORTÁTILES, CINTAS O MEDIOS DE VIDEO Y AUDIO, ETC.</t>
        </is>
      </c>
      <c r="N1342" s="10" t="inlineStr">
        <is>
          <t>PRIMARIOS</t>
        </is>
      </c>
      <c r="O1342" s="10" t="inlineStr">
        <is>
          <t>DOCUMENTOS TÉCNICOS</t>
        </is>
      </c>
      <c r="P1342" s="10" t="inlineStr">
        <is>
          <t>RESTRINGIDO(3)</t>
        </is>
      </c>
      <c r="Q1342" s="10" t="inlineStr">
        <is>
          <t>BAJA(1)</t>
        </is>
      </c>
      <c r="R1342" s="10" t="inlineStr">
        <is>
          <t>MEDIA(2)</t>
        </is>
      </c>
      <c r="S1342" s="10">
        <f>+(IF(P1342="PUBLICA(1)",1,IF(P1342="USO INTERNO(2)",2,IF(P1342="RESTRINGIDO(3)",3,3))))+(IF(Q1342="BAJA(1)",1,IF(Q1342="MEDIA(2)",2,IF(Q1342="ALTA(3)",3,3))))+(IF(R1342="BAJA(1)",1,IF(R1342="MEDIA(2)",2,IF(R1342="ALTA(3)",3,3))))</f>
        <v/>
      </c>
      <c r="T1342" s="10">
        <f>+IF(S1342&lt;6,"BAJA",IF(S1342&lt;8,"MEDIA","ALTA"))</f>
        <v/>
      </c>
      <c r="U1342" s="10" t="inlineStr">
        <is>
          <t>-</t>
        </is>
      </c>
      <c r="V1342" s="24" t="n">
        <v>45712</v>
      </c>
      <c r="W1342" s="19" t="inlineStr">
        <is>
          <t>N/A</t>
        </is>
      </c>
      <c r="X1342" s="10">
        <f>+IFERROR(IF(VLOOKUP(Tabla2[[#This Row],[ID]],'EVALUACION DE RIESGO'!A:A,1,FALSE)=Tabla2[[#This Row],[ID]],"SI","NO"),"NO")</f>
        <v/>
      </c>
    </row>
    <row r="1343">
      <c r="A1343" s="91" t="inlineStr">
        <is>
          <t>3-GSO</t>
        </is>
      </c>
      <c r="B1343" s="10" t="inlineStr">
        <is>
          <t>APOYO</t>
        </is>
      </c>
      <c r="C1343" s="10" t="inlineStr">
        <is>
          <t>Gestión de Seguridad Organizacional</t>
        </is>
      </c>
      <c r="D1343" s="10" t="inlineStr">
        <is>
          <t>GSO</t>
        </is>
      </c>
      <c r="E1343" s="10" t="inlineStr">
        <is>
          <t>Gestión de Seguridad Física</t>
        </is>
      </c>
      <c r="F1343" s="10" t="inlineStr">
        <is>
          <t>-</t>
        </is>
      </c>
      <c r="G1343" s="10" t="inlineStr">
        <is>
          <t>Análisis de amenazas y vulnerabilidades físicas</t>
        </is>
      </c>
      <c r="H1343" s="10" t="inlineStr">
        <is>
          <t>Herramienta de Evaluación del Perfil de Seguridad</t>
        </is>
      </c>
      <c r="I1343" s="10" t="inlineStr">
        <is>
          <t xml:space="preserve">Herramienta de control de accesos físicos </t>
        </is>
      </c>
      <c r="J1343" s="10" t="inlineStr">
        <is>
          <t>Oficial de Seguridad Física</t>
        </is>
      </c>
      <c r="K1343" s="10" t="inlineStr">
        <is>
          <t>Oficial de Seguridad Física</t>
        </is>
      </c>
      <c r="L1343" s="10" t="inlineStr">
        <is>
          <t>UBICACIÓN DIGITAL-EQUIPO DEL RESPONSABLE</t>
        </is>
      </c>
      <c r="M1343" s="10" t="inlineStr">
        <is>
          <t>DISCOS DUROS, SERVIDORES, DISCOS O MEDIOS PORTÁTILES, CINTAS O MEDIOS DE VIDEO Y AUDIO, ETC.</t>
        </is>
      </c>
      <c r="N1343" s="10" t="inlineStr">
        <is>
          <t>APOYO</t>
        </is>
      </c>
      <c r="O1343" s="10" t="inlineStr">
        <is>
          <t>SOFTWARE</t>
        </is>
      </c>
      <c r="P1343" s="10" t="inlineStr">
        <is>
          <t>USO INTERNO(2)</t>
        </is>
      </c>
      <c r="Q1343" s="10" t="inlineStr">
        <is>
          <t>BAJA(1)</t>
        </is>
      </c>
      <c r="R1343" s="10" t="inlineStr">
        <is>
          <t>MEDIA(2)</t>
        </is>
      </c>
      <c r="S1343" s="10">
        <f>+(IF(P1343="PUBLICA(1)",1,IF(P1343="USO INTERNO(2)",2,IF(P1343="RESTRINGIDO(3)",3,3))))+(IF(Q1343="BAJA(1)",1,IF(Q1343="MEDIA(2)",2,IF(Q1343="ALTA(3)",3,3))))+(IF(R1343="BAJA(1)",1,IF(R1343="MEDIA(2)",2,IF(R1343="ALTA(3)",3,3))))</f>
        <v/>
      </c>
      <c r="T1343" s="10">
        <f>+IF(S1343&lt;6,"BAJA",IF(S1343&lt;8,"MEDIA","ALTA"))</f>
        <v/>
      </c>
      <c r="U1343" s="10" t="inlineStr">
        <is>
          <t>-</t>
        </is>
      </c>
      <c r="V1343" s="24" t="n">
        <v>45712</v>
      </c>
      <c r="W1343" s="19" t="inlineStr">
        <is>
          <t>N/A</t>
        </is>
      </c>
      <c r="X1343" s="10">
        <f>+IFERROR(IF(VLOOKUP(Tabla2[[#This Row],[ID]],'EVALUACION DE RIESGO'!A:A,1,FALSE)=Tabla2[[#This Row],[ID]],"SI","NO"),"NO")</f>
        <v/>
      </c>
    </row>
    <row r="1344">
      <c r="A1344" s="91" t="inlineStr">
        <is>
          <t>4-GSO</t>
        </is>
      </c>
      <c r="B1344" s="10" t="inlineStr">
        <is>
          <t>APOYO</t>
        </is>
      </c>
      <c r="C1344" s="10" t="inlineStr">
        <is>
          <t>Gestión de Seguridad Organizacional</t>
        </is>
      </c>
      <c r="D1344" s="10" t="inlineStr">
        <is>
          <t>GSO</t>
        </is>
      </c>
      <c r="E1344" s="10" t="inlineStr">
        <is>
          <t>Gestión de Seguridad Física</t>
        </is>
      </c>
      <c r="F1344" s="10" t="inlineStr">
        <is>
          <t>-</t>
        </is>
      </c>
      <c r="G1344" s="10" t="inlineStr">
        <is>
          <t>Análisis de amenazas y vulnerabilidades físicas</t>
        </is>
      </c>
      <c r="H1344" s="10" t="inlineStr">
        <is>
          <t>Estudio de Seguridad de las instalaciones</t>
        </is>
      </c>
      <c r="I1344" s="10" t="inlineStr">
        <is>
          <t>Consolidación de información para el proceso de certificación de las instalaciones</t>
        </is>
      </c>
      <c r="J1344" s="10" t="inlineStr">
        <is>
          <t>Oficial de Seguridad Física</t>
        </is>
      </c>
      <c r="K1344" s="10" t="inlineStr">
        <is>
          <t>Oficial de Seguridad Física</t>
        </is>
      </c>
      <c r="L1344" s="10" t="inlineStr">
        <is>
          <t>DOCUMENTOS FISICOS-ARCHIVOS DE LA OFICINA</t>
        </is>
      </c>
      <c r="M1344" s="10" t="inlineStr">
        <is>
          <t>DOCUMENTO DE ARCHIVO-FÍSICO</t>
        </is>
      </c>
      <c r="N1344" s="10" t="inlineStr">
        <is>
          <t>PRIMARIOS</t>
        </is>
      </c>
      <c r="O1344" s="10" t="inlineStr">
        <is>
          <t>DOCUMENTOS TÉCNICOS</t>
        </is>
      </c>
      <c r="P1344" s="10" t="inlineStr">
        <is>
          <t>RESTRINGIDO(3)</t>
        </is>
      </c>
      <c r="Q1344" s="10" t="inlineStr">
        <is>
          <t>BAJA(1)</t>
        </is>
      </c>
      <c r="R1344" s="10" t="inlineStr">
        <is>
          <t>ALTA(3)</t>
        </is>
      </c>
      <c r="S1344" s="10">
        <f>+(IF(P1344="PUBLICA(1)",1,IF(P1344="USO INTERNO(2)",2,IF(P1344="RESTRINGIDO(3)",3,3))))+(IF(Q1344="BAJA(1)",1,IF(Q1344="MEDIA(2)",2,IF(Q1344="ALTA(3)",3,3))))+(IF(R1344="BAJA(1)",1,IF(R1344="MEDIA(2)",2,IF(R1344="ALTA(3)",3,3))))</f>
        <v/>
      </c>
      <c r="T1344" s="10">
        <f>+IF(S1344&lt;6,"BAJA",IF(S1344&lt;8,"MEDIA","ALTA"))</f>
        <v/>
      </c>
      <c r="U1344" s="10" t="inlineStr">
        <is>
          <t>-</t>
        </is>
      </c>
      <c r="V1344" s="24" t="n">
        <v>45712</v>
      </c>
      <c r="W1344" s="19" t="inlineStr">
        <is>
          <t>N/A</t>
        </is>
      </c>
      <c r="X1344" s="10">
        <f>+IFERROR(IF(VLOOKUP(Tabla2[[#This Row],[ID]],'EVALUACION DE RIESGO'!A:A,1,FALSE)=Tabla2[[#This Row],[ID]],"SI","NO"),"NO")</f>
        <v/>
      </c>
    </row>
    <row r="1345">
      <c r="A1345" s="91" t="inlineStr">
        <is>
          <t>5-GSO</t>
        </is>
      </c>
      <c r="B1345" s="10" t="inlineStr">
        <is>
          <t>APOYO</t>
        </is>
      </c>
      <c r="C1345" s="10" t="inlineStr">
        <is>
          <t>Gestión de Seguridad Organizacional</t>
        </is>
      </c>
      <c r="D1345" s="10" t="inlineStr">
        <is>
          <t>GSO</t>
        </is>
      </c>
      <c r="E1345" s="10" t="inlineStr">
        <is>
          <t>Gestión de Seguridad Física</t>
        </is>
      </c>
      <c r="F1345" s="10" t="inlineStr">
        <is>
          <t>-</t>
        </is>
      </c>
      <c r="G1345" s="10" t="inlineStr">
        <is>
          <t>Análisis de amenazas y vulnerabilidades físicas</t>
        </is>
      </c>
      <c r="H1345" s="10" t="inlineStr">
        <is>
          <t>Certificación de las instalaciones</t>
        </is>
      </c>
      <c r="I1345" s="10" t="inlineStr">
        <is>
          <t>Archivo de certificación de las instalaciones se seguridad</t>
        </is>
      </c>
      <c r="J1345" s="10" t="inlineStr">
        <is>
          <t>Oficial de Seguridad Física</t>
        </is>
      </c>
      <c r="K1345" s="10" t="inlineStr">
        <is>
          <t>Oficial de Seguridad Física</t>
        </is>
      </c>
      <c r="L1345" s="10" t="inlineStr">
        <is>
          <t>DOCUMENTOS FISICOS-ARCHIVOS DE LA OFICINA</t>
        </is>
      </c>
      <c r="M1345" s="10" t="inlineStr">
        <is>
          <t>DOCUMENTO DE ARCHIVO-FÍSICO</t>
        </is>
      </c>
      <c r="N1345" s="10" t="inlineStr">
        <is>
          <t>PRIMARIOS</t>
        </is>
      </c>
      <c r="O1345" s="10" t="inlineStr">
        <is>
          <t>DOCUMENTOS HABILITANTES</t>
        </is>
      </c>
      <c r="P1345" s="10" t="inlineStr">
        <is>
          <t>RESTRINGIDO(3)</t>
        </is>
      </c>
      <c r="Q1345" s="10" t="inlineStr">
        <is>
          <t>BAJA(1)</t>
        </is>
      </c>
      <c r="R1345" s="10" t="inlineStr">
        <is>
          <t>MEDIA(2)</t>
        </is>
      </c>
      <c r="S1345" s="10">
        <f>+(IF(P1345="PUBLICA(1)",1,IF(P1345="USO INTERNO(2)",2,IF(P1345="RESTRINGIDO(3)",3,3))))+(IF(Q1345="BAJA(1)",1,IF(Q1345="MEDIA(2)",2,IF(Q1345="ALTA(3)",3,3))))+(IF(R1345="BAJA(1)",1,IF(R1345="MEDIA(2)",2,IF(R1345="ALTA(3)",3,3))))</f>
        <v/>
      </c>
      <c r="T1345" s="10">
        <f>+IF(S1345&lt;6,"BAJA",IF(S1345&lt;8,"MEDIA","ALTA"))</f>
        <v/>
      </c>
      <c r="U1345" s="10" t="inlineStr">
        <is>
          <t>-</t>
        </is>
      </c>
      <c r="V1345" s="24" t="n">
        <v>45712</v>
      </c>
      <c r="W1345" s="19" t="inlineStr">
        <is>
          <t>N/A</t>
        </is>
      </c>
      <c r="X1345" s="10">
        <f>+IFERROR(IF(VLOOKUP(Tabla2[[#This Row],[ID]],'EVALUACION DE RIESGO'!A:A,1,FALSE)=Tabla2[[#This Row],[ID]],"SI","NO"),"NO")</f>
        <v/>
      </c>
    </row>
    <row r="1346">
      <c r="A1346" s="91" t="inlineStr">
        <is>
          <t>6-GSO</t>
        </is>
      </c>
      <c r="B1346" s="10" t="inlineStr">
        <is>
          <t>APOYO</t>
        </is>
      </c>
      <c r="C1346" s="10" t="inlineStr">
        <is>
          <t>Gestión de Seguridad Organizacional</t>
        </is>
      </c>
      <c r="D1346" s="10" t="inlineStr">
        <is>
          <t>GSO</t>
        </is>
      </c>
      <c r="E1346" s="10" t="inlineStr">
        <is>
          <t>Gestión de Seguridad Física</t>
        </is>
      </c>
      <c r="F1346" s="10" t="inlineStr">
        <is>
          <t>-</t>
        </is>
      </c>
      <c r="G1346" s="10" t="inlineStr">
        <is>
          <t>Plan de Seguridad</t>
        </is>
      </c>
      <c r="H1346" s="10" t="inlineStr">
        <is>
          <t>Plan anual de seguridad física</t>
        </is>
      </c>
      <c r="I1346" s="10" t="inlineStr">
        <is>
          <t>Plan anual de seguridad física reportado en el informe mensual</t>
        </is>
      </c>
      <c r="J1346" s="10" t="inlineStr">
        <is>
          <t>Oficial de Seguridad Física</t>
        </is>
      </c>
      <c r="K1346" s="10" t="inlineStr">
        <is>
          <t>Oficial de Seguridad Física</t>
        </is>
      </c>
      <c r="L1346" s="10" t="inlineStr">
        <is>
          <t>UBICACIÓN DIGITAL-EQUIPO DEL RESPONSABLE</t>
        </is>
      </c>
      <c r="M1346" s="10" t="inlineStr">
        <is>
          <t>DISCOS DUROS, SERVIDORES, DISCOS O MEDIOS PORTÁTILES, CINTAS O MEDIOS DE VIDEO Y AUDIO, ETC.</t>
        </is>
      </c>
      <c r="N1346" s="10" t="inlineStr">
        <is>
          <t>PRIMARIOS</t>
        </is>
      </c>
      <c r="O1346" s="10" t="inlineStr">
        <is>
          <t>DOCUMENTOS TÉCNICOS</t>
        </is>
      </c>
      <c r="P1346" s="10" t="inlineStr">
        <is>
          <t>USO INTERNO(2)</t>
        </is>
      </c>
      <c r="Q1346" s="10" t="inlineStr">
        <is>
          <t>BAJA(1)</t>
        </is>
      </c>
      <c r="R1346" s="10" t="inlineStr">
        <is>
          <t>MEDIA(2)</t>
        </is>
      </c>
      <c r="S1346" s="10">
        <f>+(IF(P1346="PUBLICA(1)",1,IF(P1346="USO INTERNO(2)",2,IF(P1346="RESTRINGIDO(3)",3,3))))+(IF(Q1346="BAJA(1)",1,IF(Q1346="MEDIA(2)",2,IF(Q1346="ALTA(3)",3,3))))+(IF(R1346="BAJA(1)",1,IF(R1346="MEDIA(2)",2,IF(R1346="ALTA(3)",3,3))))</f>
        <v/>
      </c>
      <c r="T1346" s="10">
        <f>+IF(S1346&lt;6,"BAJA",IF(S1346&lt;8,"MEDIA","ALTA"))</f>
        <v/>
      </c>
      <c r="U1346" s="10" t="inlineStr">
        <is>
          <t>-</t>
        </is>
      </c>
      <c r="V1346" s="24" t="n">
        <v>45712</v>
      </c>
      <c r="W1346" s="19" t="inlineStr">
        <is>
          <t>N/A</t>
        </is>
      </c>
      <c r="X1346" s="10">
        <f>+IFERROR(IF(VLOOKUP(Tabla2[[#This Row],[ID]],'EVALUACION DE RIESGO'!A:A,1,FALSE)=Tabla2[[#This Row],[ID]],"SI","NO"),"NO")</f>
        <v/>
      </c>
    </row>
    <row r="1347">
      <c r="A1347" s="91" t="inlineStr">
        <is>
          <t>7-GSO</t>
        </is>
      </c>
      <c r="B1347" s="10" t="inlineStr">
        <is>
          <t>APOYO</t>
        </is>
      </c>
      <c r="C1347" s="10" t="inlineStr">
        <is>
          <t>Gestión de Seguridad Organizacional</t>
        </is>
      </c>
      <c r="D1347" s="10" t="inlineStr">
        <is>
          <t>GSO</t>
        </is>
      </c>
      <c r="E1347" s="10" t="inlineStr">
        <is>
          <t>Gestión de Seguridad Física</t>
        </is>
      </c>
      <c r="F1347" s="10" t="inlineStr">
        <is>
          <t>-</t>
        </is>
      </c>
      <c r="G1347" s="10" t="inlineStr">
        <is>
          <t>Asignación de accesos físicos</t>
        </is>
      </c>
      <c r="H1347" s="10" t="inlineStr">
        <is>
          <t>Reporte de accesos físicos asignados</t>
        </is>
      </c>
      <c r="I1347" s="10" t="inlineStr">
        <is>
          <t>Reporte de accesos físicos asignados al personal, verificación de código de tarjeta, datos de usuario en el sistema de control de accesos</t>
        </is>
      </c>
      <c r="J1347" s="10" t="inlineStr">
        <is>
          <t>Oficial de Seguridad Física</t>
        </is>
      </c>
      <c r="K1347" s="10" t="inlineStr">
        <is>
          <t>Oficial de Seguridad Física</t>
        </is>
      </c>
      <c r="L1347" s="10" t="inlineStr">
        <is>
          <t>UBICACIÓN DIGITAL-EQUIPO DEL RESPONSABLE</t>
        </is>
      </c>
      <c r="M1347" s="10" t="inlineStr">
        <is>
          <t>DISCOS DUROS, SERVIDORES, DISCOS O MEDIOS PORTÁTILES, CINTAS O MEDIOS DE VIDEO Y AUDIO, ETC.</t>
        </is>
      </c>
      <c r="N1347" s="10" t="inlineStr">
        <is>
          <t>PRIMARIOS</t>
        </is>
      </c>
      <c r="O1347" s="10" t="inlineStr">
        <is>
          <t>DOCUMENTOS TÉCNICOS</t>
        </is>
      </c>
      <c r="P1347" s="10" t="inlineStr">
        <is>
          <t>USO INTERNO(2)</t>
        </is>
      </c>
      <c r="Q1347" s="10" t="inlineStr">
        <is>
          <t>BAJA(1)</t>
        </is>
      </c>
      <c r="R1347" s="10" t="inlineStr">
        <is>
          <t>MEDIA(2)</t>
        </is>
      </c>
      <c r="S1347" s="10">
        <f>+(IF(P1347="PUBLICA(1)",1,IF(P1347="USO INTERNO(2)",2,IF(P1347="RESTRINGIDO(3)",3,3))))+(IF(Q1347="BAJA(1)",1,IF(Q1347="MEDIA(2)",2,IF(Q1347="ALTA(3)",3,3))))+(IF(R1347="BAJA(1)",1,IF(R1347="MEDIA(2)",2,IF(R1347="ALTA(3)",3,3))))</f>
        <v/>
      </c>
      <c r="T1347" s="10">
        <f>+IF(S1347&lt;6,"BAJA",IF(S1347&lt;8,"MEDIA","ALTA"))</f>
        <v/>
      </c>
      <c r="U1347" s="10" t="inlineStr">
        <is>
          <t>-</t>
        </is>
      </c>
      <c r="V1347" s="24" t="n">
        <v>45712</v>
      </c>
      <c r="W1347" s="19" t="inlineStr">
        <is>
          <t>N/A</t>
        </is>
      </c>
      <c r="X1347" s="10">
        <f>+IFERROR(IF(VLOOKUP(Tabla2[[#This Row],[ID]],'EVALUACION DE RIESGO'!A:A,1,FALSE)=Tabla2[[#This Row],[ID]],"SI","NO"),"NO")</f>
        <v/>
      </c>
    </row>
    <row r="1348">
      <c r="A1348" s="91" t="inlineStr">
        <is>
          <t>8-GSO</t>
        </is>
      </c>
      <c r="B1348" s="10" t="inlineStr">
        <is>
          <t>APOYO</t>
        </is>
      </c>
      <c r="C1348" s="10" t="inlineStr">
        <is>
          <t>Gestión de Seguridad Organizacional</t>
        </is>
      </c>
      <c r="D1348" s="10" t="inlineStr">
        <is>
          <t>GSO</t>
        </is>
      </c>
      <c r="E1348" s="10" t="inlineStr">
        <is>
          <t>Gestión de Seguridad Física</t>
        </is>
      </c>
      <c r="F1348" s="10" t="inlineStr">
        <is>
          <t>-</t>
        </is>
      </c>
      <c r="G1348" s="10" t="inlineStr">
        <is>
          <t>Asignación de accesos físicos</t>
        </is>
      </c>
      <c r="H1348" s="10" t="inlineStr">
        <is>
          <t>Formulario de entrega de tarjeta</t>
        </is>
      </c>
      <c r="I1348" s="10" t="inlineStr">
        <is>
          <t>Formalización de la entrega de la tarjeta de acceso</t>
        </is>
      </c>
      <c r="J1348" s="10" t="inlineStr">
        <is>
          <t>Oficial de Seguridad Física</t>
        </is>
      </c>
      <c r="K1348" s="10" t="inlineStr">
        <is>
          <t>Oficial de Seguridad Física</t>
        </is>
      </c>
      <c r="L1348" s="10" t="inlineStr">
        <is>
          <t>DOCUMENTOS FISICOS-ARCHIVOS DE LA OFICINA</t>
        </is>
      </c>
      <c r="M1348" s="10" t="inlineStr">
        <is>
          <t>DOCUMENTO DE ARCHIVO-FÍSICO</t>
        </is>
      </c>
      <c r="N1348" s="10" t="inlineStr">
        <is>
          <t>PRIMARIOS</t>
        </is>
      </c>
      <c r="O1348" s="10" t="inlineStr">
        <is>
          <t>DOCUMENTOS HABILITANTES</t>
        </is>
      </c>
      <c r="P1348" s="10" t="inlineStr">
        <is>
          <t>USO INTERNO(2)</t>
        </is>
      </c>
      <c r="Q1348" s="10" t="inlineStr">
        <is>
          <t>BAJA(1)</t>
        </is>
      </c>
      <c r="R1348" s="10" t="inlineStr">
        <is>
          <t>MEDIA(2)</t>
        </is>
      </c>
      <c r="S1348" s="10">
        <f>+(IF(P1348="PUBLICA(1)",1,IF(P1348="USO INTERNO(2)",2,IF(P1348="RESTRINGIDO(3)",3,3))))+(IF(Q1348="BAJA(1)",1,IF(Q1348="MEDIA(2)",2,IF(Q1348="ALTA(3)",3,3))))+(IF(R1348="BAJA(1)",1,IF(R1348="MEDIA(2)",2,IF(R1348="ALTA(3)",3,3))))</f>
        <v/>
      </c>
      <c r="T1348" s="10">
        <f>+IF(S1348&lt;6,"BAJA",IF(S1348&lt;8,"MEDIA","ALTA"))</f>
        <v/>
      </c>
      <c r="U1348" s="10" t="inlineStr">
        <is>
          <t>-</t>
        </is>
      </c>
      <c r="V1348" s="24" t="n">
        <v>45712</v>
      </c>
      <c r="W1348" s="19" t="inlineStr">
        <is>
          <t>N/A</t>
        </is>
      </c>
      <c r="X1348" s="10">
        <f>+IFERROR(IF(VLOOKUP(Tabla2[[#This Row],[ID]],'EVALUACION DE RIESGO'!A:A,1,FALSE)=Tabla2[[#This Row],[ID]],"SI","NO"),"NO")</f>
        <v/>
      </c>
    </row>
    <row r="1349">
      <c r="A1349" s="91" t="inlineStr">
        <is>
          <t>9-GSO</t>
        </is>
      </c>
      <c r="B1349" s="10" t="inlineStr">
        <is>
          <t>APOYO</t>
        </is>
      </c>
      <c r="C1349" s="10" t="inlineStr">
        <is>
          <t>Gestión de Seguridad Organizacional</t>
        </is>
      </c>
      <c r="D1349" s="10" t="inlineStr">
        <is>
          <t>GSO</t>
        </is>
      </c>
      <c r="E1349" s="10" t="inlineStr">
        <is>
          <t>Gestión de Seguridad Física</t>
        </is>
      </c>
      <c r="F1349" s="10" t="inlineStr">
        <is>
          <t>-</t>
        </is>
      </c>
      <c r="G1349" s="10" t="inlineStr">
        <is>
          <t>Control de accesos</t>
        </is>
      </c>
      <c r="H1349" s="10" t="inlineStr">
        <is>
          <t>Informe mensual de Gestión de Seguridad Física</t>
        </is>
      </c>
      <c r="I1349" s="10" t="inlineStr">
        <is>
          <t>Informe del monitorie a áreas restringidas mediante el CCTV y accesos físicos, ingresos y salidas del personal, identificación de irregularidades y seguimientos</t>
        </is>
      </c>
      <c r="J1349" s="10" t="inlineStr">
        <is>
          <t>Oficial de Seguridad Física</t>
        </is>
      </c>
      <c r="K1349" s="10" t="inlineStr">
        <is>
          <t>Oficial de Seguridad Física</t>
        </is>
      </c>
      <c r="L1349" s="10" t="inlineStr">
        <is>
          <t>UBICACIÓN DIGITAL-EQUIPO DEL RESPONSABLE</t>
        </is>
      </c>
      <c r="M1349" s="10" t="inlineStr">
        <is>
          <t>DISCOS DUROS, SERVIDORES, DISCOS O MEDIOS PORTÁTILES, CINTAS O MEDIOS DE VIDEO Y AUDIO, ETC.</t>
        </is>
      </c>
      <c r="N1349" s="10" t="inlineStr">
        <is>
          <t>PRIMARIOS</t>
        </is>
      </c>
      <c r="O1349" s="10" t="inlineStr">
        <is>
          <t>DOCUMENTOS TÉCNICOS</t>
        </is>
      </c>
      <c r="P1349" s="10" t="inlineStr">
        <is>
          <t>RESTRINGIDO(3)</t>
        </is>
      </c>
      <c r="Q1349" s="10" t="inlineStr">
        <is>
          <t>BAJA(1)</t>
        </is>
      </c>
      <c r="R1349" s="10" t="inlineStr">
        <is>
          <t>MEDIA(2)</t>
        </is>
      </c>
      <c r="S1349" s="10">
        <f>+(IF(P1349="PUBLICA(1)",1,IF(P1349="USO INTERNO(2)",2,IF(P1349="RESTRINGIDO(3)",3,3))))+(IF(Q1349="BAJA(1)",1,IF(Q1349="MEDIA(2)",2,IF(Q1349="ALTA(3)",3,3))))+(IF(R1349="BAJA(1)",1,IF(R1349="MEDIA(2)",2,IF(R1349="ALTA(3)",3,3))))</f>
        <v/>
      </c>
      <c r="T1349" s="10">
        <f>+IF(S1349&lt;6,"BAJA",IF(S1349&lt;8,"MEDIA","ALTA"))</f>
        <v/>
      </c>
      <c r="U1349" s="10" t="inlineStr">
        <is>
          <t>-</t>
        </is>
      </c>
      <c r="V1349" s="24" t="n">
        <v>45712</v>
      </c>
      <c r="W1349" s="19" t="inlineStr">
        <is>
          <t>N/A</t>
        </is>
      </c>
      <c r="X1349" s="10">
        <f>+IFERROR(IF(VLOOKUP(Tabla2[[#This Row],[ID]],'EVALUACION DE RIESGO'!A:A,1,FALSE)=Tabla2[[#This Row],[ID]],"SI","NO"),"NO")</f>
        <v/>
      </c>
    </row>
    <row r="1350">
      <c r="A1350" s="91" t="inlineStr">
        <is>
          <t>10-GSO</t>
        </is>
      </c>
      <c r="B1350" s="10" t="inlineStr">
        <is>
          <t>APOYO</t>
        </is>
      </c>
      <c r="C1350" s="10" t="inlineStr">
        <is>
          <t>Gestión de Seguridad Organizacional</t>
        </is>
      </c>
      <c r="D1350" s="10" t="inlineStr">
        <is>
          <t>GSO</t>
        </is>
      </c>
      <c r="E1350" s="10" t="inlineStr">
        <is>
          <t>Gestión de Seguridad Física</t>
        </is>
      </c>
      <c r="F1350" s="10" t="inlineStr">
        <is>
          <t>-</t>
        </is>
      </c>
      <c r="G1350" s="10" t="inlineStr">
        <is>
          <t>Control de accesos</t>
        </is>
      </c>
      <c r="H1350" s="10" t="inlineStr">
        <is>
          <t>Justificativos</t>
        </is>
      </c>
      <c r="I1350" s="10" t="inlineStr">
        <is>
          <t>Archivos de justificación de las novedades identificadas</t>
        </is>
      </c>
      <c r="J1350" s="10" t="inlineStr">
        <is>
          <t>Oficial de Seguridad Física</t>
        </is>
      </c>
      <c r="K1350" s="10" t="inlineStr">
        <is>
          <t>Oficial de Seguridad Física</t>
        </is>
      </c>
      <c r="L1350" s="10" t="inlineStr">
        <is>
          <t>UBICACIÓN DIGITAL-EQUIPO DEL RESPONSABLE</t>
        </is>
      </c>
      <c r="M1350" s="10" t="inlineStr">
        <is>
          <t>DISCOS DUROS, SERVIDORES, DISCOS O MEDIOS PORTÁTILES, CINTAS O MEDIOS DE VIDEO Y AUDIO, ETC.</t>
        </is>
      </c>
      <c r="N1350" s="10" t="inlineStr">
        <is>
          <t>PRIMARIOS</t>
        </is>
      </c>
      <c r="O1350" s="10" t="inlineStr">
        <is>
          <t>DOCUMENTOS TÉCNICOS</t>
        </is>
      </c>
      <c r="P1350" s="10" t="inlineStr">
        <is>
          <t>USO INTERNO(2)</t>
        </is>
      </c>
      <c r="Q1350" s="10" t="inlineStr">
        <is>
          <t>BAJA(1)</t>
        </is>
      </c>
      <c r="R1350" s="10" t="inlineStr">
        <is>
          <t>MEDIA(2)</t>
        </is>
      </c>
      <c r="S1350" s="10">
        <f>+(IF(P1350="PUBLICA(1)",1,IF(P1350="USO INTERNO(2)",2,IF(P1350="RESTRINGIDO(3)",3,3))))+(IF(Q1350="BAJA(1)",1,IF(Q1350="MEDIA(2)",2,IF(Q1350="ALTA(3)",3,3))))+(IF(R1350="BAJA(1)",1,IF(R1350="MEDIA(2)",2,IF(R1350="ALTA(3)",3,3))))</f>
        <v/>
      </c>
      <c r="T1350" s="10">
        <f>+IF(S1350&lt;6,"BAJA",IF(S1350&lt;8,"MEDIA","ALTA"))</f>
        <v/>
      </c>
      <c r="U1350" s="10" t="inlineStr">
        <is>
          <t>-</t>
        </is>
      </c>
      <c r="V1350" s="24" t="n">
        <v>45712</v>
      </c>
      <c r="W1350" s="19" t="inlineStr">
        <is>
          <t>N/A</t>
        </is>
      </c>
      <c r="X1350" s="10">
        <f>+IFERROR(IF(VLOOKUP(Tabla2[[#This Row],[ID]],'EVALUACION DE RIESGO'!A:A,1,FALSE)=Tabla2[[#This Row],[ID]],"SI","NO"),"NO")</f>
        <v/>
      </c>
    </row>
    <row r="1351" ht="12" customHeight="1" s="98">
      <c r="A1351" s="91" t="inlineStr">
        <is>
          <t>11-GSO</t>
        </is>
      </c>
      <c r="B1351" s="10" t="inlineStr">
        <is>
          <t>APOYO</t>
        </is>
      </c>
      <c r="C1351" s="10" t="inlineStr">
        <is>
          <t>Gestión de Seguridad Organizacional</t>
        </is>
      </c>
      <c r="D1351" s="10" t="inlineStr">
        <is>
          <t>GSO</t>
        </is>
      </c>
      <c r="E1351" s="10" t="inlineStr">
        <is>
          <t>Gestión de Seguridad Física</t>
        </is>
      </c>
      <c r="F1351" s="10" t="inlineStr">
        <is>
          <t>-</t>
        </is>
      </c>
      <c r="G1351" s="10" t="inlineStr">
        <is>
          <t>Mantenimiento de cerraduras de bóvedas principales, bóvedas ATMS y cajas fuertes.</t>
        </is>
      </c>
      <c r="H1351" s="17" t="inlineStr">
        <is>
          <t>Sobres lacrados con claves de contingencia</t>
        </is>
      </c>
      <c r="I1351" s="17" t="inlineStr">
        <is>
          <t>Sobres que contienen las claves de contingencia</t>
        </is>
      </c>
      <c r="J1351" s="10" t="inlineStr">
        <is>
          <t>Oficial de Seguridad Física</t>
        </is>
      </c>
      <c r="K1351" s="10" t="inlineStr">
        <is>
          <t>Oficial de Seguridad Física</t>
        </is>
      </c>
      <c r="L1351" s="10" t="inlineStr">
        <is>
          <t>DOCUMENTOS FISICOS-ARCHIVOS DE LA OFICINA</t>
        </is>
      </c>
      <c r="M1351" s="10" t="inlineStr">
        <is>
          <t>DOCUMENTO DE ARCHIVO-FÍSICO</t>
        </is>
      </c>
      <c r="N1351" s="10" t="inlineStr">
        <is>
          <t>PRIMARIOS</t>
        </is>
      </c>
      <c r="O1351" s="10" t="inlineStr">
        <is>
          <t>DOCUMENTOS TÉCNICOS</t>
        </is>
      </c>
      <c r="P1351" s="10" t="inlineStr">
        <is>
          <t>RESTRINGIDO(3)</t>
        </is>
      </c>
      <c r="Q1351" s="10" t="inlineStr">
        <is>
          <t>ALTA(3)</t>
        </is>
      </c>
      <c r="R1351" s="10" t="inlineStr">
        <is>
          <t>ALTA(3)</t>
        </is>
      </c>
      <c r="S1351" s="10">
        <f>+(IF(P1351="PUBLICA(1)",1,IF(P1351="USO INTERNO(2)",2,IF(P1351="RESTRINGIDO(3)",3,3))))+(IF(Q1351="BAJA(1)",1,IF(Q1351="MEDIA(2)",2,IF(Q1351="ALTA(3)",3,3))))+(IF(R1351="BAJA(1)",1,IF(R1351="MEDIA(2)",2,IF(R1351="ALTA(3)",3,3))))</f>
        <v/>
      </c>
      <c r="T1351" s="10">
        <f>+IF(S1351&lt;6,"BAJA",IF(S1351&lt;8,"MEDIA","ALTA"))</f>
        <v/>
      </c>
      <c r="U1351" s="10" t="inlineStr">
        <is>
          <t>-</t>
        </is>
      </c>
      <c r="V1351" s="24" t="n">
        <v>45712</v>
      </c>
      <c r="W1351" s="19" t="inlineStr">
        <is>
          <t>N/A</t>
        </is>
      </c>
      <c r="X1351" s="10">
        <f>+IFERROR(IF(VLOOKUP(Tabla2[[#This Row],[ID]],'EVALUACION DE RIESGO'!A:A,1,FALSE)=Tabla2[[#This Row],[ID]],"SI","NO"),"NO")</f>
        <v/>
      </c>
    </row>
    <row r="1352">
      <c r="A1352" s="91" t="inlineStr">
        <is>
          <t>12-GSO</t>
        </is>
      </c>
      <c r="B1352" s="10" t="inlineStr">
        <is>
          <t>APOYO</t>
        </is>
      </c>
      <c r="C1352" s="10" t="inlineStr">
        <is>
          <t>Gestión de Seguridad Organizacional</t>
        </is>
      </c>
      <c r="D1352" s="10" t="inlineStr">
        <is>
          <t>GSO</t>
        </is>
      </c>
      <c r="E1352" s="10" t="inlineStr">
        <is>
          <t>Gestión de Seguridad Física</t>
        </is>
      </c>
      <c r="F1352" s="10" t="inlineStr">
        <is>
          <t>-</t>
        </is>
      </c>
      <c r="G1352" s="10" t="inlineStr">
        <is>
          <t>Mantenimiento de cerraduras de bóvedas principales, bóvedas ATMS y cajas fuertes.</t>
        </is>
      </c>
      <c r="H1352" s="10" t="inlineStr">
        <is>
          <t>Actas entrega recepción de claves de bóveda y caja fuerte</t>
        </is>
      </c>
      <c r="I1352" s="10" t="inlineStr">
        <is>
          <t xml:space="preserve">Formalización de la entrega recepción de las claves de bóveda y caja fuerte </t>
        </is>
      </c>
      <c r="J1352" s="10" t="inlineStr">
        <is>
          <t>Oficial de Seguridad Física</t>
        </is>
      </c>
      <c r="K1352" s="10" t="inlineStr">
        <is>
          <t>Oficial de Seguridad Física</t>
        </is>
      </c>
      <c r="L1352" s="10" t="inlineStr">
        <is>
          <t>DOCUMENTOS FISICOS-ARCHIVOS DE LA OFICINA</t>
        </is>
      </c>
      <c r="M1352" s="10" t="inlineStr">
        <is>
          <t>DOCUMENTO DE ARCHIVO-FÍSICO</t>
        </is>
      </c>
      <c r="N1352" s="10" t="inlineStr">
        <is>
          <t>PRIMARIOS</t>
        </is>
      </c>
      <c r="O1352" s="10" t="inlineStr">
        <is>
          <t>DOCUMENTOS HABILITANTES</t>
        </is>
      </c>
      <c r="P1352" s="10" t="inlineStr">
        <is>
          <t>USO INTERNO(2)</t>
        </is>
      </c>
      <c r="Q1352" s="10" t="inlineStr">
        <is>
          <t>BAJA(1)</t>
        </is>
      </c>
      <c r="R1352" s="10" t="inlineStr">
        <is>
          <t>MEDIA(2)</t>
        </is>
      </c>
      <c r="S1352" s="10">
        <f>+(IF(P1352="PUBLICA(1)",1,IF(P1352="USO INTERNO(2)",2,IF(P1352="RESTRINGIDO(3)",3,3))))+(IF(Q1352="BAJA(1)",1,IF(Q1352="MEDIA(2)",2,IF(Q1352="ALTA(3)",3,3))))+(IF(R1352="BAJA(1)",1,IF(R1352="MEDIA(2)",2,IF(R1352="ALTA(3)",3,3))))</f>
        <v/>
      </c>
      <c r="T1352" s="10">
        <f>+IF(S1352&lt;6,"BAJA",IF(S1352&lt;8,"MEDIA","ALTA"))</f>
        <v/>
      </c>
      <c r="U1352" s="10" t="inlineStr">
        <is>
          <t>-</t>
        </is>
      </c>
      <c r="V1352" s="24" t="n">
        <v>45712</v>
      </c>
      <c r="W1352" s="19" t="inlineStr">
        <is>
          <t>N/A</t>
        </is>
      </c>
      <c r="X1352" s="10">
        <f>+IFERROR(IF(VLOOKUP(Tabla2[[#This Row],[ID]],'EVALUACION DE RIESGO'!A:A,1,FALSE)=Tabla2[[#This Row],[ID]],"SI","NO"),"NO")</f>
        <v/>
      </c>
    </row>
    <row r="1353">
      <c r="A1353" s="91" t="inlineStr">
        <is>
          <t>13-GSO</t>
        </is>
      </c>
      <c r="B1353" s="10" t="inlineStr">
        <is>
          <t>APOYO</t>
        </is>
      </c>
      <c r="C1353" s="10" t="inlineStr">
        <is>
          <t>Gestión de Seguridad Organizacional</t>
        </is>
      </c>
      <c r="D1353" s="10" t="inlineStr">
        <is>
          <t>GSO</t>
        </is>
      </c>
      <c r="E1353" s="10" t="inlineStr">
        <is>
          <t>Gestión de Seguridad Física</t>
        </is>
      </c>
      <c r="F1353" s="10" t="inlineStr">
        <is>
          <t>-</t>
        </is>
      </c>
      <c r="G1353" s="10" t="inlineStr">
        <is>
          <t>Mantenimiento de cerraduras de bóvedas principales, bóvedas ATMS y cajas fuertes.</t>
        </is>
      </c>
      <c r="H1353" s="10" t="inlineStr">
        <is>
          <t>Actas entrega recepción remitido por el proveedor</t>
        </is>
      </c>
      <c r="I1353" s="10" t="inlineStr">
        <is>
          <t>Entrega recepción del servicio de mantenimiento</t>
        </is>
      </c>
      <c r="J1353" s="10" t="inlineStr">
        <is>
          <t>Oficial de Seguridad Física</t>
        </is>
      </c>
      <c r="K1353" s="10" t="inlineStr">
        <is>
          <t>Oficial de Seguridad Física</t>
        </is>
      </c>
      <c r="L1353" s="10" t="inlineStr">
        <is>
          <t>DOCUMENTOS FISICOS-ARCHIVOS DE LA OFICINA</t>
        </is>
      </c>
      <c r="M1353" s="10" t="inlineStr">
        <is>
          <t>DOCUMENTO DE ARCHIVO-FÍSICO</t>
        </is>
      </c>
      <c r="N1353" s="10" t="inlineStr">
        <is>
          <t>PRIMARIOS</t>
        </is>
      </c>
      <c r="O1353" s="10" t="inlineStr">
        <is>
          <t>DOCUMENTOS HABILITANTES</t>
        </is>
      </c>
      <c r="P1353" s="10" t="inlineStr">
        <is>
          <t>USO INTERNO(2)</t>
        </is>
      </c>
      <c r="Q1353" s="10" t="inlineStr">
        <is>
          <t>BAJA(1)</t>
        </is>
      </c>
      <c r="R1353" s="10" t="inlineStr">
        <is>
          <t>MEDIA(2)</t>
        </is>
      </c>
      <c r="S1353" s="10">
        <f>+(IF(P1353="PUBLICA(1)",1,IF(P1353="USO INTERNO(2)",2,IF(P1353="RESTRINGIDO(3)",3,3))))+(IF(Q1353="BAJA(1)",1,IF(Q1353="MEDIA(2)",2,IF(Q1353="ALTA(3)",3,3))))+(IF(R1353="BAJA(1)",1,IF(R1353="MEDIA(2)",2,IF(R1353="ALTA(3)",3,3))))</f>
        <v/>
      </c>
      <c r="T1353" s="10">
        <f>+IF(S1353&lt;6,"BAJA",IF(S1353&lt;8,"MEDIA","ALTA"))</f>
        <v/>
      </c>
      <c r="U1353" s="10" t="inlineStr">
        <is>
          <t>-</t>
        </is>
      </c>
      <c r="V1353" s="24" t="n">
        <v>45712</v>
      </c>
      <c r="W1353" s="19" t="inlineStr">
        <is>
          <t>N/A</t>
        </is>
      </c>
      <c r="X1353" s="10">
        <f>+IFERROR(IF(VLOOKUP(Tabla2[[#This Row],[ID]],'EVALUACION DE RIESGO'!A:A,1,FALSE)=Tabla2[[#This Row],[ID]],"SI","NO"),"NO")</f>
        <v/>
      </c>
    </row>
    <row r="1354">
      <c r="A1354" s="91" t="inlineStr">
        <is>
          <t>14-GSO</t>
        </is>
      </c>
      <c r="B1354" s="10" t="inlineStr">
        <is>
          <t>APOYO</t>
        </is>
      </c>
      <c r="C1354" s="10" t="inlineStr">
        <is>
          <t>Gestión de Seguridad Organizacional</t>
        </is>
      </c>
      <c r="D1354" s="10" t="inlineStr">
        <is>
          <t>GSO</t>
        </is>
      </c>
      <c r="E1354" s="10" t="inlineStr">
        <is>
          <t>Gestión de Seguridad Física</t>
        </is>
      </c>
      <c r="F1354" s="10" t="inlineStr">
        <is>
          <t>-</t>
        </is>
      </c>
      <c r="G1354" s="10" t="inlineStr">
        <is>
          <t>Mantenimiento de cerraduras de bóvedas principales, bóvedas ATMS y cajas fuertes.</t>
        </is>
      </c>
      <c r="H1354" s="10" t="inlineStr">
        <is>
          <t>Informe técnico de mantenimiento</t>
        </is>
      </c>
      <c r="I1354" s="10" t="inlineStr">
        <is>
          <t>Informe técnico del mantenimiento realizado y el plan de acción de ser necesario.</t>
        </is>
      </c>
      <c r="J1354" s="10" t="inlineStr">
        <is>
          <t>Oficial de Seguridad Física</t>
        </is>
      </c>
      <c r="K1354" s="10" t="inlineStr">
        <is>
          <t>Oficial de Seguridad Física</t>
        </is>
      </c>
      <c r="L1354" s="10" t="inlineStr">
        <is>
          <t>UBICACIÓN DIGITAL-EQUIPO DEL RESPONSABLE</t>
        </is>
      </c>
      <c r="M1354" s="10" t="inlineStr">
        <is>
          <t>DISCOS DUROS, SERVIDORES, DISCOS O MEDIOS PORTÁTILES, CINTAS O MEDIOS DE VIDEO Y AUDIO, ETC.</t>
        </is>
      </c>
      <c r="N1354" s="10" t="inlineStr">
        <is>
          <t>PRIMARIOS</t>
        </is>
      </c>
      <c r="O1354" s="10" t="inlineStr">
        <is>
          <t>DOCUMENTOS TÉCNICOS</t>
        </is>
      </c>
      <c r="P1354" s="10" t="inlineStr">
        <is>
          <t>USO INTERNO(2)</t>
        </is>
      </c>
      <c r="Q1354" s="10" t="inlineStr">
        <is>
          <t>BAJA(1)</t>
        </is>
      </c>
      <c r="R1354" s="10" t="inlineStr">
        <is>
          <t>BAJA(1)</t>
        </is>
      </c>
      <c r="S1354" s="10">
        <f>+(IF(P1354="PUBLICA(1)",1,IF(P1354="USO INTERNO(2)",2,IF(P1354="RESTRINGIDO(3)",3,3))))+(IF(Q1354="BAJA(1)",1,IF(Q1354="MEDIA(2)",2,IF(Q1354="ALTA(3)",3,3))))+(IF(R1354="BAJA(1)",1,IF(R1354="MEDIA(2)",2,IF(R1354="ALTA(3)",3,3))))</f>
        <v/>
      </c>
      <c r="T1354" s="10">
        <f>+IF(S1354&lt;6,"BAJA",IF(S1354&lt;8,"MEDIA","ALTA"))</f>
        <v/>
      </c>
      <c r="U1354" s="10" t="inlineStr">
        <is>
          <t>-</t>
        </is>
      </c>
      <c r="V1354" s="24" t="n">
        <v>45712</v>
      </c>
      <c r="W1354" s="19" t="inlineStr">
        <is>
          <t>N/A</t>
        </is>
      </c>
      <c r="X1354" s="10">
        <f>+IFERROR(IF(VLOOKUP(Tabla2[[#This Row],[ID]],'EVALUACION DE RIESGO'!A:A,1,FALSE)=Tabla2[[#This Row],[ID]],"SI","NO"),"NO")</f>
        <v/>
      </c>
    </row>
    <row r="1355">
      <c r="A1355" s="91" t="inlineStr">
        <is>
          <t>15-GSO</t>
        </is>
      </c>
      <c r="B1355" s="10" t="inlineStr">
        <is>
          <t>APOYO</t>
        </is>
      </c>
      <c r="C1355" s="10" t="inlineStr">
        <is>
          <t>Gestión de Seguridad Organizacional</t>
        </is>
      </c>
      <c r="D1355" s="10" t="inlineStr">
        <is>
          <t>GSO</t>
        </is>
      </c>
      <c r="E1355" s="10" t="inlineStr">
        <is>
          <t>Gestión de Seguridad Física</t>
        </is>
      </c>
      <c r="F1355" s="10" t="inlineStr">
        <is>
          <t>-</t>
        </is>
      </c>
      <c r="G1355" s="10" t="inlineStr">
        <is>
          <t>Gestión de incidentes de seguridad física</t>
        </is>
      </c>
      <c r="H1355" s="10" t="inlineStr">
        <is>
          <t>Registro de incidentes de seguridad</t>
        </is>
      </c>
      <c r="I1355" s="10" t="inlineStr">
        <is>
          <t>Matriz de incidentes de situaciones inusuales en las instalaciones o dentro del perímetro de la oficina</t>
        </is>
      </c>
      <c r="J1355" s="10" t="inlineStr">
        <is>
          <t>Oficial de Seguridad Física</t>
        </is>
      </c>
      <c r="K1355" s="10" t="inlineStr">
        <is>
          <t>Oficial de Seguridad Física</t>
        </is>
      </c>
      <c r="L1355" s="10" t="inlineStr">
        <is>
          <t>UBICACIÓN DIGITAL-EQUIPO DEL RESPONSABLE</t>
        </is>
      </c>
      <c r="M1355" s="10" t="inlineStr">
        <is>
          <t>DISCOS DUROS, SERVIDORES, DISCOS O MEDIOS PORTÁTILES, CINTAS O MEDIOS DE VIDEO Y AUDIO, ETC.</t>
        </is>
      </c>
      <c r="N1355" s="10" t="inlineStr">
        <is>
          <t>PRIMARIOS</t>
        </is>
      </c>
      <c r="O1355" s="10" t="inlineStr">
        <is>
          <t>DOCUMENTOS TÉCNICOS</t>
        </is>
      </c>
      <c r="P1355" s="10" t="inlineStr">
        <is>
          <t>RESTRINGIDO(3)</t>
        </is>
      </c>
      <c r="Q1355" s="10" t="inlineStr">
        <is>
          <t>BAJA(1)</t>
        </is>
      </c>
      <c r="R1355" s="10" t="inlineStr">
        <is>
          <t>MEDIA(2)</t>
        </is>
      </c>
      <c r="S1355" s="10">
        <f>+(IF(P1355="PUBLICA(1)",1,IF(P1355="USO INTERNO(2)",2,IF(P1355="RESTRINGIDO(3)",3,3))))+(IF(Q1355="BAJA(1)",1,IF(Q1355="MEDIA(2)",2,IF(Q1355="ALTA(3)",3,3))))+(IF(R1355="BAJA(1)",1,IF(R1355="MEDIA(2)",2,IF(R1355="ALTA(3)",3,3))))</f>
        <v/>
      </c>
      <c r="T1355" s="10">
        <f>+IF(S1355&lt;6,"BAJA",IF(S1355&lt;8,"MEDIA","ALTA"))</f>
        <v/>
      </c>
      <c r="U1355" s="10" t="inlineStr">
        <is>
          <t>-</t>
        </is>
      </c>
      <c r="V1355" s="24" t="n">
        <v>45712</v>
      </c>
      <c r="W1355" s="19" t="inlineStr">
        <is>
          <t>N/A</t>
        </is>
      </c>
      <c r="X1355" s="10">
        <f>+IFERROR(IF(VLOOKUP(Tabla2[[#This Row],[ID]],'EVALUACION DE RIESGO'!A:A,1,FALSE)=Tabla2[[#This Row],[ID]],"SI","NO"),"NO")</f>
        <v/>
      </c>
    </row>
    <row r="1356">
      <c r="A1356" s="91" t="inlineStr">
        <is>
          <t>16-GSO</t>
        </is>
      </c>
      <c r="B1356" s="10" t="inlineStr">
        <is>
          <t>APOYO</t>
        </is>
      </c>
      <c r="C1356" s="10" t="inlineStr">
        <is>
          <t>Gestión de Seguridad Organizacional</t>
        </is>
      </c>
      <c r="D1356" s="10" t="inlineStr">
        <is>
          <t>GSO</t>
        </is>
      </c>
      <c r="E1356" s="10" t="inlineStr">
        <is>
          <t>Gestión de Seguridad Física</t>
        </is>
      </c>
      <c r="F1356" s="10" t="inlineStr">
        <is>
          <t>-</t>
        </is>
      </c>
      <c r="G1356" s="10" t="inlineStr">
        <is>
          <t>Gestión de incidentes de seguridad física</t>
        </is>
      </c>
      <c r="H1356" s="10" t="inlineStr">
        <is>
          <t>Informe de eventos</t>
        </is>
      </c>
      <c r="I1356" s="10" t="inlineStr">
        <is>
          <t>Informe de incidentes de seguridad Física y determinación de medidas preventivas y correctivas</t>
        </is>
      </c>
      <c r="J1356" s="10" t="inlineStr">
        <is>
          <t>Oficial de Seguridad Física</t>
        </is>
      </c>
      <c r="K1356" s="10" t="inlineStr">
        <is>
          <t>Oficial de Seguridad Física</t>
        </is>
      </c>
      <c r="L1356" s="10" t="inlineStr">
        <is>
          <t>UBICACIÓN DIGITAL-EQUIPO DEL RESPONSABLE</t>
        </is>
      </c>
      <c r="M1356" s="10" t="inlineStr">
        <is>
          <t>DISCOS DUROS, SERVIDORES, DISCOS O MEDIOS PORTÁTILES, CINTAS O MEDIOS DE VIDEO Y AUDIO, ETC.</t>
        </is>
      </c>
      <c r="N1356" s="10" t="inlineStr">
        <is>
          <t>PRIMARIOS</t>
        </is>
      </c>
      <c r="O1356" s="10" t="inlineStr">
        <is>
          <t>DOCUMENTOS TÉCNICOS</t>
        </is>
      </c>
      <c r="P1356" s="10" t="inlineStr">
        <is>
          <t>RESTRINGIDO(3)</t>
        </is>
      </c>
      <c r="Q1356" s="10" t="inlineStr">
        <is>
          <t>BAJA(1)</t>
        </is>
      </c>
      <c r="R1356" s="10" t="inlineStr">
        <is>
          <t>MEDIA(2)</t>
        </is>
      </c>
      <c r="S1356" s="10">
        <f>+(IF(P1356="PUBLICA(1)",1,IF(P1356="USO INTERNO(2)",2,IF(P1356="RESTRINGIDO(3)",3,3))))+(IF(Q1356="BAJA(1)",1,IF(Q1356="MEDIA(2)",2,IF(Q1356="ALTA(3)",3,3))))+(IF(R1356="BAJA(1)",1,IF(R1356="MEDIA(2)",2,IF(R1356="ALTA(3)",3,3))))</f>
        <v/>
      </c>
      <c r="T1356" s="10">
        <f>+IF(S1356&lt;6,"BAJA",IF(S1356&lt;8,"MEDIA","ALTA"))</f>
        <v/>
      </c>
      <c r="U1356" s="10" t="inlineStr">
        <is>
          <t>-</t>
        </is>
      </c>
      <c r="V1356" s="24" t="n">
        <v>45712</v>
      </c>
      <c r="W1356" s="19" t="inlineStr">
        <is>
          <t>N/A</t>
        </is>
      </c>
      <c r="X1356" s="10">
        <f>+IFERROR(IF(VLOOKUP(Tabla2[[#This Row],[ID]],'EVALUACION DE RIESGO'!A:A,1,FALSE)=Tabla2[[#This Row],[ID]],"SI","NO"),"NO")</f>
        <v/>
      </c>
    </row>
    <row r="1357">
      <c r="A1357" s="91" t="inlineStr">
        <is>
          <t>17-GSO</t>
        </is>
      </c>
      <c r="B1357" s="10" t="inlineStr">
        <is>
          <t>APOYO</t>
        </is>
      </c>
      <c r="C1357" s="10" t="inlineStr">
        <is>
          <t>Gestión de Seguridad Organizacional</t>
        </is>
      </c>
      <c r="D1357" s="10" t="inlineStr">
        <is>
          <t>GSO</t>
        </is>
      </c>
      <c r="E1357" s="10" t="inlineStr">
        <is>
          <t>Gestión de Seguridad Física</t>
        </is>
      </c>
      <c r="F1357" s="10" t="inlineStr">
        <is>
          <t>-</t>
        </is>
      </c>
      <c r="G1357" s="10" t="inlineStr">
        <is>
          <t>Gestión de incidentes de seguridad física</t>
        </is>
      </c>
      <c r="H1357" s="10" t="inlineStr">
        <is>
          <t>Informe mensual de Gestión</t>
        </is>
      </c>
      <c r="I1357" s="10" t="inlineStr">
        <is>
          <t>Informe mensual que adjunta los incidentes de seguridad identificados</t>
        </is>
      </c>
      <c r="J1357" s="10" t="inlineStr">
        <is>
          <t>Oficial de Seguridad Física</t>
        </is>
      </c>
      <c r="K1357" s="10" t="inlineStr">
        <is>
          <t>Oficial de Seguridad Física</t>
        </is>
      </c>
      <c r="L1357" s="10" t="inlineStr">
        <is>
          <t>UBICACIÓN DIGITAL-EQUIPO DEL RESPONSABLE</t>
        </is>
      </c>
      <c r="M1357" s="10" t="inlineStr">
        <is>
          <t>DISCOS DUROS, SERVIDORES, DISCOS O MEDIOS PORTÁTILES, CINTAS O MEDIOS DE VIDEO Y AUDIO, ETC.</t>
        </is>
      </c>
      <c r="N1357" s="10" t="inlineStr">
        <is>
          <t>PRIMARIOS</t>
        </is>
      </c>
      <c r="O1357" s="10" t="inlineStr">
        <is>
          <t>DOCUMENTOS TÉCNICOS</t>
        </is>
      </c>
      <c r="P1357" s="10" t="inlineStr">
        <is>
          <t>USO INTERNO(2)</t>
        </is>
      </c>
      <c r="Q1357" s="10" t="inlineStr">
        <is>
          <t>BAJA(1)</t>
        </is>
      </c>
      <c r="R1357" s="10" t="inlineStr">
        <is>
          <t>MEDIA(2)</t>
        </is>
      </c>
      <c r="S1357" s="10">
        <f>+(IF(P1357="PUBLICA(1)",1,IF(P1357="USO INTERNO(2)",2,IF(P1357="RESTRINGIDO(3)",3,3))))+(IF(Q1357="BAJA(1)",1,IF(Q1357="MEDIA(2)",2,IF(Q1357="ALTA(3)",3,3))))+(IF(R1357="BAJA(1)",1,IF(R1357="MEDIA(2)",2,IF(R1357="ALTA(3)",3,3))))</f>
        <v/>
      </c>
      <c r="T1357" s="10">
        <f>+IF(S1357&lt;6,"BAJA",IF(S1357&lt;8,"MEDIA","ALTA"))</f>
        <v/>
      </c>
      <c r="U1357" s="10" t="inlineStr">
        <is>
          <t>-</t>
        </is>
      </c>
      <c r="V1357" s="24" t="n">
        <v>45712</v>
      </c>
      <c r="W1357" s="19" t="inlineStr">
        <is>
          <t>N/A</t>
        </is>
      </c>
      <c r="X1357" s="10">
        <f>+IFERROR(IF(VLOOKUP(Tabla2[[#This Row],[ID]],'EVALUACION DE RIESGO'!A:A,1,FALSE)=Tabla2[[#This Row],[ID]],"SI","NO"),"NO")</f>
        <v/>
      </c>
    </row>
    <row r="1358">
      <c r="A1358" s="91" t="inlineStr">
        <is>
          <t>18-GSO</t>
        </is>
      </c>
      <c r="B1358" s="10" t="inlineStr">
        <is>
          <t>APOYO</t>
        </is>
      </c>
      <c r="C1358" s="10" t="inlineStr">
        <is>
          <t>Gestión de Seguridad Organizacional</t>
        </is>
      </c>
      <c r="D1358" s="10" t="inlineStr">
        <is>
          <t>GSO</t>
        </is>
      </c>
      <c r="E1358" s="10" t="inlineStr">
        <is>
          <t>Gestión de Seguridad Física</t>
        </is>
      </c>
      <c r="F1358" s="10" t="inlineStr">
        <is>
          <t>-</t>
        </is>
      </c>
      <c r="G1358" s="10" t="inlineStr">
        <is>
          <t>Mantenimiento y Pruebas del sistema electrónico de seguridad</t>
        </is>
      </c>
      <c r="H1358" s="10" t="inlineStr">
        <is>
          <t>Informe técnico de mantenimiento</t>
        </is>
      </c>
      <c r="I1358" s="10" t="inlineStr">
        <is>
          <t>Informe técnico de funcionamiento, de existir inconvenientes se coordina la ejecución de medidas correctivas o preventivas</t>
        </is>
      </c>
      <c r="J1358" s="10" t="inlineStr">
        <is>
          <t>Oficial de Seguridad Física</t>
        </is>
      </c>
      <c r="K1358" s="10" t="inlineStr">
        <is>
          <t>Oficial de Seguridad Física</t>
        </is>
      </c>
      <c r="L1358" s="10" t="inlineStr">
        <is>
          <t>UBICACIÓN DIGITAL-EQUIPO DEL RESPONSABLE</t>
        </is>
      </c>
      <c r="M1358" s="10" t="inlineStr">
        <is>
          <t>DISCOS DUROS, SERVIDORES, DISCOS O MEDIOS PORTÁTILES, CINTAS O MEDIOS DE VIDEO Y AUDIO, ETC.</t>
        </is>
      </c>
      <c r="N1358" s="10" t="inlineStr">
        <is>
          <t>PRIMARIOS</t>
        </is>
      </c>
      <c r="O1358" s="10" t="inlineStr">
        <is>
          <t>DOCUMENTOS TÉCNICOS</t>
        </is>
      </c>
      <c r="P1358" s="10" t="inlineStr">
        <is>
          <t>USO INTERNO(2)</t>
        </is>
      </c>
      <c r="Q1358" s="10" t="inlineStr">
        <is>
          <t>BAJA(1)</t>
        </is>
      </c>
      <c r="R1358" s="10" t="inlineStr">
        <is>
          <t>MEDIA(2)</t>
        </is>
      </c>
      <c r="S1358" s="10">
        <f>+(IF(P1358="PUBLICA(1)",1,IF(P1358="USO INTERNO(2)",2,IF(P1358="RESTRINGIDO(3)",3,3))))+(IF(Q1358="BAJA(1)",1,IF(Q1358="MEDIA(2)",2,IF(Q1358="ALTA(3)",3,3))))+(IF(R1358="BAJA(1)",1,IF(R1358="MEDIA(2)",2,IF(R1358="ALTA(3)",3,3))))</f>
        <v/>
      </c>
      <c r="T1358" s="10">
        <f>+IF(S1358&lt;6,"BAJA",IF(S1358&lt;8,"MEDIA","ALTA"))</f>
        <v/>
      </c>
      <c r="U1358" s="10" t="inlineStr">
        <is>
          <t>-</t>
        </is>
      </c>
      <c r="V1358" s="24" t="n">
        <v>45712</v>
      </c>
      <c r="W1358" s="19" t="inlineStr">
        <is>
          <t>N/A</t>
        </is>
      </c>
      <c r="X1358" s="10">
        <f>+IFERROR(IF(VLOOKUP(Tabla2[[#This Row],[ID]],'EVALUACION DE RIESGO'!A:A,1,FALSE)=Tabla2[[#This Row],[ID]],"SI","NO"),"NO")</f>
        <v/>
      </c>
    </row>
    <row r="1359">
      <c r="A1359" s="91" t="inlineStr">
        <is>
          <t>19-GSO</t>
        </is>
      </c>
      <c r="B1359" s="10" t="inlineStr">
        <is>
          <t>APOYO</t>
        </is>
      </c>
      <c r="C1359" s="10" t="inlineStr">
        <is>
          <t>Gestión de Seguridad Organizacional</t>
        </is>
      </c>
      <c r="D1359" s="10" t="inlineStr">
        <is>
          <t>GSO</t>
        </is>
      </c>
      <c r="E1359" s="10" t="inlineStr">
        <is>
          <t>Gestión de Seguridad Física</t>
        </is>
      </c>
      <c r="F1359" s="10" t="inlineStr">
        <is>
          <t>-</t>
        </is>
      </c>
      <c r="G1359" s="10" t="inlineStr">
        <is>
          <t>Mantenimiento y Pruebas del sistema electrónico de seguridad</t>
        </is>
      </c>
      <c r="H1359" s="10" t="inlineStr">
        <is>
          <t>Formulario de verificación de funcionamiento de CCTV</t>
        </is>
      </c>
      <c r="I1359" s="10" t="inlineStr">
        <is>
          <t>Archivo físico de verificación del funcionamiento de CCTV</t>
        </is>
      </c>
      <c r="J1359" s="10" t="inlineStr">
        <is>
          <t>Oficial de Seguridad Física</t>
        </is>
      </c>
      <c r="K1359" s="10" t="inlineStr">
        <is>
          <t>Oficial de Seguridad Física</t>
        </is>
      </c>
      <c r="L1359" s="10" t="inlineStr">
        <is>
          <t>DOCUMENTOS FISICOS-ARCHIVOS DE LA OFICINA</t>
        </is>
      </c>
      <c r="M1359" s="10" t="inlineStr">
        <is>
          <t>DOCUMENTO DE ARCHIVO-FÍSICO</t>
        </is>
      </c>
      <c r="N1359" s="10" t="inlineStr">
        <is>
          <t>PRIMARIOS</t>
        </is>
      </c>
      <c r="O1359" s="10" t="inlineStr">
        <is>
          <t>DOCUMENTOS TÉCNICOS</t>
        </is>
      </c>
      <c r="P1359" s="10" t="inlineStr">
        <is>
          <t>USO INTERNO(2)</t>
        </is>
      </c>
      <c r="Q1359" s="10" t="inlineStr">
        <is>
          <t>BAJA(1)</t>
        </is>
      </c>
      <c r="R1359" s="10" t="inlineStr">
        <is>
          <t>MEDIA(2)</t>
        </is>
      </c>
      <c r="S1359" s="10">
        <f>+(IF(P1359="PUBLICA(1)",1,IF(P1359="USO INTERNO(2)",2,IF(P1359="RESTRINGIDO(3)",3,3))))+(IF(Q1359="BAJA(1)",1,IF(Q1359="MEDIA(2)",2,IF(Q1359="ALTA(3)",3,3))))+(IF(R1359="BAJA(1)",1,IF(R1359="MEDIA(2)",2,IF(R1359="ALTA(3)",3,3))))</f>
        <v/>
      </c>
      <c r="T1359" s="10">
        <f>+IF(S1359&lt;6,"BAJA",IF(S1359&lt;8,"MEDIA","ALTA"))</f>
        <v/>
      </c>
      <c r="U1359" s="10" t="inlineStr">
        <is>
          <t>-</t>
        </is>
      </c>
      <c r="V1359" s="24" t="n">
        <v>45712</v>
      </c>
      <c r="W1359" s="19" t="inlineStr">
        <is>
          <t>N/A</t>
        </is>
      </c>
      <c r="X1359" s="10">
        <f>+IFERROR(IF(VLOOKUP(Tabla2[[#This Row],[ID]],'EVALUACION DE RIESGO'!A:A,1,FALSE)=Tabla2[[#This Row],[ID]],"SI","NO"),"NO")</f>
        <v/>
      </c>
    </row>
    <row r="1360">
      <c r="A1360" s="91" t="inlineStr">
        <is>
          <t>20-GSO</t>
        </is>
      </c>
      <c r="B1360" s="10" t="inlineStr">
        <is>
          <t>APOYO</t>
        </is>
      </c>
      <c r="C1360" s="10" t="inlineStr">
        <is>
          <t>Gestión de Seguridad Organizacional</t>
        </is>
      </c>
      <c r="D1360" s="10" t="inlineStr">
        <is>
          <t>GSO</t>
        </is>
      </c>
      <c r="E1360" s="10" t="inlineStr">
        <is>
          <t>Gestión de Vigilancia</t>
        </is>
      </c>
      <c r="F1360" s="10" t="inlineStr">
        <is>
          <t>-</t>
        </is>
      </c>
      <c r="G1360" s="10" t="inlineStr">
        <is>
          <t xml:space="preserve">Apertura de Oficinas  </t>
        </is>
      </c>
      <c r="H1360" s="10" t="inlineStr">
        <is>
          <t>Bitácora de registro de novedades</t>
        </is>
      </c>
      <c r="I1360" s="10" t="inlineStr">
        <is>
          <t>Registro físico de novedades presentadas</t>
        </is>
      </c>
      <c r="J1360" s="10" t="inlineStr">
        <is>
          <t>Oficial de Seguridad Física</t>
        </is>
      </c>
      <c r="K1360" s="10" t="inlineStr">
        <is>
          <t>Oficial de Seguridad Física</t>
        </is>
      </c>
      <c r="L1360" s="10" t="inlineStr">
        <is>
          <t>DOCUMENTOS FISICOS-ARCHIVOS DE LA OFICINA</t>
        </is>
      </c>
      <c r="M1360" s="10" t="inlineStr">
        <is>
          <t>DOCUMENTO DE ARCHIVO-FÍSICO</t>
        </is>
      </c>
      <c r="N1360" s="10" t="inlineStr">
        <is>
          <t>PRIMARIOS</t>
        </is>
      </c>
      <c r="O1360" s="10" t="inlineStr">
        <is>
          <t>DOCUMENTOS TÉCNICOS</t>
        </is>
      </c>
      <c r="P1360" s="10" t="inlineStr">
        <is>
          <t>USO INTERNO(2)</t>
        </is>
      </c>
      <c r="Q1360" s="10" t="inlineStr">
        <is>
          <t>BAJA(1)</t>
        </is>
      </c>
      <c r="R1360" s="10" t="inlineStr">
        <is>
          <t>MEDIA(2)</t>
        </is>
      </c>
      <c r="S1360" s="10">
        <f>+(IF(P1360="PUBLICA(1)",1,IF(P1360="USO INTERNO(2)",2,IF(P1360="RESTRINGIDO(3)",3,3))))+(IF(Q1360="BAJA(1)",1,IF(Q1360="MEDIA(2)",2,IF(Q1360="ALTA(3)",3,3))))+(IF(R1360="BAJA(1)",1,IF(R1360="MEDIA(2)",2,IF(R1360="ALTA(3)",3,3))))</f>
        <v/>
      </c>
      <c r="T1360" s="10">
        <f>+IF(S1360&lt;6,"BAJA",IF(S1360&lt;8,"MEDIA","ALTA"))</f>
        <v/>
      </c>
      <c r="U1360" s="10" t="inlineStr">
        <is>
          <t>-</t>
        </is>
      </c>
      <c r="V1360" s="24" t="n">
        <v>45712</v>
      </c>
      <c r="W1360" s="19" t="inlineStr">
        <is>
          <t>N/A</t>
        </is>
      </c>
      <c r="X1360" s="10">
        <f>+IFERROR(IF(VLOOKUP(Tabla2[[#This Row],[ID]],'EVALUACION DE RIESGO'!A:A,1,FALSE)=Tabla2[[#This Row],[ID]],"SI","NO"),"NO")</f>
        <v/>
      </c>
    </row>
    <row r="1361">
      <c r="A1361" s="91" t="inlineStr">
        <is>
          <t>21-GSO</t>
        </is>
      </c>
      <c r="B1361" s="10" t="inlineStr">
        <is>
          <t>APOYO</t>
        </is>
      </c>
      <c r="C1361" s="10" t="inlineStr">
        <is>
          <t>Gestión de Seguridad Organizacional</t>
        </is>
      </c>
      <c r="D1361" s="10" t="inlineStr">
        <is>
          <t>GSO</t>
        </is>
      </c>
      <c r="E1361" s="10" t="inlineStr">
        <is>
          <t>Gestión de Vigilancia</t>
        </is>
      </c>
      <c r="F1361" s="10" t="inlineStr">
        <is>
          <t>-</t>
        </is>
      </c>
      <c r="G1361" s="10" t="inlineStr">
        <is>
          <t xml:space="preserve">Apertura de Oficinas  </t>
        </is>
      </c>
      <c r="H1361" s="10" t="inlineStr">
        <is>
          <t>Reporte de apertura de oficinas</t>
        </is>
      </c>
      <c r="I1361" s="10" t="inlineStr">
        <is>
          <t>Reporte de aperturas definitiva realizada en las horas establecidas</t>
        </is>
      </c>
      <c r="J1361" s="10" t="inlineStr">
        <is>
          <t>Oficial de Seguridad Física</t>
        </is>
      </c>
      <c r="K1361" s="10" t="inlineStr">
        <is>
          <t>Oficial de Seguridad Física</t>
        </is>
      </c>
      <c r="L1361" s="10" t="inlineStr">
        <is>
          <t>UBICACIÓN DIGITAL-EQUIPO DEL RESPONSABLE</t>
        </is>
      </c>
      <c r="M1361" s="10" t="inlineStr">
        <is>
          <t>DISCOS DUROS, SERVIDORES, DISCOS O MEDIOS PORTÁTILES, CINTAS O MEDIOS DE VIDEO Y AUDIO, ETC.</t>
        </is>
      </c>
      <c r="N1361" s="10" t="inlineStr">
        <is>
          <t>PRIMARIOS</t>
        </is>
      </c>
      <c r="O1361" s="10" t="inlineStr">
        <is>
          <t>DOCUMENTOS TÉCNICOS</t>
        </is>
      </c>
      <c r="P1361" s="10" t="inlineStr">
        <is>
          <t>USO INTERNO(2)</t>
        </is>
      </c>
      <c r="Q1361" s="10" t="inlineStr">
        <is>
          <t>MEDIA(2)</t>
        </is>
      </c>
      <c r="R1361" s="10" t="inlineStr">
        <is>
          <t>MEDIA(2)</t>
        </is>
      </c>
      <c r="S1361" s="10">
        <f>+(IF(P1361="PUBLICA(1)",1,IF(P1361="USO INTERNO(2)",2,IF(P1361="RESTRINGIDO(3)",3,3))))+(IF(Q1361="BAJA(1)",1,IF(Q1361="MEDIA(2)",2,IF(Q1361="ALTA(3)",3,3))))+(IF(R1361="BAJA(1)",1,IF(R1361="MEDIA(2)",2,IF(R1361="ALTA(3)",3,3))))</f>
        <v/>
      </c>
      <c r="T1361" s="10">
        <f>+IF(S1361&lt;6,"BAJA",IF(S1361&lt;8,"MEDIA","ALTA"))</f>
        <v/>
      </c>
      <c r="U1361" s="10" t="inlineStr">
        <is>
          <t>-</t>
        </is>
      </c>
      <c r="V1361" s="24" t="n">
        <v>45712</v>
      </c>
      <c r="W1361" s="19" t="inlineStr">
        <is>
          <t>N/A</t>
        </is>
      </c>
      <c r="X1361" s="10">
        <f>+IFERROR(IF(VLOOKUP(Tabla2[[#This Row],[ID]],'EVALUACION DE RIESGO'!A:A,1,FALSE)=Tabla2[[#This Row],[ID]],"SI","NO"),"NO")</f>
        <v/>
      </c>
    </row>
    <row r="1362">
      <c r="A1362" s="91" t="inlineStr">
        <is>
          <t>22-GSO</t>
        </is>
      </c>
      <c r="B1362" s="10" t="inlineStr">
        <is>
          <t>APOYO</t>
        </is>
      </c>
      <c r="C1362" s="10" t="inlineStr">
        <is>
          <t>Gestión de Seguridad Organizacional</t>
        </is>
      </c>
      <c r="D1362" s="10" t="inlineStr">
        <is>
          <t>GSO</t>
        </is>
      </c>
      <c r="E1362" s="10" t="inlineStr">
        <is>
          <t>Gestión de Vigilancia</t>
        </is>
      </c>
      <c r="F1362" s="10" t="inlineStr">
        <is>
          <t>-</t>
        </is>
      </c>
      <c r="G1362" s="10" t="inlineStr">
        <is>
          <t>Cierre de Oficinas</t>
        </is>
      </c>
      <c r="H1362" s="10" t="inlineStr">
        <is>
          <t>Bitácora de registro de novedades</t>
        </is>
      </c>
      <c r="I1362" s="10" t="inlineStr">
        <is>
          <t>Registro físico de novedades presentadas</t>
        </is>
      </c>
      <c r="J1362" s="10" t="inlineStr">
        <is>
          <t>Oficial de Seguridad Física</t>
        </is>
      </c>
      <c r="K1362" s="10" t="inlineStr">
        <is>
          <t>Oficial de Seguridad Física</t>
        </is>
      </c>
      <c r="L1362" s="10" t="inlineStr">
        <is>
          <t>UBICACIÓN DIGITAL-EQUIPO DEL RESPONSABLE</t>
        </is>
      </c>
      <c r="M1362" s="10" t="inlineStr">
        <is>
          <t>DISCOS DUROS, SERVIDORES, DISCOS O MEDIOS PORTÁTILES, CINTAS O MEDIOS DE VIDEO Y AUDIO, ETC.</t>
        </is>
      </c>
      <c r="N1362" s="10" t="inlineStr">
        <is>
          <t>PRIMARIOS</t>
        </is>
      </c>
      <c r="O1362" s="10" t="inlineStr">
        <is>
          <t>DOCUMENTOS TÉCNICOS</t>
        </is>
      </c>
      <c r="P1362" s="10" t="inlineStr">
        <is>
          <t>USO INTERNO(2)</t>
        </is>
      </c>
      <c r="Q1362" s="10" t="inlineStr">
        <is>
          <t>BAJA(1)</t>
        </is>
      </c>
      <c r="R1362" s="10" t="inlineStr">
        <is>
          <t>MEDIA(2)</t>
        </is>
      </c>
      <c r="S1362" s="10">
        <f>+(IF(P1362="PUBLICA(1)",1,IF(P1362="USO INTERNO(2)",2,IF(P1362="RESTRINGIDO(3)",3,3))))+(IF(Q1362="BAJA(1)",1,IF(Q1362="MEDIA(2)",2,IF(Q1362="ALTA(3)",3,3))))+(IF(R1362="BAJA(1)",1,IF(R1362="MEDIA(2)",2,IF(R1362="ALTA(3)",3,3))))</f>
        <v/>
      </c>
      <c r="T1362" s="10">
        <f>+IF(S1362&lt;6,"BAJA",IF(S1362&lt;8,"MEDIA","ALTA"))</f>
        <v/>
      </c>
      <c r="U1362" s="10" t="inlineStr">
        <is>
          <t>-</t>
        </is>
      </c>
      <c r="V1362" s="24" t="n">
        <v>45712</v>
      </c>
      <c r="W1362" s="19" t="inlineStr">
        <is>
          <t>N/A</t>
        </is>
      </c>
      <c r="X1362" s="10">
        <f>+IFERROR(IF(VLOOKUP(Tabla2[[#This Row],[ID]],'EVALUACION DE RIESGO'!A:A,1,FALSE)=Tabla2[[#This Row],[ID]],"SI","NO"),"NO")</f>
        <v/>
      </c>
    </row>
    <row r="1363">
      <c r="A1363" s="91" t="inlineStr">
        <is>
          <t>23-GSO</t>
        </is>
      </c>
      <c r="B1363" s="10" t="inlineStr">
        <is>
          <t>APOYO</t>
        </is>
      </c>
      <c r="C1363" s="10" t="inlineStr">
        <is>
          <t>Gestión de Seguridad Organizacional</t>
        </is>
      </c>
      <c r="D1363" s="10" t="inlineStr">
        <is>
          <t>GSO</t>
        </is>
      </c>
      <c r="E1363" s="10" t="inlineStr">
        <is>
          <t>Gestión de Vigilancia</t>
        </is>
      </c>
      <c r="F1363" s="10" t="inlineStr">
        <is>
          <t>-</t>
        </is>
      </c>
      <c r="G1363" s="10" t="inlineStr">
        <is>
          <t>Cierre de Oficinas</t>
        </is>
      </c>
      <c r="H1363" s="10" t="inlineStr">
        <is>
          <t>Registro de incidentes de seguridad</t>
        </is>
      </c>
      <c r="I1363" s="10" t="inlineStr">
        <is>
          <t>Reporte de novedades, eventos relevantes y seguimiento</t>
        </is>
      </c>
      <c r="J1363" s="10" t="inlineStr">
        <is>
          <t>Oficial de Seguridad Física</t>
        </is>
      </c>
      <c r="K1363" s="10" t="inlineStr">
        <is>
          <t>Oficial de Seguridad Física</t>
        </is>
      </c>
      <c r="L1363" s="10" t="inlineStr">
        <is>
          <t>UBICACIÓN DIGITAL-EQUIPO DEL RESPONSABLE</t>
        </is>
      </c>
      <c r="M1363" s="10" t="inlineStr">
        <is>
          <t>DISCOS DUROS, SERVIDORES, DISCOS O MEDIOS PORTÁTILES, CINTAS O MEDIOS DE VIDEO Y AUDIO, ETC.</t>
        </is>
      </c>
      <c r="N1363" s="10" t="inlineStr">
        <is>
          <t>PRIMARIOS</t>
        </is>
      </c>
      <c r="O1363" s="10" t="inlineStr">
        <is>
          <t>DOCUMENTOS TÉCNICOS</t>
        </is>
      </c>
      <c r="P1363" s="10" t="inlineStr">
        <is>
          <t>USO INTERNO(2)</t>
        </is>
      </c>
      <c r="Q1363" s="10" t="inlineStr">
        <is>
          <t>MEDIA(2)</t>
        </is>
      </c>
      <c r="R1363" s="10" t="inlineStr">
        <is>
          <t>BAJA(1)</t>
        </is>
      </c>
      <c r="S1363" s="10">
        <f>+(IF(P1363="PUBLICA(1)",1,IF(P1363="USO INTERNO(2)",2,IF(P1363="RESTRINGIDO(3)",3,3))))+(IF(Q1363="BAJA(1)",1,IF(Q1363="MEDIA(2)",2,IF(Q1363="ALTA(3)",3,3))))+(IF(R1363="BAJA(1)",1,IF(R1363="MEDIA(2)",2,IF(R1363="ALTA(3)",3,3))))</f>
        <v/>
      </c>
      <c r="T1363" s="10">
        <f>+IF(S1363&lt;6,"BAJA",IF(S1363&lt;8,"MEDIA","ALTA"))</f>
        <v/>
      </c>
      <c r="U1363" s="10" t="inlineStr">
        <is>
          <t>-</t>
        </is>
      </c>
      <c r="V1363" s="24" t="n">
        <v>45712</v>
      </c>
      <c r="W1363" s="19" t="inlineStr">
        <is>
          <t>N/A</t>
        </is>
      </c>
      <c r="X1363" s="10">
        <f>+IFERROR(IF(VLOOKUP(Tabla2[[#This Row],[ID]],'EVALUACION DE RIESGO'!A:A,1,FALSE)=Tabla2[[#This Row],[ID]],"SI","NO"),"NO")</f>
        <v/>
      </c>
    </row>
    <row r="1364">
      <c r="A1364" s="91" t="inlineStr">
        <is>
          <t>24-GSO</t>
        </is>
      </c>
      <c r="B1364" s="10" t="inlineStr">
        <is>
          <t>APOYO</t>
        </is>
      </c>
      <c r="C1364" s="10" t="inlineStr">
        <is>
          <t>Gestión de Seguridad Organizacional</t>
        </is>
      </c>
      <c r="D1364" s="10" t="inlineStr">
        <is>
          <t>GSO</t>
        </is>
      </c>
      <c r="E1364" s="10" t="inlineStr">
        <is>
          <t>Gestión de Vigilancia</t>
        </is>
      </c>
      <c r="F1364" s="10" t="inlineStr">
        <is>
          <t>-</t>
        </is>
      </c>
      <c r="G1364" s="10" t="inlineStr">
        <is>
          <t>Recepción y envío de fondos y valores</t>
        </is>
      </c>
      <c r="H1364" s="10" t="inlineStr">
        <is>
          <t>Bitácora de registro de novedades</t>
        </is>
      </c>
      <c r="I1364" s="10" t="inlineStr">
        <is>
          <t>Registro físico de novedades presentadas</t>
        </is>
      </c>
      <c r="J1364" s="10" t="inlineStr">
        <is>
          <t>Oficial de Seguridad Física</t>
        </is>
      </c>
      <c r="K1364" s="10" t="inlineStr">
        <is>
          <t>Oficial de Seguridad Física</t>
        </is>
      </c>
      <c r="L1364" s="10" t="inlineStr">
        <is>
          <t>DOCUMENTOS FISICOS-ARCHIVOS DE LA OFICINA</t>
        </is>
      </c>
      <c r="M1364" s="10" t="inlineStr">
        <is>
          <t>DOCUMENTO DE ARCHIVO-FÍSICO</t>
        </is>
      </c>
      <c r="N1364" s="10" t="inlineStr">
        <is>
          <t>PRIMARIOS</t>
        </is>
      </c>
      <c r="O1364" s="10" t="inlineStr">
        <is>
          <t>DOCUMENTOS TÉCNICOS</t>
        </is>
      </c>
      <c r="P1364" s="10" t="inlineStr">
        <is>
          <t>USO INTERNO(2)</t>
        </is>
      </c>
      <c r="Q1364" s="10" t="inlineStr">
        <is>
          <t>MEDIA(2)</t>
        </is>
      </c>
      <c r="R1364" s="10" t="inlineStr">
        <is>
          <t>BAJA(1)</t>
        </is>
      </c>
      <c r="S1364" s="10">
        <f>+(IF(P1364="PUBLICA(1)",1,IF(P1364="USO INTERNO(2)",2,IF(P1364="RESTRINGIDO(3)",3,3))))+(IF(Q1364="BAJA(1)",1,IF(Q1364="MEDIA(2)",2,IF(Q1364="ALTA(3)",3,3))))+(IF(R1364="BAJA(1)",1,IF(R1364="MEDIA(2)",2,IF(R1364="ALTA(3)",3,3))))</f>
        <v/>
      </c>
      <c r="T1364" s="10">
        <f>+IF(S1364&lt;6,"BAJA",IF(S1364&lt;8,"MEDIA","ALTA"))</f>
        <v/>
      </c>
      <c r="U1364" s="10" t="inlineStr">
        <is>
          <t>-</t>
        </is>
      </c>
      <c r="V1364" s="24" t="n">
        <v>45712</v>
      </c>
      <c r="W1364" s="19" t="inlineStr">
        <is>
          <t>N/A</t>
        </is>
      </c>
      <c r="X1364" s="10">
        <f>+IFERROR(IF(VLOOKUP(Tabla2[[#This Row],[ID]],'EVALUACION DE RIESGO'!A:A,1,FALSE)=Tabla2[[#This Row],[ID]],"SI","NO"),"NO")</f>
        <v/>
      </c>
    </row>
    <row r="1365">
      <c r="A1365" s="91" t="inlineStr">
        <is>
          <t>25-GSO</t>
        </is>
      </c>
      <c r="B1365" s="10" t="inlineStr">
        <is>
          <t>APOYO</t>
        </is>
      </c>
      <c r="C1365" s="10" t="inlineStr">
        <is>
          <t>Gestión de Seguridad Organizacional</t>
        </is>
      </c>
      <c r="D1365" s="10" t="inlineStr">
        <is>
          <t>GSO</t>
        </is>
      </c>
      <c r="E1365" s="10" t="inlineStr">
        <is>
          <t>Gestión de Vigilancia</t>
        </is>
      </c>
      <c r="F1365" s="10" t="inlineStr">
        <is>
          <t>-</t>
        </is>
      </c>
      <c r="G1365" s="10" t="inlineStr">
        <is>
          <t>Asignación y autentificación de usuarios de bóveda pulmón</t>
        </is>
      </c>
      <c r="H1365" s="10" t="inlineStr">
        <is>
          <t>Acta entrega recepción del usuario de bóveda pulmón</t>
        </is>
      </c>
      <c r="I1365" s="10" t="inlineStr">
        <is>
          <t>Acta de formalización del usuario de bóveda pulmón entregado</t>
        </is>
      </c>
      <c r="J1365" s="10" t="inlineStr">
        <is>
          <t>Oficial de Seguridad Física</t>
        </is>
      </c>
      <c r="K1365" s="10" t="inlineStr">
        <is>
          <t>Oficial de Seguridad Física</t>
        </is>
      </c>
      <c r="L1365" s="10" t="inlineStr">
        <is>
          <t>DOCUMENTOS FISICOS-ARCHIVOS DE LA OFICINA</t>
        </is>
      </c>
      <c r="M1365" s="10" t="inlineStr">
        <is>
          <t>DOCUMENTO DE ARCHIVO-FÍSICO</t>
        </is>
      </c>
      <c r="N1365" s="10" t="inlineStr">
        <is>
          <t>PRIMARIOS</t>
        </is>
      </c>
      <c r="O1365" s="10" t="inlineStr">
        <is>
          <t>DOCUMENTOS HABILITANTES</t>
        </is>
      </c>
      <c r="P1365" s="10" t="inlineStr">
        <is>
          <t>USO INTERNO(2)</t>
        </is>
      </c>
      <c r="Q1365" s="10" t="inlineStr">
        <is>
          <t>BAJA(1)</t>
        </is>
      </c>
      <c r="R1365" s="10" t="inlineStr">
        <is>
          <t>MEDIA(2)</t>
        </is>
      </c>
      <c r="S1365" s="10">
        <f>+(IF(P1365="PUBLICA(1)",1,IF(P1365="USO INTERNO(2)",2,IF(P1365="RESTRINGIDO(3)",3,3))))+(IF(Q1365="BAJA(1)",1,IF(Q1365="MEDIA(2)",2,IF(Q1365="ALTA(3)",3,3))))+(IF(R1365="BAJA(1)",1,IF(R1365="MEDIA(2)",2,IF(R1365="ALTA(3)",3,3))))</f>
        <v/>
      </c>
      <c r="T1365" s="10">
        <f>+IF(S1365&lt;6,"BAJA",IF(S1365&lt;8,"MEDIA","ALTA"))</f>
        <v/>
      </c>
      <c r="U1365" s="10" t="inlineStr">
        <is>
          <t>-</t>
        </is>
      </c>
      <c r="V1365" s="24" t="n">
        <v>45712</v>
      </c>
      <c r="W1365" s="19" t="inlineStr">
        <is>
          <t>N/A</t>
        </is>
      </c>
      <c r="X1365" s="10">
        <f>+IFERROR(IF(VLOOKUP(Tabla2[[#This Row],[ID]],'EVALUACION DE RIESGO'!A:A,1,FALSE)=Tabla2[[#This Row],[ID]],"SI","NO"),"NO")</f>
        <v/>
      </c>
    </row>
    <row r="1366">
      <c r="A1366" s="91" t="inlineStr">
        <is>
          <t>26-GSO</t>
        </is>
      </c>
      <c r="B1366" s="10" t="inlineStr">
        <is>
          <t>APOYO</t>
        </is>
      </c>
      <c r="C1366" s="10" t="inlineStr">
        <is>
          <t>Gestión de Seguridad Organizacional</t>
        </is>
      </c>
      <c r="D1366" s="10" t="inlineStr">
        <is>
          <t>GSO</t>
        </is>
      </c>
      <c r="E1366" s="10" t="inlineStr">
        <is>
          <t>Gestión de Vigilancia</t>
        </is>
      </c>
      <c r="F1366" s="10" t="inlineStr">
        <is>
          <t>-</t>
        </is>
      </c>
      <c r="G1366" s="10" t="inlineStr">
        <is>
          <t>Asignación y autentificación de usuarios de bóveda pulmón</t>
        </is>
      </c>
      <c r="H1366" s="10" t="inlineStr">
        <is>
          <t>Registro de emisión de claves OTP</t>
        </is>
      </c>
      <c r="I1366" s="10" t="inlineStr">
        <is>
          <t>Registro generado y almacenado en el sistema de administración de bóveda</t>
        </is>
      </c>
      <c r="J1366" s="10" t="inlineStr">
        <is>
          <t>Oficial de Seguridad Física</t>
        </is>
      </c>
      <c r="K1366" s="10" t="inlineStr">
        <is>
          <t>Oficial de Seguridad Física</t>
        </is>
      </c>
      <c r="L1366" s="10" t="inlineStr">
        <is>
          <t>UBICACIÓN DIGITAL-EQUIPO DEL RESPONSABLE</t>
        </is>
      </c>
      <c r="M1366" s="10" t="inlineStr">
        <is>
          <t>DISCOS DUROS, SERVIDORES, DISCOS O MEDIOS PORTÁTILES, CINTAS O MEDIOS DE VIDEO Y AUDIO, ETC.</t>
        </is>
      </c>
      <c r="N1366" s="10" t="inlineStr">
        <is>
          <t>PRIMARIOS</t>
        </is>
      </c>
      <c r="O1366" s="10" t="inlineStr">
        <is>
          <t>DOCUMENTOS TÉCNICOS</t>
        </is>
      </c>
      <c r="P1366" s="10" t="inlineStr">
        <is>
          <t>USO INTERNO(2)</t>
        </is>
      </c>
      <c r="Q1366" s="10" t="inlineStr">
        <is>
          <t>BAJA(1)</t>
        </is>
      </c>
      <c r="R1366" s="10" t="inlineStr">
        <is>
          <t>MEDIA(2)</t>
        </is>
      </c>
      <c r="S1366" s="10">
        <f>+(IF(P1366="PUBLICA(1)",1,IF(P1366="USO INTERNO(2)",2,IF(P1366="RESTRINGIDO(3)",3,3))))+(IF(Q1366="BAJA(1)",1,IF(Q1366="MEDIA(2)",2,IF(Q1366="ALTA(3)",3,3))))+(IF(R1366="BAJA(1)",1,IF(R1366="MEDIA(2)",2,IF(R1366="ALTA(3)",3,3))))</f>
        <v/>
      </c>
      <c r="T1366" s="10">
        <f>+IF(S1366&lt;6,"BAJA",IF(S1366&lt;8,"MEDIA","ALTA"))</f>
        <v/>
      </c>
      <c r="U1366" s="10" t="inlineStr">
        <is>
          <t>-</t>
        </is>
      </c>
      <c r="V1366" s="24" t="n">
        <v>45712</v>
      </c>
      <c r="W1366" s="19" t="inlineStr">
        <is>
          <t>N/A</t>
        </is>
      </c>
      <c r="X1366" s="10">
        <f>+IFERROR(IF(VLOOKUP(Tabla2[[#This Row],[ID]],'EVALUACION DE RIESGO'!A:A,1,FALSE)=Tabla2[[#This Row],[ID]],"SI","NO"),"NO")</f>
        <v/>
      </c>
    </row>
    <row r="1367">
      <c r="A1367" s="91" t="inlineStr">
        <is>
          <t>27-GSO</t>
        </is>
      </c>
      <c r="B1367" s="10" t="inlineStr">
        <is>
          <t>APOYO</t>
        </is>
      </c>
      <c r="C1367" s="10" t="inlineStr">
        <is>
          <t>Gestión de Seguridad Organizacional</t>
        </is>
      </c>
      <c r="D1367" s="10" t="inlineStr">
        <is>
          <t>GSO</t>
        </is>
      </c>
      <c r="E1367" s="10" t="inlineStr">
        <is>
          <t>Gestión de Vigilancia</t>
        </is>
      </c>
      <c r="F1367" s="10" t="inlineStr">
        <is>
          <t>-</t>
        </is>
      </c>
      <c r="G1367" s="10" t="inlineStr">
        <is>
          <t>Asignación y autentificación de usuarios de bóveda pulmón</t>
        </is>
      </c>
      <c r="H1367" s="10" t="inlineStr">
        <is>
          <t>Registro de autenticación de usuarios bóveda pulmón</t>
        </is>
      </c>
      <c r="I1367" s="10" t="inlineStr">
        <is>
          <t>Registro generado y almacenado en el sistema de administración de bóveda</t>
        </is>
      </c>
      <c r="J1367" s="10" t="inlineStr">
        <is>
          <t>Oficial de Seguridad Física</t>
        </is>
      </c>
      <c r="K1367" s="10" t="inlineStr">
        <is>
          <t>Oficial de Seguridad Física</t>
        </is>
      </c>
      <c r="L1367" s="10" t="inlineStr">
        <is>
          <t>UBICACIÓN DIGITAL-EQUIPO DEL RESPONSABLE</t>
        </is>
      </c>
      <c r="M1367" s="10" t="inlineStr">
        <is>
          <t>DISCOS DUROS, SERVIDORES, DISCOS O MEDIOS PORTÁTILES, CINTAS O MEDIOS DE VIDEO Y AUDIO, ETC.</t>
        </is>
      </c>
      <c r="N1367" s="10" t="inlineStr">
        <is>
          <t>PRIMARIOS</t>
        </is>
      </c>
      <c r="O1367" s="10" t="inlineStr">
        <is>
          <t>DOCUMENTOS TÉCNICOS</t>
        </is>
      </c>
      <c r="P1367" s="10" t="inlineStr">
        <is>
          <t>USO INTERNO(2)</t>
        </is>
      </c>
      <c r="Q1367" s="10" t="inlineStr">
        <is>
          <t>MEDIA(2)</t>
        </is>
      </c>
      <c r="R1367" s="10" t="inlineStr">
        <is>
          <t>BAJA(1)</t>
        </is>
      </c>
      <c r="S1367" s="10">
        <f>+(IF(P1367="PUBLICA(1)",1,IF(P1367="USO INTERNO(2)",2,IF(P1367="RESTRINGIDO(3)",3,3))))+(IF(Q1367="BAJA(1)",1,IF(Q1367="MEDIA(2)",2,IF(Q1367="ALTA(3)",3,3))))+(IF(R1367="BAJA(1)",1,IF(R1367="MEDIA(2)",2,IF(R1367="ALTA(3)",3,3))))</f>
        <v/>
      </c>
      <c r="T1367" s="10">
        <f>+IF(S1367&lt;6,"BAJA",IF(S1367&lt;8,"MEDIA","ALTA"))</f>
        <v/>
      </c>
      <c r="U1367" s="10" t="inlineStr">
        <is>
          <t>-</t>
        </is>
      </c>
      <c r="V1367" s="24" t="n">
        <v>45712</v>
      </c>
      <c r="W1367" s="19" t="inlineStr">
        <is>
          <t>N/A</t>
        </is>
      </c>
      <c r="X1367" s="10">
        <f>+IFERROR(IF(VLOOKUP(Tabla2[[#This Row],[ID]],'EVALUACION DE RIESGO'!A:A,1,FALSE)=Tabla2[[#This Row],[ID]],"SI","NO"),"NO")</f>
        <v/>
      </c>
    </row>
    <row r="1368">
      <c r="A1368" s="91" t="inlineStr">
        <is>
          <t>28-GSO</t>
        </is>
      </c>
      <c r="B1368" s="10" t="inlineStr">
        <is>
          <t>APOYO</t>
        </is>
      </c>
      <c r="C1368" s="10" t="inlineStr">
        <is>
          <t>Gestión de Seguridad Organizacional</t>
        </is>
      </c>
      <c r="D1368" s="10" t="inlineStr">
        <is>
          <t>GSO</t>
        </is>
      </c>
      <c r="E1368" s="10" t="inlineStr">
        <is>
          <t>Gestión de Vigilancia</t>
        </is>
      </c>
      <c r="F1368" s="10" t="inlineStr">
        <is>
          <t>-</t>
        </is>
      </c>
      <c r="G1368" s="10" t="inlineStr">
        <is>
          <t xml:space="preserve">Monitoreo del sistema de video vigilancia </t>
        </is>
      </c>
      <c r="H1368" s="10" t="inlineStr">
        <is>
          <t>Formulario evaluación de políticas de seguridad</t>
        </is>
      </c>
      <c r="I1368" s="10" t="inlineStr">
        <is>
          <t>Formulario de Evaluación de los incumplimientos identificados, medidas correctivas y las fechas de cumplimiento</t>
        </is>
      </c>
      <c r="J1368" s="10" t="inlineStr">
        <is>
          <t>Oficial de Seguridad Física</t>
        </is>
      </c>
      <c r="K1368" s="10" t="inlineStr">
        <is>
          <t>Oficial de Seguridad Física</t>
        </is>
      </c>
      <c r="L1368" s="10" t="inlineStr">
        <is>
          <t>DOCUMENTOS FISICOS-ARCHIVOS DE LA OFICINA</t>
        </is>
      </c>
      <c r="M1368" s="10" t="inlineStr">
        <is>
          <t>DOCUMENTO DE ARCHIVO-FÍSICO</t>
        </is>
      </c>
      <c r="N1368" s="10" t="inlineStr">
        <is>
          <t>PRIMARIOS</t>
        </is>
      </c>
      <c r="O1368" s="10" t="inlineStr">
        <is>
          <t>DOCUMENTOS TÉCNICOS</t>
        </is>
      </c>
      <c r="P1368" s="10" t="inlineStr">
        <is>
          <t>USO INTERNO(2)</t>
        </is>
      </c>
      <c r="Q1368" s="10" t="inlineStr">
        <is>
          <t>BAJA(1)</t>
        </is>
      </c>
      <c r="R1368" s="10" t="inlineStr">
        <is>
          <t>BAJA(1)</t>
        </is>
      </c>
      <c r="S1368" s="10">
        <f>+(IF(P1368="PUBLICA(1)",1,IF(P1368="USO INTERNO(2)",2,IF(P1368="RESTRINGIDO(3)",3,3))))+(IF(Q1368="BAJA(1)",1,IF(Q1368="MEDIA(2)",2,IF(Q1368="ALTA(3)",3,3))))+(IF(R1368="BAJA(1)",1,IF(R1368="MEDIA(2)",2,IF(R1368="ALTA(3)",3,3))))</f>
        <v/>
      </c>
      <c r="T1368" s="10">
        <f>+IF(S1368&lt;6,"BAJA",IF(S1368&lt;8,"MEDIA","ALTA"))</f>
        <v/>
      </c>
      <c r="U1368" s="10" t="inlineStr">
        <is>
          <t>-</t>
        </is>
      </c>
      <c r="V1368" s="24" t="n">
        <v>45712</v>
      </c>
      <c r="W1368" s="19" t="inlineStr">
        <is>
          <t>N/A</t>
        </is>
      </c>
      <c r="X1368" s="10">
        <f>+IFERROR(IF(VLOOKUP(Tabla2[[#This Row],[ID]],'EVALUACION DE RIESGO'!A:A,1,FALSE)=Tabla2[[#This Row],[ID]],"SI","NO"),"NO")</f>
        <v/>
      </c>
    </row>
    <row r="1369">
      <c r="A1369" s="91" t="inlineStr">
        <is>
          <t>29-GSO</t>
        </is>
      </c>
      <c r="B1369" s="10" t="inlineStr">
        <is>
          <t>APOYO</t>
        </is>
      </c>
      <c r="C1369" s="10" t="inlineStr">
        <is>
          <t>Gestión de Seguridad Organizacional</t>
        </is>
      </c>
      <c r="D1369" s="10" t="inlineStr">
        <is>
          <t>GSO</t>
        </is>
      </c>
      <c r="E1369" s="10" t="inlineStr">
        <is>
          <t>Gestión de Vigilancia</t>
        </is>
      </c>
      <c r="F1369" s="10" t="inlineStr">
        <is>
          <t>-</t>
        </is>
      </c>
      <c r="G1369" s="10" t="inlineStr">
        <is>
          <t xml:space="preserve">Monitoreo del sistema de video vigilancia </t>
        </is>
      </c>
      <c r="H1369" s="10" t="inlineStr">
        <is>
          <t>Reporte de novedades</t>
        </is>
      </c>
      <c r="I1369" s="10" t="inlineStr">
        <is>
          <t>Reporte de novedades, eventos relevantes y seguimiento</t>
        </is>
      </c>
      <c r="J1369" s="10" t="inlineStr">
        <is>
          <t>Oficial de Seguridad Física</t>
        </is>
      </c>
      <c r="K1369" s="10" t="inlineStr">
        <is>
          <t>Oficial de Seguridad Física</t>
        </is>
      </c>
      <c r="L1369" s="10" t="inlineStr">
        <is>
          <t>DOCUMENTOS FISICOS-ARCHIVOS DE LA OFICINA</t>
        </is>
      </c>
      <c r="M1369" s="10" t="inlineStr">
        <is>
          <t>DOCUMENTO DE ARCHIVO-FÍSICO</t>
        </is>
      </c>
      <c r="N1369" s="10" t="inlineStr">
        <is>
          <t>PRIMARIOS</t>
        </is>
      </c>
      <c r="O1369" s="10" t="inlineStr">
        <is>
          <t>DOCUMENTOS TÉCNICOS</t>
        </is>
      </c>
      <c r="P1369" s="10" t="inlineStr">
        <is>
          <t>USO INTERNO(2)</t>
        </is>
      </c>
      <c r="Q1369" s="10" t="inlineStr">
        <is>
          <t>MEDIA(2)</t>
        </is>
      </c>
      <c r="R1369" s="10" t="inlineStr">
        <is>
          <t>BAJA(1)</t>
        </is>
      </c>
      <c r="S1369" s="10">
        <f>+(IF(P1369="PUBLICA(1)",1,IF(P1369="USO INTERNO(2)",2,IF(P1369="RESTRINGIDO(3)",3,3))))+(IF(Q1369="BAJA(1)",1,IF(Q1369="MEDIA(2)",2,IF(Q1369="ALTA(3)",3,3))))+(IF(R1369="BAJA(1)",1,IF(R1369="MEDIA(2)",2,IF(R1369="ALTA(3)",3,3))))</f>
        <v/>
      </c>
      <c r="T1369" s="10">
        <f>+IF(S1369&lt;6,"BAJA",IF(S1369&lt;8,"MEDIA","ALTA"))</f>
        <v/>
      </c>
      <c r="U1369" s="10" t="inlineStr">
        <is>
          <t>-</t>
        </is>
      </c>
      <c r="V1369" s="24" t="n">
        <v>45712</v>
      </c>
      <c r="W1369" s="19" t="inlineStr">
        <is>
          <t>N/A</t>
        </is>
      </c>
      <c r="X1369" s="10">
        <f>+IFERROR(IF(VLOOKUP(Tabla2[[#This Row],[ID]],'EVALUACION DE RIESGO'!A:A,1,FALSE)=Tabla2[[#This Row],[ID]],"SI","NO"),"NO")</f>
        <v/>
      </c>
    </row>
    <row r="1370">
      <c r="A1370" s="91" t="inlineStr">
        <is>
          <t>30-GSO</t>
        </is>
      </c>
      <c r="B1370" s="10" t="inlineStr">
        <is>
          <t>APOYO</t>
        </is>
      </c>
      <c r="C1370" s="10" t="inlineStr">
        <is>
          <t>Gestión de Seguridad Organizacional</t>
        </is>
      </c>
      <c r="D1370" s="10" t="inlineStr">
        <is>
          <t>GSO</t>
        </is>
      </c>
      <c r="E1370" s="10" t="inlineStr">
        <is>
          <t>Gestión de Vigilancia</t>
        </is>
      </c>
      <c r="F1370" s="10" t="inlineStr">
        <is>
          <t>-</t>
        </is>
      </c>
      <c r="G1370" s="10" t="inlineStr">
        <is>
          <t xml:space="preserve">Monitoreo del sistema de video vigilancia </t>
        </is>
      </c>
      <c r="H1370" s="10" t="inlineStr">
        <is>
          <t>Informe de eventos producidos</t>
        </is>
      </c>
      <c r="I1370" s="10" t="inlineStr">
        <is>
          <t>Informe del evento y lo remite al personal solicitante, con las evidencias digitales correspondientes.</t>
        </is>
      </c>
      <c r="J1370" s="10" t="inlineStr">
        <is>
          <t>Oficial de Seguridad Física</t>
        </is>
      </c>
      <c r="K1370" s="10" t="inlineStr">
        <is>
          <t>Oficial de Seguridad Física</t>
        </is>
      </c>
      <c r="L1370" s="10" t="inlineStr">
        <is>
          <t>UBICACIÓN DIGITAL-EQUIPO DEL RESPONSABLE</t>
        </is>
      </c>
      <c r="M1370" s="10" t="inlineStr">
        <is>
          <t>DISCOS DUROS, SERVIDORES, DISCOS O MEDIOS PORTÁTILES, CINTAS O MEDIOS DE VIDEO Y AUDIO, ETC.</t>
        </is>
      </c>
      <c r="N1370" s="10" t="inlineStr">
        <is>
          <t>PRIMARIOS</t>
        </is>
      </c>
      <c r="O1370" s="10" t="inlineStr">
        <is>
          <t>DOCUMENTOS TÉCNICOS</t>
        </is>
      </c>
      <c r="P1370" s="10" t="inlineStr">
        <is>
          <t>USO INTERNO(2)</t>
        </is>
      </c>
      <c r="Q1370" s="10" t="inlineStr">
        <is>
          <t>BAJA(1)</t>
        </is>
      </c>
      <c r="R1370" s="10" t="inlineStr">
        <is>
          <t>BAJA(1)</t>
        </is>
      </c>
      <c r="S1370" s="10">
        <f>+(IF(P1370="PUBLICA(1)",1,IF(P1370="USO INTERNO(2)",2,IF(P1370="RESTRINGIDO(3)",3,3))))+(IF(Q1370="BAJA(1)",1,IF(Q1370="MEDIA(2)",2,IF(Q1370="ALTA(3)",3,3))))+(IF(R1370="BAJA(1)",1,IF(R1370="MEDIA(2)",2,IF(R1370="ALTA(3)",3,3))))</f>
        <v/>
      </c>
      <c r="T1370" s="10">
        <f>+IF(S1370&lt;6,"BAJA",IF(S1370&lt;8,"MEDIA","ALTA"))</f>
        <v/>
      </c>
      <c r="U1370" s="10" t="inlineStr">
        <is>
          <t>-</t>
        </is>
      </c>
      <c r="V1370" s="24" t="n">
        <v>45712</v>
      </c>
      <c r="W1370" s="19" t="inlineStr">
        <is>
          <t>N/A</t>
        </is>
      </c>
      <c r="X1370" s="10">
        <f>+IFERROR(IF(VLOOKUP(Tabla2[[#This Row],[ID]],'EVALUACION DE RIESGO'!A:A,1,FALSE)=Tabla2[[#This Row],[ID]],"SI","NO"),"NO")</f>
        <v/>
      </c>
    </row>
    <row r="1371">
      <c r="A1371" s="91" t="inlineStr">
        <is>
          <t>31-GSO</t>
        </is>
      </c>
      <c r="B1371" s="10" t="inlineStr">
        <is>
          <t>APOYO</t>
        </is>
      </c>
      <c r="C1371" s="10" t="inlineStr">
        <is>
          <t>Gestión de Seguridad Organizacional</t>
        </is>
      </c>
      <c r="D1371" s="10" t="inlineStr">
        <is>
          <t>GSO</t>
        </is>
      </c>
      <c r="E1371" s="10" t="inlineStr">
        <is>
          <t>Gestión de Vigilancia</t>
        </is>
      </c>
      <c r="F1371" s="10" t="inlineStr">
        <is>
          <t>-</t>
        </is>
      </c>
      <c r="G1371" s="10" t="inlineStr">
        <is>
          <t xml:space="preserve">Monitoreo del sistema de video vigilancia </t>
        </is>
      </c>
      <c r="H1371" s="10" t="inlineStr">
        <is>
          <t>Bitácora de registro de novedades</t>
        </is>
      </c>
      <c r="I1371" s="10" t="inlineStr">
        <is>
          <t>Registro físico de novedades presentadas</t>
        </is>
      </c>
      <c r="J1371" s="10" t="inlineStr">
        <is>
          <t>Oficial de Seguridad Física</t>
        </is>
      </c>
      <c r="K1371" s="10" t="inlineStr">
        <is>
          <t>Oficial de Seguridad Física</t>
        </is>
      </c>
      <c r="L1371" s="10" t="inlineStr">
        <is>
          <t>DOCUMENTOS FISICOS-ARCHIVOS DE LA OFICINA</t>
        </is>
      </c>
      <c r="M1371" s="10" t="inlineStr">
        <is>
          <t>DOCUMENTO DE ARCHIVO-FÍSICO</t>
        </is>
      </c>
      <c r="N1371" s="10" t="inlineStr">
        <is>
          <t>PRIMARIOS</t>
        </is>
      </c>
      <c r="O1371" s="10" t="inlineStr">
        <is>
          <t>DOCUMENTOS TÉCNICOS</t>
        </is>
      </c>
      <c r="P1371" s="10" t="inlineStr">
        <is>
          <t>USO INTERNO(2)</t>
        </is>
      </c>
      <c r="Q1371" s="10" t="inlineStr">
        <is>
          <t>MEDIA(2)</t>
        </is>
      </c>
      <c r="R1371" s="10" t="inlineStr">
        <is>
          <t>BAJA(1)</t>
        </is>
      </c>
      <c r="S1371" s="10">
        <f>+(IF(P1371="PUBLICA(1)",1,IF(P1371="USO INTERNO(2)",2,IF(P1371="RESTRINGIDO(3)",3,3))))+(IF(Q1371="BAJA(1)",1,IF(Q1371="MEDIA(2)",2,IF(Q1371="ALTA(3)",3,3))))+(IF(R1371="BAJA(1)",1,IF(R1371="MEDIA(2)",2,IF(R1371="ALTA(3)",3,3))))</f>
        <v/>
      </c>
      <c r="T1371" s="10">
        <f>+IF(S1371&lt;6,"BAJA",IF(S1371&lt;8,"MEDIA","ALTA"))</f>
        <v/>
      </c>
      <c r="U1371" s="10" t="inlineStr">
        <is>
          <t>-</t>
        </is>
      </c>
      <c r="V1371" s="24" t="n">
        <v>45712</v>
      </c>
      <c r="W1371" s="19" t="inlineStr">
        <is>
          <t>N/A</t>
        </is>
      </c>
      <c r="X1371" s="10">
        <f>+IFERROR(IF(VLOOKUP(Tabla2[[#This Row],[ID]],'EVALUACION DE RIESGO'!A:A,1,FALSE)=Tabla2[[#This Row],[ID]],"SI","NO"),"NO")</f>
        <v/>
      </c>
    </row>
    <row r="1372">
      <c r="A1372" s="91" t="inlineStr">
        <is>
          <t>32-GSO</t>
        </is>
      </c>
      <c r="B1372" s="10" t="inlineStr">
        <is>
          <t>APOYO</t>
        </is>
      </c>
      <c r="C1372" s="10" t="inlineStr">
        <is>
          <t>Gestión de Seguridad Organizacional</t>
        </is>
      </c>
      <c r="D1372" s="10" t="inlineStr">
        <is>
          <t>GSO</t>
        </is>
      </c>
      <c r="E1372" s="10" t="inlineStr">
        <is>
          <t>Gestión de Vigilancia</t>
        </is>
      </c>
      <c r="F1372" s="10" t="inlineStr">
        <is>
          <t>-</t>
        </is>
      </c>
      <c r="G1372" s="10" t="inlineStr">
        <is>
          <t>Control de ingreso y salida de trabajadores, proveedores y visitantes</t>
        </is>
      </c>
      <c r="H1372" s="10" t="inlineStr">
        <is>
          <t>Formulario de autorización de accesos de proveedores</t>
        </is>
      </c>
      <c r="I1372" s="10" t="inlineStr">
        <is>
          <t>Formulario receptado por el solicitante y detalle de las personas a ingresar</t>
        </is>
      </c>
      <c r="J1372" s="10" t="inlineStr">
        <is>
          <t>Oficial de Seguridad Física</t>
        </is>
      </c>
      <c r="K1372" s="10" t="inlineStr">
        <is>
          <t>Oficial de Seguridad Física</t>
        </is>
      </c>
      <c r="L1372" s="10" t="inlineStr">
        <is>
          <t>UBICACIÓN DIGITAL-EQUIPO DEL RESPONSABLE</t>
        </is>
      </c>
      <c r="M1372" s="10" t="inlineStr">
        <is>
          <t>DISCOS DUROS, SERVIDORES, DISCOS O MEDIOS PORTÁTILES, CINTAS O MEDIOS DE VIDEO Y AUDIO, ETC.</t>
        </is>
      </c>
      <c r="N1372" s="10" t="inlineStr">
        <is>
          <t>PRIMARIOS</t>
        </is>
      </c>
      <c r="O1372" s="10" t="inlineStr">
        <is>
          <t>DOCUMENTOS TÉCNICOS</t>
        </is>
      </c>
      <c r="P1372" s="10" t="inlineStr">
        <is>
          <t>USO INTERNO(2)</t>
        </is>
      </c>
      <c r="Q1372" s="10" t="inlineStr">
        <is>
          <t>BAJA(1)</t>
        </is>
      </c>
      <c r="R1372" s="10" t="inlineStr">
        <is>
          <t>BAJA(1)</t>
        </is>
      </c>
      <c r="S1372" s="10">
        <f>+(IF(P1372="PUBLICA(1)",1,IF(P1372="USO INTERNO(2)",2,IF(P1372="RESTRINGIDO(3)",3,3))))+(IF(Q1372="BAJA(1)",1,IF(Q1372="MEDIA(2)",2,IF(Q1372="ALTA(3)",3,3))))+(IF(R1372="BAJA(1)",1,IF(R1372="MEDIA(2)",2,IF(R1372="ALTA(3)",3,3))))</f>
        <v/>
      </c>
      <c r="T1372" s="10">
        <f>+IF(S1372&lt;6,"BAJA",IF(S1372&lt;8,"MEDIA","ALTA"))</f>
        <v/>
      </c>
      <c r="U1372" s="10" t="inlineStr">
        <is>
          <t>-</t>
        </is>
      </c>
      <c r="V1372" s="24" t="n">
        <v>45712</v>
      </c>
      <c r="W1372" s="19" t="inlineStr">
        <is>
          <t>N/A</t>
        </is>
      </c>
      <c r="X1372" s="10">
        <f>+IFERROR(IF(VLOOKUP(Tabla2[[#This Row],[ID]],'EVALUACION DE RIESGO'!A:A,1,FALSE)=Tabla2[[#This Row],[ID]],"SI","NO"),"NO")</f>
        <v/>
      </c>
    </row>
    <row r="1373">
      <c r="A1373" s="91" t="inlineStr">
        <is>
          <t>33-GSO</t>
        </is>
      </c>
      <c r="B1373" s="10" t="inlineStr">
        <is>
          <t>APOYO</t>
        </is>
      </c>
      <c r="C1373" s="10" t="inlineStr">
        <is>
          <t>Gestión de Seguridad Organizacional</t>
        </is>
      </c>
      <c r="D1373" s="10" t="inlineStr">
        <is>
          <t>GSO</t>
        </is>
      </c>
      <c r="E1373" s="10" t="inlineStr">
        <is>
          <t>Gestión de Vigilancia</t>
        </is>
      </c>
      <c r="F1373" s="10" t="inlineStr">
        <is>
          <t>-</t>
        </is>
      </c>
      <c r="G1373" s="10" t="inlineStr">
        <is>
          <t>Control de ingreso y salida de trabajadores, proveedores y visitantes</t>
        </is>
      </c>
      <c r="H1373" s="10" t="inlineStr">
        <is>
          <t>Bitácora de registro de novedades</t>
        </is>
      </c>
      <c r="I1373" s="10" t="inlineStr">
        <is>
          <t>Registro físico de novedades presentadas</t>
        </is>
      </c>
      <c r="J1373" s="10" t="inlineStr">
        <is>
          <t>Oficial de Seguridad Física</t>
        </is>
      </c>
      <c r="K1373" s="10" t="inlineStr">
        <is>
          <t>Oficial de Seguridad Física</t>
        </is>
      </c>
      <c r="L1373" s="10" t="inlineStr">
        <is>
          <t>DOCUMENTOS FISICOS-ARCHIVOS DE LA OFICINA</t>
        </is>
      </c>
      <c r="M1373" s="10" t="inlineStr">
        <is>
          <t>DOCUMENTO DE ARCHIVO-FÍSICO</t>
        </is>
      </c>
      <c r="N1373" s="10" t="inlineStr">
        <is>
          <t>PRIMARIOS</t>
        </is>
      </c>
      <c r="O1373" s="10" t="inlineStr">
        <is>
          <t>DOCUMENTOS TÉCNICOS</t>
        </is>
      </c>
      <c r="P1373" s="10" t="inlineStr">
        <is>
          <t>USO INTERNO(2)</t>
        </is>
      </c>
      <c r="Q1373" s="10" t="inlineStr">
        <is>
          <t>MEDIA(2)</t>
        </is>
      </c>
      <c r="R1373" s="10" t="inlineStr">
        <is>
          <t>BAJA(1)</t>
        </is>
      </c>
      <c r="S1373" s="10">
        <f>+(IF(P1373="PUBLICA(1)",1,IF(P1373="USO INTERNO(2)",2,IF(P1373="RESTRINGIDO(3)",3,3))))+(IF(Q1373="BAJA(1)",1,IF(Q1373="MEDIA(2)",2,IF(Q1373="ALTA(3)",3,3))))+(IF(R1373="BAJA(1)",1,IF(R1373="MEDIA(2)",2,IF(R1373="ALTA(3)",3,3))))</f>
        <v/>
      </c>
      <c r="T1373" s="10">
        <f>+IF(S1373&lt;6,"BAJA",IF(S1373&lt;8,"MEDIA","ALTA"))</f>
        <v/>
      </c>
      <c r="U1373" s="10" t="inlineStr">
        <is>
          <t>-</t>
        </is>
      </c>
      <c r="V1373" s="24" t="n">
        <v>45712</v>
      </c>
      <c r="W1373" s="19" t="inlineStr">
        <is>
          <t>N/A</t>
        </is>
      </c>
      <c r="X1373" s="10">
        <f>+IFERROR(IF(VLOOKUP(Tabla2[[#This Row],[ID]],'EVALUACION DE RIESGO'!A:A,1,FALSE)=Tabla2[[#This Row],[ID]],"SI","NO"),"NO")</f>
        <v/>
      </c>
    </row>
    <row r="1374">
      <c r="A1374" s="91" t="inlineStr">
        <is>
          <t>34-GSO</t>
        </is>
      </c>
      <c r="B1374" s="10" t="inlineStr">
        <is>
          <t>APOYO</t>
        </is>
      </c>
      <c r="C1374" s="10" t="inlineStr">
        <is>
          <t>Gestión de Seguridad Organizacional</t>
        </is>
      </c>
      <c r="D1374" s="10" t="inlineStr">
        <is>
          <t>GSO</t>
        </is>
      </c>
      <c r="E1374" s="10" t="inlineStr">
        <is>
          <t>Gestión de Vigilancia</t>
        </is>
      </c>
      <c r="F1374" s="10" t="inlineStr">
        <is>
          <t>-</t>
        </is>
      </c>
      <c r="G1374" s="10" t="inlineStr">
        <is>
          <t>Control de ingreso y salida de trabajadores, proveedores y visitantes</t>
        </is>
      </c>
      <c r="H1374" s="10" t="inlineStr">
        <is>
          <t>Formulario de salida de activos</t>
        </is>
      </c>
      <c r="I1374" s="10" t="inlineStr">
        <is>
          <t>Registro del formulario de salida de activos tecnológicos</t>
        </is>
      </c>
      <c r="J1374" s="10" t="inlineStr">
        <is>
          <t>Oficial de Seguridad Física</t>
        </is>
      </c>
      <c r="K1374" s="10" t="inlineStr">
        <is>
          <t>Oficial de Seguridad Física</t>
        </is>
      </c>
      <c r="L1374" s="10" t="inlineStr">
        <is>
          <t>DOCUMENTOS FISICOS-ARCHIVOS DE LA OFICINA</t>
        </is>
      </c>
      <c r="M1374" s="10" t="inlineStr">
        <is>
          <t>DOCUMENTO DE ARCHIVO-FÍSICO</t>
        </is>
      </c>
      <c r="N1374" s="10" t="inlineStr">
        <is>
          <t>PRIMARIOS</t>
        </is>
      </c>
      <c r="O1374" s="10" t="inlineStr">
        <is>
          <t>DOCUMENTOS TÉCNICOS</t>
        </is>
      </c>
      <c r="P1374" s="10" t="inlineStr">
        <is>
          <t>USO INTERNO(2)</t>
        </is>
      </c>
      <c r="Q1374" s="10" t="inlineStr">
        <is>
          <t>BAJA(1)</t>
        </is>
      </c>
      <c r="R1374" s="10" t="inlineStr">
        <is>
          <t>BAJA(1)</t>
        </is>
      </c>
      <c r="S1374" s="10">
        <f>+(IF(P1374="PUBLICA(1)",1,IF(P1374="USO INTERNO(2)",2,IF(P1374="RESTRINGIDO(3)",3,3))))+(IF(Q1374="BAJA(1)",1,IF(Q1374="MEDIA(2)",2,IF(Q1374="ALTA(3)",3,3))))+(IF(R1374="BAJA(1)",1,IF(R1374="MEDIA(2)",2,IF(R1374="ALTA(3)",3,3))))</f>
        <v/>
      </c>
      <c r="T1374" s="10">
        <f>+IF(S1374&lt;6,"BAJA",IF(S1374&lt;8,"MEDIA","ALTA"))</f>
        <v/>
      </c>
      <c r="U1374" s="10" t="inlineStr">
        <is>
          <t>-</t>
        </is>
      </c>
      <c r="V1374" s="24" t="n">
        <v>45712</v>
      </c>
      <c r="W1374" s="19" t="inlineStr">
        <is>
          <t>N/A</t>
        </is>
      </c>
      <c r="X1374" s="10">
        <f>+IFERROR(IF(VLOOKUP(Tabla2[[#This Row],[ID]],'EVALUACION DE RIESGO'!A:A,1,FALSE)=Tabla2[[#This Row],[ID]],"SI","NO"),"NO")</f>
        <v/>
      </c>
    </row>
    <row r="1375">
      <c r="A1375" s="91" t="inlineStr">
        <is>
          <t>35-GSO</t>
        </is>
      </c>
      <c r="B1375" s="10" t="inlineStr">
        <is>
          <t>APOYO</t>
        </is>
      </c>
      <c r="C1375" s="10" t="inlineStr">
        <is>
          <t>Gestión de Seguridad Organizacional</t>
        </is>
      </c>
      <c r="D1375" s="10" t="inlineStr">
        <is>
          <t>GSO</t>
        </is>
      </c>
      <c r="E1375" s="10" t="inlineStr">
        <is>
          <t>Gestión de Vigilancia</t>
        </is>
      </c>
      <c r="F1375" s="10" t="inlineStr">
        <is>
          <t>-</t>
        </is>
      </c>
      <c r="G1375" s="10" t="inlineStr">
        <is>
          <t>Control de ingreso y salida de vehículos</t>
        </is>
      </c>
      <c r="H1375" s="10" t="inlineStr">
        <is>
          <t>Bitácora de registro de novedades</t>
        </is>
      </c>
      <c r="I1375" s="10" t="inlineStr">
        <is>
          <t>Registro físico de novedades presentadas</t>
        </is>
      </c>
      <c r="J1375" s="10" t="inlineStr">
        <is>
          <t>Oficial de Seguridad Física</t>
        </is>
      </c>
      <c r="K1375" s="10" t="inlineStr">
        <is>
          <t>Oficial de Seguridad Física</t>
        </is>
      </c>
      <c r="L1375" s="10" t="inlineStr">
        <is>
          <t>DOCUMENTOS FISICOS-ARCHIVOS DE LA OFICINA</t>
        </is>
      </c>
      <c r="M1375" s="10" t="inlineStr">
        <is>
          <t>DOCUMENTO DE ARCHIVO-FÍSICO</t>
        </is>
      </c>
      <c r="N1375" s="10" t="inlineStr">
        <is>
          <t>PRIMARIOS</t>
        </is>
      </c>
      <c r="O1375" s="10" t="inlineStr">
        <is>
          <t>DOCUMENTOS TÉCNICOS</t>
        </is>
      </c>
      <c r="P1375" s="10" t="inlineStr">
        <is>
          <t>USO INTERNO(2)</t>
        </is>
      </c>
      <c r="Q1375" s="10" t="inlineStr">
        <is>
          <t>MEDIA(2)</t>
        </is>
      </c>
      <c r="R1375" s="10" t="inlineStr">
        <is>
          <t>BAJA(1)</t>
        </is>
      </c>
      <c r="S1375" s="10">
        <f>+(IF(P1375="PUBLICA(1)",1,IF(P1375="USO INTERNO(2)",2,IF(P1375="RESTRINGIDO(3)",3,3))))+(IF(Q1375="BAJA(1)",1,IF(Q1375="MEDIA(2)",2,IF(Q1375="ALTA(3)",3,3))))+(IF(R1375="BAJA(1)",1,IF(R1375="MEDIA(2)",2,IF(R1375="ALTA(3)",3,3))))</f>
        <v/>
      </c>
      <c r="T1375" s="10">
        <f>+IF(S1375&lt;6,"BAJA",IF(S1375&lt;8,"MEDIA","ALTA"))</f>
        <v/>
      </c>
      <c r="U1375" s="10" t="inlineStr">
        <is>
          <t>-</t>
        </is>
      </c>
      <c r="V1375" s="24" t="n">
        <v>45712</v>
      </c>
      <c r="W1375" s="19" t="inlineStr">
        <is>
          <t>N/A</t>
        </is>
      </c>
      <c r="X1375" s="10">
        <f>+IFERROR(IF(VLOOKUP(Tabla2[[#This Row],[ID]],'EVALUACION DE RIESGO'!A:A,1,FALSE)=Tabla2[[#This Row],[ID]],"SI","NO"),"NO")</f>
        <v/>
      </c>
    </row>
    <row r="1376">
      <c r="A1376" s="91" t="inlineStr">
        <is>
          <t>36-GSO</t>
        </is>
      </c>
      <c r="B1376" s="10" t="inlineStr">
        <is>
          <t>APOYO</t>
        </is>
      </c>
      <c r="C1376" s="10" t="inlineStr">
        <is>
          <t>Gestión de Seguridad Organizacional</t>
        </is>
      </c>
      <c r="D1376" s="10" t="inlineStr">
        <is>
          <t>GSO</t>
        </is>
      </c>
      <c r="E1376" s="10" t="inlineStr">
        <is>
          <t>Gestión de Vigilancia</t>
        </is>
      </c>
      <c r="F1376" s="10" t="inlineStr">
        <is>
          <t>-</t>
        </is>
      </c>
      <c r="G1376" s="10" t="inlineStr">
        <is>
          <t xml:space="preserve">Evaluación de procedimiento de vigilancia </t>
        </is>
      </c>
      <c r="H1376" s="10" t="inlineStr">
        <is>
          <t>Cuestionario de evaluación de políticas de seguridad</t>
        </is>
      </c>
      <c r="I1376" s="10" t="inlineStr">
        <is>
          <t>Cuestionario dirigido a agentes de Seguridad, identificación del cumplimiento de los procedimientos</t>
        </is>
      </c>
      <c r="J1376" s="10" t="inlineStr">
        <is>
          <t>Oficial de Seguridad Física</t>
        </is>
      </c>
      <c r="K1376" s="10" t="inlineStr">
        <is>
          <t>Oficial de Seguridad Física</t>
        </is>
      </c>
      <c r="L1376" s="10" t="inlineStr">
        <is>
          <t>DOCUMENTOS FISICOS-ARCHIVOS DE LA OFICINA</t>
        </is>
      </c>
      <c r="M1376" s="10" t="inlineStr">
        <is>
          <t>DOCUMENTO DE ARCHIVO-FÍSICO</t>
        </is>
      </c>
      <c r="N1376" s="10" t="inlineStr">
        <is>
          <t>PRIMARIOS</t>
        </is>
      </c>
      <c r="O1376" s="10" t="inlineStr">
        <is>
          <t>DOCUMENTOS TÉCNICOS</t>
        </is>
      </c>
      <c r="P1376" s="10" t="inlineStr">
        <is>
          <t>USO INTERNO(2)</t>
        </is>
      </c>
      <c r="Q1376" s="10" t="inlineStr">
        <is>
          <t>MEDIA(2)</t>
        </is>
      </c>
      <c r="R1376" s="10" t="inlineStr">
        <is>
          <t>BAJA(1)</t>
        </is>
      </c>
      <c r="S1376" s="10">
        <f>+(IF(P1376="PUBLICA(1)",1,IF(P1376="USO INTERNO(2)",2,IF(P1376="RESTRINGIDO(3)",3,3))))+(IF(Q1376="BAJA(1)",1,IF(Q1376="MEDIA(2)",2,IF(Q1376="ALTA(3)",3,3))))+(IF(R1376="BAJA(1)",1,IF(R1376="MEDIA(2)",2,IF(R1376="ALTA(3)",3,3))))</f>
        <v/>
      </c>
      <c r="T1376" s="10">
        <f>+IF(S1376&lt;6,"BAJA",IF(S1376&lt;8,"MEDIA","ALTA"))</f>
        <v/>
      </c>
      <c r="U1376" s="10" t="inlineStr">
        <is>
          <t>-</t>
        </is>
      </c>
      <c r="V1376" s="24" t="n">
        <v>45712</v>
      </c>
      <c r="W1376" s="19" t="inlineStr">
        <is>
          <t>N/A</t>
        </is>
      </c>
      <c r="X1376" s="10">
        <f>+IFERROR(IF(VLOOKUP(Tabla2[[#This Row],[ID]],'EVALUACION DE RIESGO'!A:A,1,FALSE)=Tabla2[[#This Row],[ID]],"SI","NO"),"NO")</f>
        <v/>
      </c>
    </row>
    <row r="1377">
      <c r="A1377" s="91" t="inlineStr">
        <is>
          <t>37-GSO</t>
        </is>
      </c>
      <c r="B1377" s="10" t="inlineStr">
        <is>
          <t>APOYO</t>
        </is>
      </c>
      <c r="C1377" s="10" t="inlineStr">
        <is>
          <t>Gestión de Seguridad Organizacional</t>
        </is>
      </c>
      <c r="D1377" s="10" t="inlineStr">
        <is>
          <t>GSO</t>
        </is>
      </c>
      <c r="E1377" s="10" t="inlineStr">
        <is>
          <t>Gestión de Vigilancia</t>
        </is>
      </c>
      <c r="F1377" s="10" t="inlineStr">
        <is>
          <t>-</t>
        </is>
      </c>
      <c r="G1377" s="10" t="inlineStr">
        <is>
          <t xml:space="preserve">Administración del Servicio de Vigilancia </t>
        </is>
      </c>
      <c r="H1377" s="10" t="inlineStr">
        <is>
          <t>Solicitud de Adquisiciones</t>
        </is>
      </c>
      <c r="I1377" s="10" t="inlineStr">
        <is>
          <t>Solicitud de adquisiciones realizada en el sistema SARA</t>
        </is>
      </c>
      <c r="J1377" s="10" t="inlineStr">
        <is>
          <t>Oficial de Seguridad Física</t>
        </is>
      </c>
      <c r="K1377" s="10" t="inlineStr">
        <is>
          <t>Oficial de Seguridad Física</t>
        </is>
      </c>
      <c r="L1377" s="10" t="inlineStr">
        <is>
          <t>UBICACIÓN DIGITAL-EQUIPO DEL RESPONSABLE</t>
        </is>
      </c>
      <c r="M1377" s="10" t="inlineStr">
        <is>
          <t>DISCOS DUROS, SERVIDORES, DISCOS O MEDIOS PORTÁTILES, CINTAS O MEDIOS DE VIDEO Y AUDIO, ETC.</t>
        </is>
      </c>
      <c r="N1377" s="10" t="inlineStr">
        <is>
          <t>PRIMARIOS</t>
        </is>
      </c>
      <c r="O1377" s="10" t="inlineStr">
        <is>
          <t>DOCUMENTOS TÉCNICOS</t>
        </is>
      </c>
      <c r="P1377" s="10" t="inlineStr">
        <is>
          <t>USO INTERNO(2)</t>
        </is>
      </c>
      <c r="Q1377" s="10" t="inlineStr">
        <is>
          <t>BAJA(1)</t>
        </is>
      </c>
      <c r="R1377" s="10" t="inlineStr">
        <is>
          <t>MEDIA(2)</t>
        </is>
      </c>
      <c r="S1377" s="10">
        <f>+(IF(P1377="PUBLICA(1)",1,IF(P1377="USO INTERNO(2)",2,IF(P1377="RESTRINGIDO(3)",3,3))))+(IF(Q1377="BAJA(1)",1,IF(Q1377="MEDIA(2)",2,IF(Q1377="ALTA(3)",3,3))))+(IF(R1377="BAJA(1)",1,IF(R1377="MEDIA(2)",2,IF(R1377="ALTA(3)",3,3))))</f>
        <v/>
      </c>
      <c r="T1377" s="10">
        <f>+IF(S1377&lt;6,"BAJA",IF(S1377&lt;8,"MEDIA","ALTA"))</f>
        <v/>
      </c>
      <c r="U1377" s="10" t="inlineStr">
        <is>
          <t>-</t>
        </is>
      </c>
      <c r="V1377" s="24" t="n">
        <v>45712</v>
      </c>
      <c r="W1377" s="19" t="inlineStr">
        <is>
          <t>N/A</t>
        </is>
      </c>
      <c r="X1377" s="10">
        <f>+IFERROR(IF(VLOOKUP(Tabla2[[#This Row],[ID]],'EVALUACION DE RIESGO'!A:A,1,FALSE)=Tabla2[[#This Row],[ID]],"SI","NO"),"NO")</f>
        <v/>
      </c>
    </row>
    <row r="1378">
      <c r="A1378" s="91" t="inlineStr">
        <is>
          <t>38-GSO</t>
        </is>
      </c>
      <c r="B1378" s="10" t="inlineStr">
        <is>
          <t>APOYO</t>
        </is>
      </c>
      <c r="C1378" s="10" t="inlineStr">
        <is>
          <t>Gestión de Seguridad Organizacional</t>
        </is>
      </c>
      <c r="D1378" s="10" t="inlineStr">
        <is>
          <t>GSO</t>
        </is>
      </c>
      <c r="E1378" s="10" t="inlineStr">
        <is>
          <t>Gestión de Vigilancia</t>
        </is>
      </c>
      <c r="F1378" s="10" t="inlineStr">
        <is>
          <t>-</t>
        </is>
      </c>
      <c r="G1378" s="10" t="inlineStr">
        <is>
          <t xml:space="preserve">Administración del Servicio de Vigilancia </t>
        </is>
      </c>
      <c r="H1378" s="10" t="inlineStr">
        <is>
          <t>Informe de satisfacción del servicio de vigilancia</t>
        </is>
      </c>
      <c r="I1378" s="10" t="inlineStr">
        <is>
          <t>Documentación de sustento e informe de satisfacción del servicio de vigilancia, previo al pago mensual definitivo en el contrato</t>
        </is>
      </c>
      <c r="J1378" s="10" t="inlineStr">
        <is>
          <t>Oficial de Seguridad Física</t>
        </is>
      </c>
      <c r="K1378" s="10" t="inlineStr">
        <is>
          <t>Oficial de Seguridad Física</t>
        </is>
      </c>
      <c r="L1378" s="10" t="inlineStr">
        <is>
          <t>DOCUMENTOS FISICOS-ARCHIVOS DE LA OFICINA</t>
        </is>
      </c>
      <c r="M1378" s="10" t="inlineStr">
        <is>
          <t>DOCUMENTO DE ARCHIVO-FÍSICO</t>
        </is>
      </c>
      <c r="N1378" s="10" t="inlineStr">
        <is>
          <t>PRIMARIOS</t>
        </is>
      </c>
      <c r="O1378" s="10" t="inlineStr">
        <is>
          <t>DOCUMENTOS TÉCNICOS</t>
        </is>
      </c>
      <c r="P1378" s="10" t="inlineStr">
        <is>
          <t>USO INTERNO(2)</t>
        </is>
      </c>
      <c r="Q1378" s="10" t="inlineStr">
        <is>
          <t>BAJA(1)</t>
        </is>
      </c>
      <c r="R1378" s="10" t="inlineStr">
        <is>
          <t>MEDIA(2)</t>
        </is>
      </c>
      <c r="S1378" s="10">
        <f>+(IF(P1378="PUBLICA(1)",1,IF(P1378="USO INTERNO(2)",2,IF(P1378="RESTRINGIDO(3)",3,3))))+(IF(Q1378="BAJA(1)",1,IF(Q1378="MEDIA(2)",2,IF(Q1378="ALTA(3)",3,3))))+(IF(R1378="BAJA(1)",1,IF(R1378="MEDIA(2)",2,IF(R1378="ALTA(3)",3,3))))</f>
        <v/>
      </c>
      <c r="T1378" s="10">
        <f>+IF(S1378&lt;6,"BAJA",IF(S1378&lt;8,"MEDIA","ALTA"))</f>
        <v/>
      </c>
      <c r="U1378" s="10" t="inlineStr">
        <is>
          <t>-</t>
        </is>
      </c>
      <c r="V1378" s="24" t="n">
        <v>45712</v>
      </c>
      <c r="W1378" s="19" t="inlineStr">
        <is>
          <t>N/A</t>
        </is>
      </c>
      <c r="X1378" s="10">
        <f>+IFERROR(IF(VLOOKUP(Tabla2[[#This Row],[ID]],'EVALUACION DE RIESGO'!A:A,1,FALSE)=Tabla2[[#This Row],[ID]],"SI","NO"),"NO")</f>
        <v/>
      </c>
    </row>
    <row r="1379">
      <c r="A1379" s="91" t="inlineStr">
        <is>
          <t>39-GSO</t>
        </is>
      </c>
      <c r="B1379" s="10" t="inlineStr">
        <is>
          <t>APOYO</t>
        </is>
      </c>
      <c r="C1379" s="10" t="inlineStr">
        <is>
          <t>Gestión de Seguridad Organizacional</t>
        </is>
      </c>
      <c r="D1379" s="10" t="inlineStr">
        <is>
          <t>GSO</t>
        </is>
      </c>
      <c r="E1379" s="10" t="inlineStr">
        <is>
          <t>Gestión de Vigilancia</t>
        </is>
      </c>
      <c r="F1379" s="10" t="inlineStr">
        <is>
          <t>-</t>
        </is>
      </c>
      <c r="G1379" s="10" t="inlineStr">
        <is>
          <t xml:space="preserve">Administración del Servicio de Vigilancia </t>
        </is>
      </c>
      <c r="H1379" s="10" t="inlineStr">
        <is>
          <t>Factura</t>
        </is>
      </c>
      <c r="I1379" s="10" t="inlineStr">
        <is>
          <t>Comprobante del pago a proveedores</t>
        </is>
      </c>
      <c r="J1379" s="10" t="inlineStr">
        <is>
          <t>Oficial de Seguridad Física</t>
        </is>
      </c>
      <c r="K1379" s="10" t="inlineStr">
        <is>
          <t>Oficial de Seguridad Física</t>
        </is>
      </c>
      <c r="L1379" s="10" t="inlineStr">
        <is>
          <t>UBICACIÓN DIGITAL-EQUIPO DEL RESPONSABLE</t>
        </is>
      </c>
      <c r="M1379" s="10" t="inlineStr">
        <is>
          <t>DISCOS DUROS, SERVIDORES, DISCOS O MEDIOS PORTÁTILES, CINTAS O MEDIOS DE VIDEO Y AUDIO, ETC.</t>
        </is>
      </c>
      <c r="N1379" s="10" t="inlineStr">
        <is>
          <t>PRIMARIOS</t>
        </is>
      </c>
      <c r="O1379" s="10" t="inlineStr">
        <is>
          <t>COMUNICACIÓN INTERNA</t>
        </is>
      </c>
      <c r="P1379" s="10" t="inlineStr">
        <is>
          <t>USO INTERNO(2)</t>
        </is>
      </c>
      <c r="Q1379" s="10" t="inlineStr">
        <is>
          <t>MEDIA(2)</t>
        </is>
      </c>
      <c r="R1379" s="10" t="inlineStr">
        <is>
          <t>MEDIA(2)</t>
        </is>
      </c>
      <c r="S1379" s="10">
        <f>+(IF(P1379="PUBLICA(1)",1,IF(P1379="USO INTERNO(2)",2,IF(P1379="RESTRINGIDO(3)",3,3))))+(IF(Q1379="BAJA(1)",1,IF(Q1379="MEDIA(2)",2,IF(Q1379="ALTA(3)",3,3))))+(IF(R1379="BAJA(1)",1,IF(R1379="MEDIA(2)",2,IF(R1379="ALTA(3)",3,3))))</f>
        <v/>
      </c>
      <c r="T1379" s="10">
        <f>+IF(S1379&lt;6,"BAJA",IF(S1379&lt;8,"MEDIA","ALTA"))</f>
        <v/>
      </c>
      <c r="U1379" s="10" t="inlineStr">
        <is>
          <t>-</t>
        </is>
      </c>
      <c r="V1379" s="24" t="n">
        <v>45712</v>
      </c>
      <c r="W1379" s="19" t="inlineStr">
        <is>
          <t>N/A</t>
        </is>
      </c>
      <c r="X1379" s="10">
        <f>+IFERROR(IF(VLOOKUP(Tabla2[[#This Row],[ID]],'EVALUACION DE RIESGO'!A:A,1,FALSE)=Tabla2[[#This Row],[ID]],"SI","NO"),"NO")</f>
        <v/>
      </c>
    </row>
    <row r="1380">
      <c r="A1380" s="91" t="inlineStr">
        <is>
          <t>40-GSO</t>
        </is>
      </c>
      <c r="B1380" s="10" t="inlineStr">
        <is>
          <t>APOYO</t>
        </is>
      </c>
      <c r="C1380" s="10" t="inlineStr">
        <is>
          <t>Gestión de Seguridad Organizacional</t>
        </is>
      </c>
      <c r="D1380" s="10" t="inlineStr">
        <is>
          <t>GSO</t>
        </is>
      </c>
      <c r="E1380" s="10" t="inlineStr">
        <is>
          <t>Gestión de Vigilancia</t>
        </is>
      </c>
      <c r="F1380" s="10" t="inlineStr">
        <is>
          <t>-</t>
        </is>
      </c>
      <c r="G1380" s="10" t="inlineStr">
        <is>
          <t>N/A</t>
        </is>
      </c>
      <c r="H1380" s="10" t="inlineStr">
        <is>
          <t xml:space="preserve">Equipos de computación </t>
        </is>
      </c>
      <c r="I1380" s="10" t="inlineStr">
        <is>
          <t>Equipos de computación donde se realiza la gestión del área</t>
        </is>
      </c>
      <c r="J1380" s="10" t="inlineStr">
        <is>
          <t>Oficial de Seguridad Física</t>
        </is>
      </c>
      <c r="K1380" s="10" t="inlineStr">
        <is>
          <t>Oficial de Seguridad Física</t>
        </is>
      </c>
      <c r="L1380" s="10" t="inlineStr">
        <is>
          <t>UBICACIÓN FISICA-SUCURSAL IBARRA</t>
        </is>
      </c>
      <c r="M1380" s="10" t="inlineStr">
        <is>
          <t>DISCOS DUROS, SERVIDORES, DISCOS O MEDIOS PORTÁTILES, CINTAS O MEDIOS DE VIDEO Y AUDIO, ETC.</t>
        </is>
      </c>
      <c r="N1380" s="10" t="inlineStr">
        <is>
          <t>APOYO</t>
        </is>
      </c>
      <c r="O1380" s="10" t="inlineStr">
        <is>
          <t>HARDWARE</t>
        </is>
      </c>
      <c r="P1380" s="10" t="inlineStr">
        <is>
          <t>USO INTERNO(2)</t>
        </is>
      </c>
      <c r="Q1380" s="10" t="inlineStr">
        <is>
          <t>BAJA(1)</t>
        </is>
      </c>
      <c r="R1380" s="10" t="inlineStr">
        <is>
          <t>MEDIA(2)</t>
        </is>
      </c>
      <c r="S1380" s="10">
        <f>+(IF(P1380="PUBLICA(1)",1,IF(P1380="USO INTERNO(2)",2,IF(P1380="RESTRINGIDO(3)",3,3))))+(IF(Q1380="BAJA(1)",1,IF(Q1380="MEDIA(2)",2,IF(Q1380="ALTA(3)",3,3))))+(IF(R1380="BAJA(1)",1,IF(R1380="MEDIA(2)",2,IF(R1380="ALTA(3)",3,3))))</f>
        <v/>
      </c>
      <c r="T1380" s="10">
        <f>+IF(S1380&lt;6,"BAJA",IF(S1380&lt;8,"MEDIA","ALTA"))</f>
        <v/>
      </c>
      <c r="U1380" s="10" t="inlineStr">
        <is>
          <t>-</t>
        </is>
      </c>
      <c r="V1380" s="24" t="n">
        <v>45712</v>
      </c>
      <c r="W1380" s="19" t="inlineStr">
        <is>
          <t>N/A</t>
        </is>
      </c>
      <c r="X1380" s="10">
        <f>+IFERROR(IF(VLOOKUP(Tabla2[[#This Row],[ID]],'EVALUACION DE RIESGO'!A:A,1,FALSE)=Tabla2[[#This Row],[ID]],"SI","NO"),"NO")</f>
        <v/>
      </c>
    </row>
    <row r="1381">
      <c r="A1381" s="91" t="inlineStr">
        <is>
          <t>41-GSO</t>
        </is>
      </c>
      <c r="B1381" s="10" t="inlineStr">
        <is>
          <t>APOYO</t>
        </is>
      </c>
      <c r="C1381" s="10" t="inlineStr">
        <is>
          <t>Gestión de Seguridad Organizacional</t>
        </is>
      </c>
      <c r="D1381" s="10" t="inlineStr">
        <is>
          <t>GSO</t>
        </is>
      </c>
      <c r="E1381" s="10" t="inlineStr">
        <is>
          <t>Gestión de Vigilancia</t>
        </is>
      </c>
      <c r="F1381" s="10" t="inlineStr">
        <is>
          <t>-</t>
        </is>
      </c>
      <c r="G1381" s="10" t="inlineStr">
        <is>
          <t>N/A</t>
        </is>
      </c>
      <c r="H1381" s="10" t="inlineStr">
        <is>
          <t>Oficial de Seguridad Física</t>
        </is>
      </c>
      <c r="I1381" s="10" t="inlineStr">
        <is>
          <t>N/A</t>
        </is>
      </c>
      <c r="J1381" s="10" t="inlineStr">
        <is>
          <t>Oficial de Seguridad Física</t>
        </is>
      </c>
      <c r="K1381" s="10" t="inlineStr">
        <is>
          <t>N/A</t>
        </is>
      </c>
      <c r="L1381" s="10" t="inlineStr">
        <is>
          <t>N/A</t>
        </is>
      </c>
      <c r="M1381" s="10" t="inlineStr">
        <is>
          <t>N/A</t>
        </is>
      </c>
      <c r="N1381" s="10" t="inlineStr">
        <is>
          <t>APOYO</t>
        </is>
      </c>
      <c r="O1381" s="10" t="inlineStr">
        <is>
          <t>RECURSO HUMANO</t>
        </is>
      </c>
      <c r="P1381" s="10" t="inlineStr">
        <is>
          <t>USO INTERNO(2)</t>
        </is>
      </c>
      <c r="Q1381" s="10" t="inlineStr">
        <is>
          <t>MEDIA(2)</t>
        </is>
      </c>
      <c r="R1381" s="10" t="inlineStr">
        <is>
          <t>MEDIA(2)</t>
        </is>
      </c>
      <c r="S1381" s="10">
        <f>+(IF(P1381="PUBLICA(1)",1,IF(P1381="USO INTERNO(2)",2,IF(P1381="RESTRINGIDO(3)",3,3))))+(IF(Q1381="BAJA(1)",1,IF(Q1381="MEDIA(2)",2,IF(Q1381="ALTA(3)",3,3))))+(IF(R1381="BAJA(1)",1,IF(R1381="MEDIA(2)",2,IF(R1381="ALTA(3)",3,3))))</f>
        <v/>
      </c>
      <c r="T1381" s="10">
        <f>+IF(S1381&lt;6,"BAJA",IF(S1381&lt;8,"MEDIA","ALTA"))</f>
        <v/>
      </c>
      <c r="U1381" s="10" t="inlineStr">
        <is>
          <t>-</t>
        </is>
      </c>
      <c r="V1381" s="24" t="n">
        <v>45712</v>
      </c>
      <c r="W1381" s="19" t="inlineStr">
        <is>
          <t>N/A</t>
        </is>
      </c>
      <c r="X1381" s="10">
        <f>+IFERROR(IF(VLOOKUP(Tabla2[[#This Row],[ID]],'EVALUACION DE RIESGO'!A:A,1,FALSE)=Tabla2[[#This Row],[ID]],"SI","NO"),"NO")</f>
        <v/>
      </c>
    </row>
    <row r="1382">
      <c r="A1382" s="91" t="inlineStr">
        <is>
          <t>42-GSO</t>
        </is>
      </c>
      <c r="B1382" s="10" t="inlineStr">
        <is>
          <t>APOYO</t>
        </is>
      </c>
      <c r="C1382" s="10" t="inlineStr">
        <is>
          <t>Gestión de Seguridad Organizacional</t>
        </is>
      </c>
      <c r="D1382" s="10" t="inlineStr">
        <is>
          <t>GSO</t>
        </is>
      </c>
      <c r="E1382" s="10" t="inlineStr">
        <is>
          <t xml:space="preserve">Gestión de Seguridad de la Información </t>
        </is>
      </c>
      <c r="F1382" s="10" t="inlineStr">
        <is>
          <t>-</t>
        </is>
      </c>
      <c r="G1382" s="10" t="inlineStr">
        <is>
          <t xml:space="preserve">Creación de nuevos usuarios </t>
        </is>
      </c>
      <c r="H1382" s="10" t="inlineStr">
        <is>
          <t>Bitácora de seguridades de la Información</t>
        </is>
      </c>
      <c r="I1382" s="10" t="inlineStr">
        <is>
          <t>Bitácora de registro de la creación de nuevos usuarios en las aplicaciones administradas por el OSI</t>
        </is>
      </c>
      <c r="J1382" s="10" t="inlineStr">
        <is>
          <t xml:space="preserve">Oficial de Seguridad de la Información </t>
        </is>
      </c>
      <c r="K1382" s="10" t="inlineStr">
        <is>
          <t xml:space="preserve">Oficial de Seguridad de la Información </t>
        </is>
      </c>
      <c r="L1382" s="10" t="inlineStr">
        <is>
          <t>UBICACIÓN DIGITAL-EQUIPO DEL RESPONSABLE</t>
        </is>
      </c>
      <c r="M1382" s="10" t="inlineStr">
        <is>
          <t>DISCOS DUROS, SERVIDORES, DISCOS O MEDIOS PORTÁTILES, CINTAS O MEDIOS DE VIDEO Y AUDIO, ETC.</t>
        </is>
      </c>
      <c r="N1382" s="10" t="inlineStr">
        <is>
          <t>PRIMARIOS</t>
        </is>
      </c>
      <c r="O1382" s="10" t="inlineStr">
        <is>
          <t>DOCUMENTOS TÉCNICOS</t>
        </is>
      </c>
      <c r="P1382" s="10" t="inlineStr">
        <is>
          <t>RESTRINGIDO(3)</t>
        </is>
      </c>
      <c r="Q1382" s="10" t="inlineStr">
        <is>
          <t>MEDIA(2)</t>
        </is>
      </c>
      <c r="R1382" s="10" t="inlineStr">
        <is>
          <t>MEDIA(2)</t>
        </is>
      </c>
      <c r="S1382" s="10">
        <f>+(IF(P1382="PUBLICA(1)",1,IF(P1382="USO INTERNO(2)",2,IF(P1382="RESTRINGIDO(3)",3,3))))+(IF(Q1382="BAJA(1)",1,IF(Q1382="MEDIA(2)",2,IF(Q1382="ALTA(3)",3,3))))+(IF(R1382="BAJA(1)",1,IF(R1382="MEDIA(2)",2,IF(R1382="ALTA(3)",3,3))))</f>
        <v/>
      </c>
      <c r="T1382" s="10">
        <f>+IF(S1382&lt;6,"BAJA",IF(S1382&lt;8,"MEDIA","ALTA"))</f>
        <v/>
      </c>
      <c r="U1382" s="10" t="inlineStr">
        <is>
          <t>-</t>
        </is>
      </c>
      <c r="V1382" s="24" t="n">
        <v>45712</v>
      </c>
      <c r="W1382" s="19" t="inlineStr">
        <is>
          <t>N/A</t>
        </is>
      </c>
      <c r="X1382" s="10">
        <f>+IFERROR(IF(VLOOKUP(Tabla2[[#This Row],[ID]],'EVALUACION DE RIESGO'!A:A,1,FALSE)=Tabla2[[#This Row],[ID]],"SI","NO"),"NO")</f>
        <v/>
      </c>
    </row>
    <row r="1383">
      <c r="A1383" s="91" t="inlineStr">
        <is>
          <t>43-GSO</t>
        </is>
      </c>
      <c r="B1383" s="10" t="inlineStr">
        <is>
          <t>APOYO</t>
        </is>
      </c>
      <c r="C1383" s="10" t="inlineStr">
        <is>
          <t>Gestión de Seguridad Organizacional</t>
        </is>
      </c>
      <c r="D1383" s="10" t="inlineStr">
        <is>
          <t>GSO</t>
        </is>
      </c>
      <c r="E1383" s="10" t="inlineStr">
        <is>
          <t xml:space="preserve">Gestión de Seguridad de la Información </t>
        </is>
      </c>
      <c r="F1383" s="10" t="inlineStr">
        <is>
          <t>-</t>
        </is>
      </c>
      <c r="G1383" s="10" t="inlineStr">
        <is>
          <t>Modificación del perfil  usuarios</t>
        </is>
      </c>
      <c r="H1383" s="10" t="inlineStr">
        <is>
          <t>Bitácora de seguridades de la Información</t>
        </is>
      </c>
      <c r="I1383" s="10" t="inlineStr">
        <is>
          <t>Bitácora de registro de la actualización de usuarios como el rol y la oficina</t>
        </is>
      </c>
      <c r="J1383" s="10" t="inlineStr">
        <is>
          <t xml:space="preserve">Oficial de Seguridad de la Información </t>
        </is>
      </c>
      <c r="K1383" s="10" t="inlineStr">
        <is>
          <t xml:space="preserve">Oficial de Seguridad de la Información </t>
        </is>
      </c>
      <c r="L1383" s="10" t="inlineStr">
        <is>
          <t>UBICACIÓN DIGITAL-EQUIPO DEL RESPONSABLE</t>
        </is>
      </c>
      <c r="M1383" s="10" t="inlineStr">
        <is>
          <t>DISCOS DUROS, SERVIDORES, DISCOS O MEDIOS PORTÁTILES, CINTAS O MEDIOS DE VIDEO Y AUDIO, ETC.</t>
        </is>
      </c>
      <c r="N1383" s="10" t="inlineStr">
        <is>
          <t>PRIMARIOS</t>
        </is>
      </c>
      <c r="O1383" s="10" t="inlineStr">
        <is>
          <t>DOCUMENTOS TÉCNICOS</t>
        </is>
      </c>
      <c r="P1383" s="10" t="inlineStr">
        <is>
          <t>USO INTERNO(2)</t>
        </is>
      </c>
      <c r="Q1383" s="10" t="inlineStr">
        <is>
          <t>MEDIA(2)</t>
        </is>
      </c>
      <c r="R1383" s="10" t="inlineStr">
        <is>
          <t>MEDIA(2)</t>
        </is>
      </c>
      <c r="S1383" s="10">
        <f>+(IF(P1383="PUBLICA(1)",1,IF(P1383="USO INTERNO(2)",2,IF(P1383="RESTRINGIDO(3)",3,3))))+(IF(Q1383="BAJA(1)",1,IF(Q1383="MEDIA(2)",2,IF(Q1383="ALTA(3)",3,3))))+(IF(R1383="BAJA(1)",1,IF(R1383="MEDIA(2)",2,IF(R1383="ALTA(3)",3,3))))</f>
        <v/>
      </c>
      <c r="T1383" s="10">
        <f>+IF(S1383&lt;6,"BAJA",IF(S1383&lt;8,"MEDIA","ALTA"))</f>
        <v/>
      </c>
      <c r="U1383" s="10" t="inlineStr">
        <is>
          <t>-</t>
        </is>
      </c>
      <c r="V1383" s="24" t="n">
        <v>45712</v>
      </c>
      <c r="W1383" s="19" t="inlineStr">
        <is>
          <t>N/A</t>
        </is>
      </c>
      <c r="X1383" s="10">
        <f>+IFERROR(IF(VLOOKUP(Tabla2[[#This Row],[ID]],'EVALUACION DE RIESGO'!A:A,1,FALSE)=Tabla2[[#This Row],[ID]],"SI","NO"),"NO")</f>
        <v/>
      </c>
    </row>
    <row r="1384">
      <c r="A1384" s="91" t="inlineStr">
        <is>
          <t>44-GSO</t>
        </is>
      </c>
      <c r="B1384" s="10" t="inlineStr">
        <is>
          <t>APOYO</t>
        </is>
      </c>
      <c r="C1384" s="10" t="inlineStr">
        <is>
          <t>Gestión de Seguridad Organizacional</t>
        </is>
      </c>
      <c r="D1384" s="10" t="inlineStr">
        <is>
          <t>GSO</t>
        </is>
      </c>
      <c r="E1384" s="10" t="inlineStr">
        <is>
          <t xml:space="preserve">Gestión de Seguridad de la Información </t>
        </is>
      </c>
      <c r="F1384" s="10" t="inlineStr">
        <is>
          <t>-</t>
        </is>
      </c>
      <c r="G1384" s="10" t="inlineStr">
        <is>
          <t>Bloqueo y desbloqueo de usuarios</t>
        </is>
      </c>
      <c r="H1384" s="10" t="inlineStr">
        <is>
          <t>Bitácora de seguridades de la Información</t>
        </is>
      </c>
      <c r="I1384" s="10" t="inlineStr">
        <is>
          <t>Registro de requerimientos de activación y reseteo de claves de acceso</t>
        </is>
      </c>
      <c r="J1384" s="10" t="inlineStr">
        <is>
          <t xml:space="preserve">Oficial de Seguridad de la Información </t>
        </is>
      </c>
      <c r="K1384" s="10" t="inlineStr">
        <is>
          <t xml:space="preserve">Oficial de Seguridad de la Información </t>
        </is>
      </c>
      <c r="L1384" s="10" t="inlineStr">
        <is>
          <t>UBICACIÓN DIGITAL-EQUIPO DEL RESPONSABLE</t>
        </is>
      </c>
      <c r="M1384" s="10" t="inlineStr">
        <is>
          <t>DISCOS DUROS, SERVIDORES, DISCOS O MEDIOS PORTÁTILES, CINTAS O MEDIOS DE VIDEO Y AUDIO, ETC.</t>
        </is>
      </c>
      <c r="N1384" s="10" t="inlineStr">
        <is>
          <t>PRIMARIOS</t>
        </is>
      </c>
      <c r="O1384" s="10" t="inlineStr">
        <is>
          <t>DOCUMENTOS TÉCNICOS</t>
        </is>
      </c>
      <c r="P1384" s="10" t="inlineStr">
        <is>
          <t>USO INTERNO(2)</t>
        </is>
      </c>
      <c r="Q1384" s="10" t="inlineStr">
        <is>
          <t>MEDIA(2)</t>
        </is>
      </c>
      <c r="R1384" s="10" t="inlineStr">
        <is>
          <t>BAJA(1)</t>
        </is>
      </c>
      <c r="S1384" s="10">
        <f>+(IF(P1384="PUBLICA(1)",1,IF(P1384="USO INTERNO(2)",2,IF(P1384="RESTRINGIDO(3)",3,3))))+(IF(Q1384="BAJA(1)",1,IF(Q1384="MEDIA(2)",2,IF(Q1384="ALTA(3)",3,3))))+(IF(R1384="BAJA(1)",1,IF(R1384="MEDIA(2)",2,IF(R1384="ALTA(3)",3,3))))</f>
        <v/>
      </c>
      <c r="T1384" s="10">
        <f>+IF(S1384&lt;6,"BAJA",IF(S1384&lt;8,"MEDIA","ALTA"))</f>
        <v/>
      </c>
      <c r="U1384" s="10" t="inlineStr">
        <is>
          <t>-</t>
        </is>
      </c>
      <c r="V1384" s="24" t="n">
        <v>45712</v>
      </c>
      <c r="W1384" s="19" t="inlineStr">
        <is>
          <t>N/A</t>
        </is>
      </c>
      <c r="X1384" s="10">
        <f>+IFERROR(IF(VLOOKUP(Tabla2[[#This Row],[ID]],'EVALUACION DE RIESGO'!A:A,1,FALSE)=Tabla2[[#This Row],[ID]],"SI","NO"),"NO")</f>
        <v/>
      </c>
    </row>
    <row r="1385">
      <c r="A1385" s="91" t="inlineStr">
        <is>
          <t>45-GSO</t>
        </is>
      </c>
      <c r="B1385" s="10" t="inlineStr">
        <is>
          <t>APOYO</t>
        </is>
      </c>
      <c r="C1385" s="10" t="inlineStr">
        <is>
          <t>Gestión de Seguridad Organizacional</t>
        </is>
      </c>
      <c r="D1385" s="10" t="inlineStr">
        <is>
          <t>GSO</t>
        </is>
      </c>
      <c r="E1385" s="10" t="inlineStr">
        <is>
          <t xml:space="preserve">Gestión de Seguridad de la Información </t>
        </is>
      </c>
      <c r="F1385" s="10" t="inlineStr">
        <is>
          <t>-</t>
        </is>
      </c>
      <c r="G1385" s="10" t="inlineStr">
        <is>
          <t>Eliminación de usuarios</t>
        </is>
      </c>
      <c r="H1385" s="10" t="inlineStr">
        <is>
          <t>Bitácora de seguridades de la Información</t>
        </is>
      </c>
      <c r="I1385" s="10" t="inlineStr">
        <is>
          <t>Bitácora de registro de la eliminación de  usuarios en las aplicaciones administradas por el OSI</t>
        </is>
      </c>
      <c r="J1385" s="10" t="inlineStr">
        <is>
          <t xml:space="preserve">Oficial de Seguridad de la Información </t>
        </is>
      </c>
      <c r="K1385" s="10" t="inlineStr">
        <is>
          <t xml:space="preserve">Oficial de Seguridad de la Información </t>
        </is>
      </c>
      <c r="L1385" s="10" t="inlineStr">
        <is>
          <t>UBICACIÓN DIGITAL-EQUIPO DEL RESPONSABLE</t>
        </is>
      </c>
      <c r="M1385" s="10" t="inlineStr">
        <is>
          <t>DISCOS DUROS, SERVIDORES, DISCOS O MEDIOS PORTÁTILES, CINTAS O MEDIOS DE VIDEO Y AUDIO, ETC.</t>
        </is>
      </c>
      <c r="N1385" s="10" t="inlineStr">
        <is>
          <t>PRIMARIOS</t>
        </is>
      </c>
      <c r="O1385" s="10" t="inlineStr">
        <is>
          <t>DOCUMENTOS TÉCNICOS</t>
        </is>
      </c>
      <c r="P1385" s="10" t="inlineStr">
        <is>
          <t>USO INTERNO(2)</t>
        </is>
      </c>
      <c r="Q1385" s="10" t="inlineStr">
        <is>
          <t>MEDIA(2)</t>
        </is>
      </c>
      <c r="R1385" s="10" t="inlineStr">
        <is>
          <t>BAJA(1)</t>
        </is>
      </c>
      <c r="S1385" s="10">
        <f>+(IF(P1385="PUBLICA(1)",1,IF(P1385="USO INTERNO(2)",2,IF(P1385="RESTRINGIDO(3)",3,3))))+(IF(Q1385="BAJA(1)",1,IF(Q1385="MEDIA(2)",2,IF(Q1385="ALTA(3)",3,3))))+(IF(R1385="BAJA(1)",1,IF(R1385="MEDIA(2)",2,IF(R1385="ALTA(3)",3,3))))</f>
        <v/>
      </c>
      <c r="T1385" s="10">
        <f>+IF(S1385&lt;6,"BAJA",IF(S1385&lt;8,"MEDIA","ALTA"))</f>
        <v/>
      </c>
      <c r="U1385" s="10" t="inlineStr">
        <is>
          <t>-</t>
        </is>
      </c>
      <c r="V1385" s="24" t="n">
        <v>45712</v>
      </c>
      <c r="W1385" s="19" t="inlineStr">
        <is>
          <t>N/A</t>
        </is>
      </c>
      <c r="X1385" s="10">
        <f>+IFERROR(IF(VLOOKUP(Tabla2[[#This Row],[ID]],'EVALUACION DE RIESGO'!A:A,1,FALSE)=Tabla2[[#This Row],[ID]],"SI","NO"),"NO")</f>
        <v/>
      </c>
    </row>
    <row r="1386">
      <c r="A1386" s="91" t="inlineStr">
        <is>
          <t>46-GSO</t>
        </is>
      </c>
      <c r="B1386" s="10" t="inlineStr">
        <is>
          <t>APOYO</t>
        </is>
      </c>
      <c r="C1386" s="10" t="inlineStr">
        <is>
          <t>Gestión de Seguridad Organizacional</t>
        </is>
      </c>
      <c r="D1386" s="10" t="inlineStr">
        <is>
          <t>GSO</t>
        </is>
      </c>
      <c r="E1386" s="10" t="inlineStr">
        <is>
          <t xml:space="preserve">Gestión de Seguridad de la Información </t>
        </is>
      </c>
      <c r="F1386" s="10" t="inlineStr">
        <is>
          <t>-</t>
        </is>
      </c>
      <c r="G1386" s="10" t="inlineStr">
        <is>
          <t>Extensión de horarios y definición de fechas al sistema</t>
        </is>
      </c>
      <c r="H1386" s="10" t="inlineStr">
        <is>
          <t>Bitácora de seguridades de la Información</t>
        </is>
      </c>
      <c r="I1386" s="10" t="inlineStr">
        <is>
          <t>Registro de roles parametrizados con horarios extendidos</t>
        </is>
      </c>
      <c r="J1386" s="10" t="inlineStr">
        <is>
          <t xml:space="preserve">Oficial de Seguridad de la Información </t>
        </is>
      </c>
      <c r="K1386" s="10" t="inlineStr">
        <is>
          <t xml:space="preserve">Oficial de Seguridad de la Información </t>
        </is>
      </c>
      <c r="L1386" s="10" t="inlineStr">
        <is>
          <t>UBICACIÓN DIGITAL-EQUIPO DEL RESPONSABLE</t>
        </is>
      </c>
      <c r="M1386" s="10" t="inlineStr">
        <is>
          <t>DISCOS DUROS, SERVIDORES, DISCOS O MEDIOS PORTÁTILES, CINTAS O MEDIOS DE VIDEO Y AUDIO, ETC.</t>
        </is>
      </c>
      <c r="N1386" s="10" t="inlineStr">
        <is>
          <t>PRIMARIOS</t>
        </is>
      </c>
      <c r="O1386" s="10" t="inlineStr">
        <is>
          <t>DOCUMENTOS TÉCNICOS</t>
        </is>
      </c>
      <c r="P1386" s="10" t="inlineStr">
        <is>
          <t>USO INTERNO(2)</t>
        </is>
      </c>
      <c r="Q1386" s="10" t="inlineStr">
        <is>
          <t>MEDIA(2)</t>
        </is>
      </c>
      <c r="R1386" s="10" t="inlineStr">
        <is>
          <t>BAJA(1)</t>
        </is>
      </c>
      <c r="S1386" s="10">
        <f>+(IF(P1386="PUBLICA(1)",1,IF(P1386="USO INTERNO(2)",2,IF(P1386="RESTRINGIDO(3)",3,3))))+(IF(Q1386="BAJA(1)",1,IF(Q1386="MEDIA(2)",2,IF(Q1386="ALTA(3)",3,3))))+(IF(R1386="BAJA(1)",1,IF(R1386="MEDIA(2)",2,IF(R1386="ALTA(3)",3,3))))</f>
        <v/>
      </c>
      <c r="T1386" s="10">
        <f>+IF(S1386&lt;6,"BAJA",IF(S1386&lt;8,"MEDIA","ALTA"))</f>
        <v/>
      </c>
      <c r="U1386" s="10" t="inlineStr">
        <is>
          <t>-</t>
        </is>
      </c>
      <c r="V1386" s="24" t="n">
        <v>45712</v>
      </c>
      <c r="W1386" s="19" t="inlineStr">
        <is>
          <t>N/A</t>
        </is>
      </c>
      <c r="X1386" s="10">
        <f>+IFERROR(IF(VLOOKUP(Tabla2[[#This Row],[ID]],'EVALUACION DE RIESGO'!A:A,1,FALSE)=Tabla2[[#This Row],[ID]],"SI","NO"),"NO")</f>
        <v/>
      </c>
    </row>
    <row r="1387">
      <c r="A1387" s="91" t="inlineStr">
        <is>
          <t>47-GSO</t>
        </is>
      </c>
      <c r="B1387" s="10" t="inlineStr">
        <is>
          <t>APOYO</t>
        </is>
      </c>
      <c r="C1387" s="10" t="inlineStr">
        <is>
          <t>Gestión de Seguridad Organizacional</t>
        </is>
      </c>
      <c r="D1387" s="10" t="inlineStr">
        <is>
          <t>GSO</t>
        </is>
      </c>
      <c r="E1387" s="10" t="inlineStr">
        <is>
          <t xml:space="preserve">Gestión de Seguridad de la Información </t>
        </is>
      </c>
      <c r="F1387" s="10" t="inlineStr">
        <is>
          <t>-</t>
        </is>
      </c>
      <c r="G1387" s="10" t="inlineStr">
        <is>
          <t>Administración de roles y perfiles</t>
        </is>
      </c>
      <c r="H1387" s="10" t="inlineStr">
        <is>
          <t>Matriz de roles y perfiles</t>
        </is>
      </c>
      <c r="I1387" s="10" t="inlineStr">
        <is>
          <t>Matriz de roles y perfiles del Core Financiero</t>
        </is>
      </c>
      <c r="J1387" s="10" t="inlineStr">
        <is>
          <t xml:space="preserve">Oficial de Seguridad de la Información </t>
        </is>
      </c>
      <c r="K1387" s="10" t="inlineStr">
        <is>
          <t xml:space="preserve">Oficial de Seguridad de la Información </t>
        </is>
      </c>
      <c r="L1387" s="10" t="inlineStr">
        <is>
          <t>UBICACIÓN DIGITAL-EQUIPO DEL RESPONSABLE</t>
        </is>
      </c>
      <c r="M1387" s="10" t="inlineStr">
        <is>
          <t>DISCOS DUROS, SERVIDORES, DISCOS O MEDIOS PORTÁTILES, CINTAS O MEDIOS DE VIDEO Y AUDIO, ETC.</t>
        </is>
      </c>
      <c r="N1387" s="10" t="inlineStr">
        <is>
          <t>PRIMARIOS</t>
        </is>
      </c>
      <c r="O1387" s="10" t="inlineStr">
        <is>
          <t>DOCUMENTOS TÉCNICOS</t>
        </is>
      </c>
      <c r="P1387" s="10" t="inlineStr">
        <is>
          <t>USO INTERNO(2)</t>
        </is>
      </c>
      <c r="Q1387" s="10" t="inlineStr">
        <is>
          <t>MEDIA(2)</t>
        </is>
      </c>
      <c r="R1387" s="10" t="inlineStr">
        <is>
          <t>BAJA(1)</t>
        </is>
      </c>
      <c r="S1387" s="10">
        <f>+(IF(P1387="PUBLICA(1)",1,IF(P1387="USO INTERNO(2)",2,IF(P1387="RESTRINGIDO(3)",3,3))))+(IF(Q1387="BAJA(1)",1,IF(Q1387="MEDIA(2)",2,IF(Q1387="ALTA(3)",3,3))))+(IF(R1387="BAJA(1)",1,IF(R1387="MEDIA(2)",2,IF(R1387="ALTA(3)",3,3))))</f>
        <v/>
      </c>
      <c r="T1387" s="10">
        <f>+IF(S1387&lt;6,"BAJA",IF(S1387&lt;8,"MEDIA","ALTA"))</f>
        <v/>
      </c>
      <c r="U1387" s="10" t="inlineStr">
        <is>
          <t>-</t>
        </is>
      </c>
      <c r="V1387" s="24" t="n">
        <v>45712</v>
      </c>
      <c r="W1387" s="19" t="inlineStr">
        <is>
          <t>N/A</t>
        </is>
      </c>
      <c r="X1387" s="10">
        <f>+IFERROR(IF(VLOOKUP(Tabla2[[#This Row],[ID]],'EVALUACION DE RIESGO'!A:A,1,FALSE)=Tabla2[[#This Row],[ID]],"SI","NO"),"NO")</f>
        <v/>
      </c>
    </row>
    <row r="1388">
      <c r="A1388" s="91" t="inlineStr">
        <is>
          <t>48-GSO</t>
        </is>
      </c>
      <c r="B1388" s="10" t="inlineStr">
        <is>
          <t>APOYO</t>
        </is>
      </c>
      <c r="C1388" s="10" t="inlineStr">
        <is>
          <t>Gestión de Seguridad Organizacional</t>
        </is>
      </c>
      <c r="D1388" s="10" t="inlineStr">
        <is>
          <t>GSO</t>
        </is>
      </c>
      <c r="E1388" s="10" t="inlineStr">
        <is>
          <t xml:space="preserve">Gestión de Seguridad de la Información </t>
        </is>
      </c>
      <c r="F1388" s="10" t="inlineStr">
        <is>
          <t>-</t>
        </is>
      </c>
      <c r="G1388" s="10" t="inlineStr">
        <is>
          <t>Administración de roles y perfiles</t>
        </is>
      </c>
      <c r="H1388" s="10" t="inlineStr">
        <is>
          <t>Matriz de transacciones por rol</t>
        </is>
      </c>
      <c r="I1388" s="10" t="inlineStr">
        <is>
          <t>Matriz de transacciones habilitadas por rol del Core financiero</t>
        </is>
      </c>
      <c r="J1388" s="10" t="inlineStr">
        <is>
          <t xml:space="preserve">Oficial de Seguridad de la Información </t>
        </is>
      </c>
      <c r="K1388" s="10" t="inlineStr">
        <is>
          <t xml:space="preserve">Oficial de Seguridad de la Información </t>
        </is>
      </c>
      <c r="L1388" s="10" t="inlineStr">
        <is>
          <t>UBICACIÓN DIGITAL-EQUIPO DEL RESPONSABLE</t>
        </is>
      </c>
      <c r="M1388" s="10" t="inlineStr">
        <is>
          <t>DISCOS DUROS, SERVIDORES, DISCOS O MEDIOS PORTÁTILES, CINTAS O MEDIOS DE VIDEO Y AUDIO, ETC.</t>
        </is>
      </c>
      <c r="N1388" s="10" t="inlineStr">
        <is>
          <t>PRIMARIOS</t>
        </is>
      </c>
      <c r="O1388" s="10" t="inlineStr">
        <is>
          <t>DOCUMENTOS TÉCNICOS</t>
        </is>
      </c>
      <c r="P1388" s="10" t="inlineStr">
        <is>
          <t>USO INTERNO(2)</t>
        </is>
      </c>
      <c r="Q1388" s="10" t="inlineStr">
        <is>
          <t>MEDIA(2)</t>
        </is>
      </c>
      <c r="R1388" s="10" t="inlineStr">
        <is>
          <t>BAJA(1)</t>
        </is>
      </c>
      <c r="S1388" s="10">
        <f>+(IF(P1388="PUBLICA(1)",1,IF(P1388="USO INTERNO(2)",2,IF(P1388="RESTRINGIDO(3)",3,3))))+(IF(Q1388="BAJA(1)",1,IF(Q1388="MEDIA(2)",2,IF(Q1388="ALTA(3)",3,3))))+(IF(R1388="BAJA(1)",1,IF(R1388="MEDIA(2)",2,IF(R1388="ALTA(3)",3,3))))</f>
        <v/>
      </c>
      <c r="T1388" s="10">
        <f>+IF(S1388&lt;6,"BAJA",IF(S1388&lt;8,"MEDIA","ALTA"))</f>
        <v/>
      </c>
      <c r="U1388" s="10" t="inlineStr">
        <is>
          <t>-</t>
        </is>
      </c>
      <c r="V1388" s="24" t="n">
        <v>45712</v>
      </c>
      <c r="W1388" s="19" t="inlineStr">
        <is>
          <t>N/A</t>
        </is>
      </c>
      <c r="X1388" s="10">
        <f>+IFERROR(IF(VLOOKUP(Tabla2[[#This Row],[ID]],'EVALUACION DE RIESGO'!A:A,1,FALSE)=Tabla2[[#This Row],[ID]],"SI","NO"),"NO")</f>
        <v/>
      </c>
    </row>
    <row r="1389">
      <c r="A1389" s="91" t="inlineStr">
        <is>
          <t>49-GSO</t>
        </is>
      </c>
      <c r="B1389" s="10" t="inlineStr">
        <is>
          <t>APOYO</t>
        </is>
      </c>
      <c r="C1389" s="10" t="inlineStr">
        <is>
          <t>Gestión de Seguridad Organizacional</t>
        </is>
      </c>
      <c r="D1389" s="10" t="inlineStr">
        <is>
          <t>GSO</t>
        </is>
      </c>
      <c r="E1389" s="10" t="inlineStr">
        <is>
          <t xml:space="preserve">Gestión de Seguridad de la Información </t>
        </is>
      </c>
      <c r="F1389" s="10" t="inlineStr">
        <is>
          <t>-</t>
        </is>
      </c>
      <c r="G1389" s="10" t="inlineStr">
        <is>
          <t>Evaluación de la matriz de roles y perfiles</t>
        </is>
      </c>
      <c r="H1389" s="10" t="inlineStr">
        <is>
          <t>Plan de acción</t>
        </is>
      </c>
      <c r="I1389" s="10" t="inlineStr">
        <is>
          <t>Registro de planes de acción finalizados y en proceso</t>
        </is>
      </c>
      <c r="J1389" s="10" t="inlineStr">
        <is>
          <t xml:space="preserve">Oficial de Seguridad de la Información </t>
        </is>
      </c>
      <c r="K1389" s="10" t="inlineStr">
        <is>
          <t xml:space="preserve">Oficial de Seguridad de la Información </t>
        </is>
      </c>
      <c r="L1389" s="10" t="inlineStr">
        <is>
          <t>UBICACIÓN DIGITAL-EQUIPO DEL RESPONSABLE</t>
        </is>
      </c>
      <c r="M1389" s="10" t="inlineStr">
        <is>
          <t>DISCOS DUROS, SERVIDORES, DISCOS O MEDIOS PORTÁTILES, CINTAS O MEDIOS DE VIDEO Y AUDIO, ETC.</t>
        </is>
      </c>
      <c r="N1389" s="10" t="inlineStr">
        <is>
          <t>PRIMARIOS</t>
        </is>
      </c>
      <c r="O1389" s="10" t="inlineStr">
        <is>
          <t>DOCUMENTOS TÉCNICOS</t>
        </is>
      </c>
      <c r="P1389" s="10" t="inlineStr">
        <is>
          <t>USO INTERNO(2)</t>
        </is>
      </c>
      <c r="Q1389" s="10" t="inlineStr">
        <is>
          <t>MEDIA(2)</t>
        </is>
      </c>
      <c r="R1389" s="10" t="inlineStr">
        <is>
          <t>BAJA(1)</t>
        </is>
      </c>
      <c r="S1389" s="10">
        <f>+(IF(P1389="PUBLICA(1)",1,IF(P1389="USO INTERNO(2)",2,IF(P1389="RESTRINGIDO(3)",3,3))))+(IF(Q1389="BAJA(1)",1,IF(Q1389="MEDIA(2)",2,IF(Q1389="ALTA(3)",3,3))))+(IF(R1389="BAJA(1)",1,IF(R1389="MEDIA(2)",2,IF(R1389="ALTA(3)",3,3))))</f>
        <v/>
      </c>
      <c r="T1389" s="10">
        <f>+IF(S1389&lt;6,"BAJA",IF(S1389&lt;8,"MEDIA","ALTA"))</f>
        <v/>
      </c>
      <c r="U1389" s="10" t="inlineStr">
        <is>
          <t>-</t>
        </is>
      </c>
      <c r="V1389" s="24" t="n">
        <v>45712</v>
      </c>
      <c r="W1389" s="19" t="inlineStr">
        <is>
          <t>N/A</t>
        </is>
      </c>
      <c r="X1389" s="10">
        <f>+IFERROR(IF(VLOOKUP(Tabla2[[#This Row],[ID]],'EVALUACION DE RIESGO'!A:A,1,FALSE)=Tabla2[[#This Row],[ID]],"SI","NO"),"NO")</f>
        <v/>
      </c>
    </row>
    <row r="1390">
      <c r="A1390" s="91" t="inlineStr">
        <is>
          <t>50-GSO</t>
        </is>
      </c>
      <c r="B1390" s="10" t="inlineStr">
        <is>
          <t>APOYO</t>
        </is>
      </c>
      <c r="C1390" s="10" t="inlineStr">
        <is>
          <t>Gestión de Seguridad Organizacional</t>
        </is>
      </c>
      <c r="D1390" s="10" t="inlineStr">
        <is>
          <t>GSO</t>
        </is>
      </c>
      <c r="E1390" s="10" t="inlineStr">
        <is>
          <t xml:space="preserve">Gestión de Seguridad de la Información </t>
        </is>
      </c>
      <c r="F1390" s="10" t="inlineStr">
        <is>
          <t>-</t>
        </is>
      </c>
      <c r="G1390" s="10" t="inlineStr">
        <is>
          <t>Evaluación de la matriz de roles y perfiles</t>
        </is>
      </c>
      <c r="H1390" s="10" t="inlineStr">
        <is>
          <t>Matriz de roles y perfiles</t>
        </is>
      </c>
      <c r="I1390" s="10" t="inlineStr">
        <is>
          <t>Matriz de roles y perfiles del Core Financiero</t>
        </is>
      </c>
      <c r="J1390" s="10" t="inlineStr">
        <is>
          <t xml:space="preserve">Oficial de Seguridad de la Información </t>
        </is>
      </c>
      <c r="K1390" s="10" t="inlineStr">
        <is>
          <t xml:space="preserve">Oficial de Seguridad de la Información </t>
        </is>
      </c>
      <c r="L1390" s="10" t="inlineStr">
        <is>
          <t>UBICACIÓN DIGITAL-EQUIPO DEL RESPONSABLE</t>
        </is>
      </c>
      <c r="M1390" s="10" t="inlineStr">
        <is>
          <t>DISCOS DUROS, SERVIDORES, DISCOS O MEDIOS PORTÁTILES, CINTAS O MEDIOS DE VIDEO Y AUDIO, ETC.</t>
        </is>
      </c>
      <c r="N1390" s="10" t="inlineStr">
        <is>
          <t>PRIMARIOS</t>
        </is>
      </c>
      <c r="O1390" s="10" t="inlineStr">
        <is>
          <t>DOCUMENTOS TÉCNICOS</t>
        </is>
      </c>
      <c r="P1390" s="10" t="inlineStr">
        <is>
          <t>USO INTERNO(2)</t>
        </is>
      </c>
      <c r="Q1390" s="10" t="inlineStr">
        <is>
          <t>MEDIA(2)</t>
        </is>
      </c>
      <c r="R1390" s="10" t="inlineStr">
        <is>
          <t>BAJA(1)</t>
        </is>
      </c>
      <c r="S1390" s="10">
        <f>+(IF(P1390="PUBLICA(1)",1,IF(P1390="USO INTERNO(2)",2,IF(P1390="RESTRINGIDO(3)",3,3))))+(IF(Q1390="BAJA(1)",1,IF(Q1390="MEDIA(2)",2,IF(Q1390="ALTA(3)",3,3))))+(IF(R1390="BAJA(1)",1,IF(R1390="MEDIA(2)",2,IF(R1390="ALTA(3)",3,3))))</f>
        <v/>
      </c>
      <c r="T1390" s="10">
        <f>+IF(S1390&lt;6,"BAJA",IF(S1390&lt;8,"MEDIA","ALTA"))</f>
        <v/>
      </c>
      <c r="U1390" s="10" t="inlineStr">
        <is>
          <t>-</t>
        </is>
      </c>
      <c r="V1390" s="24" t="n">
        <v>45712</v>
      </c>
      <c r="W1390" s="19" t="inlineStr">
        <is>
          <t>N/A</t>
        </is>
      </c>
      <c r="X1390" s="10">
        <f>+IFERROR(IF(VLOOKUP(Tabla2[[#This Row],[ID]],'EVALUACION DE RIESGO'!A:A,1,FALSE)=Tabla2[[#This Row],[ID]],"SI","NO"),"NO")</f>
        <v/>
      </c>
    </row>
    <row r="1391">
      <c r="A1391" s="91" t="inlineStr">
        <is>
          <t>51-GSO</t>
        </is>
      </c>
      <c r="B1391" s="10" t="inlineStr">
        <is>
          <t>APOYO</t>
        </is>
      </c>
      <c r="C1391" s="10" t="inlineStr">
        <is>
          <t>Gestión de Seguridad Organizacional</t>
        </is>
      </c>
      <c r="D1391" s="10" t="inlineStr">
        <is>
          <t>GSO</t>
        </is>
      </c>
      <c r="E1391" s="10" t="inlineStr">
        <is>
          <t xml:space="preserve">Gestión de Seguridad de la Información </t>
        </is>
      </c>
      <c r="F1391" s="10" t="inlineStr">
        <is>
          <t>-</t>
        </is>
      </c>
      <c r="G1391" s="10" t="inlineStr">
        <is>
          <t>Control de acceso de usuarios a información interna vía FTP</t>
        </is>
      </c>
      <c r="H1391" s="10" t="inlineStr">
        <is>
          <t>Requerimiento de Servicie Desk</t>
        </is>
      </c>
      <c r="I1391" s="10" t="inlineStr">
        <is>
          <t>Requerimiento de acceso al recurso FTP detallando la necesidad y el usuario beneficiario</t>
        </is>
      </c>
      <c r="J1391" s="10" t="inlineStr">
        <is>
          <t xml:space="preserve">Oficial de Seguridad de la Información </t>
        </is>
      </c>
      <c r="K1391" s="10" t="inlineStr">
        <is>
          <t xml:space="preserve">Oficial de Seguridad de la Información </t>
        </is>
      </c>
      <c r="L1391" s="10" t="inlineStr">
        <is>
          <t>UBICACIÓN DIGITAL-WEBCOOP</t>
        </is>
      </c>
      <c r="M1391" s="10" t="inlineStr">
        <is>
          <t>DOCUMENTO DE ARCHIVO-ELECTRÓNICO</t>
        </is>
      </c>
      <c r="N1391" s="10" t="inlineStr">
        <is>
          <t>PRIMARIOS</t>
        </is>
      </c>
      <c r="O1391" s="10" t="inlineStr">
        <is>
          <t>DOCUMENTOS TÉCNICOS</t>
        </is>
      </c>
      <c r="P1391" s="10" t="inlineStr">
        <is>
          <t>USO INTERNO(2)</t>
        </is>
      </c>
      <c r="Q1391" s="10" t="inlineStr">
        <is>
          <t>MEDIA(2)</t>
        </is>
      </c>
      <c r="R1391" s="10" t="inlineStr">
        <is>
          <t>BAJA(1)</t>
        </is>
      </c>
      <c r="S1391" s="10">
        <f>+(IF(P1391="PUBLICA(1)",1,IF(P1391="USO INTERNO(2)",2,IF(P1391="RESTRINGIDO(3)",3,3))))+(IF(Q1391="BAJA(1)",1,IF(Q1391="MEDIA(2)",2,IF(Q1391="ALTA(3)",3,3))))+(IF(R1391="BAJA(1)",1,IF(R1391="MEDIA(2)",2,IF(R1391="ALTA(3)",3,3))))</f>
        <v/>
      </c>
      <c r="T1391" s="10">
        <f>+IF(S1391&lt;6,"BAJA",IF(S1391&lt;8,"MEDIA","ALTA"))</f>
        <v/>
      </c>
      <c r="U1391" s="10" t="inlineStr">
        <is>
          <t>-</t>
        </is>
      </c>
      <c r="V1391" s="24" t="n">
        <v>45712</v>
      </c>
      <c r="W1391" s="19" t="inlineStr">
        <is>
          <t>N/A</t>
        </is>
      </c>
      <c r="X1391" s="10">
        <f>+IFERROR(IF(VLOOKUP(Tabla2[[#This Row],[ID]],'EVALUACION DE RIESGO'!A:A,1,FALSE)=Tabla2[[#This Row],[ID]],"SI","NO"),"NO")</f>
        <v/>
      </c>
    </row>
    <row r="1392">
      <c r="A1392" s="91" t="inlineStr">
        <is>
          <t>52-GSO</t>
        </is>
      </c>
      <c r="B1392" s="10" t="inlineStr">
        <is>
          <t>APOYO</t>
        </is>
      </c>
      <c r="C1392" s="10" t="inlineStr">
        <is>
          <t>Gestión de Seguridad Organizacional</t>
        </is>
      </c>
      <c r="D1392" s="10" t="inlineStr">
        <is>
          <t>GSO</t>
        </is>
      </c>
      <c r="E1392" s="10" t="inlineStr">
        <is>
          <t xml:space="preserve">Gestión de Seguridad de la Información </t>
        </is>
      </c>
      <c r="F1392" s="10" t="inlineStr">
        <is>
          <t>-</t>
        </is>
      </c>
      <c r="G1392" s="10" t="inlineStr">
        <is>
          <t>Cambio de claves de cuentas críticas</t>
        </is>
      </c>
      <c r="H1392" s="10" t="inlineStr">
        <is>
          <t>Formulario de cambio de claves críticas</t>
        </is>
      </c>
      <c r="I1392" s="10" t="inlineStr">
        <is>
          <t xml:space="preserve">Formulario de registros de usuarios de cuentas críticas y modelo de impresión </t>
        </is>
      </c>
      <c r="J1392" s="10" t="inlineStr">
        <is>
          <t xml:space="preserve">Oficial de Seguridad de la Información </t>
        </is>
      </c>
      <c r="K1392" s="10" t="inlineStr">
        <is>
          <t xml:space="preserve">Oficial de Seguridad de la Información </t>
        </is>
      </c>
      <c r="L1392" s="10" t="inlineStr">
        <is>
          <t>UBICACIÓN DIGITAL-WEBCOOP</t>
        </is>
      </c>
      <c r="M1392" s="10" t="inlineStr">
        <is>
          <t>DOCUMENTO DE ARCHIVO-ELECTRÓNICO</t>
        </is>
      </c>
      <c r="N1392" s="10" t="inlineStr">
        <is>
          <t>PRIMARIOS</t>
        </is>
      </c>
      <c r="O1392" s="10" t="inlineStr">
        <is>
          <t>DOCUMENTOS TÉCNICOS</t>
        </is>
      </c>
      <c r="P1392" s="10" t="inlineStr">
        <is>
          <t>USO INTERNO(2)</t>
        </is>
      </c>
      <c r="Q1392" s="10" t="inlineStr">
        <is>
          <t>MEDIA(2)</t>
        </is>
      </c>
      <c r="R1392" s="10" t="inlineStr">
        <is>
          <t>BAJA(1)</t>
        </is>
      </c>
      <c r="S1392" s="10">
        <f>+(IF(P1392="PUBLICA(1)",1,IF(P1392="USO INTERNO(2)",2,IF(P1392="RESTRINGIDO(3)",3,3))))+(IF(Q1392="BAJA(1)",1,IF(Q1392="MEDIA(2)",2,IF(Q1392="ALTA(3)",3,3))))+(IF(R1392="BAJA(1)",1,IF(R1392="MEDIA(2)",2,IF(R1392="ALTA(3)",3,3))))</f>
        <v/>
      </c>
      <c r="T1392" s="10">
        <f>+IF(S1392&lt;6,"BAJA",IF(S1392&lt;8,"MEDIA","ALTA"))</f>
        <v/>
      </c>
      <c r="U1392" s="10" t="inlineStr">
        <is>
          <t>-</t>
        </is>
      </c>
      <c r="V1392" s="24" t="n">
        <v>45712</v>
      </c>
      <c r="W1392" s="19" t="inlineStr">
        <is>
          <t>N/A</t>
        </is>
      </c>
      <c r="X1392" s="10">
        <f>+IFERROR(IF(VLOOKUP(Tabla2[[#This Row],[ID]],'EVALUACION DE RIESGO'!A:A,1,FALSE)=Tabla2[[#This Row],[ID]],"SI","NO"),"NO")</f>
        <v/>
      </c>
    </row>
    <row r="1393">
      <c r="A1393" s="91" t="inlineStr">
        <is>
          <t>53-GSO</t>
        </is>
      </c>
      <c r="B1393" s="10" t="inlineStr">
        <is>
          <t>APOYO</t>
        </is>
      </c>
      <c r="C1393" s="10" t="inlineStr">
        <is>
          <t>Gestión de Seguridad Organizacional</t>
        </is>
      </c>
      <c r="D1393" s="10" t="inlineStr">
        <is>
          <t>GSO</t>
        </is>
      </c>
      <c r="E1393" s="10" t="inlineStr">
        <is>
          <t xml:space="preserve">Gestión de Seguridad de la Información </t>
        </is>
      </c>
      <c r="F1393" s="10" t="inlineStr">
        <is>
          <t>-</t>
        </is>
      </c>
      <c r="G1393" s="10" t="inlineStr">
        <is>
          <t>Cambio de claves de cuentas críticas</t>
        </is>
      </c>
      <c r="H1393" s="10" t="inlineStr">
        <is>
          <t>Acta entrega recepción</t>
        </is>
      </c>
      <c r="I1393" s="10" t="inlineStr">
        <is>
          <t>Documento de recepción de sobres cerrados de claves de cuantas criticas</t>
        </is>
      </c>
      <c r="J1393" s="10" t="inlineStr">
        <is>
          <t xml:space="preserve">Oficial de Seguridad de la Información </t>
        </is>
      </c>
      <c r="K1393" s="10" t="inlineStr">
        <is>
          <t xml:space="preserve">Oficial de Seguridad de la Información </t>
        </is>
      </c>
      <c r="L1393" s="10" t="inlineStr">
        <is>
          <t>DOCUMENTOS FISICOS-ARCHIVOS DE LA OFICINA</t>
        </is>
      </c>
      <c r="M1393" s="10" t="inlineStr">
        <is>
          <t>DOCUMENTO DE ARCHIVO-FÍSICO</t>
        </is>
      </c>
      <c r="N1393" s="10" t="inlineStr">
        <is>
          <t>PRIMARIOS</t>
        </is>
      </c>
      <c r="O1393" s="10" t="inlineStr">
        <is>
          <t>DOCUMENTOS HABILITANTES</t>
        </is>
      </c>
      <c r="P1393" s="10" t="inlineStr">
        <is>
          <t>USO INTERNO(2)</t>
        </is>
      </c>
      <c r="Q1393" s="10" t="inlineStr">
        <is>
          <t>MEDIA(2)</t>
        </is>
      </c>
      <c r="R1393" s="10" t="inlineStr">
        <is>
          <t>BAJA(1)</t>
        </is>
      </c>
      <c r="S1393" s="10">
        <f>+(IF(P1393="PUBLICA(1)",1,IF(P1393="USO INTERNO(2)",2,IF(P1393="RESTRINGIDO(3)",3,3))))+(IF(Q1393="BAJA(1)",1,IF(Q1393="MEDIA(2)",2,IF(Q1393="ALTA(3)",3,3))))+(IF(R1393="BAJA(1)",1,IF(R1393="MEDIA(2)",2,IF(R1393="ALTA(3)",3,3))))</f>
        <v/>
      </c>
      <c r="T1393" s="10">
        <f>+IF(S1393&lt;6,"BAJA",IF(S1393&lt;8,"MEDIA","ALTA"))</f>
        <v/>
      </c>
      <c r="U1393" s="10" t="inlineStr">
        <is>
          <t>-</t>
        </is>
      </c>
      <c r="V1393" s="24" t="n">
        <v>45712</v>
      </c>
      <c r="W1393" s="19" t="inlineStr">
        <is>
          <t>N/A</t>
        </is>
      </c>
      <c r="X1393" s="10">
        <f>+IFERROR(IF(VLOOKUP(Tabla2[[#This Row],[ID]],'EVALUACION DE RIESGO'!A:A,1,FALSE)=Tabla2[[#This Row],[ID]],"SI","NO"),"NO")</f>
        <v/>
      </c>
    </row>
    <row r="1394">
      <c r="A1394" s="91" t="inlineStr">
        <is>
          <t>54-GSO</t>
        </is>
      </c>
      <c r="B1394" s="10" t="inlineStr">
        <is>
          <t>APOYO</t>
        </is>
      </c>
      <c r="C1394" s="10" t="inlineStr">
        <is>
          <t>Gestión de Seguridad Organizacional</t>
        </is>
      </c>
      <c r="D1394" s="10" t="inlineStr">
        <is>
          <t>GSO</t>
        </is>
      </c>
      <c r="E1394" s="10" t="inlineStr">
        <is>
          <t xml:space="preserve">Gestión de Seguridad de la Información </t>
        </is>
      </c>
      <c r="F1394" s="10" t="inlineStr">
        <is>
          <t>-</t>
        </is>
      </c>
      <c r="G1394" s="10" t="inlineStr">
        <is>
          <t xml:space="preserve"> Creación, ingreso y custodia de llaves criptográficas</t>
        </is>
      </c>
      <c r="H1394" s="10" t="inlineStr">
        <is>
          <t>Llaves criptográficas</t>
        </is>
      </c>
      <c r="I1394" s="10" t="inlineStr">
        <is>
          <t xml:space="preserve">Documentos tipo Boucher de llaves criptográficas de ATM y PINPAD </t>
        </is>
      </c>
      <c r="J1394" s="10" t="inlineStr">
        <is>
          <t xml:space="preserve">Oficial de Seguridad de la Información </t>
        </is>
      </c>
      <c r="K1394" s="10" t="inlineStr">
        <is>
          <t xml:space="preserve">Oficial de Seguridad de la Información </t>
        </is>
      </c>
      <c r="L1394" s="10" t="inlineStr">
        <is>
          <t>DOCUMENTOS FISICOS-ARCHIVOS DE LA OFICINA</t>
        </is>
      </c>
      <c r="M1394" s="10" t="inlineStr">
        <is>
          <t>DOCUMENTO DE ARCHIVO-FÍSICO</t>
        </is>
      </c>
      <c r="N1394" s="10" t="inlineStr">
        <is>
          <t>PRIMARIOS</t>
        </is>
      </c>
      <c r="O1394" s="10" t="inlineStr">
        <is>
          <t>DOCUMENTOS TÉCNICOS</t>
        </is>
      </c>
      <c r="P1394" s="10" t="inlineStr">
        <is>
          <t>USO INTERNO(2)</t>
        </is>
      </c>
      <c r="Q1394" s="10" t="inlineStr">
        <is>
          <t>MEDIA(2)</t>
        </is>
      </c>
      <c r="R1394" s="10" t="inlineStr">
        <is>
          <t>BAJA(1)</t>
        </is>
      </c>
      <c r="S1394" s="10">
        <f>+(IF(P1394="PUBLICA(1)",1,IF(P1394="USO INTERNO(2)",2,IF(P1394="RESTRINGIDO(3)",3,3))))+(IF(Q1394="BAJA(1)",1,IF(Q1394="MEDIA(2)",2,IF(Q1394="ALTA(3)",3,3))))+(IF(R1394="BAJA(1)",1,IF(R1394="MEDIA(2)",2,IF(R1394="ALTA(3)",3,3))))</f>
        <v/>
      </c>
      <c r="T1394" s="10">
        <f>+IF(S1394&lt;6,"BAJA",IF(S1394&lt;8,"MEDIA","ALTA"))</f>
        <v/>
      </c>
      <c r="U1394" s="10" t="inlineStr">
        <is>
          <t>-</t>
        </is>
      </c>
      <c r="V1394" s="24" t="n">
        <v>45712</v>
      </c>
      <c r="W1394" s="19" t="inlineStr">
        <is>
          <t>N/A</t>
        </is>
      </c>
      <c r="X1394" s="10">
        <f>+IFERROR(IF(VLOOKUP(Tabla2[[#This Row],[ID]],'EVALUACION DE RIESGO'!A:A,1,FALSE)=Tabla2[[#This Row],[ID]],"SI","NO"),"NO")</f>
        <v/>
      </c>
    </row>
    <row r="1395">
      <c r="A1395" s="91" t="inlineStr">
        <is>
          <t>55-GSO</t>
        </is>
      </c>
      <c r="B1395" s="10" t="inlineStr">
        <is>
          <t>APOYO</t>
        </is>
      </c>
      <c r="C1395" s="10" t="inlineStr">
        <is>
          <t>Gestión de Seguridad Organizacional</t>
        </is>
      </c>
      <c r="D1395" s="10" t="inlineStr">
        <is>
          <t>GSO</t>
        </is>
      </c>
      <c r="E1395" s="10" t="inlineStr">
        <is>
          <t xml:space="preserve">Gestión de Seguridad de la Información </t>
        </is>
      </c>
      <c r="F1395" s="10" t="inlineStr">
        <is>
          <t>-</t>
        </is>
      </c>
      <c r="G1395" s="10" t="inlineStr">
        <is>
          <t xml:space="preserve">Gestión de activos de información </t>
        </is>
      </c>
      <c r="H1395" s="10" t="inlineStr">
        <is>
          <t>Matriz de riesgos de Seguridad de la Información</t>
        </is>
      </c>
      <c r="I1395" s="10" t="inlineStr">
        <is>
          <t>Matriz de activos de información y la calificación de riesgo de cada activo</t>
        </is>
      </c>
      <c r="J1395" s="10" t="inlineStr">
        <is>
          <t xml:space="preserve">Oficial de Seguridad de la Información </t>
        </is>
      </c>
      <c r="K1395" s="10" t="inlineStr">
        <is>
          <t xml:space="preserve">Oficial de Seguridad de la Información </t>
        </is>
      </c>
      <c r="L1395" s="10" t="inlineStr">
        <is>
          <t>UBICACIÓN DIGITAL-EQUIPO DEL RESPONSABLE</t>
        </is>
      </c>
      <c r="M1395" s="10" t="inlineStr">
        <is>
          <t>DISCOS DUROS, SERVIDORES, DISCOS O MEDIOS PORTÁTILES, CINTAS O MEDIOS DE VIDEO Y AUDIO, ETC.</t>
        </is>
      </c>
      <c r="N1395" s="10" t="inlineStr">
        <is>
          <t>PRIMARIOS</t>
        </is>
      </c>
      <c r="O1395" s="10" t="inlineStr">
        <is>
          <t>DOCUMENTOS TÉCNICOS</t>
        </is>
      </c>
      <c r="P1395" s="10" t="inlineStr">
        <is>
          <t>USO INTERNO(2)</t>
        </is>
      </c>
      <c r="Q1395" s="10" t="inlineStr">
        <is>
          <t>MEDIA(2)</t>
        </is>
      </c>
      <c r="R1395" s="10" t="inlineStr">
        <is>
          <t>BAJA(1)</t>
        </is>
      </c>
      <c r="S1395" s="10">
        <f>+(IF(P1395="PUBLICA(1)",1,IF(P1395="USO INTERNO(2)",2,IF(P1395="RESTRINGIDO(3)",3,3))))+(IF(Q1395="BAJA(1)",1,IF(Q1395="MEDIA(2)",2,IF(Q1395="ALTA(3)",3,3))))+(IF(R1395="BAJA(1)",1,IF(R1395="MEDIA(2)",2,IF(R1395="ALTA(3)",3,3))))</f>
        <v/>
      </c>
      <c r="T1395" s="10">
        <f>+IF(S1395&lt;6,"BAJA",IF(S1395&lt;8,"MEDIA","ALTA"))</f>
        <v/>
      </c>
      <c r="U1395" s="10" t="inlineStr">
        <is>
          <t>-</t>
        </is>
      </c>
      <c r="V1395" s="24" t="n">
        <v>45712</v>
      </c>
      <c r="W1395" s="19" t="inlineStr">
        <is>
          <t>N/A</t>
        </is>
      </c>
      <c r="X1395" s="10">
        <f>+IFERROR(IF(VLOOKUP(Tabla2[[#This Row],[ID]],'EVALUACION DE RIESGO'!A:A,1,FALSE)=Tabla2[[#This Row],[ID]],"SI","NO"),"NO")</f>
        <v/>
      </c>
    </row>
    <row r="1396" ht="20.5" customHeight="1" s="98">
      <c r="A1396" s="91" t="inlineStr">
        <is>
          <t>56-GSO</t>
        </is>
      </c>
      <c r="B1396" s="10" t="inlineStr">
        <is>
          <t>APOYO</t>
        </is>
      </c>
      <c r="C1396" s="10" t="inlineStr">
        <is>
          <t>Gestión de Seguridad Organizacional</t>
        </is>
      </c>
      <c r="D1396" s="10" t="inlineStr">
        <is>
          <t>GSO</t>
        </is>
      </c>
      <c r="E1396" s="10" t="inlineStr">
        <is>
          <t xml:space="preserve">Gestión de Seguridad de la Información </t>
        </is>
      </c>
      <c r="F1396" s="10" t="inlineStr">
        <is>
          <t>-</t>
        </is>
      </c>
      <c r="G1396" s="10" t="inlineStr">
        <is>
          <t xml:space="preserve">Administración de la auditoría de la base de datos </t>
        </is>
      </c>
      <c r="H1396" s="17" t="inlineStr">
        <is>
          <t>Formulario activación o desactivación de la auditoria</t>
        </is>
      </c>
      <c r="I1396" s="17" t="inlineStr">
        <is>
          <t>Formulario de registro de activación y desactivación, responsables y justificación</t>
        </is>
      </c>
      <c r="J1396" s="10" t="inlineStr">
        <is>
          <t xml:space="preserve">Oficial de Seguridad de la Información </t>
        </is>
      </c>
      <c r="K1396" s="10" t="inlineStr">
        <is>
          <t xml:space="preserve">Oficial de Seguridad de la Información </t>
        </is>
      </c>
      <c r="L1396" s="10" t="inlineStr">
        <is>
          <t>UBICACIÓN DIGITAL-EQUIPO DEL RESPONSABLE</t>
        </is>
      </c>
      <c r="M1396" s="10" t="inlineStr">
        <is>
          <t>DISCOS DUROS, SERVIDORES, DISCOS O MEDIOS PORTÁTILES, CINTAS O MEDIOS DE VIDEO Y AUDIO, ETC.</t>
        </is>
      </c>
      <c r="N1396" s="10" t="inlineStr">
        <is>
          <t>PRIMARIOS</t>
        </is>
      </c>
      <c r="O1396" s="10" t="inlineStr">
        <is>
          <t>DOCUMENTOS TÉCNICOS</t>
        </is>
      </c>
      <c r="P1396" s="10" t="inlineStr">
        <is>
          <t>RESTRINGIDO(3)</t>
        </is>
      </c>
      <c r="Q1396" s="10" t="inlineStr">
        <is>
          <t>MEDIA(2)</t>
        </is>
      </c>
      <c r="R1396" s="10" t="inlineStr">
        <is>
          <t>ALTA(3)</t>
        </is>
      </c>
      <c r="S1396" s="10">
        <f>+(IF(P1396="PUBLICA(1)",1,IF(P1396="USO INTERNO(2)",2,IF(P1396="RESTRINGIDO(3)",3,3))))+(IF(Q1396="BAJA(1)",1,IF(Q1396="MEDIA(2)",2,IF(Q1396="ALTA(3)",3,3))))+(IF(R1396="BAJA(1)",1,IF(R1396="MEDIA(2)",2,IF(R1396="ALTA(3)",3,3))))</f>
        <v/>
      </c>
      <c r="T1396" s="10">
        <f>+IF(S1396&lt;6,"BAJA",IF(S1396&lt;8,"MEDIA","ALTA"))</f>
        <v/>
      </c>
      <c r="U1396" s="10" t="inlineStr">
        <is>
          <t>-</t>
        </is>
      </c>
      <c r="V1396" s="24" t="n">
        <v>45712</v>
      </c>
      <c r="W1396" s="19" t="inlineStr">
        <is>
          <t>N/A</t>
        </is>
      </c>
      <c r="X1396" s="10">
        <f>+IFERROR(IF(VLOOKUP(Tabla2[[#This Row],[ID]],'EVALUACION DE RIESGO'!A:A,1,FALSE)=Tabla2[[#This Row],[ID]],"SI","NO"),"NO")</f>
        <v/>
      </c>
    </row>
    <row r="1397">
      <c r="A1397" s="91" t="inlineStr">
        <is>
          <t>57-GSO</t>
        </is>
      </c>
      <c r="B1397" s="10" t="inlineStr">
        <is>
          <t>APOYO</t>
        </is>
      </c>
      <c r="C1397" s="10" t="inlineStr">
        <is>
          <t>Gestión de Seguridad Organizacional</t>
        </is>
      </c>
      <c r="D1397" s="10" t="inlineStr">
        <is>
          <t>GSO</t>
        </is>
      </c>
      <c r="E1397" s="10" t="inlineStr">
        <is>
          <t xml:space="preserve">Gestión de Seguridad de la Información </t>
        </is>
      </c>
      <c r="F1397" s="10" t="inlineStr">
        <is>
          <t>-</t>
        </is>
      </c>
      <c r="G1397" s="10" t="inlineStr">
        <is>
          <t xml:space="preserve">Gestión de incidentes de seguridad de la información </t>
        </is>
      </c>
      <c r="H1397" s="10" t="inlineStr">
        <is>
          <t>Informe de incidentes</t>
        </is>
      </c>
      <c r="I1397" s="10" t="inlineStr">
        <is>
          <t>Informe de los incidentes identificados y acciones a realizar</t>
        </is>
      </c>
      <c r="J1397" s="10" t="inlineStr">
        <is>
          <t xml:space="preserve">Oficial de Seguridad de la Información </t>
        </is>
      </c>
      <c r="K1397" s="10" t="inlineStr">
        <is>
          <t xml:space="preserve">Oficial de Seguridad de la Información </t>
        </is>
      </c>
      <c r="L1397" s="10" t="inlineStr">
        <is>
          <t>UBICACIÓN DIGITAL-EQUIPO DEL RESPONSABLE</t>
        </is>
      </c>
      <c r="M1397" s="10" t="inlineStr">
        <is>
          <t>DISCOS DUROS, SERVIDORES, DISCOS O MEDIOS PORTÁTILES, CINTAS O MEDIOS DE VIDEO Y AUDIO, ETC.</t>
        </is>
      </c>
      <c r="N1397" s="10" t="inlineStr">
        <is>
          <t>PRIMARIOS</t>
        </is>
      </c>
      <c r="O1397" s="10" t="inlineStr">
        <is>
          <t>DOCUMENTOS TÉCNICOS</t>
        </is>
      </c>
      <c r="P1397" s="10" t="inlineStr">
        <is>
          <t>USO INTERNO(2)</t>
        </is>
      </c>
      <c r="Q1397" s="10" t="inlineStr">
        <is>
          <t>MEDIA(2)</t>
        </is>
      </c>
      <c r="R1397" s="10" t="inlineStr">
        <is>
          <t>MEDIA(2)</t>
        </is>
      </c>
      <c r="S1397" s="10">
        <f>+(IF(P1397="PUBLICA(1)",1,IF(P1397="USO INTERNO(2)",2,IF(P1397="RESTRINGIDO(3)",3,3))))+(IF(Q1397="BAJA(1)",1,IF(Q1397="MEDIA(2)",2,IF(Q1397="ALTA(3)",3,3))))+(IF(R1397="BAJA(1)",1,IF(R1397="MEDIA(2)",2,IF(R1397="ALTA(3)",3,3))))</f>
        <v/>
      </c>
      <c r="T1397" s="10">
        <f>+IF(S1397&lt;6,"BAJA",IF(S1397&lt;8,"MEDIA","ALTA"))</f>
        <v/>
      </c>
      <c r="U1397" s="10" t="inlineStr">
        <is>
          <t>-</t>
        </is>
      </c>
      <c r="V1397" s="24" t="n">
        <v>45712</v>
      </c>
      <c r="W1397" s="19" t="inlineStr">
        <is>
          <t>N/A</t>
        </is>
      </c>
      <c r="X1397" s="10">
        <f>+IFERROR(IF(VLOOKUP(Tabla2[[#This Row],[ID]],'EVALUACION DE RIESGO'!A:A,1,FALSE)=Tabla2[[#This Row],[ID]],"SI","NO"),"NO")</f>
        <v/>
      </c>
    </row>
    <row r="1398">
      <c r="A1398" s="91" t="inlineStr">
        <is>
          <t>58-GSO</t>
        </is>
      </c>
      <c r="B1398" s="10" t="inlineStr">
        <is>
          <t>APOYO</t>
        </is>
      </c>
      <c r="C1398" s="10" t="inlineStr">
        <is>
          <t>Gestión de Seguridad Organizacional</t>
        </is>
      </c>
      <c r="D1398" s="10" t="inlineStr">
        <is>
          <t>GSO</t>
        </is>
      </c>
      <c r="E1398" s="10" t="inlineStr">
        <is>
          <t xml:space="preserve">Gestión de Seguridad de la Información </t>
        </is>
      </c>
      <c r="F1398" s="10" t="inlineStr">
        <is>
          <t>-</t>
        </is>
      </c>
      <c r="G1398" s="10" t="inlineStr">
        <is>
          <t xml:space="preserve">Revisión y monitoreo de políticas de seguridad de la información de usuario </t>
        </is>
      </c>
      <c r="H1398" s="10" t="inlineStr">
        <is>
          <t>Informe de revisión y monitoreo de políticas de seguridad de la información</t>
        </is>
      </c>
      <c r="I1398" s="10" t="inlineStr">
        <is>
          <t>Informe de registro de los equipos revisados y reporte de observaciones</t>
        </is>
      </c>
      <c r="J1398" s="10" t="inlineStr">
        <is>
          <t xml:space="preserve">Oficial de Seguridad de la Información </t>
        </is>
      </c>
      <c r="K1398" s="10" t="inlineStr">
        <is>
          <t xml:space="preserve">Oficial de Seguridad de la Información </t>
        </is>
      </c>
      <c r="L1398" s="10" t="inlineStr">
        <is>
          <t>UBICACIÓN DIGITAL-EQUIPO DEL RESPONSABLE</t>
        </is>
      </c>
      <c r="M1398" s="10" t="inlineStr">
        <is>
          <t>DISCOS DUROS, SERVIDORES, DISCOS O MEDIOS PORTÁTILES, CINTAS O MEDIOS DE VIDEO Y AUDIO, ETC.</t>
        </is>
      </c>
      <c r="N1398" s="10" t="inlineStr">
        <is>
          <t>PRIMARIOS</t>
        </is>
      </c>
      <c r="O1398" s="10" t="inlineStr">
        <is>
          <t>DOCUMENTOS TÉCNICOS</t>
        </is>
      </c>
      <c r="P1398" s="10" t="inlineStr">
        <is>
          <t>USO INTERNO(2)</t>
        </is>
      </c>
      <c r="Q1398" s="10" t="inlineStr">
        <is>
          <t>MEDIA(2)</t>
        </is>
      </c>
      <c r="R1398" s="10" t="inlineStr">
        <is>
          <t>BAJA(1)</t>
        </is>
      </c>
      <c r="S1398" s="10">
        <f>+(IF(P1398="PUBLICA(1)",1,IF(P1398="USO INTERNO(2)",2,IF(P1398="RESTRINGIDO(3)",3,3))))+(IF(Q1398="BAJA(1)",1,IF(Q1398="MEDIA(2)",2,IF(Q1398="ALTA(3)",3,3))))+(IF(R1398="BAJA(1)",1,IF(R1398="MEDIA(2)",2,IF(R1398="ALTA(3)",3,3))))</f>
        <v/>
      </c>
      <c r="T1398" s="10">
        <f>+IF(S1398&lt;6,"BAJA",IF(S1398&lt;8,"MEDIA","ALTA"))</f>
        <v/>
      </c>
      <c r="U1398" s="10" t="inlineStr">
        <is>
          <t>-</t>
        </is>
      </c>
      <c r="V1398" s="24" t="n">
        <v>45712</v>
      </c>
      <c r="W1398" s="19" t="inlineStr">
        <is>
          <t>N/A</t>
        </is>
      </c>
      <c r="X1398" s="10">
        <f>+IFERROR(IF(VLOOKUP(Tabla2[[#This Row],[ID]],'EVALUACION DE RIESGO'!A:A,1,FALSE)=Tabla2[[#This Row],[ID]],"SI","NO"),"NO")</f>
        <v/>
      </c>
    </row>
    <row r="1399">
      <c r="A1399" s="91" t="inlineStr">
        <is>
          <t>59-GSO</t>
        </is>
      </c>
      <c r="B1399" s="10" t="inlineStr">
        <is>
          <t>APOYO</t>
        </is>
      </c>
      <c r="C1399" s="10" t="inlineStr">
        <is>
          <t>Gestión de Seguridad Organizacional</t>
        </is>
      </c>
      <c r="D1399" s="10" t="inlineStr">
        <is>
          <t>GSO</t>
        </is>
      </c>
      <c r="E1399" s="10" t="inlineStr">
        <is>
          <t xml:space="preserve">Gestión de Seguridad de la Información </t>
        </is>
      </c>
      <c r="F1399" s="10" t="inlineStr">
        <is>
          <t>-</t>
        </is>
      </c>
      <c r="G1399" s="10" t="inlineStr">
        <is>
          <t xml:space="preserve">Escaneo de número de tarjeta habiente a servidores y equipos del ambiente PCI DSS </t>
        </is>
      </c>
      <c r="H1399" s="10" t="inlineStr">
        <is>
          <t>Informe de escaneo de tarjeta habiente</t>
        </is>
      </c>
      <c r="I1399" s="10" t="inlineStr">
        <is>
          <t>Informe de verificación de ofuscación de información de números de tarjeta habiente en equipos que trabajan con reportes transaccionales de tarjetas</t>
        </is>
      </c>
      <c r="J1399" s="10" t="inlineStr">
        <is>
          <t xml:space="preserve">Oficial de Seguridad de la Información </t>
        </is>
      </c>
      <c r="K1399" s="10" t="inlineStr">
        <is>
          <t xml:space="preserve">Oficial de Seguridad de la Información </t>
        </is>
      </c>
      <c r="L1399" s="10" t="inlineStr">
        <is>
          <t>UBICACIÓN DIGITAL-EQUIPO DEL RESPONSABLE</t>
        </is>
      </c>
      <c r="M1399" s="10" t="inlineStr">
        <is>
          <t>DISCOS DUROS, SERVIDORES, DISCOS O MEDIOS PORTÁTILES, CINTAS O MEDIOS DE VIDEO Y AUDIO, ETC.</t>
        </is>
      </c>
      <c r="N1399" s="10" t="inlineStr">
        <is>
          <t>PRIMARIOS</t>
        </is>
      </c>
      <c r="O1399" s="10" t="inlineStr">
        <is>
          <t>DOCUMENTOS TÉCNICOS</t>
        </is>
      </c>
      <c r="P1399" s="10" t="inlineStr">
        <is>
          <t>USO INTERNO(2)</t>
        </is>
      </c>
      <c r="Q1399" s="10" t="inlineStr">
        <is>
          <t>MEDIA(2)</t>
        </is>
      </c>
      <c r="R1399" s="10" t="inlineStr">
        <is>
          <t>BAJA(1)</t>
        </is>
      </c>
      <c r="S1399" s="10">
        <f>+(IF(P1399="PUBLICA(1)",1,IF(P1399="USO INTERNO(2)",2,IF(P1399="RESTRINGIDO(3)",3,3))))+(IF(Q1399="BAJA(1)",1,IF(Q1399="MEDIA(2)",2,IF(Q1399="ALTA(3)",3,3))))+(IF(R1399="BAJA(1)",1,IF(R1399="MEDIA(2)",2,IF(R1399="ALTA(3)",3,3))))</f>
        <v/>
      </c>
      <c r="T1399" s="10">
        <f>+IF(S1399&lt;6,"BAJA",IF(S1399&lt;8,"MEDIA","ALTA"))</f>
        <v/>
      </c>
      <c r="U1399" s="10" t="inlineStr">
        <is>
          <t>-</t>
        </is>
      </c>
      <c r="V1399" s="24" t="n">
        <v>45712</v>
      </c>
      <c r="W1399" s="19" t="inlineStr">
        <is>
          <t>N/A</t>
        </is>
      </c>
      <c r="X1399" s="10">
        <f>+IFERROR(IF(VLOOKUP(Tabla2[[#This Row],[ID]],'EVALUACION DE RIESGO'!A:A,1,FALSE)=Tabla2[[#This Row],[ID]],"SI","NO"),"NO")</f>
        <v/>
      </c>
    </row>
    <row r="1400">
      <c r="A1400" s="91" t="inlineStr">
        <is>
          <t>60-GSO</t>
        </is>
      </c>
      <c r="B1400" s="10" t="inlineStr">
        <is>
          <t>APOYO</t>
        </is>
      </c>
      <c r="C1400" s="10" t="inlineStr">
        <is>
          <t>Gestión de Seguridad Organizacional</t>
        </is>
      </c>
      <c r="D1400" s="10" t="inlineStr">
        <is>
          <t>GSO</t>
        </is>
      </c>
      <c r="E1400" s="10" t="inlineStr">
        <is>
          <t xml:space="preserve">Gestión de Seguridad de la Información </t>
        </is>
      </c>
      <c r="F1400" s="10" t="inlineStr">
        <is>
          <t>-</t>
        </is>
      </c>
      <c r="G1400" s="10" t="inlineStr">
        <is>
          <t>Escaneo de red wireless</t>
        </is>
      </c>
      <c r="H1400" s="10" t="inlineStr">
        <is>
          <t>Informe de análisis de redes Wireless</t>
        </is>
      </c>
      <c r="I1400" s="10" t="inlineStr">
        <is>
          <t>Informe de revisión de redes inalámbricas de cada oficina</t>
        </is>
      </c>
      <c r="J1400" s="10" t="inlineStr">
        <is>
          <t xml:space="preserve">Oficial de Seguridad de la Información </t>
        </is>
      </c>
      <c r="K1400" s="10" t="inlineStr">
        <is>
          <t xml:space="preserve">Oficial de Seguridad de la Información </t>
        </is>
      </c>
      <c r="L1400" s="10" t="inlineStr">
        <is>
          <t>UBICACIÓN DIGITAL-EQUIPO DEL RESPONSABLE</t>
        </is>
      </c>
      <c r="M1400" s="10" t="inlineStr">
        <is>
          <t>DISCOS DUROS, SERVIDORES, DISCOS O MEDIOS PORTÁTILES, CINTAS O MEDIOS DE VIDEO Y AUDIO, ETC.</t>
        </is>
      </c>
      <c r="N1400" s="10" t="inlineStr">
        <is>
          <t>PRIMARIOS</t>
        </is>
      </c>
      <c r="O1400" s="10" t="inlineStr">
        <is>
          <t>DOCUMENTOS TÉCNICOS</t>
        </is>
      </c>
      <c r="P1400" s="10" t="inlineStr">
        <is>
          <t>USO INTERNO(2)</t>
        </is>
      </c>
      <c r="Q1400" s="10" t="inlineStr">
        <is>
          <t>MEDIA(2)</t>
        </is>
      </c>
      <c r="R1400" s="10" t="inlineStr">
        <is>
          <t>BAJA(1)</t>
        </is>
      </c>
      <c r="S1400" s="10">
        <f>+(IF(P1400="PUBLICA(1)",1,IF(P1400="USO INTERNO(2)",2,IF(P1400="RESTRINGIDO(3)",3,3))))+(IF(Q1400="BAJA(1)",1,IF(Q1400="MEDIA(2)",2,IF(Q1400="ALTA(3)",3,3))))+(IF(R1400="BAJA(1)",1,IF(R1400="MEDIA(2)",2,IF(R1400="ALTA(3)",3,3))))</f>
        <v/>
      </c>
      <c r="T1400" s="10">
        <f>+IF(S1400&lt;6,"BAJA",IF(S1400&lt;8,"MEDIA","ALTA"))</f>
        <v/>
      </c>
      <c r="U1400" s="10" t="inlineStr">
        <is>
          <t>-</t>
        </is>
      </c>
      <c r="V1400" s="24" t="n">
        <v>45712</v>
      </c>
      <c r="W1400" s="19" t="inlineStr">
        <is>
          <t>N/A</t>
        </is>
      </c>
      <c r="X1400" s="10">
        <f>+IFERROR(IF(VLOOKUP(Tabla2[[#This Row],[ID]],'EVALUACION DE RIESGO'!A:A,1,FALSE)=Tabla2[[#This Row],[ID]],"SI","NO"),"NO")</f>
        <v/>
      </c>
    </row>
    <row r="1401">
      <c r="A1401" s="91" t="inlineStr">
        <is>
          <t>61-GSO</t>
        </is>
      </c>
      <c r="B1401" s="10" t="inlineStr">
        <is>
          <t>APOYO</t>
        </is>
      </c>
      <c r="C1401" s="10" t="inlineStr">
        <is>
          <t>Gestión de Seguridad Organizacional</t>
        </is>
      </c>
      <c r="D1401" s="10" t="inlineStr">
        <is>
          <t>GSO</t>
        </is>
      </c>
      <c r="E1401" s="10" t="inlineStr">
        <is>
          <t xml:space="preserve">Gestión de Seguridad de la Información </t>
        </is>
      </c>
      <c r="F1401" s="10" t="inlineStr">
        <is>
          <t>-</t>
        </is>
      </c>
      <c r="G1401" s="10" t="inlineStr">
        <is>
          <t>Escaneo de vulnerabilidades internas y externas</t>
        </is>
      </c>
      <c r="H1401" s="10" t="inlineStr">
        <is>
          <t>Informe de vulnerabilidades y acciones</t>
        </is>
      </c>
      <c r="I1401" s="10" t="inlineStr">
        <is>
          <t>Informe de vulnerabilidades reportadas por el proveedor , detalle de la vulnerabilidad y la posible solución</t>
        </is>
      </c>
      <c r="J1401" s="10" t="inlineStr">
        <is>
          <t xml:space="preserve">Oficial de Seguridad de la Información </t>
        </is>
      </c>
      <c r="K1401" s="10" t="inlineStr">
        <is>
          <t xml:space="preserve">Oficial de Seguridad de la Información </t>
        </is>
      </c>
      <c r="L1401" s="10" t="inlineStr">
        <is>
          <t>UBICACIÓN DIGITAL-EQUIPO DEL RESPONSABLE</t>
        </is>
      </c>
      <c r="M1401" s="10" t="inlineStr">
        <is>
          <t>DISCOS DUROS, SERVIDORES, DISCOS O MEDIOS PORTÁTILES, CINTAS O MEDIOS DE VIDEO Y AUDIO, ETC.</t>
        </is>
      </c>
      <c r="N1401" s="10" t="inlineStr">
        <is>
          <t>PRIMARIOS</t>
        </is>
      </c>
      <c r="O1401" s="10" t="inlineStr">
        <is>
          <t>DOCUMENTOS TÉCNICOS</t>
        </is>
      </c>
      <c r="P1401" s="10" t="inlineStr">
        <is>
          <t>USO INTERNO(2)</t>
        </is>
      </c>
      <c r="Q1401" s="10" t="inlineStr">
        <is>
          <t>MEDIA(2)</t>
        </is>
      </c>
      <c r="R1401" s="10" t="inlineStr">
        <is>
          <t>BAJA(1)</t>
        </is>
      </c>
      <c r="S1401" s="10">
        <f>+(IF(P1401="PUBLICA(1)",1,IF(P1401="USO INTERNO(2)",2,IF(P1401="RESTRINGIDO(3)",3,3))))+(IF(Q1401="BAJA(1)",1,IF(Q1401="MEDIA(2)",2,IF(Q1401="ALTA(3)",3,3))))+(IF(R1401="BAJA(1)",1,IF(R1401="MEDIA(2)",2,IF(R1401="ALTA(3)",3,3))))</f>
        <v/>
      </c>
      <c r="T1401" s="10">
        <f>+IF(S1401&lt;6,"BAJA",IF(S1401&lt;8,"MEDIA","ALTA"))</f>
        <v/>
      </c>
      <c r="U1401" s="10" t="inlineStr">
        <is>
          <t>-</t>
        </is>
      </c>
      <c r="V1401" s="24" t="n">
        <v>45712</v>
      </c>
      <c r="W1401" s="19" t="inlineStr">
        <is>
          <t>N/A</t>
        </is>
      </c>
      <c r="X1401" s="10">
        <f>+IFERROR(IF(VLOOKUP(Tabla2[[#This Row],[ID]],'EVALUACION DE RIESGO'!A:A,1,FALSE)=Tabla2[[#This Row],[ID]],"SI","NO"),"NO")</f>
        <v/>
      </c>
    </row>
    <row r="1402">
      <c r="A1402" s="91" t="inlineStr">
        <is>
          <t>62-GSO</t>
        </is>
      </c>
      <c r="B1402" s="10" t="inlineStr">
        <is>
          <t>APOYO</t>
        </is>
      </c>
      <c r="C1402" s="10" t="inlineStr">
        <is>
          <t>Gestión de Seguridad Organizacional</t>
        </is>
      </c>
      <c r="D1402" s="10" t="inlineStr">
        <is>
          <t>GSO</t>
        </is>
      </c>
      <c r="E1402" s="10" t="inlineStr">
        <is>
          <t xml:space="preserve">Gestión de Seguridad de la Información </t>
        </is>
      </c>
      <c r="F1402" s="10" t="inlineStr">
        <is>
          <t>-</t>
        </is>
      </c>
      <c r="G1402" s="10" t="inlineStr">
        <is>
          <t>Control de la seguridad de la red</t>
        </is>
      </c>
      <c r="H1402" s="10" t="inlineStr">
        <is>
          <t>Informe Ethical Hacking</t>
        </is>
      </c>
      <c r="I1402" s="10" t="inlineStr">
        <is>
          <t>Informe receptado por el Proveedor con el detalle de los activos analizados</t>
        </is>
      </c>
      <c r="J1402" s="10" t="inlineStr">
        <is>
          <t xml:space="preserve">Oficial de Seguridad de la Información </t>
        </is>
      </c>
      <c r="K1402" s="10" t="inlineStr">
        <is>
          <t xml:space="preserve">Oficial de Seguridad de la Información </t>
        </is>
      </c>
      <c r="L1402" s="10" t="inlineStr">
        <is>
          <t>UBICACIÓN DIGITAL-EQUIPO DEL RESPONSABLE</t>
        </is>
      </c>
      <c r="M1402" s="10" t="inlineStr">
        <is>
          <t>DISCOS DUROS, SERVIDORES, DISCOS O MEDIOS PORTÁTILES, CINTAS O MEDIOS DE VIDEO Y AUDIO, ETC.</t>
        </is>
      </c>
      <c r="N1402" s="10" t="inlineStr">
        <is>
          <t>PRIMARIOS</t>
        </is>
      </c>
      <c r="O1402" s="10" t="inlineStr">
        <is>
          <t>DOCUMENTOS TÉCNICOS</t>
        </is>
      </c>
      <c r="P1402" s="10" t="inlineStr">
        <is>
          <t>USO INTERNO(2)</t>
        </is>
      </c>
      <c r="Q1402" s="10" t="inlineStr">
        <is>
          <t>MEDIA(2)</t>
        </is>
      </c>
      <c r="R1402" s="10" t="inlineStr">
        <is>
          <t>BAJA(1)</t>
        </is>
      </c>
      <c r="S1402" s="10">
        <f>+(IF(P1402="PUBLICA(1)",1,IF(P1402="USO INTERNO(2)",2,IF(P1402="RESTRINGIDO(3)",3,3))))+(IF(Q1402="BAJA(1)",1,IF(Q1402="MEDIA(2)",2,IF(Q1402="ALTA(3)",3,3))))+(IF(R1402="BAJA(1)",1,IF(R1402="MEDIA(2)",2,IF(R1402="ALTA(3)",3,3))))</f>
        <v/>
      </c>
      <c r="T1402" s="10">
        <f>+IF(S1402&lt;6,"BAJA",IF(S1402&lt;8,"MEDIA","ALTA"))</f>
        <v/>
      </c>
      <c r="U1402" s="10" t="inlineStr">
        <is>
          <t>-</t>
        </is>
      </c>
      <c r="V1402" s="24" t="n">
        <v>45712</v>
      </c>
      <c r="W1402" s="19" t="inlineStr">
        <is>
          <t>N/A</t>
        </is>
      </c>
      <c r="X1402" s="10">
        <f>+IFERROR(IF(VLOOKUP(Tabla2[[#This Row],[ID]],'EVALUACION DE RIESGO'!A:A,1,FALSE)=Tabla2[[#This Row],[ID]],"SI","NO"),"NO")</f>
        <v/>
      </c>
    </row>
    <row r="1403">
      <c r="A1403" s="91" t="inlineStr">
        <is>
          <t>63-GSO</t>
        </is>
      </c>
      <c r="B1403" s="10" t="inlineStr">
        <is>
          <t>APOYO</t>
        </is>
      </c>
      <c r="C1403" s="10" t="inlineStr">
        <is>
          <t>Gestión de Seguridad Organizacional</t>
        </is>
      </c>
      <c r="D1403" s="10" t="inlineStr">
        <is>
          <t>GSO</t>
        </is>
      </c>
      <c r="E1403" s="10" t="inlineStr">
        <is>
          <t xml:space="preserve">Gestión de Seguridad de la Información </t>
        </is>
      </c>
      <c r="F1403" s="10" t="inlineStr">
        <is>
          <t>-</t>
        </is>
      </c>
      <c r="G1403" s="10" t="inlineStr">
        <is>
          <t>Control de la seguridad de la red</t>
        </is>
      </c>
      <c r="H1403" s="10" t="inlineStr">
        <is>
          <t>Plan de acción</t>
        </is>
      </c>
      <c r="I1403" s="10" t="inlineStr">
        <is>
          <t>Plan de acción propuesto por el OSI para la remediación de las vulnerabilidades</t>
        </is>
      </c>
      <c r="J1403" s="10" t="inlineStr">
        <is>
          <t xml:space="preserve">Oficial de Seguridad de la Información </t>
        </is>
      </c>
      <c r="K1403" s="10" t="inlineStr">
        <is>
          <t xml:space="preserve">Oficial de Seguridad de la Información </t>
        </is>
      </c>
      <c r="L1403" s="10" t="inlineStr">
        <is>
          <t>UBICACIÓN DIGITAL-EQUIPO DEL RESPONSABLE</t>
        </is>
      </c>
      <c r="M1403" s="10" t="inlineStr">
        <is>
          <t>DISCOS DUROS, SERVIDORES, DISCOS O MEDIOS PORTÁTILES, CINTAS O MEDIOS DE VIDEO Y AUDIO, ETC.</t>
        </is>
      </c>
      <c r="N1403" s="10" t="inlineStr">
        <is>
          <t>PRIMARIOS</t>
        </is>
      </c>
      <c r="O1403" s="10" t="inlineStr">
        <is>
          <t>DOCUMENTOS TÉCNICOS</t>
        </is>
      </c>
      <c r="P1403" s="10" t="inlineStr">
        <is>
          <t>USO INTERNO(2)</t>
        </is>
      </c>
      <c r="Q1403" s="10" t="inlineStr">
        <is>
          <t>MEDIA(2)</t>
        </is>
      </c>
      <c r="R1403" s="10" t="inlineStr">
        <is>
          <t>BAJA(1)</t>
        </is>
      </c>
      <c r="S1403" s="10">
        <f>+(IF(P1403="PUBLICA(1)",1,IF(P1403="USO INTERNO(2)",2,IF(P1403="RESTRINGIDO(3)",3,3))))+(IF(Q1403="BAJA(1)",1,IF(Q1403="MEDIA(2)",2,IF(Q1403="ALTA(3)",3,3))))+(IF(R1403="BAJA(1)",1,IF(R1403="MEDIA(2)",2,IF(R1403="ALTA(3)",3,3))))</f>
        <v/>
      </c>
      <c r="T1403" s="10">
        <f>+IF(S1403&lt;6,"BAJA",IF(S1403&lt;8,"MEDIA","ALTA"))</f>
        <v/>
      </c>
      <c r="U1403" s="10" t="inlineStr">
        <is>
          <t>-</t>
        </is>
      </c>
      <c r="V1403" s="24" t="n">
        <v>45712</v>
      </c>
      <c r="W1403" s="19" t="inlineStr">
        <is>
          <t>N/A</t>
        </is>
      </c>
      <c r="X1403" s="10">
        <f>+IFERROR(IF(VLOOKUP(Tabla2[[#This Row],[ID]],'EVALUACION DE RIESGO'!A:A,1,FALSE)=Tabla2[[#This Row],[ID]],"SI","NO"),"NO")</f>
        <v/>
      </c>
    </row>
    <row r="1404">
      <c r="A1404" s="91" t="inlineStr">
        <is>
          <t>64-GSO</t>
        </is>
      </c>
      <c r="B1404" s="10" t="inlineStr">
        <is>
          <t>APOYO</t>
        </is>
      </c>
      <c r="C1404" s="10" t="inlineStr">
        <is>
          <t>Gestión de Seguridad Organizacional</t>
        </is>
      </c>
      <c r="D1404" s="10" t="inlineStr">
        <is>
          <t>GSO</t>
        </is>
      </c>
      <c r="E1404" s="10" t="inlineStr">
        <is>
          <t xml:space="preserve">Gestión de Seguridad de la Información </t>
        </is>
      </c>
      <c r="F1404" s="10" t="inlineStr">
        <is>
          <t>-</t>
        </is>
      </c>
      <c r="G1404" s="10" t="inlineStr">
        <is>
          <t xml:space="preserve">Consolidación de información </t>
        </is>
      </c>
      <c r="H1404" s="10" t="inlineStr">
        <is>
          <t>Informe de gestión mensual</t>
        </is>
      </c>
      <c r="I1404" s="10" t="inlineStr">
        <is>
          <t>Informe de gestión mensual de las actividades desarrolladas según el plan operativo</t>
        </is>
      </c>
      <c r="J1404" s="10" t="inlineStr">
        <is>
          <t xml:space="preserve">Oficial de Seguridad de la Información </t>
        </is>
      </c>
      <c r="K1404" s="10" t="inlineStr">
        <is>
          <t xml:space="preserve">Oficial de Seguridad de la Información </t>
        </is>
      </c>
      <c r="L1404" s="10" t="inlineStr">
        <is>
          <t>UBICACIÓN DIGITAL-EQUIPO DEL RESPONSABLE</t>
        </is>
      </c>
      <c r="M1404" s="10" t="inlineStr">
        <is>
          <t>DISCOS DUROS, SERVIDORES, DISCOS O MEDIOS PORTÁTILES, CINTAS O MEDIOS DE VIDEO Y AUDIO, ETC.</t>
        </is>
      </c>
      <c r="N1404" s="10" t="inlineStr">
        <is>
          <t>PRIMARIOS</t>
        </is>
      </c>
      <c r="O1404" s="10" t="inlineStr">
        <is>
          <t>DOCUMENTOS TÉCNICOS</t>
        </is>
      </c>
      <c r="P1404" s="10" t="inlineStr">
        <is>
          <t>RESTRINGIDO(3)</t>
        </is>
      </c>
      <c r="Q1404" s="10" t="inlineStr">
        <is>
          <t>MEDIA(2)</t>
        </is>
      </c>
      <c r="R1404" s="10" t="inlineStr">
        <is>
          <t>MEDIA(2)</t>
        </is>
      </c>
      <c r="S1404" s="10">
        <f>+(IF(P1404="PUBLICA(1)",1,IF(P1404="USO INTERNO(2)",2,IF(P1404="RESTRINGIDO(3)",3,3))))+(IF(Q1404="BAJA(1)",1,IF(Q1404="MEDIA(2)",2,IF(Q1404="ALTA(3)",3,3))))+(IF(R1404="BAJA(1)",1,IF(R1404="MEDIA(2)",2,IF(R1404="ALTA(3)",3,3))))</f>
        <v/>
      </c>
      <c r="T1404" s="10">
        <f>+IF(S1404&lt;6,"BAJA",IF(S1404&lt;8,"MEDIA","ALTA"))</f>
        <v/>
      </c>
      <c r="U1404" s="10" t="inlineStr">
        <is>
          <t>-</t>
        </is>
      </c>
      <c r="V1404" s="24" t="n">
        <v>45712</v>
      </c>
      <c r="W1404" s="19" t="inlineStr">
        <is>
          <t>N/A</t>
        </is>
      </c>
      <c r="X1404" s="10">
        <f>+IFERROR(IF(VLOOKUP(Tabla2[[#This Row],[ID]],'EVALUACION DE RIESGO'!A:A,1,FALSE)=Tabla2[[#This Row],[ID]],"SI","NO"),"NO")</f>
        <v/>
      </c>
    </row>
    <row r="1405">
      <c r="A1405" s="91" t="inlineStr">
        <is>
          <t>65-GSO</t>
        </is>
      </c>
      <c r="B1405" s="10" t="inlineStr">
        <is>
          <t>APOYO</t>
        </is>
      </c>
      <c r="C1405" s="10" t="inlineStr">
        <is>
          <t>Gestión de Seguridad Organizacional</t>
        </is>
      </c>
      <c r="D1405" s="10" t="inlineStr">
        <is>
          <t>GSO</t>
        </is>
      </c>
      <c r="E1405" s="10" t="inlineStr">
        <is>
          <t xml:space="preserve">Gestión de Seguridad de la Información </t>
        </is>
      </c>
      <c r="F1405" s="10" t="inlineStr">
        <is>
          <t>-</t>
        </is>
      </c>
      <c r="G1405" s="10" t="inlineStr">
        <is>
          <t>N/A</t>
        </is>
      </c>
      <c r="H1405" s="10" t="inlineStr">
        <is>
          <t xml:space="preserve">Equipos de computación </t>
        </is>
      </c>
      <c r="I1405" s="10" t="inlineStr">
        <is>
          <t>Equipos de computación donde se realiza la gestión del área</t>
        </is>
      </c>
      <c r="J1405" s="10" t="inlineStr">
        <is>
          <t xml:space="preserve">Oficial de Seguridad de la Información </t>
        </is>
      </c>
      <c r="K1405" s="10" t="inlineStr">
        <is>
          <t xml:space="preserve">Oficial de Seguridad de la Información </t>
        </is>
      </c>
      <c r="L1405" s="10" t="inlineStr">
        <is>
          <t>UBICACIÓN FISICA-SUCURSAL IBARRA</t>
        </is>
      </c>
      <c r="M1405" s="10" t="inlineStr">
        <is>
          <t>DISCOS DUROS, SERVIDORES, DISCOS O MEDIOS PORTÁTILES, CINTAS O MEDIOS DE VIDEO Y AUDIO, ETC.</t>
        </is>
      </c>
      <c r="N1405" s="10" t="inlineStr">
        <is>
          <t>APOYO</t>
        </is>
      </c>
      <c r="O1405" s="10" t="inlineStr">
        <is>
          <t>HARDWARE</t>
        </is>
      </c>
      <c r="P1405" s="10" t="inlineStr">
        <is>
          <t>USO INTERNO(2)</t>
        </is>
      </c>
      <c r="Q1405" s="10" t="inlineStr">
        <is>
          <t>MEDIA(2)</t>
        </is>
      </c>
      <c r="R1405" s="10" t="inlineStr">
        <is>
          <t>MEDIA(2)</t>
        </is>
      </c>
      <c r="S1405" s="10">
        <f>+(IF(P1405="PUBLICA(1)",1,IF(P1405="USO INTERNO(2)",2,IF(P1405="RESTRINGIDO(3)",3,3))))+(IF(Q1405="BAJA(1)",1,IF(Q1405="MEDIA(2)",2,IF(Q1405="ALTA(3)",3,3))))+(IF(R1405="BAJA(1)",1,IF(R1405="MEDIA(2)",2,IF(R1405="ALTA(3)",3,3))))</f>
        <v/>
      </c>
      <c r="T1405" s="10">
        <f>+IF(S1405&lt;6,"BAJA",IF(S1405&lt;8,"MEDIA","ALTA"))</f>
        <v/>
      </c>
      <c r="U1405" s="10" t="inlineStr">
        <is>
          <t>-</t>
        </is>
      </c>
      <c r="V1405" s="24" t="n">
        <v>45712</v>
      </c>
      <c r="W1405" s="19" t="inlineStr">
        <is>
          <t>N/A</t>
        </is>
      </c>
      <c r="X1405" s="10">
        <f>+IFERROR(IF(VLOOKUP(Tabla2[[#This Row],[ID]],'EVALUACION DE RIESGO'!A:A,1,FALSE)=Tabla2[[#This Row],[ID]],"SI","NO"),"NO")</f>
        <v/>
      </c>
    </row>
    <row r="1406">
      <c r="A1406" s="20" t="inlineStr">
        <is>
          <t>66-GSO</t>
        </is>
      </c>
      <c r="B1406" s="21" t="inlineStr">
        <is>
          <t>APOYO</t>
        </is>
      </c>
      <c r="C1406" s="21" t="inlineStr">
        <is>
          <t>Gestión de Seguridad Organizacional</t>
        </is>
      </c>
      <c r="D1406" s="21" t="inlineStr">
        <is>
          <t>GSO</t>
        </is>
      </c>
      <c r="E1406" s="21" t="inlineStr">
        <is>
          <t xml:space="preserve">Gestión de Seguridad de la Información </t>
        </is>
      </c>
      <c r="F1406" s="21" t="inlineStr">
        <is>
          <t>-</t>
        </is>
      </c>
      <c r="G1406" s="21" t="inlineStr">
        <is>
          <t>N/A</t>
        </is>
      </c>
      <c r="H1406" s="21" t="inlineStr">
        <is>
          <t>Oficial de Seguridad de la Información</t>
        </is>
      </c>
      <c r="I1406" s="21" t="inlineStr">
        <is>
          <t>N/A</t>
        </is>
      </c>
      <c r="J1406" s="21" t="inlineStr">
        <is>
          <t xml:space="preserve">Oficial de Seguridad de la Información </t>
        </is>
      </c>
      <c r="K1406" s="21" t="inlineStr">
        <is>
          <t>N/A</t>
        </is>
      </c>
      <c r="L1406" s="21" t="inlineStr">
        <is>
          <t>N/A</t>
        </is>
      </c>
      <c r="M1406" s="21" t="inlineStr">
        <is>
          <t>N/A</t>
        </is>
      </c>
      <c r="N1406" s="21" t="inlineStr">
        <is>
          <t>APOYO</t>
        </is>
      </c>
      <c r="O1406" s="21" t="inlineStr">
        <is>
          <t>RECURSO HUMANO</t>
        </is>
      </c>
      <c r="P1406" s="21" t="inlineStr">
        <is>
          <t>USO INTERNO(2)</t>
        </is>
      </c>
      <c r="Q1406" s="21" t="inlineStr">
        <is>
          <t>MEDIA(2)</t>
        </is>
      </c>
      <c r="R1406" s="21" t="inlineStr">
        <is>
          <t>MEDIA(2)</t>
        </is>
      </c>
      <c r="S1406" s="21">
        <f>+(IF(P1406="PUBLICA(1)",1,IF(P1406="USO INTERNO(2)",2,IF(P1406="RESTRINGIDO(3)",3,3))))+(IF(Q1406="BAJA(1)",1,IF(Q1406="MEDIA(2)",2,IF(Q1406="ALTA(3)",3,3))))+(IF(R1406="BAJA(1)",1,IF(R1406="MEDIA(2)",2,IF(R1406="ALTA(3)",3,3))))</f>
        <v/>
      </c>
      <c r="T1406" s="21">
        <f>+IF(S1406&lt;6,"BAJA",IF(S1406&lt;8,"MEDIA","ALTA"))</f>
        <v/>
      </c>
      <c r="U1406" s="21" t="inlineStr">
        <is>
          <t>-</t>
        </is>
      </c>
      <c r="V1406" s="25" t="n">
        <v>45712</v>
      </c>
      <c r="W1406" s="22" t="inlineStr">
        <is>
          <t>N/A</t>
        </is>
      </c>
      <c r="X1406" s="21">
        <f>+IFERROR(IF(VLOOKUP(Tabla2[[#This Row],[ID]],'EVALUACION DE RIESGO'!A:A,1,FALSE)=Tabla2[[#This Row],[ID]],"SI","NO"),"NO")</f>
        <v/>
      </c>
    </row>
  </sheetData>
  <mergeCells count="3">
    <mergeCell ref="P1:R1"/>
    <mergeCell ref="S1:T1"/>
    <mergeCell ref="B1:G1"/>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24"/>
  <sheetViews>
    <sheetView topLeftCell="A8" workbookViewId="0">
      <selection activeCell="B28" sqref="B28"/>
    </sheetView>
  </sheetViews>
  <sheetFormatPr baseColWidth="10" defaultRowHeight="11"/>
  <cols>
    <col width="29" bestFit="1" customWidth="1" style="98" min="1" max="1"/>
    <col width="16.5" customWidth="1" style="98" min="2" max="2"/>
    <col width="20.75" customWidth="1" style="98" min="3" max="3"/>
    <col width="24.25" bestFit="1" customWidth="1" style="98" min="4" max="4"/>
  </cols>
  <sheetData>
    <row r="1">
      <c r="A1" s="92" t="inlineStr">
        <is>
          <t>PROBABILIDAD</t>
        </is>
      </c>
      <c r="B1" s="93" t="n"/>
      <c r="C1" s="93" t="n"/>
      <c r="D1" s="93" t="n"/>
    </row>
    <row r="2" ht="25.5" customHeight="1" s="98">
      <c r="A2" s="1" t="inlineStr">
        <is>
          <t>Descripción</t>
        </is>
      </c>
      <c r="B2" s="1" t="inlineStr">
        <is>
          <t>Nivel</t>
        </is>
      </c>
      <c r="C2" s="9" t="inlineStr">
        <is>
          <t xml:space="preserve">Porcentaje de ocurrencia del evento </t>
        </is>
      </c>
      <c r="D2" s="9" t="inlineStr">
        <is>
          <t>Frecuencia</t>
        </is>
      </c>
    </row>
    <row r="3" ht="12" customHeight="1" s="98">
      <c r="A3" s="2" t="inlineStr">
        <is>
          <t>Muy Baja</t>
        </is>
      </c>
      <c r="B3" s="3" t="n">
        <v>1</v>
      </c>
      <c r="C3" s="3" t="inlineStr">
        <is>
          <t>0,00% al 4,64%</t>
        </is>
      </c>
      <c r="D3" s="4" t="inlineStr">
        <is>
          <t>Ocurre una vez al año</t>
        </is>
      </c>
    </row>
    <row r="4" ht="12" customHeight="1" s="98">
      <c r="A4" s="5" t="inlineStr">
        <is>
          <t>Baja</t>
        </is>
      </c>
      <c r="B4" s="3" t="n">
        <v>2</v>
      </c>
      <c r="C4" s="3" t="inlineStr">
        <is>
          <t>4,65% al 7,60%</t>
        </is>
      </c>
      <c r="D4" s="4" t="inlineStr">
        <is>
          <t>Ocurre una vez al mes</t>
        </is>
      </c>
    </row>
    <row r="5" ht="20.5" customHeight="1" s="98">
      <c r="A5" s="6" t="inlineStr">
        <is>
          <t>Media</t>
        </is>
      </c>
      <c r="B5" s="3" t="n">
        <v>3</v>
      </c>
      <c r="C5" s="3" t="inlineStr">
        <is>
          <t>7.61% al 28,26%</t>
        </is>
      </c>
      <c r="D5" s="4" t="inlineStr">
        <is>
          <t>Ocurre una vez a la semana</t>
        </is>
      </c>
    </row>
    <row r="6" ht="12" customHeight="1" s="98">
      <c r="A6" s="7" t="inlineStr">
        <is>
          <t>Alta</t>
        </is>
      </c>
      <c r="B6" s="3" t="n">
        <v>4</v>
      </c>
      <c r="C6" s="3" t="inlineStr">
        <is>
          <t>28,27% al 40,70%</t>
        </is>
      </c>
      <c r="D6" s="4" t="inlineStr">
        <is>
          <t>Ocurre una vez al día</t>
        </is>
      </c>
    </row>
    <row r="7" ht="24" customHeight="1" s="98">
      <c r="A7" s="8" t="inlineStr">
        <is>
          <t>Muy Alta</t>
        </is>
      </c>
      <c r="B7" s="3" t="n">
        <v>5</v>
      </c>
      <c r="C7" s="3" t="inlineStr">
        <is>
          <t>40,71% al 100%</t>
        </is>
      </c>
      <c r="D7" s="4" t="inlineStr">
        <is>
          <t>Ocurre varias veces al día.</t>
        </is>
      </c>
    </row>
    <row r="9">
      <c r="A9" s="92" t="inlineStr">
        <is>
          <t>IMPACTO/DEGRADACIÓN</t>
        </is>
      </c>
      <c r="B9" s="93" t="n"/>
    </row>
    <row r="10">
      <c r="A10" s="11" t="inlineStr">
        <is>
          <t>Descripcion</t>
        </is>
      </c>
      <c r="B10" s="11" t="inlineStr">
        <is>
          <t>Nivel</t>
        </is>
      </c>
    </row>
    <row r="11">
      <c r="A11" s="2" t="inlineStr">
        <is>
          <t>Insignificante</t>
        </is>
      </c>
      <c r="B11" s="3" t="n">
        <v>1</v>
      </c>
    </row>
    <row r="12">
      <c r="A12" s="5" t="inlineStr">
        <is>
          <t>Bajo</t>
        </is>
      </c>
      <c r="B12" s="3" t="n">
        <v>2</v>
      </c>
    </row>
    <row r="13">
      <c r="A13" s="6" t="inlineStr">
        <is>
          <t>Medio</t>
        </is>
      </c>
      <c r="B13" s="3" t="n">
        <v>3</v>
      </c>
    </row>
    <row r="14">
      <c r="A14" s="7" t="inlineStr">
        <is>
          <t>Alto</t>
        </is>
      </c>
      <c r="B14" s="3" t="n">
        <v>4</v>
      </c>
    </row>
    <row r="15">
      <c r="A15" s="8" t="inlineStr">
        <is>
          <t>Severo</t>
        </is>
      </c>
      <c r="B15" s="3" t="n">
        <v>5</v>
      </c>
    </row>
    <row r="17">
      <c r="A17" s="94" t="inlineStr">
        <is>
          <t>NIVEL DE RIESGO DE SEGURIDAD = IMPACTO * PROBABILIDAD</t>
        </is>
      </c>
      <c r="B17" s="90" t="n"/>
      <c r="C17" s="90" t="n"/>
      <c r="D17" s="90" t="n"/>
      <c r="E17" s="90" t="n"/>
      <c r="F17" s="91" t="n"/>
      <c r="H17" s="97" t="n"/>
    </row>
    <row r="18">
      <c r="A18" s="95" t="inlineStr">
        <is>
          <t>PROBABILIDAD</t>
        </is>
      </c>
      <c r="B18" s="94" t="inlineStr">
        <is>
          <t>IMPACTO</t>
        </is>
      </c>
      <c r="C18" s="90" t="n"/>
      <c r="D18" s="90" t="n"/>
      <c r="E18" s="90" t="n"/>
      <c r="F18" s="91" t="n"/>
    </row>
    <row r="19">
      <c r="A19" s="96" t="n"/>
      <c r="B19" s="3" t="inlineStr">
        <is>
          <t>Insignificante</t>
        </is>
      </c>
      <c r="C19" s="3" t="inlineStr">
        <is>
          <t>Bajo</t>
        </is>
      </c>
      <c r="D19" s="3" t="inlineStr">
        <is>
          <t>Medio</t>
        </is>
      </c>
      <c r="E19" s="3" t="inlineStr">
        <is>
          <t>Alto</t>
        </is>
      </c>
      <c r="F19" s="3" t="inlineStr">
        <is>
          <t>Severo</t>
        </is>
      </c>
      <c r="H19" s="94" t="inlineStr">
        <is>
          <t>NIVEL DE RIESGO</t>
        </is>
      </c>
      <c r="I19" s="91" t="n"/>
      <c r="K19" s="14" t="n"/>
    </row>
    <row r="20">
      <c r="A20" s="3" t="inlineStr">
        <is>
          <t>Muy Alta</t>
        </is>
      </c>
      <c r="B20" s="78" t="n">
        <v>5</v>
      </c>
      <c r="C20" s="77" t="n">
        <v>10</v>
      </c>
      <c r="D20" s="77" t="n">
        <v>15</v>
      </c>
      <c r="E20" s="76" t="n">
        <v>20</v>
      </c>
      <c r="F20" s="76" t="n">
        <v>25</v>
      </c>
      <c r="H20" s="15" t="inlineStr">
        <is>
          <t>Crítico</t>
        </is>
      </c>
      <c r="I20" s="14" t="inlineStr">
        <is>
          <t>17-25</t>
        </is>
      </c>
    </row>
    <row r="21">
      <c r="A21" s="3" t="inlineStr">
        <is>
          <t>Alta</t>
        </is>
      </c>
      <c r="B21" s="79" t="n">
        <v>4</v>
      </c>
      <c r="C21" s="78" t="n">
        <v>8</v>
      </c>
      <c r="D21" s="77" t="n">
        <v>12</v>
      </c>
      <c r="E21" s="77" t="n">
        <v>16</v>
      </c>
      <c r="F21" s="76" t="n">
        <v>20</v>
      </c>
      <c r="H21" s="7" t="inlineStr">
        <is>
          <t>Alto</t>
        </is>
      </c>
      <c r="I21" s="14" t="inlineStr">
        <is>
          <t>10-16</t>
        </is>
      </c>
    </row>
    <row r="22">
      <c r="A22" s="3" t="inlineStr">
        <is>
          <t>Media</t>
        </is>
      </c>
      <c r="B22" s="79" t="n">
        <v>3</v>
      </c>
      <c r="C22" s="78" t="n">
        <v>6</v>
      </c>
      <c r="D22" s="78" t="n">
        <v>9</v>
      </c>
      <c r="E22" s="77" t="n">
        <v>12</v>
      </c>
      <c r="F22" s="77" t="n">
        <v>15</v>
      </c>
      <c r="H22" s="6" t="inlineStr">
        <is>
          <t>Medio</t>
        </is>
      </c>
      <c r="I22" s="14" t="inlineStr">
        <is>
          <t>5-9</t>
        </is>
      </c>
    </row>
    <row r="23">
      <c r="A23" s="3" t="inlineStr">
        <is>
          <t>Baja</t>
        </is>
      </c>
      <c r="B23" s="79" t="n">
        <v>2</v>
      </c>
      <c r="C23" s="79" t="n">
        <v>4</v>
      </c>
      <c r="D23" s="78" t="n">
        <v>6</v>
      </c>
      <c r="E23" s="78" t="n">
        <v>8</v>
      </c>
      <c r="F23" s="77" t="n">
        <v>10</v>
      </c>
      <c r="H23" s="5" t="inlineStr">
        <is>
          <t>Bajo</t>
        </is>
      </c>
      <c r="I23" s="75" t="inlineStr">
        <is>
          <t>1-4</t>
        </is>
      </c>
    </row>
    <row r="24">
      <c r="A24" s="3" t="inlineStr">
        <is>
          <t>Muy Baja</t>
        </is>
      </c>
      <c r="B24" s="79" t="n">
        <v>1</v>
      </c>
      <c r="C24" s="79" t="n">
        <v>2</v>
      </c>
      <c r="D24" s="79" t="n">
        <v>3</v>
      </c>
      <c r="E24" s="79" t="n">
        <v>4</v>
      </c>
      <c r="F24" s="78" t="n">
        <v>5</v>
      </c>
    </row>
  </sheetData>
  <mergeCells count="7">
    <mergeCell ref="A1:D1"/>
    <mergeCell ref="H19:I19"/>
    <mergeCell ref="A17:F17"/>
    <mergeCell ref="A9:B9"/>
    <mergeCell ref="A18:A19"/>
    <mergeCell ref="B18:F18"/>
    <mergeCell ref="H17:I17"/>
  </mergeCells>
  <pageMargins left="0.7" right="0.7" top="0.75" bottom="0.75" header="0.3" footer="0.3"/>
</worksheet>
</file>

<file path=xl/worksheets/sheet3.xml><?xml version="1.0" encoding="utf-8"?>
<worksheet xmlns="http://schemas.openxmlformats.org/spreadsheetml/2006/main">
  <sheetPr>
    <outlinePr summaryBelow="1" summaryRight="1"/>
    <pageSetUpPr fitToPage="1"/>
  </sheetPr>
  <dimension ref="A1:Z211"/>
  <sheetViews>
    <sheetView workbookViewId="0">
      <selection activeCell="Z137" sqref="Z137"/>
    </sheetView>
  </sheetViews>
  <sheetFormatPr baseColWidth="10" defaultRowHeight="11"/>
  <cols>
    <col width="11" bestFit="1" customWidth="1" style="38" min="1" max="1"/>
    <col width="24" customWidth="1" style="38" min="2" max="2"/>
    <col hidden="1" width="24.25" customWidth="1" style="39" min="3" max="3"/>
    <col hidden="1" width="32.5" customWidth="1" style="39" min="4" max="4"/>
    <col width="31" bestFit="1" customWidth="1" style="38" min="5" max="5"/>
    <col hidden="1" width="17.25" customWidth="1" style="38" min="6" max="9"/>
    <col hidden="1" width="12.75" customWidth="1" style="38" min="10" max="11"/>
    <col hidden="1" width="13.75" customWidth="1" style="38" min="12" max="12"/>
    <col hidden="1" width="15.75" customWidth="1" style="38" min="13" max="13"/>
    <col hidden="1" width="18" customWidth="1" style="38" min="14" max="14"/>
    <col hidden="1" width="15" customWidth="1" style="38" min="15" max="15"/>
    <col hidden="1" width="22.75" customWidth="1" style="38" min="16" max="16"/>
    <col hidden="1" width="13.75" customWidth="1" style="38" min="17" max="17"/>
    <col hidden="1" width="31.75" customWidth="1" style="38" min="18" max="18"/>
    <col hidden="1" width="15" customWidth="1" style="38" min="19" max="19"/>
    <col hidden="1" width="17.25" customWidth="1" style="38" min="20" max="20"/>
    <col hidden="1" width="13.75" customWidth="1" style="33" min="21" max="21"/>
    <col width="11" customWidth="1" style="98" min="22" max="22"/>
    <col width="14.5" customWidth="1" style="98" min="23" max="23"/>
    <col width="19.25" customWidth="1" style="98" min="24" max="24"/>
    <col width="13.25" customWidth="1" style="98" min="25" max="25"/>
    <col width="37.25" customWidth="1" style="98" min="26" max="26"/>
  </cols>
  <sheetData>
    <row r="1">
      <c r="O1" s="16" t="n"/>
      <c r="P1" s="16" t="n"/>
      <c r="Q1" s="16" t="n"/>
    </row>
    <row r="2" ht="41" customHeight="1" s="98">
      <c r="A2" s="61" t="inlineStr">
        <is>
          <t>ACTIVO</t>
        </is>
      </c>
      <c r="B2" s="62" t="inlineStr">
        <is>
          <t>NOMBRE</t>
        </is>
      </c>
      <c r="C2" s="62" t="inlineStr">
        <is>
          <t>DESCRIPCION</t>
        </is>
      </c>
      <c r="D2" s="62" t="inlineStr">
        <is>
          <t>TIPO DE ACTIVO MAGGERIT</t>
        </is>
      </c>
      <c r="E2" s="62" t="inlineStr">
        <is>
          <t>EVENTO DE AMENAZA</t>
        </is>
      </c>
      <c r="F2" s="62" t="inlineStr">
        <is>
          <t>CID</t>
        </is>
      </c>
      <c r="G2" s="62" t="inlineStr">
        <is>
          <t>CONFIDENCIALIDAD</t>
        </is>
      </c>
      <c r="H2" s="62" t="inlineStr">
        <is>
          <t>INTEGRIDAD</t>
        </is>
      </c>
      <c r="I2" s="62" t="inlineStr">
        <is>
          <t>DISPONIBILIDAD</t>
        </is>
      </c>
      <c r="J2" s="62" t="inlineStr">
        <is>
          <t>PROBABILIDAD</t>
        </is>
      </c>
      <c r="K2" s="62" t="inlineStr">
        <is>
          <t>IMPACTO</t>
        </is>
      </c>
      <c r="L2" s="62" t="inlineStr">
        <is>
          <t>RIESGO INHERENTE</t>
        </is>
      </c>
      <c r="M2" s="62" t="inlineStr">
        <is>
          <t>DETERMINACION RIESGO ACUMULADO O INHERENTE</t>
        </is>
      </c>
      <c r="N2" s="62" t="inlineStr">
        <is>
          <t>CONTROLES EXISTENTES</t>
        </is>
      </c>
      <c r="O2" s="62" t="inlineStr">
        <is>
          <t>TIPO DE PROTECCION</t>
        </is>
      </c>
      <c r="P2" s="62" t="inlineStr">
        <is>
          <t>MADUREZ DEL CONTROL</t>
        </is>
      </c>
      <c r="Q2" s="62" t="inlineStr">
        <is>
          <t>VALOR DE EFICACIA</t>
        </is>
      </c>
      <c r="R2" s="62" t="inlineStr">
        <is>
          <t>VULNERABILIDADES</t>
        </is>
      </c>
      <c r="S2" s="62" t="inlineStr">
        <is>
          <t>PROBABILIDAD RESIDUAL</t>
        </is>
      </c>
      <c r="T2" s="62" t="inlineStr">
        <is>
          <t>IMPACTO RESIDUAL</t>
        </is>
      </c>
      <c r="U2" s="62" t="inlineStr">
        <is>
          <t>RIESGO RESIDUAL</t>
        </is>
      </c>
      <c r="V2" s="63" t="inlineStr">
        <is>
          <t>DETERMINACION RIESGO RESIDUAL</t>
        </is>
      </c>
      <c r="W2" s="63" t="inlineStr">
        <is>
          <t>APETITO DE RIESGO</t>
        </is>
      </c>
      <c r="X2" s="62" t="inlineStr">
        <is>
          <t>REQUIERE TRATAMIENTO
NORMATIVA SEPS 002-2022</t>
        </is>
      </c>
      <c r="Y2" s="62" t="inlineStr">
        <is>
          <t>PLAN DE ACCION</t>
        </is>
      </c>
      <c r="Z2" s="62" t="inlineStr">
        <is>
          <t>DESCIPCION PLAN DE ACCIÓN</t>
        </is>
      </c>
    </row>
    <row r="3" hidden="1" ht="20" customHeight="1" s="98">
      <c r="A3" s="56" t="inlineStr">
        <is>
          <t>16-GTI</t>
        </is>
      </c>
      <c r="B3" s="4" t="inlineStr">
        <is>
          <t>Respaldo de información</t>
        </is>
      </c>
      <c r="C3" s="4" t="inlineStr">
        <is>
          <t xml:space="preserve">Respaldo de Base de Datos (diario) </t>
        </is>
      </c>
      <c r="D3" s="64" t="inlineStr">
        <is>
          <t>[Media] Soportes de información</t>
        </is>
      </c>
      <c r="E3" s="34" t="inlineStr">
        <is>
          <t>[E.2] Errores del administrador</t>
        </is>
      </c>
      <c r="F3" s="34">
        <f>+VLOOKUP(E3,'CATALOGO AMENAZA'!$B$2:$D$46,3,FALSE)</f>
        <v/>
      </c>
      <c r="G3" s="34" t="inlineStr">
        <is>
          <t>X</t>
        </is>
      </c>
      <c r="H3" s="34" t="inlineStr">
        <is>
          <t>X</t>
        </is>
      </c>
      <c r="I3" s="34" t="inlineStr">
        <is>
          <t>X</t>
        </is>
      </c>
      <c r="J3" s="34" t="n">
        <v>2</v>
      </c>
      <c r="K3" s="34" t="n">
        <v>4</v>
      </c>
      <c r="L3" s="34">
        <f>+J3*K3</f>
        <v/>
      </c>
      <c r="M3" s="34">
        <f>+IF(L3&lt;5,"BAJO",IF(L3&lt;10,"MEDIO",IF(L3&lt;17,"ALTO","CRITICO")))</f>
        <v/>
      </c>
      <c r="N3" s="4" t="inlineStr">
        <is>
          <t>Procedimientos operativos documentados</t>
        </is>
      </c>
      <c r="O3" s="34" t="inlineStr">
        <is>
          <t>PREVENTIVO</t>
        </is>
      </c>
      <c r="P3" s="34" t="inlineStr">
        <is>
          <t>Control Implementado sin evidencia de efectividad (Inefectivo prueba)</t>
        </is>
      </c>
      <c r="Q3" s="52" t="n">
        <v>0.3</v>
      </c>
      <c r="R3" s="4" t="inlineStr">
        <is>
          <t>Dependencia del administrador (error humano)</t>
        </is>
      </c>
      <c r="S3" s="53">
        <f>+IF(O3="PREVENTIVO",J3*(1-Q3),IF(O3="ADMINISTRACION",J3*(1-Q3),IF(O3="ELIMINACION",J3*(1-Q3),J3)))</f>
        <v/>
      </c>
      <c r="T3" s="53">
        <f>+IF(O3="DETECTIVO",K3*(1-Q3),IF(O3="RECUPERACION",K3*(1-Q3),K3))</f>
        <v/>
      </c>
      <c r="U3" s="54">
        <f>+S3*T3</f>
        <v/>
      </c>
      <c r="V3" s="65">
        <f>+IF(U3&lt;5,"BAJO",IF(U3&lt;10,"MEDIO",IF(U3&lt;17,"ALTO","CRITICO")))</f>
        <v/>
      </c>
      <c r="W3" s="87" t="inlineStr">
        <is>
          <t>MITIGAR</t>
        </is>
      </c>
      <c r="X3" s="80" t="inlineStr">
        <is>
          <t>-</t>
        </is>
      </c>
      <c r="Y3" s="80" t="inlineStr">
        <is>
          <t>-</t>
        </is>
      </c>
      <c r="Z3" s="80" t="inlineStr">
        <is>
          <t>-</t>
        </is>
      </c>
    </row>
    <row r="4" hidden="1" ht="30.5" customHeight="1" s="98">
      <c r="A4" s="56" t="inlineStr">
        <is>
          <t>16-GTI</t>
        </is>
      </c>
      <c r="B4" s="4" t="inlineStr">
        <is>
          <t>Respaldo de información</t>
        </is>
      </c>
      <c r="C4" s="4" t="inlineStr">
        <is>
          <t xml:space="preserve">Respaldo de Base de Datos (diario) </t>
        </is>
      </c>
      <c r="D4" s="64" t="inlineStr">
        <is>
          <t>[Media] Soportes de información</t>
        </is>
      </c>
      <c r="E4" s="34" t="inlineStr">
        <is>
          <t>[E.18] Destrucción de información</t>
        </is>
      </c>
      <c r="F4" s="34">
        <f>+VLOOKUP(E4,'CATALOGO AMENAZA'!$B$2:$D$46,3,FALSE)</f>
        <v/>
      </c>
      <c r="G4" s="34" t="n"/>
      <c r="H4" s="34" t="n"/>
      <c r="I4" s="34" t="inlineStr">
        <is>
          <t>X</t>
        </is>
      </c>
      <c r="J4" s="34" t="n">
        <v>2</v>
      </c>
      <c r="K4" s="34" t="n">
        <v>4</v>
      </c>
      <c r="L4" s="34">
        <f>+J4*K4</f>
        <v/>
      </c>
      <c r="M4" s="34">
        <f>+IF(L4&lt;5,"BAJO",IF(L4&lt;10,"MEDIO",IF(L4&lt;17,"ALTO","CRITICO")))</f>
        <v/>
      </c>
      <c r="N4" s="54" t="inlineStr">
        <is>
          <t>Respaldo digital de información</t>
        </is>
      </c>
      <c r="O4" s="54" t="inlineStr">
        <is>
          <t>PREVENTIVO</t>
        </is>
      </c>
      <c r="P4" s="34" t="inlineStr">
        <is>
          <t>Control Implementado sin evidencia de efectividad (Inefectivo prueba)</t>
        </is>
      </c>
      <c r="Q4" s="52" t="n">
        <v>0.3</v>
      </c>
      <c r="R4" s="4" t="inlineStr">
        <is>
          <t>Almacenamiento manual en medio extraible</t>
        </is>
      </c>
      <c r="S4" s="53">
        <f>+IF(O4="PREVENTIVO",J4*(1-Q4),IF(O4="ADMINISTRACION",J4*(1-Q4),IF(O4="ELIMINACION",J4*(1-Q4),J4)))</f>
        <v/>
      </c>
      <c r="T4" s="53">
        <f>+IF(O4="DETECTIVO",K4*(1-Q4),IF(O4="RECUPERACION",K4*(1-Q4),K4))</f>
        <v/>
      </c>
      <c r="U4" s="54">
        <f>+S4*T4</f>
        <v/>
      </c>
      <c r="V4" s="65">
        <f>+IF(U4&lt;5,"BAJO",IF(U4&lt;10,"MEDIO",IF(U4&lt;17,"ALTO","CRITICO")))</f>
        <v/>
      </c>
      <c r="W4" s="87" t="inlineStr">
        <is>
          <t>MITIGAR</t>
        </is>
      </c>
      <c r="X4" s="80" t="inlineStr">
        <is>
          <t>-</t>
        </is>
      </c>
      <c r="Y4" s="80" t="inlineStr">
        <is>
          <t>-</t>
        </is>
      </c>
      <c r="Z4" s="80" t="inlineStr">
        <is>
          <t>-</t>
        </is>
      </c>
    </row>
    <row r="5" hidden="1" ht="30.5" customHeight="1" s="98">
      <c r="A5" s="56" t="inlineStr">
        <is>
          <t>16-GTI</t>
        </is>
      </c>
      <c r="B5" s="4" t="inlineStr">
        <is>
          <t>Respaldo de información</t>
        </is>
      </c>
      <c r="C5" s="4" t="inlineStr">
        <is>
          <t xml:space="preserve">Respaldo de Base de Datos (diario) </t>
        </is>
      </c>
      <c r="D5" s="64" t="inlineStr">
        <is>
          <t>[Media] Soportes de información</t>
        </is>
      </c>
      <c r="E5" s="34" t="inlineStr">
        <is>
          <t>[N.1] Fuego</t>
        </is>
      </c>
      <c r="F5" s="34">
        <f>+VLOOKUP(E5,'CATALOGO AMENAZA'!$B$2:$D$46,3,FALSE)</f>
        <v/>
      </c>
      <c r="G5" s="34" t="n"/>
      <c r="H5" s="34" t="n"/>
      <c r="I5" s="34" t="inlineStr">
        <is>
          <t>X</t>
        </is>
      </c>
      <c r="J5" s="34" t="n">
        <v>1</v>
      </c>
      <c r="K5" s="34" t="n">
        <v>4</v>
      </c>
      <c r="L5" s="34">
        <f>+J5*K5</f>
        <v/>
      </c>
      <c r="M5" s="34">
        <f>+IF(L5&lt;5,"BAJO",IF(L5&lt;10,"MEDIO",IF(L5&lt;17,"ALTO","CRITICO")))</f>
        <v/>
      </c>
      <c r="N5" s="4" t="inlineStr">
        <is>
          <t>Sistema contra incendios</t>
        </is>
      </c>
      <c r="O5" s="34" t="inlineStr">
        <is>
          <t>PREVENTIVO</t>
        </is>
      </c>
      <c r="P5" s="34" t="inlineStr">
        <is>
          <t>Control Implementado sin evidencia de efectividad (Inefectivo prueba)</t>
        </is>
      </c>
      <c r="Q5" s="52" t="n">
        <v>0.3</v>
      </c>
      <c r="R5" s="4" t="inlineStr">
        <is>
          <t>-</t>
        </is>
      </c>
      <c r="S5" s="53">
        <f>+IF(O5="PREVENTIVO",J5*(1-Q5),IF(O5="ADMINISTRACION",J5*(1-Q5),IF(O5="ELIMINACION",J5*(1-Q5),J5)))</f>
        <v/>
      </c>
      <c r="T5" s="53">
        <f>+IF(O5="DETECTIVO",K5*(1-Q5),IF(O5="RECUPERACION",K5*(1-Q5),K5))</f>
        <v/>
      </c>
      <c r="U5" s="54">
        <f>+S5*T5</f>
        <v/>
      </c>
      <c r="V5" s="65">
        <f>+IF(U5&lt;5,"BAJO",IF(U5&lt;10,"MEDIO",IF(U5&lt;17,"ALTO","CRITICO")))</f>
        <v/>
      </c>
      <c r="W5" s="65" t="inlineStr">
        <is>
          <t>ACEPTABLE</t>
        </is>
      </c>
      <c r="X5" s="80" t="inlineStr">
        <is>
          <t>-</t>
        </is>
      </c>
      <c r="Y5" s="80" t="inlineStr">
        <is>
          <t>-</t>
        </is>
      </c>
      <c r="Z5" s="80" t="inlineStr">
        <is>
          <t>-</t>
        </is>
      </c>
    </row>
    <row r="6" hidden="1" ht="30.5" customHeight="1" s="98">
      <c r="A6" s="56" t="inlineStr">
        <is>
          <t>16-GTI</t>
        </is>
      </c>
      <c r="B6" s="4" t="inlineStr">
        <is>
          <t>Respaldo de información</t>
        </is>
      </c>
      <c r="C6" s="4" t="inlineStr">
        <is>
          <t xml:space="preserve">Respaldo de Base de Datos (diario) </t>
        </is>
      </c>
      <c r="D6" s="64" t="inlineStr">
        <is>
          <t>[Media] Soportes de información</t>
        </is>
      </c>
      <c r="E6" s="34" t="inlineStr">
        <is>
          <t>[E.19] Fugas de información</t>
        </is>
      </c>
      <c r="F6" s="34">
        <f>+VLOOKUP(E6,'CATALOGO AMENAZA'!$B$2:$D$46,3,FALSE)</f>
        <v/>
      </c>
      <c r="G6" s="34" t="inlineStr">
        <is>
          <t>X</t>
        </is>
      </c>
      <c r="H6" s="34" t="n"/>
      <c r="I6" s="34" t="n"/>
      <c r="J6" s="34" t="n">
        <v>2</v>
      </c>
      <c r="K6" s="34" t="n">
        <v>4</v>
      </c>
      <c r="L6" s="34">
        <f>+J6*K6</f>
        <v/>
      </c>
      <c r="M6" s="34">
        <f>+IF(L6&lt;5,"BAJO",IF(L6&lt;10,"MEDIO",IF(L6&lt;17,"ALTO","CRITICO")))</f>
        <v/>
      </c>
      <c r="N6" s="4" t="inlineStr">
        <is>
          <t>Politicas de manejo de información</t>
        </is>
      </c>
      <c r="O6" s="34" t="inlineStr">
        <is>
          <t>PREVENTIVO</t>
        </is>
      </c>
      <c r="P6" s="34" t="inlineStr">
        <is>
          <t>Control Implementado sin evidencia de efectividad (Inefectivo prueba)</t>
        </is>
      </c>
      <c r="Q6" s="52" t="n">
        <v>0.3</v>
      </c>
      <c r="R6" s="4" t="inlineStr">
        <is>
          <t>Dispositivos no encriptados</t>
        </is>
      </c>
      <c r="S6" s="53">
        <f>+IF(O6="PREVENTIVO",J6*(1-Q6),IF(O6="ADMINISTRACION",J6*(1-Q6),IF(O6="ELIMINACION",J6*(1-Q6),J6)))</f>
        <v/>
      </c>
      <c r="T6" s="53">
        <f>+IF(O6="DETECTIVO",K6*(1-Q6),IF(O6="RECUPERACION",K6*(1-Q6),K6))</f>
        <v/>
      </c>
      <c r="U6" s="54">
        <f>+S6*T6</f>
        <v/>
      </c>
      <c r="V6" s="65">
        <f>+IF(U6&lt;5,"BAJO",IF(U6&lt;10,"MEDIO",IF(U6&lt;17,"ALTO","CRITICO")))</f>
        <v/>
      </c>
      <c r="W6" s="87" t="inlineStr">
        <is>
          <t>MITIGAR</t>
        </is>
      </c>
      <c r="X6" s="80" t="inlineStr">
        <is>
          <t>-</t>
        </is>
      </c>
      <c r="Y6" s="80" t="inlineStr">
        <is>
          <t>-</t>
        </is>
      </c>
      <c r="Z6" s="80" t="inlineStr">
        <is>
          <t>-</t>
        </is>
      </c>
    </row>
    <row r="7" hidden="1" ht="42" customHeight="1" s="98">
      <c r="A7" s="56" t="inlineStr">
        <is>
          <t>21-GTI</t>
        </is>
      </c>
      <c r="B7" s="4" t="inlineStr">
        <is>
          <t>Registro control de respaldos</t>
        </is>
      </c>
      <c r="C7" s="4" t="inlineStr">
        <is>
          <t>Matriz de registro de respaldos realizados por fechas, tipo de respaldo y responsable</t>
        </is>
      </c>
      <c r="D7" s="64" t="inlineStr">
        <is>
          <t>[D] Datos / Información / datos de configuración</t>
        </is>
      </c>
      <c r="E7" s="34" t="inlineStr">
        <is>
          <t>[E.2] Errores del administrador</t>
        </is>
      </c>
      <c r="F7" s="34">
        <f>+VLOOKUP(E7,'CATALOGO AMENAZA'!$B$2:$D$46,3,FALSE)</f>
        <v/>
      </c>
      <c r="G7" s="34" t="inlineStr">
        <is>
          <t>X</t>
        </is>
      </c>
      <c r="H7" s="34" t="inlineStr">
        <is>
          <t>X</t>
        </is>
      </c>
      <c r="I7" s="34" t="inlineStr">
        <is>
          <t>X</t>
        </is>
      </c>
      <c r="J7" s="34" t="n">
        <v>1</v>
      </c>
      <c r="K7" s="34" t="n">
        <v>2</v>
      </c>
      <c r="L7" s="34">
        <f>+J7*K7</f>
        <v/>
      </c>
      <c r="M7" s="34">
        <f>+IF(L7&lt;5,"BAJO",IF(L7&lt;10,"MEDIO",IF(L7&lt;17,"ALTO","CRITICO")))</f>
        <v/>
      </c>
      <c r="N7" s="4" t="inlineStr">
        <is>
          <t>Procedimientos operativos documentados</t>
        </is>
      </c>
      <c r="O7" s="34" t="inlineStr">
        <is>
          <t>PREVENTIVO</t>
        </is>
      </c>
      <c r="P7" s="34" t="inlineStr">
        <is>
          <t>Control Implementado sin evidencia de efectividad (Inefectivo prueba)</t>
        </is>
      </c>
      <c r="Q7" s="52" t="n">
        <v>0.3</v>
      </c>
      <c r="R7" s="4" t="inlineStr">
        <is>
          <t>Dependencia del administrador (error humano)</t>
        </is>
      </c>
      <c r="S7" s="53">
        <f>+IF(O7="PREVENTIVO",J7*(1-Q7),IF(O7="ADMINISTRACION",J7*(1-Q7),IF(O7="ELIMINACION",J7*(1-Q7),J7)))</f>
        <v/>
      </c>
      <c r="T7" s="53">
        <f>+IF(O7="DETECTIVO",K7*(1-Q7),IF(O7="RECUPERACION",K7*(1-Q7),K7))</f>
        <v/>
      </c>
      <c r="U7" s="54">
        <f>+S7*T7</f>
        <v/>
      </c>
      <c r="V7" s="65">
        <f>+IF(U7&lt;5,"BAJO",IF(U7&lt;10,"MEDIO",IF(U7&lt;17,"ALTO","CRITICO")))</f>
        <v/>
      </c>
      <c r="W7" s="65" t="inlineStr">
        <is>
          <t>ACEPTABLE</t>
        </is>
      </c>
      <c r="X7" s="80" t="inlineStr">
        <is>
          <t>-</t>
        </is>
      </c>
      <c r="Y7" s="80" t="inlineStr">
        <is>
          <t>-</t>
        </is>
      </c>
      <c r="Z7" s="80" t="inlineStr">
        <is>
          <t>-</t>
        </is>
      </c>
    </row>
    <row r="8" ht="30.5" customHeight="1" s="98">
      <c r="A8" s="56" t="inlineStr">
        <is>
          <t>63-GTI</t>
        </is>
      </c>
      <c r="B8" s="4" t="inlineStr">
        <is>
          <t>Home Banking</t>
        </is>
      </c>
      <c r="C8" s="4" t="inlineStr">
        <is>
          <t>Aplicación Banca Virtual</t>
        </is>
      </c>
      <c r="D8" s="64" t="inlineStr">
        <is>
          <t>[SW] Software - Aplicaciones informáticas</t>
        </is>
      </c>
      <c r="E8" s="34" t="inlineStr">
        <is>
          <t>[A.11] Acceso no autorizado</t>
        </is>
      </c>
      <c r="F8" s="34">
        <f>+VLOOKUP(E8,'CATALOGO AMENAZA'!$B$2:$D$46,3,FALSE)</f>
        <v/>
      </c>
      <c r="G8" s="34" t="inlineStr">
        <is>
          <t>X</t>
        </is>
      </c>
      <c r="H8" s="34" t="inlineStr">
        <is>
          <t>X</t>
        </is>
      </c>
      <c r="I8" s="34" t="n"/>
      <c r="J8" s="34" t="n">
        <v>4</v>
      </c>
      <c r="K8" s="34" t="n">
        <v>5</v>
      </c>
      <c r="L8" s="34">
        <f>+J8*K8</f>
        <v/>
      </c>
      <c r="M8" s="34">
        <f>+IF(L8&lt;5,"BAJO",IF(L8&lt;10,"MEDIO",IF(L8&lt;17,"ALTO","CRITICO")))</f>
        <v/>
      </c>
      <c r="N8" s="4" t="inlineStr">
        <is>
          <t>Control de accesos</t>
        </is>
      </c>
      <c r="O8" s="34" t="inlineStr">
        <is>
          <t>PREVENTIVO</t>
        </is>
      </c>
      <c r="P8" s="34" t="inlineStr">
        <is>
          <t>Control Implementado sin evidencia de efectividad (Inefectivo prueba)</t>
        </is>
      </c>
      <c r="Q8" s="52" t="n">
        <v>0.3</v>
      </c>
      <c r="R8" s="4" t="inlineStr">
        <is>
          <t>Usuarios sin monitoreo</t>
        </is>
      </c>
      <c r="S8" s="53">
        <f>+IF(O8="PREVENTIVO",J8*(1-Q8),IF(O8="ADMINISTRACION",J8*(1-Q8),IF(O8="ELIMINACION",J8*(1-Q8),J8)))</f>
        <v/>
      </c>
      <c r="T8" s="53">
        <f>+IF(O8="DETECTIVO",K8*(1-Q8),IF(O8="RECUPERACION",K8*(1-Q8),K8))</f>
        <v/>
      </c>
      <c r="U8" s="54">
        <f>+S8*T8</f>
        <v/>
      </c>
      <c r="V8" s="65">
        <f>+IF(U8&lt;5,"BAJO",IF(U8&lt;10,"MEDIO",IF(U8&lt;17,"ALTO","CRITICO")))</f>
        <v/>
      </c>
      <c r="W8" s="65" t="inlineStr">
        <is>
          <t>MITIGAR</t>
        </is>
      </c>
      <c r="X8" s="34" t="inlineStr">
        <is>
          <t>REQUIERE TRATAMIENTO</t>
        </is>
      </c>
      <c r="Y8" s="34" t="inlineStr">
        <is>
          <t>PA-SI-001</t>
        </is>
      </c>
      <c r="Z8" s="34" t="inlineStr">
        <is>
          <t>Identificar herramientas que permitan realizar un análisis de LOGS</t>
        </is>
      </c>
    </row>
    <row r="9" hidden="1" ht="24.75" customHeight="1" s="98">
      <c r="A9" s="56" t="inlineStr">
        <is>
          <t>63-GTI</t>
        </is>
      </c>
      <c r="B9" s="4" t="inlineStr">
        <is>
          <t>Home Banking</t>
        </is>
      </c>
      <c r="C9" s="4" t="inlineStr">
        <is>
          <t>Aplicación Banca Virtual</t>
        </is>
      </c>
      <c r="D9" s="64" t="inlineStr">
        <is>
          <t>[SW] Software - Aplicaciones informáticas</t>
        </is>
      </c>
      <c r="E9" s="34" t="inlineStr">
        <is>
          <t>[A.5] Suplantación de la identidad del usuario</t>
        </is>
      </c>
      <c r="F9" s="34">
        <f>+VLOOKUP(E9,'CATALOGO AMENAZA'!$B$2:$D$46,3,FALSE)</f>
        <v/>
      </c>
      <c r="G9" s="34" t="inlineStr">
        <is>
          <t>X</t>
        </is>
      </c>
      <c r="H9" s="34" t="inlineStr">
        <is>
          <t>X</t>
        </is>
      </c>
      <c r="I9" s="34" t="n"/>
      <c r="J9" s="34" t="n">
        <v>4</v>
      </c>
      <c r="K9" s="34" t="n">
        <v>5</v>
      </c>
      <c r="L9" s="34">
        <f>+J9*K9</f>
        <v/>
      </c>
      <c r="M9" s="34">
        <f>+IF(L9&lt;5,"BAJO",IF(L9&lt;10,"MEDIO",IF(L9&lt;17,"ALTO","CRITICO")))</f>
        <v/>
      </c>
      <c r="N9" s="4" t="inlineStr">
        <is>
          <t>Doble autenticación</t>
        </is>
      </c>
      <c r="O9" s="34" t="inlineStr">
        <is>
          <t>ELIMINACION</t>
        </is>
      </c>
      <c r="P9" s="34" t="inlineStr">
        <is>
          <t>Control Implementado sin evidencia de efectividad (Inefectivo prueba)</t>
        </is>
      </c>
      <c r="Q9" s="52" t="n">
        <v>0.8</v>
      </c>
      <c r="R9" s="4" t="inlineStr">
        <is>
          <t>-</t>
        </is>
      </c>
      <c r="S9" s="53">
        <f>+IF(O9="PREVENTIVO",J9*(1-Q9),IF(O9="ADMINISTRACION",J9*(1-Q9),IF(O9="ELIMINACION",J9*(1-Q9),J9)))</f>
        <v/>
      </c>
      <c r="T9" s="53">
        <f>+IF(O9="DETECTIVO",K9*(1-Q9),IF(O9="RECUPERACION",K9*(1-Q9),K9))</f>
        <v/>
      </c>
      <c r="U9" s="54">
        <f>+S9*T9</f>
        <v/>
      </c>
      <c r="V9" s="65">
        <f>+IF(U9&lt;5,"BAJO",IF(U9&lt;10,"MEDIO",IF(U9&lt;17,"ALTO","CRITICO")))</f>
        <v/>
      </c>
      <c r="W9" s="65" t="inlineStr">
        <is>
          <t>ACEPTABLE</t>
        </is>
      </c>
      <c r="X9" s="80" t="inlineStr">
        <is>
          <t>-</t>
        </is>
      </c>
      <c r="Y9" s="80" t="inlineStr">
        <is>
          <t>-</t>
        </is>
      </c>
      <c r="Z9" s="80" t="inlineStr">
        <is>
          <t>-</t>
        </is>
      </c>
    </row>
    <row r="10" hidden="1" ht="30.5" customHeight="1" s="98">
      <c r="A10" s="56" t="inlineStr">
        <is>
          <t>63-GTI</t>
        </is>
      </c>
      <c r="B10" s="4" t="inlineStr">
        <is>
          <t>Home Banking</t>
        </is>
      </c>
      <c r="C10" s="4" t="inlineStr">
        <is>
          <t>Aplicación Banca Virtual</t>
        </is>
      </c>
      <c r="D10" s="64" t="inlineStr">
        <is>
          <t>[SW] Software - Aplicaciones informáticas</t>
        </is>
      </c>
      <c r="E10" s="34" t="inlineStr">
        <is>
          <t>[A.6] Abuso de privilegios de acceso</t>
        </is>
      </c>
      <c r="F10" s="34">
        <f>+VLOOKUP(E10,'CATALOGO AMENAZA'!$B$2:$D$46,3,FALSE)</f>
        <v/>
      </c>
      <c r="G10" s="34" t="inlineStr">
        <is>
          <t>X</t>
        </is>
      </c>
      <c r="H10" s="34" t="inlineStr">
        <is>
          <t>X</t>
        </is>
      </c>
      <c r="I10" s="34" t="inlineStr">
        <is>
          <t>X</t>
        </is>
      </c>
      <c r="J10" s="34" t="n">
        <v>2</v>
      </c>
      <c r="K10" s="34" t="n">
        <v>4</v>
      </c>
      <c r="L10" s="34">
        <f>+J10*K10</f>
        <v/>
      </c>
      <c r="M10" s="34">
        <f>+IF(L10&lt;5,"BAJO",IF(L10&lt;10,"MEDIO",IF(L10&lt;17,"ALTO","CRITICO")))</f>
        <v/>
      </c>
      <c r="N10" s="4" t="inlineStr">
        <is>
          <t>Registro de logs</t>
        </is>
      </c>
      <c r="O10" s="34" t="inlineStr">
        <is>
          <t>DETECTIVO</t>
        </is>
      </c>
      <c r="P10" s="34" t="inlineStr">
        <is>
          <t>Control Implementado sin evidencia de efectividad (Inefectivo prueba)</t>
        </is>
      </c>
      <c r="Q10" s="52" t="n">
        <v>0.3</v>
      </c>
      <c r="R10" s="4" t="inlineStr">
        <is>
          <t>Falta de revisión de perfiles de acceso</t>
        </is>
      </c>
      <c r="S10" s="53">
        <f>+IF(O10="PREVENTIVO",J10*(1-Q10),IF(O10="ADMINISTRACION",J10*(1-Q10),IF(O10="ELIMINACION",J10*(1-Q10),J10)))</f>
        <v/>
      </c>
      <c r="T10" s="53">
        <f>+IF(O10="DETECTIVO",K10*(1-Q10),IF(O10="RECUPERACION",K10*(1-Q10),K10))</f>
        <v/>
      </c>
      <c r="U10" s="54">
        <f>+S10*T10</f>
        <v/>
      </c>
      <c r="V10" s="65">
        <f>+IF(U10&lt;5,"BAJO",IF(U10&lt;10,"MEDIO",IF(U10&lt;17,"ALTO","CRITICO")))</f>
        <v/>
      </c>
      <c r="W10" s="87" t="inlineStr">
        <is>
          <t>MITIGAR</t>
        </is>
      </c>
      <c r="X10" s="80" t="inlineStr">
        <is>
          <t>-</t>
        </is>
      </c>
      <c r="Y10" s="80" t="inlineStr">
        <is>
          <t>-</t>
        </is>
      </c>
      <c r="Z10" s="80" t="inlineStr">
        <is>
          <t>-</t>
        </is>
      </c>
    </row>
    <row r="11" hidden="1" ht="30.5" customHeight="1" s="98">
      <c r="A11" s="56" t="inlineStr">
        <is>
          <t>63-GTI</t>
        </is>
      </c>
      <c r="B11" s="4" t="inlineStr">
        <is>
          <t>Home Banking</t>
        </is>
      </c>
      <c r="C11" s="4" t="inlineStr">
        <is>
          <t>Aplicación Banca Virtual</t>
        </is>
      </c>
      <c r="D11" s="64" t="inlineStr">
        <is>
          <t>[SW] Software - Aplicaciones informáticas</t>
        </is>
      </c>
      <c r="E11" s="34" t="inlineStr">
        <is>
          <t>[E.20] Vulnerabilidades de los programas (software)</t>
        </is>
      </c>
      <c r="F11" s="34">
        <f>+VLOOKUP(E11,'CATALOGO AMENAZA'!$B$2:$D$46,3,FALSE)</f>
        <v/>
      </c>
      <c r="G11" s="34" t="inlineStr">
        <is>
          <t>X</t>
        </is>
      </c>
      <c r="H11" s="34" t="inlineStr">
        <is>
          <t>X</t>
        </is>
      </c>
      <c r="I11" s="34" t="inlineStr">
        <is>
          <t>X</t>
        </is>
      </c>
      <c r="J11" s="34" t="n">
        <v>4</v>
      </c>
      <c r="K11" s="34" t="n">
        <v>4</v>
      </c>
      <c r="L11" s="34">
        <f>+J11*K11</f>
        <v/>
      </c>
      <c r="M11" s="34">
        <f>+IF(L11&lt;5,"BAJO",IF(L11&lt;10,"MEDIO",IF(L11&lt;17,"ALTO","CRITICO")))</f>
        <v/>
      </c>
      <c r="N11" s="4" t="inlineStr">
        <is>
          <t>Gestión de vulnerabilidades</t>
        </is>
      </c>
      <c r="O11" s="34" t="inlineStr">
        <is>
          <t>PREVENTIVO</t>
        </is>
      </c>
      <c r="P11" s="34" t="inlineStr">
        <is>
          <t>Control Implementado sin evidencia de efectividad (Inefectivo prueba)</t>
        </is>
      </c>
      <c r="Q11" s="52" t="n">
        <v>0.4</v>
      </c>
      <c r="R11" s="4" t="inlineStr">
        <is>
          <t>Recursos tecnológicos insuficientes para remediación</t>
        </is>
      </c>
      <c r="S11" s="53">
        <f>+IF(O11="PREVENTIVO",J11*(1-Q11),IF(O11="ADMINISTRACION",J11*(1-Q11),IF(O11="ELIMINACION",J11*(1-Q11),J11)))</f>
        <v/>
      </c>
      <c r="T11" s="53">
        <f>+IF(O11="DETECTIVO",K11*(1-Q11),IF(O11="RECUPERACION",K11*(1-Q11),K11))</f>
        <v/>
      </c>
      <c r="U11" s="54">
        <f>+S11*T11</f>
        <v/>
      </c>
      <c r="V11" s="65">
        <f>+IF(U11&lt;5,"BAJO",IF(U11&lt;10,"MEDIO",IF(U11&lt;17,"ALTO","CRITICO")))</f>
        <v/>
      </c>
      <c r="W11" s="87" t="inlineStr">
        <is>
          <t>MITIGAR</t>
        </is>
      </c>
      <c r="X11" s="80" t="inlineStr">
        <is>
          <t>-</t>
        </is>
      </c>
      <c r="Y11" s="80" t="inlineStr">
        <is>
          <t>-</t>
        </is>
      </c>
      <c r="Z11" s="80" t="inlineStr">
        <is>
          <t>-</t>
        </is>
      </c>
    </row>
    <row r="12" hidden="1" ht="41" customHeight="1" s="98">
      <c r="A12" s="56" t="inlineStr">
        <is>
          <t>63-GTI</t>
        </is>
      </c>
      <c r="B12" s="4" t="inlineStr">
        <is>
          <t>Home Banking</t>
        </is>
      </c>
      <c r="C12" s="4" t="inlineStr">
        <is>
          <t>Aplicación Banca Virtual</t>
        </is>
      </c>
      <c r="D12" s="64" t="inlineStr">
        <is>
          <t>[SW] Software - Aplicaciones informáticas</t>
        </is>
      </c>
      <c r="E12" s="34" t="inlineStr">
        <is>
          <t>[E.21] Errores de mantenimiento / actualización de programas (software)</t>
        </is>
      </c>
      <c r="F12" s="34">
        <f>+VLOOKUP(E12,'CATALOGO AMENAZA'!$B$2:$D$46,3,FALSE)</f>
        <v/>
      </c>
      <c r="G12" s="34" t="n"/>
      <c r="H12" s="34" t="inlineStr">
        <is>
          <t>X</t>
        </is>
      </c>
      <c r="I12" s="34" t="inlineStr">
        <is>
          <t>X</t>
        </is>
      </c>
      <c r="J12" s="34" t="n">
        <v>3</v>
      </c>
      <c r="K12" s="34" t="n">
        <v>4</v>
      </c>
      <c r="L12" s="34">
        <f>+J12*K12</f>
        <v/>
      </c>
      <c r="M12" s="34">
        <f>+IF(L12&lt;5,"BAJO",IF(L12&lt;10,"MEDIO",IF(L12&lt;17,"ALTO","CRITICO")))</f>
        <v/>
      </c>
      <c r="N12" s="4" t="inlineStr">
        <is>
          <t>Gestión de vulnerabilidades</t>
        </is>
      </c>
      <c r="O12" s="34" t="inlineStr">
        <is>
          <t>PREVENTIVO</t>
        </is>
      </c>
      <c r="P12" s="34" t="inlineStr">
        <is>
          <t>Control Implementado sin evidencia de efectividad (Inefectivo prueba)</t>
        </is>
      </c>
      <c r="Q12" s="52" t="n">
        <v>0.4</v>
      </c>
      <c r="R12" s="4" t="inlineStr">
        <is>
          <t>Recursos tecnológicos insuficientes para remediación</t>
        </is>
      </c>
      <c r="S12" s="53">
        <f>+IF(O12="PREVENTIVO",J12*(1-Q12),IF(O12="ADMINISTRACION",J12*(1-Q12),IF(O12="ELIMINACION",J12*(1-Q12),J12)))</f>
        <v/>
      </c>
      <c r="T12" s="53">
        <f>+IF(O12="DETECTIVO",K12*(1-Q12),IF(O12="RECUPERACION",K12*(1-Q12),K12))</f>
        <v/>
      </c>
      <c r="U12" s="54">
        <f>+S12*T12</f>
        <v/>
      </c>
      <c r="V12" s="65">
        <f>+IF(U12&lt;5,"BAJO",IF(U12&lt;10,"MEDIO",IF(U12&lt;17,"ALTO","CRITICO")))</f>
        <v/>
      </c>
      <c r="W12" s="87" t="inlineStr">
        <is>
          <t>MITIGAR</t>
        </is>
      </c>
      <c r="X12" s="80" t="inlineStr">
        <is>
          <t>-</t>
        </is>
      </c>
      <c r="Y12" s="80" t="inlineStr">
        <is>
          <t>-</t>
        </is>
      </c>
      <c r="Z12" s="80" t="inlineStr">
        <is>
          <t>-</t>
        </is>
      </c>
    </row>
    <row r="13" hidden="1" ht="41" customHeight="1" s="98">
      <c r="A13" s="56" t="inlineStr">
        <is>
          <t>64-GTI</t>
        </is>
      </c>
      <c r="B13" s="4" t="inlineStr">
        <is>
          <t>Cooperativa Virtual</t>
        </is>
      </c>
      <c r="C13" s="4" t="inlineStr">
        <is>
          <t>Servidor que aloja la Banca Electronica  
192.168.23.11</t>
        </is>
      </c>
      <c r="D13" s="64" t="inlineStr">
        <is>
          <t>[HW] Equipamiento informático (hardware)</t>
        </is>
      </c>
      <c r="E13" s="34" t="inlineStr">
        <is>
          <t>[E.2] Errores del administrador</t>
        </is>
      </c>
      <c r="F13" s="34">
        <f>+VLOOKUP(E13,'CATALOGO AMENAZA'!$B$2:$D$46,3,FALSE)</f>
        <v/>
      </c>
      <c r="G13" s="34" t="inlineStr">
        <is>
          <t>X</t>
        </is>
      </c>
      <c r="H13" s="34" t="inlineStr">
        <is>
          <t>X</t>
        </is>
      </c>
      <c r="I13" s="34" t="inlineStr">
        <is>
          <t>X</t>
        </is>
      </c>
      <c r="J13" s="34" t="n">
        <v>2</v>
      </c>
      <c r="K13" s="34" t="n">
        <v>4</v>
      </c>
      <c r="L13" s="34">
        <f>+J13*K13</f>
        <v/>
      </c>
      <c r="M13" s="34">
        <f>+IF(L13&lt;5,"BAJO",IF(L13&lt;10,"MEDIO",IF(L13&lt;17,"ALTO","CRITICO")))</f>
        <v/>
      </c>
      <c r="N13" s="4" t="inlineStr">
        <is>
          <t>Control de cambios en los sistemas
Verificación posterior (informe)</t>
        </is>
      </c>
      <c r="O13" s="34" t="inlineStr">
        <is>
          <t>ADMINISTRACION</t>
        </is>
      </c>
      <c r="P13" s="34" t="inlineStr">
        <is>
          <t>Control Implementado sin evidencia de efectividad (Inefectivo prueba)</t>
        </is>
      </c>
      <c r="Q13" s="52" t="n">
        <v>0.3</v>
      </c>
      <c r="R13" s="4" t="inlineStr">
        <is>
          <t>No existe procedimiento formal de gestión de cambios</t>
        </is>
      </c>
      <c r="S13" s="53">
        <f>+IF(O13="PREVENTIVO",J13*(1-Q13),IF(O13="ADMINISTRACION",J13*(1-Q13),IF(O13="ELIMINACION",J13*(1-Q13),J13)))</f>
        <v/>
      </c>
      <c r="T13" s="53">
        <f>+IF(O13="DETECTIVO",K13*(1-Q13),IF(O13="RECUPERACION",K13*(1-Q13),K13))</f>
        <v/>
      </c>
      <c r="U13" s="54">
        <f>+S13*T13</f>
        <v/>
      </c>
      <c r="V13" s="65">
        <f>+IF(U13&lt;5,"BAJO",IF(U13&lt;10,"MEDIO",IF(U13&lt;17,"ALTO","CRITICO")))</f>
        <v/>
      </c>
      <c r="W13" s="87" t="inlineStr">
        <is>
          <t>MITIGAR</t>
        </is>
      </c>
      <c r="X13" s="80" t="inlineStr">
        <is>
          <t>-</t>
        </is>
      </c>
      <c r="Y13" s="80" t="inlineStr">
        <is>
          <t>-</t>
        </is>
      </c>
      <c r="Z13" s="80" t="inlineStr">
        <is>
          <t>-</t>
        </is>
      </c>
    </row>
    <row r="14" hidden="1" ht="41" customHeight="1" s="98">
      <c r="A14" s="56" t="inlineStr">
        <is>
          <t>64-GTI</t>
        </is>
      </c>
      <c r="B14" s="4" t="inlineStr">
        <is>
          <t>Cooperativa Virtual</t>
        </is>
      </c>
      <c r="C14" s="4" t="inlineStr">
        <is>
          <t>Servidor que aloja la Banca Electronica  
192.168.23.11</t>
        </is>
      </c>
      <c r="D14" s="64" t="inlineStr">
        <is>
          <t>[HW] Equipamiento informático (hardware)</t>
        </is>
      </c>
      <c r="E14" s="34" t="inlineStr">
        <is>
          <t>[E.24] Caída del sistema por agotamiento de recursos</t>
        </is>
      </c>
      <c r="F14" s="34">
        <f>+VLOOKUP(E14,'CATALOGO AMENAZA'!$B$2:$D$46,3,FALSE)</f>
        <v/>
      </c>
      <c r="G14" s="34" t="n"/>
      <c r="H14" s="34" t="n"/>
      <c r="I14" s="34" t="inlineStr">
        <is>
          <t>X</t>
        </is>
      </c>
      <c r="J14" s="34" t="n">
        <v>4</v>
      </c>
      <c r="K14" s="34" t="n">
        <v>4</v>
      </c>
      <c r="L14" s="34">
        <f>+J14*K14</f>
        <v/>
      </c>
      <c r="M14" s="34">
        <f>+IF(L14&lt;5,"BAJO",IF(L14&lt;10,"MEDIO",IF(L14&lt;17,"ALTO","CRITICO")))</f>
        <v/>
      </c>
      <c r="N14" s="4" t="inlineStr">
        <is>
          <t>Monitoreo de Servidores presenta en el procedimiento operativo  Administración de Servidores en el Manua de Gestión de las Operaciones de TI</t>
        </is>
      </c>
      <c r="O14" s="34" t="inlineStr">
        <is>
          <t>PREVENTIVO</t>
        </is>
      </c>
      <c r="P14" s="34" t="inlineStr">
        <is>
          <t>Control Implementado sin evidencia de efectividad (Inefectivo prueba)</t>
        </is>
      </c>
      <c r="Q14" s="52" t="n">
        <v>0.4</v>
      </c>
      <c r="R14" s="4" t="inlineStr">
        <is>
          <t>Falta de alertas automáticas</t>
        </is>
      </c>
      <c r="S14" s="53">
        <f>+IF(O14="PREVENTIVO",J14*(1-Q14),IF(O14="ADMINISTRACION",J14*(1-Q14),IF(O14="ELIMINACION",J14*(1-Q14),J14)))</f>
        <v/>
      </c>
      <c r="T14" s="53">
        <f>+IF(O14="DETECTIVO",K14*(1-Q14),IF(O14="RECUPERACION",K14*(1-Q14),K14))</f>
        <v/>
      </c>
      <c r="U14" s="54">
        <f>+S14*T14</f>
        <v/>
      </c>
      <c r="V14" s="65">
        <f>+IF(U14&lt;5,"BAJO",IF(U14&lt;10,"MEDIO",IF(U14&lt;17,"ALTO","CRITICO")))</f>
        <v/>
      </c>
      <c r="W14" s="87" t="inlineStr">
        <is>
          <t>MITIGAR</t>
        </is>
      </c>
      <c r="X14" s="80" t="inlineStr">
        <is>
          <t>-</t>
        </is>
      </c>
      <c r="Y14" s="80" t="inlineStr">
        <is>
          <t>-</t>
        </is>
      </c>
      <c r="Z14" s="80" t="inlineStr">
        <is>
          <t>-</t>
        </is>
      </c>
    </row>
    <row r="15" hidden="1" ht="30.5" customHeight="1" s="98">
      <c r="A15" s="56" t="inlineStr">
        <is>
          <t>64-GTI</t>
        </is>
      </c>
      <c r="B15" s="4" t="inlineStr">
        <is>
          <t>Cooperativa Virtual</t>
        </is>
      </c>
      <c r="C15" s="4" t="inlineStr">
        <is>
          <t>Servidor que aloja la Banca Electronica  
192.168.23.11</t>
        </is>
      </c>
      <c r="D15" s="64" t="inlineStr">
        <is>
          <t>[HW] Equipamiento informático (hardware)</t>
        </is>
      </c>
      <c r="E15" s="34" t="inlineStr">
        <is>
          <t>[A.11] Acceso no autorizado</t>
        </is>
      </c>
      <c r="F15" s="34">
        <f>+VLOOKUP(E15,'CATALOGO AMENAZA'!$B$2:$D$46,3,FALSE)</f>
        <v/>
      </c>
      <c r="G15" s="34" t="inlineStr">
        <is>
          <t>X</t>
        </is>
      </c>
      <c r="H15" s="34" t="inlineStr">
        <is>
          <t>X</t>
        </is>
      </c>
      <c r="I15" s="34" t="n"/>
      <c r="J15" s="34" t="n">
        <v>3</v>
      </c>
      <c r="K15" s="34" t="n">
        <v>4</v>
      </c>
      <c r="L15" s="34">
        <f>+J15*K15</f>
        <v/>
      </c>
      <c r="M15" s="34">
        <f>+IF(L15&lt;5,"BAJO",IF(L15&lt;10,"MEDIO",IF(L15&lt;17,"ALTO","CRITICO")))</f>
        <v/>
      </c>
      <c r="N15" s="4" t="inlineStr">
        <is>
          <t>Control de accesos / VPN</t>
        </is>
      </c>
      <c r="O15" s="34" t="inlineStr">
        <is>
          <t>PREVENTIVO</t>
        </is>
      </c>
      <c r="P15" s="34" t="inlineStr">
        <is>
          <t>Control Implementado sin evidencia de efectividad (Inefectivo prueba)</t>
        </is>
      </c>
      <c r="Q15" s="52" t="n">
        <v>0.3</v>
      </c>
      <c r="R15" s="4" t="inlineStr">
        <is>
          <t>Contreaseñas de VPN no expiran</t>
        </is>
      </c>
      <c r="S15" s="53">
        <f>+IF(O15="PREVENTIVO",J15*(1-Q15),IF(O15="ADMINISTRACION",J15*(1-Q15),IF(O15="ELIMINACION",J15*(1-Q15),J15)))</f>
        <v/>
      </c>
      <c r="T15" s="53">
        <f>+IF(O15="DETECTIVO",K15*(1-Q15),IF(O15="RECUPERACION",K15*(1-Q15),K15))</f>
        <v/>
      </c>
      <c r="U15" s="54">
        <f>+S15*T15</f>
        <v/>
      </c>
      <c r="V15" s="65">
        <f>+IF(U15&lt;5,"BAJO",IF(U15&lt;10,"MEDIO",IF(U15&lt;17,"ALTO","CRITICO")))</f>
        <v/>
      </c>
      <c r="W15" s="87" t="inlineStr">
        <is>
          <t>MITIGAR</t>
        </is>
      </c>
      <c r="X15" s="80" t="inlineStr">
        <is>
          <t>-</t>
        </is>
      </c>
      <c r="Y15" s="80" t="inlineStr">
        <is>
          <t>-</t>
        </is>
      </c>
      <c r="Z15" s="80" t="inlineStr">
        <is>
          <t>-</t>
        </is>
      </c>
    </row>
    <row r="16" hidden="1" ht="30.5" customHeight="1" s="98">
      <c r="A16" s="56" t="inlineStr">
        <is>
          <t>64-GTI</t>
        </is>
      </c>
      <c r="B16" s="4" t="inlineStr">
        <is>
          <t>Cooperativa Virtual</t>
        </is>
      </c>
      <c r="C16" s="4" t="inlineStr">
        <is>
          <t>Servidor que aloja la Banca Electronica  
192.168.23.11</t>
        </is>
      </c>
      <c r="D16" s="64" t="inlineStr">
        <is>
          <t>[HW] Equipamiento informático (hardware)</t>
        </is>
      </c>
      <c r="E16" s="34" t="inlineStr">
        <is>
          <t>[A.23] Manipulación de los equipos</t>
        </is>
      </c>
      <c r="F16" s="34">
        <f>+VLOOKUP(E16,'CATALOGO AMENAZA'!$B$2:$D$46,3,FALSE)</f>
        <v/>
      </c>
      <c r="G16" s="34" t="inlineStr">
        <is>
          <t>X</t>
        </is>
      </c>
      <c r="H16" s="34" t="n"/>
      <c r="I16" s="34" t="inlineStr">
        <is>
          <t>X</t>
        </is>
      </c>
      <c r="J16" s="34" t="n">
        <v>3</v>
      </c>
      <c r="K16" s="34" t="n">
        <v>4</v>
      </c>
      <c r="L16" s="34">
        <f>+J16*K16</f>
        <v/>
      </c>
      <c r="M16" s="34">
        <f>+IF(L16&lt;5,"BAJO",IF(L16&lt;10,"MEDIO",IF(L16&lt;17,"ALTO","CRITICO")))</f>
        <v/>
      </c>
      <c r="N16" s="4" t="inlineStr">
        <is>
          <t>Control de accesos</t>
        </is>
      </c>
      <c r="O16" s="34" t="inlineStr">
        <is>
          <t>PREVENTIVO</t>
        </is>
      </c>
      <c r="P16" s="34" t="inlineStr">
        <is>
          <t>Control Implementado sin evidencia de efectividad (Inefectivo prueba)</t>
        </is>
      </c>
      <c r="Q16" s="52" t="n">
        <v>0.3</v>
      </c>
      <c r="R16" s="4" t="inlineStr">
        <is>
          <t>Usuarios genéricos</t>
        </is>
      </c>
      <c r="S16" s="53">
        <f>+IF(O16="PREVENTIVO",J16*(1-Q16),IF(O16="ADMINISTRACION",J16*(1-Q16),IF(O16="ELIMINACION",J16*(1-Q16),J16)))</f>
        <v/>
      </c>
      <c r="T16" s="53">
        <f>+IF(O16="DETECTIVO",K16*(1-Q16),IF(O16="RECUPERACION",K16*(1-Q16),K16))</f>
        <v/>
      </c>
      <c r="U16" s="54">
        <f>+S16*T16</f>
        <v/>
      </c>
      <c r="V16" s="65">
        <f>+IF(U16&lt;5,"BAJO",IF(U16&lt;10,"MEDIO",IF(U16&lt;17,"ALTO","CRITICO")))</f>
        <v/>
      </c>
      <c r="W16" s="87" t="inlineStr">
        <is>
          <t>MITIGAR</t>
        </is>
      </c>
      <c r="X16" s="80" t="inlineStr">
        <is>
          <t>-</t>
        </is>
      </c>
      <c r="Y16" s="80" t="inlineStr">
        <is>
          <t>-</t>
        </is>
      </c>
      <c r="Z16" s="80" t="inlineStr">
        <is>
          <t>-</t>
        </is>
      </c>
    </row>
    <row r="17" ht="39.5" customHeight="1" s="98">
      <c r="A17" s="56" t="inlineStr">
        <is>
          <t>64-GTI</t>
        </is>
      </c>
      <c r="B17" s="4" t="inlineStr">
        <is>
          <t>Cooperativa Virtual</t>
        </is>
      </c>
      <c r="C17" s="4" t="inlineStr">
        <is>
          <t>Servidor que aloja la Banca Electronica  
192.168.23.11</t>
        </is>
      </c>
      <c r="D17" s="64" t="inlineStr">
        <is>
          <t>[HW] Equipamiento informático (hardware)</t>
        </is>
      </c>
      <c r="E17" s="34" t="inlineStr">
        <is>
          <t>[A.24] Denegación de servicio</t>
        </is>
      </c>
      <c r="F17" s="34">
        <f>+VLOOKUP(E17,'CATALOGO AMENAZA'!$B$2:$D$46,3,FALSE)</f>
        <v/>
      </c>
      <c r="G17" s="34" t="n"/>
      <c r="H17" s="34" t="n"/>
      <c r="I17" s="34" t="inlineStr">
        <is>
          <t>X</t>
        </is>
      </c>
      <c r="J17" s="34" t="n">
        <v>4</v>
      </c>
      <c r="K17" s="34" t="n">
        <v>5</v>
      </c>
      <c r="L17" s="34">
        <f>+J17*K17</f>
        <v/>
      </c>
      <c r="M17" s="34">
        <f>+IF(L17&lt;5,"BAJO",IF(L17&lt;10,"MEDIO",IF(L17&lt;17,"ALTO","CRITICO")))</f>
        <v/>
      </c>
      <c r="N17" s="4" t="inlineStr">
        <is>
          <t>Configuración segura de firewall</t>
        </is>
      </c>
      <c r="O17" s="34" t="inlineStr">
        <is>
          <t>PREVENTIVO</t>
        </is>
      </c>
      <c r="P17" s="34" t="inlineStr">
        <is>
          <t>Control Implementado sin evidencia de efectividad (Inefectivo prueba)</t>
        </is>
      </c>
      <c r="Q17" s="52" t="n">
        <v>0.3</v>
      </c>
      <c r="R17" s="34" t="inlineStr">
        <is>
          <t>Evidencia de validación de las configuraciones</t>
        </is>
      </c>
      <c r="S17" s="53">
        <f>+IF(O17="PREVENTIVO",J17*(1-Q17),IF(O17="ADMINISTRACION",J17*(1-Q17),IF(O17="ELIMINACION",J17*(1-Q17),J17)))</f>
        <v/>
      </c>
      <c r="T17" s="53">
        <f>+IF(O17="DETECTIVO",K17*(1-Q17),IF(O17="RECUPERACION",K17*(1-Q17),K17))</f>
        <v/>
      </c>
      <c r="U17" s="54">
        <f>+S17*T17</f>
        <v/>
      </c>
      <c r="V17" s="65">
        <f>+IF(U17&lt;5,"BAJO",IF(U17&lt;10,"MEDIO",IF(U17&lt;17,"ALTO","CRITICO")))</f>
        <v/>
      </c>
      <c r="W17" s="65" t="inlineStr">
        <is>
          <t>MITIGAR</t>
        </is>
      </c>
      <c r="X17" s="34" t="inlineStr">
        <is>
          <t>REQUIERE TRATAMIENTO</t>
        </is>
      </c>
      <c r="Y17" s="34" t="inlineStr">
        <is>
          <t>PA-SI-002</t>
        </is>
      </c>
      <c r="Z17" s="34" t="inlineStr">
        <is>
          <t>Fortalecer mecanismos de protección contra ataques DoS/DDoS</t>
        </is>
      </c>
    </row>
    <row r="18" hidden="1" ht="20.5" customHeight="1" s="98">
      <c r="A18" s="56" t="inlineStr">
        <is>
          <t>64-GTI</t>
        </is>
      </c>
      <c r="B18" s="4" t="inlineStr">
        <is>
          <t>Cooperativa Virtual</t>
        </is>
      </c>
      <c r="C18" s="4" t="inlineStr">
        <is>
          <t>Servidor que aloja la Banca Electronica  
192.168.23.11</t>
        </is>
      </c>
      <c r="D18" s="64" t="inlineStr">
        <is>
          <t>[HW] Equipamiento informático (hardware)</t>
        </is>
      </c>
      <c r="E18" s="34" t="inlineStr">
        <is>
          <t>[E.23] Errores de mantenimiento / actualización de equipos (hardware)</t>
        </is>
      </c>
      <c r="F18" s="34">
        <f>+VLOOKUP(E18,'CATALOGO AMENAZA'!$B$2:$D$46,3,FALSE)</f>
        <v/>
      </c>
      <c r="G18" s="34" t="n"/>
      <c r="H18" s="34" t="n"/>
      <c r="I18" s="34" t="inlineStr">
        <is>
          <t>X</t>
        </is>
      </c>
      <c r="J18" s="34" t="n">
        <v>3</v>
      </c>
      <c r="K18" s="34" t="n">
        <v>4</v>
      </c>
      <c r="L18" s="34">
        <f>+J18*K18</f>
        <v/>
      </c>
      <c r="M18" s="34">
        <f>+IF(L18&lt;5,"BAJO",IF(L18&lt;10,"MEDIO",IF(L18&lt;17,"ALTO","CRITICO")))</f>
        <v/>
      </c>
      <c r="N18" s="4" t="inlineStr">
        <is>
          <t>Gestión de vulnerabilidades</t>
        </is>
      </c>
      <c r="O18" s="34" t="inlineStr">
        <is>
          <t>PREVENTIVO</t>
        </is>
      </c>
      <c r="P18" s="34" t="inlineStr">
        <is>
          <t>Control Implementado sin evidencia de efectividad (Inefectivo prueba)</t>
        </is>
      </c>
      <c r="Q18" s="52" t="n">
        <v>0.4</v>
      </c>
      <c r="R18" s="4" t="inlineStr">
        <is>
          <t>Recursos tecnológicos insuficientes para remediación</t>
        </is>
      </c>
      <c r="S18" s="53">
        <f>+IF(O18="PREVENTIVO",J18*(1-Q18),IF(O18="ADMINISTRACION",J18*(1-Q18),IF(O18="ELIMINACION",J18*(1-Q18),J18)))</f>
        <v/>
      </c>
      <c r="T18" s="53">
        <f>+IF(O18="DETECTIVO",K18*(1-Q18),IF(O18="RECUPERACION",K18*(1-Q18),K18))</f>
        <v/>
      </c>
      <c r="U18" s="54">
        <f>+S18*T18</f>
        <v/>
      </c>
      <c r="V18" s="65">
        <f>+IF(U18&lt;5,"BAJO",IF(U18&lt;10,"MEDIO",IF(U18&lt;17,"ALTO","CRITICO")))</f>
        <v/>
      </c>
      <c r="W18" s="87" t="inlineStr">
        <is>
          <t>MITIGAR</t>
        </is>
      </c>
      <c r="X18" s="80" t="inlineStr">
        <is>
          <t>-</t>
        </is>
      </c>
      <c r="Y18" s="80" t="inlineStr">
        <is>
          <t>-</t>
        </is>
      </c>
      <c r="Z18" s="80" t="inlineStr">
        <is>
          <t>-</t>
        </is>
      </c>
    </row>
    <row r="19" hidden="1" ht="30.5" customHeight="1" s="98">
      <c r="A19" s="56" t="inlineStr">
        <is>
          <t>65-GTI</t>
        </is>
      </c>
      <c r="B19" s="4" t="inlineStr">
        <is>
          <t>Sendmail</t>
        </is>
      </c>
      <c r="C19" s="4" t="inlineStr">
        <is>
          <t>Administracion Contenidos y Correo electrónico</t>
        </is>
      </c>
      <c r="D19" s="64" t="inlineStr">
        <is>
          <t>[S] Servicios</t>
        </is>
      </c>
      <c r="E19" s="34" t="inlineStr">
        <is>
          <t>[A.11] Acceso no autorizado</t>
        </is>
      </c>
      <c r="F19" s="34">
        <f>+VLOOKUP(E19,'CATALOGO AMENAZA'!$B$2:$D$46,3,FALSE)</f>
        <v/>
      </c>
      <c r="G19" s="34" t="inlineStr">
        <is>
          <t>X</t>
        </is>
      </c>
      <c r="H19" s="34" t="inlineStr">
        <is>
          <t>X</t>
        </is>
      </c>
      <c r="I19" s="34" t="n"/>
      <c r="J19" s="34" t="n">
        <v>2</v>
      </c>
      <c r="K19" s="34" t="n">
        <v>3</v>
      </c>
      <c r="L19" s="34">
        <f>+J19*K19</f>
        <v/>
      </c>
      <c r="M19" s="34">
        <f>+IF(L19&lt;5,"BAJO",IF(L19&lt;10,"MEDIO",IF(L19&lt;17,"ALTO","CRITICO")))</f>
        <v/>
      </c>
      <c r="N19" s="4" t="inlineStr">
        <is>
          <t>Control de accesos</t>
        </is>
      </c>
      <c r="O19" s="34" t="inlineStr">
        <is>
          <t>PREVENTIVO</t>
        </is>
      </c>
      <c r="P19" s="34" t="inlineStr">
        <is>
          <t>Control Implementado sin evidencia de efectividad (Inefectivo prueba)</t>
        </is>
      </c>
      <c r="Q19" s="52" t="n">
        <v>0.3</v>
      </c>
      <c r="R19" s="4" t="inlineStr">
        <is>
          <t>Usuarios genéricos</t>
        </is>
      </c>
      <c r="S19" s="53">
        <f>+IF(O19="PREVENTIVO",J19*(1-Q19),IF(O19="ADMINISTRACION",J19*(1-Q19),IF(O19="ELIMINACION",J19*(1-Q19),J19)))</f>
        <v/>
      </c>
      <c r="T19" s="53">
        <f>+IF(O19="DETECTIVO",K19*(1-Q19),IF(O19="RECUPERACION",K19*(1-Q19),K19))</f>
        <v/>
      </c>
      <c r="U19" s="54">
        <f>+S19*T19</f>
        <v/>
      </c>
      <c r="V19" s="65">
        <f>+IF(U19&lt;5,"BAJO",IF(U19&lt;10,"MEDIO",IF(U19&lt;17,"ALTO","CRITICO")))</f>
        <v/>
      </c>
      <c r="W19" s="65" t="inlineStr">
        <is>
          <t>ACEPTABLE</t>
        </is>
      </c>
      <c r="X19" s="80" t="inlineStr">
        <is>
          <t>-</t>
        </is>
      </c>
      <c r="Y19" s="80" t="inlineStr">
        <is>
          <t>-</t>
        </is>
      </c>
      <c r="Z19" s="80" t="inlineStr">
        <is>
          <t>-</t>
        </is>
      </c>
    </row>
    <row r="20" hidden="1" ht="20.5" customHeight="1" s="98">
      <c r="A20" s="56" t="inlineStr">
        <is>
          <t>65-GTI</t>
        </is>
      </c>
      <c r="B20" s="4" t="inlineStr">
        <is>
          <t>Sendmail</t>
        </is>
      </c>
      <c r="C20" s="4" t="inlineStr">
        <is>
          <t>Administracion Contenidos y Correo electrónico</t>
        </is>
      </c>
      <c r="D20" s="64" t="inlineStr">
        <is>
          <t>[S] Servicios</t>
        </is>
      </c>
      <c r="E20" s="34" t="inlineStr">
        <is>
          <t>[A.5] Suplantación de la identidad del usuario</t>
        </is>
      </c>
      <c r="F20" s="34">
        <f>+VLOOKUP(E20,'CATALOGO AMENAZA'!$B$2:$D$46,3,FALSE)</f>
        <v/>
      </c>
      <c r="G20" s="34" t="inlineStr">
        <is>
          <t>X</t>
        </is>
      </c>
      <c r="H20" s="34" t="inlineStr">
        <is>
          <t>X</t>
        </is>
      </c>
      <c r="I20" s="34" t="n"/>
      <c r="J20" s="34" t="n">
        <v>2</v>
      </c>
      <c r="K20" s="34" t="n">
        <v>3</v>
      </c>
      <c r="L20" s="34">
        <f>+J20*K20</f>
        <v/>
      </c>
      <c r="M20" s="34">
        <f>+IF(L20&lt;5,"BAJO",IF(L20&lt;10,"MEDIO",IF(L20&lt;17,"ALTO","CRITICO")))</f>
        <v/>
      </c>
      <c r="N20" s="4" t="inlineStr">
        <is>
          <t>Politicas de contraseñas robustas</t>
        </is>
      </c>
      <c r="O20" s="34" t="inlineStr">
        <is>
          <t>PREVENTIVO</t>
        </is>
      </c>
      <c r="P20" s="34" t="inlineStr">
        <is>
          <t>Control Implementado sin evidencia de efectividad (Inefectivo prueba)</t>
        </is>
      </c>
      <c r="Q20" s="52" t="n">
        <v>0.3</v>
      </c>
      <c r="R20" s="4" t="inlineStr">
        <is>
          <t>Usuarios genéricos / claves compartidas y almacenadas en navegadores</t>
        </is>
      </c>
      <c r="S20" s="53">
        <f>+IF(O20="PREVENTIVO",J20*(1-Q20),IF(O20="ADMINISTRACION",J20*(1-Q20),IF(O20="ELIMINACION",J20*(1-Q20),J20)))</f>
        <v/>
      </c>
      <c r="T20" s="53">
        <f>+IF(O20="DETECTIVO",K20*(1-Q20),IF(O20="RECUPERACION",K20*(1-Q20),K20))</f>
        <v/>
      </c>
      <c r="U20" s="54">
        <f>+S20*T20</f>
        <v/>
      </c>
      <c r="V20" s="65">
        <f>+IF(U20&lt;5,"BAJO",IF(U20&lt;10,"MEDIO",IF(U20&lt;17,"ALTO","CRITICO")))</f>
        <v/>
      </c>
      <c r="W20" s="65" t="inlineStr">
        <is>
          <t>ACEPTABLE</t>
        </is>
      </c>
      <c r="X20" s="80" t="inlineStr">
        <is>
          <t>-</t>
        </is>
      </c>
      <c r="Y20" s="80" t="inlineStr">
        <is>
          <t>-</t>
        </is>
      </c>
      <c r="Z20" s="80" t="inlineStr">
        <is>
          <t>-</t>
        </is>
      </c>
    </row>
    <row r="21" hidden="1" ht="33.75" customHeight="1" s="98">
      <c r="A21" s="56" t="inlineStr">
        <is>
          <t>65-GTI</t>
        </is>
      </c>
      <c r="B21" s="4" t="inlineStr">
        <is>
          <t>Sendmail</t>
        </is>
      </c>
      <c r="C21" s="4" t="inlineStr">
        <is>
          <t>Administracion Contenidos y Correo electrónico</t>
        </is>
      </c>
      <c r="D21" s="64" t="inlineStr">
        <is>
          <t>[S] Servicios</t>
        </is>
      </c>
      <c r="E21" s="34" t="inlineStr">
        <is>
          <t>[A.19] Divulgación de información</t>
        </is>
      </c>
      <c r="F21" s="34">
        <f>+VLOOKUP(E21,'CATALOGO AMENAZA'!$B$2:$D$46,3,FALSE)</f>
        <v/>
      </c>
      <c r="G21" s="34" t="inlineStr">
        <is>
          <t>X</t>
        </is>
      </c>
      <c r="H21" s="34" t="n"/>
      <c r="I21" s="34" t="n"/>
      <c r="J21" s="34" t="n">
        <v>2</v>
      </c>
      <c r="K21" s="34" t="n">
        <v>3</v>
      </c>
      <c r="L21" s="34">
        <f>+J21*K21</f>
        <v/>
      </c>
      <c r="M21" s="34">
        <f>+IF(L21&lt;5,"BAJO",IF(L21&lt;10,"MEDIO",IF(L21&lt;17,"ALTO","CRITICO")))</f>
        <v/>
      </c>
      <c r="N21" s="4" t="inlineStr">
        <is>
          <t>Validación de destinatarios</t>
        </is>
      </c>
      <c r="O21" s="34" t="inlineStr">
        <is>
          <t>PREVENTIVO</t>
        </is>
      </c>
      <c r="P21" s="34" t="inlineStr">
        <is>
          <t>Control Implementado sin evidencia de efectividad (Inefectivo prueba)</t>
        </is>
      </c>
      <c r="Q21" s="52" t="n">
        <v>0.3</v>
      </c>
      <c r="R21" s="4" t="inlineStr">
        <is>
          <t>Politicas sin restricción para jefaturas</t>
        </is>
      </c>
      <c r="S21" s="53">
        <f>+IF(O21="PREVENTIVO",J21*(1-Q21),IF(O21="ADMINISTRACION",J21*(1-Q21),IF(O21="ELIMINACION",J21*(1-Q21),J21)))</f>
        <v/>
      </c>
      <c r="T21" s="53">
        <f>+IF(O21="DETECTIVO",K21*(1-Q21),IF(O21="RECUPERACION",K21*(1-Q21),K21))</f>
        <v/>
      </c>
      <c r="U21" s="54">
        <f>+S21*T21</f>
        <v/>
      </c>
      <c r="V21" s="65">
        <f>+IF(U21&lt;5,"BAJO",IF(U21&lt;10,"MEDIO",IF(U21&lt;17,"ALTO","CRITICO")))</f>
        <v/>
      </c>
      <c r="W21" s="65" t="inlineStr">
        <is>
          <t>ACEPTABLE</t>
        </is>
      </c>
      <c r="X21" s="80" t="inlineStr">
        <is>
          <t>-</t>
        </is>
      </c>
      <c r="Y21" s="80" t="inlineStr">
        <is>
          <t>-</t>
        </is>
      </c>
      <c r="Z21" s="80" t="inlineStr">
        <is>
          <t>-</t>
        </is>
      </c>
    </row>
    <row r="22" hidden="1" ht="30.5" customHeight="1" s="98">
      <c r="A22" s="56" t="inlineStr">
        <is>
          <t>65-GTI</t>
        </is>
      </c>
      <c r="B22" s="4" t="inlineStr">
        <is>
          <t>Sendmail</t>
        </is>
      </c>
      <c r="C22" s="4" t="inlineStr">
        <is>
          <t>Administracion Contenidos y Correo electrónico</t>
        </is>
      </c>
      <c r="D22" s="64" t="inlineStr">
        <is>
          <t>[S] Servicios</t>
        </is>
      </c>
      <c r="E22" s="34" t="inlineStr">
        <is>
          <t>[A.24] Denegación de servicio</t>
        </is>
      </c>
      <c r="F22" s="34">
        <f>+VLOOKUP(E22,'CATALOGO AMENAZA'!$B$2:$D$46,3,FALSE)</f>
        <v/>
      </c>
      <c r="G22" s="34" t="n"/>
      <c r="H22" s="34" t="n"/>
      <c r="I22" s="34" t="inlineStr">
        <is>
          <t>X</t>
        </is>
      </c>
      <c r="J22" s="34" t="n">
        <v>3</v>
      </c>
      <c r="K22" s="34" t="n">
        <v>4</v>
      </c>
      <c r="L22" s="34">
        <f>+J22*K22</f>
        <v/>
      </c>
      <c r="M22" s="34">
        <f>+IF(L22&lt;5,"BAJO",IF(L22&lt;10,"MEDIO",IF(L22&lt;17,"ALTO","CRITICO")))</f>
        <v/>
      </c>
      <c r="N22" s="4" t="inlineStr">
        <is>
          <t>Software Antispam Fortimail</t>
        </is>
      </c>
      <c r="O22" s="34" t="inlineStr">
        <is>
          <t>PREVENTIVO</t>
        </is>
      </c>
      <c r="P22" s="34" t="inlineStr">
        <is>
          <t>Control Implementado sin evidencia de efectividad (Inefectivo prueba)</t>
        </is>
      </c>
      <c r="Q22" s="52" t="n">
        <v>0.3</v>
      </c>
      <c r="R22" s="4" t="inlineStr">
        <is>
          <t>No se realiza pruebas de carga</t>
        </is>
      </c>
      <c r="S22" s="53">
        <f>+IF(O22="PREVENTIVO",J22*(1-Q22),IF(O22="ADMINISTRACION",J22*(1-Q22),IF(O22="ELIMINACION",J22*(1-Q22),J22)))</f>
        <v/>
      </c>
      <c r="T22" s="53">
        <f>+IF(O22="DETECTIVO",K22*(1-Q22),IF(O22="RECUPERACION",K22*(1-Q22),K22))</f>
        <v/>
      </c>
      <c r="U22" s="54">
        <f>+S22*T22</f>
        <v/>
      </c>
      <c r="V22" s="65">
        <f>+IF(U22&lt;5,"BAJO",IF(U22&lt;10,"MEDIO",IF(U22&lt;17,"ALTO","CRITICO")))</f>
        <v/>
      </c>
      <c r="W22" s="87" t="inlineStr">
        <is>
          <t>MITIGAR</t>
        </is>
      </c>
      <c r="X22" s="80" t="inlineStr">
        <is>
          <t>-</t>
        </is>
      </c>
      <c r="Y22" s="80" t="inlineStr">
        <is>
          <t>-</t>
        </is>
      </c>
      <c r="Z22" s="80" t="inlineStr">
        <is>
          <t>-</t>
        </is>
      </c>
    </row>
    <row r="23" hidden="1" ht="22.5" customHeight="1" s="98">
      <c r="A23" s="56" t="inlineStr">
        <is>
          <t>65-GTI</t>
        </is>
      </c>
      <c r="B23" s="4" t="inlineStr">
        <is>
          <t>Sendmail</t>
        </is>
      </c>
      <c r="C23" s="4" t="inlineStr">
        <is>
          <t>Administracion Contenidos y Correo electrónico</t>
        </is>
      </c>
      <c r="D23" s="64" t="inlineStr">
        <is>
          <t>[S] Servicios</t>
        </is>
      </c>
      <c r="E23" s="34" t="inlineStr">
        <is>
          <t>[E.24] Caída del sistema por agotamiento de recursos</t>
        </is>
      </c>
      <c r="F23" s="34">
        <f>+VLOOKUP(E23,'CATALOGO AMENAZA'!$B$2:$D$46,3,FALSE)</f>
        <v/>
      </c>
      <c r="G23" s="34" t="n"/>
      <c r="H23" s="34" t="n"/>
      <c r="I23" s="34" t="inlineStr">
        <is>
          <t>X</t>
        </is>
      </c>
      <c r="J23" s="34" t="n">
        <v>2</v>
      </c>
      <c r="K23" s="34" t="n">
        <v>3</v>
      </c>
      <c r="L23" s="34">
        <f>+J23*K23</f>
        <v/>
      </c>
      <c r="M23" s="34">
        <f>+IF(L23&lt;5,"BAJO",IF(L23&lt;10,"MEDIO",IF(L23&lt;17,"ALTO","CRITICO")))</f>
        <v/>
      </c>
      <c r="N23" s="4" t="inlineStr">
        <is>
          <t>Monitoreo de Servidores presenta en el procedimiento operativo  Administración de Servidores en el Manua de Gestión de las Operaciones de TI</t>
        </is>
      </c>
      <c r="O23" s="34" t="inlineStr">
        <is>
          <t>PREVENTIVO</t>
        </is>
      </c>
      <c r="P23" s="34" t="inlineStr">
        <is>
          <t>Control Implementado sin evidencia de efectividad (Inefectivo prueba)</t>
        </is>
      </c>
      <c r="Q23" s="52" t="n">
        <v>0.4</v>
      </c>
      <c r="R23" s="4" t="inlineStr">
        <is>
          <t>Falta de alertas automáticas</t>
        </is>
      </c>
      <c r="S23" s="53">
        <f>+IF(O23="PREVENTIVO",J23*(1-Q23),IF(O23="ADMINISTRACION",J23*(1-Q23),IF(O23="ELIMINACION",J23*(1-Q23),J23)))</f>
        <v/>
      </c>
      <c r="T23" s="53">
        <f>+IF(O23="DETECTIVO",K23*(1-Q23),IF(O23="RECUPERACION",K23*(1-Q23),K23))</f>
        <v/>
      </c>
      <c r="U23" s="54">
        <f>+S23*T23</f>
        <v/>
      </c>
      <c r="V23" s="65">
        <f>+IF(U23&lt;5,"BAJO",IF(U23&lt;10,"MEDIO",IF(U23&lt;17,"ALTO","CRITICO")))</f>
        <v/>
      </c>
      <c r="W23" s="65" t="inlineStr">
        <is>
          <t>ACEPTABLE</t>
        </is>
      </c>
      <c r="X23" s="80" t="inlineStr">
        <is>
          <t>-</t>
        </is>
      </c>
      <c r="Y23" s="80" t="inlineStr">
        <is>
          <t>-</t>
        </is>
      </c>
      <c r="Z23" s="80" t="inlineStr">
        <is>
          <t>-</t>
        </is>
      </c>
    </row>
    <row r="24" hidden="1" ht="30.5" customHeight="1" s="98">
      <c r="A24" s="56" t="inlineStr">
        <is>
          <t>66-GTI</t>
        </is>
      </c>
      <c r="B24" s="4" t="inlineStr">
        <is>
          <t>correo electronico</t>
        </is>
      </c>
      <c r="C24" s="4" t="inlineStr">
        <is>
          <t>Servidor web administracion correo electronico
192.168.23.2</t>
        </is>
      </c>
      <c r="D24" s="64" t="inlineStr">
        <is>
          <t>[S] Servicios</t>
        </is>
      </c>
      <c r="E24" s="34" t="inlineStr">
        <is>
          <t>[A.11] Acceso no autorizado</t>
        </is>
      </c>
      <c r="F24" s="34">
        <f>+VLOOKUP(E24,'CATALOGO AMENAZA'!$B$2:$D$46,3,FALSE)</f>
        <v/>
      </c>
      <c r="G24" s="34" t="inlineStr">
        <is>
          <t>X</t>
        </is>
      </c>
      <c r="H24" s="34" t="inlineStr">
        <is>
          <t>X</t>
        </is>
      </c>
      <c r="I24" s="34" t="n"/>
      <c r="J24" s="34" t="n">
        <v>3</v>
      </c>
      <c r="K24" s="34" t="n">
        <v>3</v>
      </c>
      <c r="L24" s="34">
        <f>+J24*K24</f>
        <v/>
      </c>
      <c r="M24" s="34">
        <f>+IF(L24&lt;5,"BAJO",IF(L24&lt;10,"MEDIO",IF(L24&lt;17,"ALTO","CRITICO")))</f>
        <v/>
      </c>
      <c r="N24" s="4" t="inlineStr">
        <is>
          <t>Control de accesos</t>
        </is>
      </c>
      <c r="O24" s="34" t="inlineStr">
        <is>
          <t>PREVENTIVO</t>
        </is>
      </c>
      <c r="P24" s="34" t="inlineStr">
        <is>
          <t>Control Implementado sin evidencia de efectividad (Inefectivo prueba)</t>
        </is>
      </c>
      <c r="Q24" s="52" t="n">
        <v>0.3</v>
      </c>
      <c r="R24" s="4" t="inlineStr">
        <is>
          <t>Usuarios genéricos</t>
        </is>
      </c>
      <c r="S24" s="53">
        <f>+IF(O24="PREVENTIVO",J24*(1-Q24),IF(O24="ADMINISTRACION",J24*(1-Q24),IF(O24="ELIMINACION",J24*(1-Q24),J24)))</f>
        <v/>
      </c>
      <c r="T24" s="53">
        <f>+IF(O24="DETECTIVO",K24*(1-Q24),IF(O24="RECUPERACION",K24*(1-Q24),K24))</f>
        <v/>
      </c>
      <c r="U24" s="54">
        <f>+S24*T24</f>
        <v/>
      </c>
      <c r="V24" s="65">
        <f>+IF(U24&lt;5,"BAJO",IF(U24&lt;10,"MEDIO",IF(U24&lt;17,"ALTO","CRITICO")))</f>
        <v/>
      </c>
      <c r="W24" s="87" t="inlineStr">
        <is>
          <t>MITIGAR</t>
        </is>
      </c>
      <c r="X24" s="80" t="inlineStr">
        <is>
          <t>-</t>
        </is>
      </c>
      <c r="Y24" s="80" t="inlineStr">
        <is>
          <t>-</t>
        </is>
      </c>
      <c r="Z24" s="80" t="inlineStr">
        <is>
          <t>-</t>
        </is>
      </c>
    </row>
    <row r="25" hidden="1" ht="30.5" customHeight="1" s="98">
      <c r="A25" s="56" t="inlineStr">
        <is>
          <t>66-GTI</t>
        </is>
      </c>
      <c r="B25" s="4" t="inlineStr">
        <is>
          <t>correo electronico</t>
        </is>
      </c>
      <c r="C25" s="4" t="inlineStr">
        <is>
          <t>Servidor web administracion correo electronico
192.168.23.2</t>
        </is>
      </c>
      <c r="D25" s="64" t="inlineStr">
        <is>
          <t>[S] Servicios</t>
        </is>
      </c>
      <c r="E25" s="34" t="inlineStr">
        <is>
          <t>[A.5] Suplantación de la identidad del usuario</t>
        </is>
      </c>
      <c r="F25" s="34">
        <f>+VLOOKUP(E25,'CATALOGO AMENAZA'!$B$2:$D$46,3,FALSE)</f>
        <v/>
      </c>
      <c r="G25" s="34" t="inlineStr">
        <is>
          <t>X</t>
        </is>
      </c>
      <c r="H25" s="34" t="inlineStr">
        <is>
          <t>X</t>
        </is>
      </c>
      <c r="I25" s="34" t="n"/>
      <c r="J25" s="34" t="n">
        <v>3</v>
      </c>
      <c r="K25" s="34" t="n">
        <v>3</v>
      </c>
      <c r="L25" s="34">
        <f>+J25*K25</f>
        <v/>
      </c>
      <c r="M25" s="34">
        <f>+IF(L25&lt;5,"BAJO",IF(L25&lt;10,"MEDIO",IF(L25&lt;17,"ALTO","CRITICO")))</f>
        <v/>
      </c>
      <c r="N25" s="4" t="inlineStr">
        <is>
          <t>Politicas de contraseñas robustas</t>
        </is>
      </c>
      <c r="O25" s="34" t="inlineStr">
        <is>
          <t>PREVENTIVO</t>
        </is>
      </c>
      <c r="P25" s="34" t="inlineStr">
        <is>
          <t>Control Implementado sin evidencia de efectividad (Inefectivo prueba)</t>
        </is>
      </c>
      <c r="Q25" s="52" t="n">
        <v>0.3</v>
      </c>
      <c r="R25" s="4" t="inlineStr">
        <is>
          <t>Usuarios genéricos / claves compartidas y almacenadas en navegadores</t>
        </is>
      </c>
      <c r="S25" s="53">
        <f>+IF(O25="PREVENTIVO",J25*(1-Q25),IF(O25="ADMINISTRACION",J25*(1-Q25),IF(O25="ELIMINACION",J25*(1-Q25),J25)))</f>
        <v/>
      </c>
      <c r="T25" s="53">
        <f>+IF(O25="DETECTIVO",K25*(1-Q25),IF(O25="RECUPERACION",K25*(1-Q25),K25))</f>
        <v/>
      </c>
      <c r="U25" s="54">
        <f>+S25*T25</f>
        <v/>
      </c>
      <c r="V25" s="65">
        <f>+IF(U25&lt;5,"BAJO",IF(U25&lt;10,"MEDIO",IF(U25&lt;17,"ALTO","CRITICO")))</f>
        <v/>
      </c>
      <c r="W25" s="87" t="inlineStr">
        <is>
          <t>MITIGAR</t>
        </is>
      </c>
      <c r="X25" s="80" t="inlineStr">
        <is>
          <t>-</t>
        </is>
      </c>
      <c r="Y25" s="80" t="inlineStr">
        <is>
          <t>-</t>
        </is>
      </c>
      <c r="Z25" s="80" t="inlineStr">
        <is>
          <t>-</t>
        </is>
      </c>
    </row>
    <row r="26" hidden="1" ht="30.5" customHeight="1" s="98">
      <c r="A26" s="56" t="inlineStr">
        <is>
          <t>66-GTI</t>
        </is>
      </c>
      <c r="B26" s="4" t="inlineStr">
        <is>
          <t>correo electronico</t>
        </is>
      </c>
      <c r="C26" s="4" t="inlineStr">
        <is>
          <t>Servidor web administracion correo electronico
192.168.23.2</t>
        </is>
      </c>
      <c r="D26" s="64" t="inlineStr">
        <is>
          <t>[S] Servicios</t>
        </is>
      </c>
      <c r="E26" s="34" t="inlineStr">
        <is>
          <t>[A.19] Divulgación de información</t>
        </is>
      </c>
      <c r="F26" s="34">
        <f>+VLOOKUP(E26,'CATALOGO AMENAZA'!$B$2:$D$46,3,FALSE)</f>
        <v/>
      </c>
      <c r="G26" s="34" t="inlineStr">
        <is>
          <t>X</t>
        </is>
      </c>
      <c r="H26" s="34" t="n"/>
      <c r="I26" s="34" t="n"/>
      <c r="J26" s="34" t="n">
        <v>3</v>
      </c>
      <c r="K26" s="34" t="n">
        <v>3</v>
      </c>
      <c r="L26" s="34">
        <f>+J26*K26</f>
        <v/>
      </c>
      <c r="M26" s="34">
        <f>+IF(L26&lt;5,"BAJO",IF(L26&lt;10,"MEDIO",IF(L26&lt;17,"ALTO","CRITICO")))</f>
        <v/>
      </c>
      <c r="N26" s="4" t="inlineStr">
        <is>
          <t>Validación de destinatarios</t>
        </is>
      </c>
      <c r="O26" s="34" t="inlineStr">
        <is>
          <t>PREVENTIVO</t>
        </is>
      </c>
      <c r="P26" s="34" t="inlineStr">
        <is>
          <t>Control Implementado sin evidencia de efectividad (Inefectivo prueba)</t>
        </is>
      </c>
      <c r="Q26" s="52" t="n">
        <v>0.3</v>
      </c>
      <c r="R26" s="4" t="inlineStr">
        <is>
          <t>Politicas sin restricción para jefaturas</t>
        </is>
      </c>
      <c r="S26" s="53">
        <f>+IF(O26="PREVENTIVO",J26*(1-Q26),IF(O26="ADMINISTRACION",J26*(1-Q26),IF(O26="ELIMINACION",J26*(1-Q26),J26)))</f>
        <v/>
      </c>
      <c r="T26" s="53">
        <f>+IF(O26="DETECTIVO",K26*(1-Q26),IF(O26="RECUPERACION",K26*(1-Q26),K26))</f>
        <v/>
      </c>
      <c r="U26" s="54">
        <f>+S26*T26</f>
        <v/>
      </c>
      <c r="V26" s="65">
        <f>+IF(U26&lt;5,"BAJO",IF(U26&lt;10,"MEDIO",IF(U26&lt;17,"ALTO","CRITICO")))</f>
        <v/>
      </c>
      <c r="W26" s="87" t="inlineStr">
        <is>
          <t>MITIGAR</t>
        </is>
      </c>
      <c r="X26" s="80" t="inlineStr">
        <is>
          <t>-</t>
        </is>
      </c>
      <c r="Y26" s="80" t="inlineStr">
        <is>
          <t>-</t>
        </is>
      </c>
      <c r="Z26" s="80" t="inlineStr">
        <is>
          <t>-</t>
        </is>
      </c>
    </row>
    <row r="27" hidden="1" ht="30.5" customHeight="1" s="98">
      <c r="A27" s="56" t="inlineStr">
        <is>
          <t>66-GTI</t>
        </is>
      </c>
      <c r="B27" s="4" t="inlineStr">
        <is>
          <t>correo electronico</t>
        </is>
      </c>
      <c r="C27" s="4" t="inlineStr">
        <is>
          <t>Servidor web administracion correo electronico
192.168.23.2</t>
        </is>
      </c>
      <c r="D27" s="64" t="inlineStr">
        <is>
          <t>[S] Servicios</t>
        </is>
      </c>
      <c r="E27" s="34" t="inlineStr">
        <is>
          <t>[A.24] Denegación de servicio</t>
        </is>
      </c>
      <c r="F27" s="34">
        <f>+VLOOKUP(E27,'CATALOGO AMENAZA'!$B$2:$D$46,3,FALSE)</f>
        <v/>
      </c>
      <c r="G27" s="34" t="n"/>
      <c r="H27" s="34" t="n"/>
      <c r="I27" s="34" t="inlineStr">
        <is>
          <t>X</t>
        </is>
      </c>
      <c r="J27" s="34" t="n">
        <v>3</v>
      </c>
      <c r="K27" s="34" t="n">
        <v>3</v>
      </c>
      <c r="L27" s="34">
        <f>+J27*K27</f>
        <v/>
      </c>
      <c r="M27" s="34">
        <f>+IF(L27&lt;5,"BAJO",IF(L27&lt;10,"MEDIO",IF(L27&lt;17,"ALTO","CRITICO")))</f>
        <v/>
      </c>
      <c r="N27" s="4" t="inlineStr">
        <is>
          <t>Configuración segura de firewall</t>
        </is>
      </c>
      <c r="O27" s="34" t="inlineStr">
        <is>
          <t>PREVENTIVO</t>
        </is>
      </c>
      <c r="P27" s="34" t="inlineStr">
        <is>
          <t>Control Implementado sin evidencia de efectividad (Inefectivo prueba)</t>
        </is>
      </c>
      <c r="Q27" s="52" t="n">
        <v>0.3</v>
      </c>
      <c r="R27" s="34" t="inlineStr">
        <is>
          <t>Evidencia de validación de las configuraciones</t>
        </is>
      </c>
      <c r="S27" s="53">
        <f>+IF(O27="PREVENTIVO",J27*(1-Q27),IF(O27="ADMINISTRACION",J27*(1-Q27),IF(O27="ELIMINACION",J27*(1-Q27),J27)))</f>
        <v/>
      </c>
      <c r="T27" s="53">
        <f>+IF(O27="DETECTIVO",K27*(1-Q27),IF(O27="RECUPERACION",K27*(1-Q27),K27))</f>
        <v/>
      </c>
      <c r="U27" s="54">
        <f>+S27*T27</f>
        <v/>
      </c>
      <c r="V27" s="65">
        <f>+IF(U27&lt;5,"BAJO",IF(U27&lt;10,"MEDIO",IF(U27&lt;17,"ALTO","CRITICO")))</f>
        <v/>
      </c>
      <c r="W27" s="87" t="inlineStr">
        <is>
          <t>MITIGAR</t>
        </is>
      </c>
      <c r="X27" s="80" t="inlineStr">
        <is>
          <t>-</t>
        </is>
      </c>
      <c r="Y27" s="80" t="inlineStr">
        <is>
          <t>-</t>
        </is>
      </c>
      <c r="Z27" s="80" t="inlineStr">
        <is>
          <t>-</t>
        </is>
      </c>
    </row>
    <row r="28" hidden="1" ht="41" customHeight="1" s="98">
      <c r="A28" s="56" t="inlineStr">
        <is>
          <t>66-GTI</t>
        </is>
      </c>
      <c r="B28" s="4" t="inlineStr">
        <is>
          <t>correo electronico</t>
        </is>
      </c>
      <c r="C28" s="4" t="inlineStr">
        <is>
          <t>Servidor web administracion correo electronico
192.168.23.2</t>
        </is>
      </c>
      <c r="D28" s="64" t="inlineStr">
        <is>
          <t>[S] Servicios</t>
        </is>
      </c>
      <c r="E28" s="34" t="inlineStr">
        <is>
          <t>[E.24] Caída del sistema por agotamiento de recursos</t>
        </is>
      </c>
      <c r="F28" s="34">
        <f>+VLOOKUP(E28,'CATALOGO AMENAZA'!$B$2:$D$46,3,FALSE)</f>
        <v/>
      </c>
      <c r="G28" s="34" t="n"/>
      <c r="H28" s="34" t="n"/>
      <c r="I28" s="34" t="inlineStr">
        <is>
          <t>X</t>
        </is>
      </c>
      <c r="J28" s="34" t="n">
        <v>2</v>
      </c>
      <c r="K28" s="34" t="n">
        <v>4</v>
      </c>
      <c r="L28" s="34">
        <f>+J28*K28</f>
        <v/>
      </c>
      <c r="M28" s="34">
        <f>+IF(L28&lt;5,"BAJO",IF(L28&lt;10,"MEDIO",IF(L28&lt;17,"ALTO","CRITICO")))</f>
        <v/>
      </c>
      <c r="N28" s="4" t="inlineStr">
        <is>
          <t>Monitoreo de Servidores presenta en el procedimiento operativo  Administración de Servidores en el Manua de Gestión de las Operaciones de TI</t>
        </is>
      </c>
      <c r="O28" s="34" t="inlineStr">
        <is>
          <t>PREVENTIVO</t>
        </is>
      </c>
      <c r="P28" s="34" t="inlineStr">
        <is>
          <t>Control Implementado sin evidencia de efectividad (Inefectivo prueba)</t>
        </is>
      </c>
      <c r="Q28" s="52" t="n">
        <v>0.4</v>
      </c>
      <c r="R28" s="4" t="inlineStr">
        <is>
          <t>Falta de alertas automáticas</t>
        </is>
      </c>
      <c r="S28" s="53">
        <f>+IF(O28="PREVENTIVO",J28*(1-Q28),IF(O28="ADMINISTRACION",J28*(1-Q28),IF(O28="ELIMINACION",J28*(1-Q28),J28)))</f>
        <v/>
      </c>
      <c r="T28" s="53">
        <f>+IF(O28="DETECTIVO",K28*(1-Q28),IF(O28="RECUPERACION",K28*(1-Q28),K28))</f>
        <v/>
      </c>
      <c r="U28" s="54">
        <f>+S28*T28</f>
        <v/>
      </c>
      <c r="V28" s="65">
        <f>+IF(U28&lt;5,"BAJO",IF(U28&lt;10,"MEDIO",IF(U28&lt;17,"ALTO","CRITICO")))</f>
        <v/>
      </c>
      <c r="W28" s="65" t="inlineStr">
        <is>
          <t>ACEPTABLE</t>
        </is>
      </c>
      <c r="X28" s="80" t="inlineStr">
        <is>
          <t>-</t>
        </is>
      </c>
      <c r="Y28" s="80" t="inlineStr">
        <is>
          <t>-</t>
        </is>
      </c>
      <c r="Z28" s="80" t="inlineStr">
        <is>
          <t>-</t>
        </is>
      </c>
    </row>
    <row r="29" hidden="1" ht="41" customHeight="1" s="98">
      <c r="A29" s="56" t="inlineStr">
        <is>
          <t>67-GTI</t>
        </is>
      </c>
      <c r="B29" s="4" t="inlineStr">
        <is>
          <t>Check Point</t>
        </is>
      </c>
      <c r="C29" s="4" t="inlineStr">
        <is>
          <t>Proteccion perimetral, Analiza todas las conexiones, eventos inusuales</t>
        </is>
      </c>
      <c r="D29" s="64" t="inlineStr">
        <is>
          <t>[HW] Equipamiento informático (hardware)</t>
        </is>
      </c>
      <c r="E29" s="34" t="inlineStr">
        <is>
          <t>[A.11] Acceso no autorizado</t>
        </is>
      </c>
      <c r="F29" s="34">
        <f>+VLOOKUP(E29,'CATALOGO AMENAZA'!$B$2:$D$46,3,FALSE)</f>
        <v/>
      </c>
      <c r="G29" s="34" t="inlineStr">
        <is>
          <t>X</t>
        </is>
      </c>
      <c r="H29" s="34" t="inlineStr">
        <is>
          <t>X</t>
        </is>
      </c>
      <c r="I29" s="34" t="n"/>
      <c r="J29" s="34" t="n">
        <v>2</v>
      </c>
      <c r="K29" s="34" t="n">
        <v>4</v>
      </c>
      <c r="L29" s="34">
        <f>+J29*K29</f>
        <v/>
      </c>
      <c r="M29" s="34">
        <f>+IF(L29&lt;5,"BAJO",IF(L29&lt;10,"MEDIO",IF(L29&lt;17,"ALTO","CRITICO")))</f>
        <v/>
      </c>
      <c r="N29" s="4" t="inlineStr">
        <is>
          <t>Control de accesos / VPN</t>
        </is>
      </c>
      <c r="O29" s="34" t="inlineStr">
        <is>
          <t>PREVENTIVO</t>
        </is>
      </c>
      <c r="P29" s="34" t="inlineStr">
        <is>
          <t>Control Implementado sin evidencia de efectividad (Inefectivo prueba)</t>
        </is>
      </c>
      <c r="Q29" s="52" t="n">
        <v>0.3</v>
      </c>
      <c r="R29" s="4" t="inlineStr">
        <is>
          <t>Contreaseñas de VPN no expiran</t>
        </is>
      </c>
      <c r="S29" s="53">
        <f>+IF(O29="PREVENTIVO",J29*(1-Q29),IF(O29="ADMINISTRACION",J29*(1-Q29),IF(O29="ELIMINACION",J29*(1-Q29),J29)))</f>
        <v/>
      </c>
      <c r="T29" s="53">
        <f>+IF(O29="DETECTIVO",K29*(1-Q29),IF(O29="RECUPERACION",K29*(1-Q29),K29))</f>
        <v/>
      </c>
      <c r="U29" s="54">
        <f>+S29*T29</f>
        <v/>
      </c>
      <c r="V29" s="65">
        <f>+IF(U29&lt;5,"BAJO",IF(U29&lt;10,"MEDIO",IF(U29&lt;17,"ALTO","CRITICO")))</f>
        <v/>
      </c>
      <c r="W29" s="87" t="inlineStr">
        <is>
          <t>MITIGAR</t>
        </is>
      </c>
      <c r="X29" s="80" t="inlineStr">
        <is>
          <t>-</t>
        </is>
      </c>
      <c r="Y29" s="80" t="inlineStr">
        <is>
          <t>-</t>
        </is>
      </c>
      <c r="Z29" s="80" t="inlineStr">
        <is>
          <t>-</t>
        </is>
      </c>
    </row>
    <row r="30" hidden="1" ht="41" customHeight="1" s="98">
      <c r="A30" s="56" t="inlineStr">
        <is>
          <t>67-GTI</t>
        </is>
      </c>
      <c r="B30" s="4" t="inlineStr">
        <is>
          <t>Check Point</t>
        </is>
      </c>
      <c r="C30" s="4" t="inlineStr">
        <is>
          <t>Proteccion perimetral, Analiza todas las conexiones, eventos inusuales</t>
        </is>
      </c>
      <c r="D30" s="64" t="inlineStr">
        <is>
          <t>[HW] Equipamiento informático (hardware)</t>
        </is>
      </c>
      <c r="E30" s="34" t="inlineStr">
        <is>
          <t>[A.23] Manipulación de los equipos</t>
        </is>
      </c>
      <c r="F30" s="34">
        <f>+VLOOKUP(E30,'CATALOGO AMENAZA'!$B$2:$D$46,3,FALSE)</f>
        <v/>
      </c>
      <c r="G30" s="34" t="inlineStr">
        <is>
          <t>X</t>
        </is>
      </c>
      <c r="H30" s="34" t="n"/>
      <c r="I30" s="34" t="inlineStr">
        <is>
          <t>X</t>
        </is>
      </c>
      <c r="J30" s="34" t="n">
        <v>2</v>
      </c>
      <c r="K30" s="34" t="n">
        <v>3</v>
      </c>
      <c r="L30" s="34">
        <f>+J30*K30</f>
        <v/>
      </c>
      <c r="M30" s="34">
        <f>+IF(L30&lt;5,"BAJO",IF(L30&lt;10,"MEDIO",IF(L30&lt;17,"ALTO","CRITICO")))</f>
        <v/>
      </c>
      <c r="N30" s="4" t="inlineStr">
        <is>
          <t>Control de accesos</t>
        </is>
      </c>
      <c r="O30" s="34" t="inlineStr">
        <is>
          <t>PREVENTIVO</t>
        </is>
      </c>
      <c r="P30" s="34" t="inlineStr">
        <is>
          <t>Control Implementado sin evidencia de efectividad (Inefectivo prueba)</t>
        </is>
      </c>
      <c r="Q30" s="52" t="n">
        <v>0.3</v>
      </c>
      <c r="R30" s="4" t="inlineStr">
        <is>
          <t>Usuarios genéricos</t>
        </is>
      </c>
      <c r="S30" s="53">
        <f>+IF(O30="PREVENTIVO",J30*(1-Q30),IF(O30="ADMINISTRACION",J30*(1-Q30),IF(O30="ELIMINACION",J30*(1-Q30),J30)))</f>
        <v/>
      </c>
      <c r="T30" s="53">
        <f>+IF(O30="DETECTIVO",K30*(1-Q30),IF(O30="RECUPERACION",K30*(1-Q30),K30))</f>
        <v/>
      </c>
      <c r="U30" s="54">
        <f>+S30*T30</f>
        <v/>
      </c>
      <c r="V30" s="65">
        <f>+IF(U30&lt;5,"BAJO",IF(U30&lt;10,"MEDIO",IF(U30&lt;17,"ALTO","CRITICO")))</f>
        <v/>
      </c>
      <c r="W30" s="65" t="inlineStr">
        <is>
          <t>ACEPTABLE</t>
        </is>
      </c>
      <c r="X30" s="80" t="inlineStr">
        <is>
          <t>-</t>
        </is>
      </c>
      <c r="Y30" s="80" t="inlineStr">
        <is>
          <t>-</t>
        </is>
      </c>
      <c r="Z30" s="80" t="inlineStr">
        <is>
          <t>-</t>
        </is>
      </c>
    </row>
    <row r="31" hidden="1" ht="41" customHeight="1" s="98">
      <c r="A31" s="56" t="inlineStr">
        <is>
          <t>67-GTI</t>
        </is>
      </c>
      <c r="B31" s="4" t="inlineStr">
        <is>
          <t>Check Point</t>
        </is>
      </c>
      <c r="C31" s="4" t="inlineStr">
        <is>
          <t>Proteccion perimetral, Analiza todas las conexiones, eventos inusuales</t>
        </is>
      </c>
      <c r="D31" s="64" t="inlineStr">
        <is>
          <t>[HW] Equipamiento informático (hardware)</t>
        </is>
      </c>
      <c r="E31" s="34" t="inlineStr">
        <is>
          <t>[A.24] Denegación de servicio</t>
        </is>
      </c>
      <c r="F31" s="34">
        <f>+VLOOKUP(E31,'CATALOGO AMENAZA'!$B$2:$D$46,3,FALSE)</f>
        <v/>
      </c>
      <c r="G31" s="34" t="n"/>
      <c r="H31" s="34" t="n"/>
      <c r="I31" s="34" t="inlineStr">
        <is>
          <t>X</t>
        </is>
      </c>
      <c r="J31" s="34" t="n">
        <v>3</v>
      </c>
      <c r="K31" s="34" t="n">
        <v>4</v>
      </c>
      <c r="L31" s="34">
        <f>+J31*K31</f>
        <v/>
      </c>
      <c r="M31" s="34">
        <f>+IF(L31&lt;5,"BAJO",IF(L31&lt;10,"MEDIO",IF(L31&lt;17,"ALTO","CRITICO")))</f>
        <v/>
      </c>
      <c r="N31" s="4" t="inlineStr">
        <is>
          <t>Configuración segura de firewall</t>
        </is>
      </c>
      <c r="O31" s="34" t="inlineStr">
        <is>
          <t>PREVENTIVO</t>
        </is>
      </c>
      <c r="P31" s="34" t="inlineStr">
        <is>
          <t>Control Implementado sin evidencia de efectividad (Inefectivo prueba)</t>
        </is>
      </c>
      <c r="Q31" s="52" t="n">
        <v>0.3</v>
      </c>
      <c r="R31" s="34" t="inlineStr">
        <is>
          <t>Evidencia de validación de las configuraciones</t>
        </is>
      </c>
      <c r="S31" s="53">
        <f>+IF(O31="PREVENTIVO",J31*(1-Q31),IF(O31="ADMINISTRACION",J31*(1-Q31),IF(O31="ELIMINACION",J31*(1-Q31),J31)))</f>
        <v/>
      </c>
      <c r="T31" s="53">
        <f>+IF(O31="DETECTIVO",K31*(1-Q31),IF(O31="RECUPERACION",K31*(1-Q31),K31))</f>
        <v/>
      </c>
      <c r="U31" s="54">
        <f>+S31*T31</f>
        <v/>
      </c>
      <c r="V31" s="65">
        <f>+IF(U31&lt;5,"BAJO",IF(U31&lt;10,"MEDIO",IF(U31&lt;17,"ALTO","CRITICO")))</f>
        <v/>
      </c>
      <c r="W31" s="87" t="inlineStr">
        <is>
          <t>MITIGAR</t>
        </is>
      </c>
      <c r="X31" s="80" t="inlineStr">
        <is>
          <t>-</t>
        </is>
      </c>
      <c r="Y31" s="80" t="inlineStr">
        <is>
          <t>-</t>
        </is>
      </c>
      <c r="Z31" s="80" t="inlineStr">
        <is>
          <t>-</t>
        </is>
      </c>
    </row>
    <row r="32" hidden="1" ht="41" customHeight="1" s="98">
      <c r="A32" s="56" t="inlineStr">
        <is>
          <t>67-GTI</t>
        </is>
      </c>
      <c r="B32" s="4" t="inlineStr">
        <is>
          <t>Check Point</t>
        </is>
      </c>
      <c r="C32" s="4" t="inlineStr">
        <is>
          <t>Proteccion perimetral, Analiza todas las conexiones, eventos inusuales</t>
        </is>
      </c>
      <c r="D32" s="64" t="inlineStr">
        <is>
          <t>[HW] Equipamiento informático (hardware)</t>
        </is>
      </c>
      <c r="E32" s="34" t="inlineStr">
        <is>
          <t>[E.2] Errores del administrador</t>
        </is>
      </c>
      <c r="F32" s="34">
        <f>+VLOOKUP(E32,'CATALOGO AMENAZA'!$B$2:$D$46,3,FALSE)</f>
        <v/>
      </c>
      <c r="G32" s="34" t="inlineStr">
        <is>
          <t>X</t>
        </is>
      </c>
      <c r="H32" s="34" t="inlineStr">
        <is>
          <t>X</t>
        </is>
      </c>
      <c r="I32" s="34" t="inlineStr">
        <is>
          <t>X</t>
        </is>
      </c>
      <c r="J32" s="34" t="n">
        <v>2</v>
      </c>
      <c r="K32" s="34" t="n">
        <v>4</v>
      </c>
      <c r="L32" s="34">
        <f>+J32*K32</f>
        <v/>
      </c>
      <c r="M32" s="34">
        <f>+IF(L32&lt;5,"BAJO",IF(L32&lt;10,"MEDIO",IF(L32&lt;17,"ALTO","CRITICO")))</f>
        <v/>
      </c>
      <c r="N32" s="4" t="inlineStr">
        <is>
          <t>Control de cambios en los sistemas
Verificación posterior (informe)</t>
        </is>
      </c>
      <c r="O32" s="34" t="inlineStr">
        <is>
          <t>ADMINISTRACION</t>
        </is>
      </c>
      <c r="P32" s="34" t="inlineStr">
        <is>
          <t>Control Implementado sin evidencia de efectividad (Inefectivo prueba)</t>
        </is>
      </c>
      <c r="Q32" s="52" t="n">
        <v>0.3</v>
      </c>
      <c r="R32" s="4" t="inlineStr">
        <is>
          <t>No existe procedimiento formal de gestión de cambios</t>
        </is>
      </c>
      <c r="S32" s="53">
        <f>+IF(O32="PREVENTIVO",J32*(1-Q32),IF(O32="ADMINISTRACION",J32*(1-Q32),IF(O32="ELIMINACION",J32*(1-Q32),J32)))</f>
        <v/>
      </c>
      <c r="T32" s="53">
        <f>+IF(O32="DETECTIVO",K32*(1-Q32),IF(O32="RECUPERACION",K32*(1-Q32),K32))</f>
        <v/>
      </c>
      <c r="U32" s="54">
        <f>+S32*T32</f>
        <v/>
      </c>
      <c r="V32" s="65">
        <f>+IF(U32&lt;5,"BAJO",IF(U32&lt;10,"MEDIO",IF(U32&lt;17,"ALTO","CRITICO")))</f>
        <v/>
      </c>
      <c r="W32" s="87" t="inlineStr">
        <is>
          <t>MITIGAR</t>
        </is>
      </c>
      <c r="X32" s="80" t="inlineStr">
        <is>
          <t>-</t>
        </is>
      </c>
      <c r="Y32" s="80" t="inlineStr">
        <is>
          <t>-</t>
        </is>
      </c>
      <c r="Z32" s="80" t="inlineStr">
        <is>
          <t>-</t>
        </is>
      </c>
    </row>
    <row r="33" hidden="1" ht="41" customHeight="1" s="98">
      <c r="A33" s="56" t="inlineStr">
        <is>
          <t>67-GTI</t>
        </is>
      </c>
      <c r="B33" s="4" t="inlineStr">
        <is>
          <t>Check Point</t>
        </is>
      </c>
      <c r="C33" s="4" t="inlineStr">
        <is>
          <t>Proteccion perimetral, Analiza todas las conexiones, eventos inusuales</t>
        </is>
      </c>
      <c r="D33" s="64" t="inlineStr">
        <is>
          <t>[HW] Equipamiento informático (hardware)</t>
        </is>
      </c>
      <c r="E33" s="34" t="inlineStr">
        <is>
          <t>[A.6] Abuso de privilegios de acceso</t>
        </is>
      </c>
      <c r="F33" s="34">
        <f>+VLOOKUP(E33,'CATALOGO AMENAZA'!$B$2:$D$46,3,FALSE)</f>
        <v/>
      </c>
      <c r="G33" s="34" t="inlineStr">
        <is>
          <t>X</t>
        </is>
      </c>
      <c r="H33" s="34" t="inlineStr">
        <is>
          <t>X</t>
        </is>
      </c>
      <c r="I33" s="34" t="inlineStr">
        <is>
          <t>X</t>
        </is>
      </c>
      <c r="J33" s="34" t="n">
        <v>2</v>
      </c>
      <c r="K33" s="34" t="n">
        <v>3</v>
      </c>
      <c r="L33" s="34">
        <f>+J33*K33</f>
        <v/>
      </c>
      <c r="M33" s="34">
        <f>+IF(L33&lt;5,"BAJO",IF(L33&lt;10,"MEDIO",IF(L33&lt;17,"ALTO","CRITICO")))</f>
        <v/>
      </c>
      <c r="N33" s="4" t="inlineStr">
        <is>
          <t>Registro de logs (FortiAnalyzer)</t>
        </is>
      </c>
      <c r="O33" s="34" t="inlineStr">
        <is>
          <t>DETECTIVO</t>
        </is>
      </c>
      <c r="P33" s="34" t="inlineStr">
        <is>
          <t>Control Implementado sin evidencia de efectividad (Inefectivo prueba)</t>
        </is>
      </c>
      <c r="Q33" s="52" t="n">
        <v>0.3</v>
      </c>
      <c r="R33" s="4" t="inlineStr">
        <is>
          <t>Falta de revisión de perfiles de acceso</t>
        </is>
      </c>
      <c r="S33" s="53">
        <f>+IF(O33="PREVENTIVO",J33*(1-Q33),IF(O33="ADMINISTRACION",J33*(1-Q33),IF(O33="ELIMINACION",J33*(1-Q33),J33)))</f>
        <v/>
      </c>
      <c r="T33" s="53">
        <f>+IF(O33="DETECTIVO",K33*(1-Q33),IF(O33="RECUPERACION",K33*(1-Q33),K33))</f>
        <v/>
      </c>
      <c r="U33" s="54">
        <f>+S33*T33</f>
        <v/>
      </c>
      <c r="V33" s="65">
        <f>+IF(U33&lt;5,"BAJO",IF(U33&lt;10,"MEDIO",IF(U33&lt;17,"ALTO","CRITICO")))</f>
        <v/>
      </c>
      <c r="W33" s="65" t="inlineStr">
        <is>
          <t>ACEPTABLE</t>
        </is>
      </c>
      <c r="X33" s="80" t="inlineStr">
        <is>
          <t>-</t>
        </is>
      </c>
      <c r="Y33" s="80" t="inlineStr">
        <is>
          <t>-</t>
        </is>
      </c>
      <c r="Z33" s="80" t="inlineStr">
        <is>
          <t>-</t>
        </is>
      </c>
    </row>
    <row r="34" hidden="1" ht="22.5" customHeight="1" s="98">
      <c r="A34" s="56" t="inlineStr">
        <is>
          <t>68-GTI</t>
        </is>
      </c>
      <c r="B34" s="4" t="inlineStr">
        <is>
          <t>FortiAnalyzer</t>
        </is>
      </c>
      <c r="C34" s="4" t="inlineStr">
        <is>
          <t>Analizador de logs</t>
        </is>
      </c>
      <c r="D34" s="64" t="inlineStr">
        <is>
          <t>[SW] Software - Aplicaciones informáticas</t>
        </is>
      </c>
      <c r="E34" s="34" t="inlineStr">
        <is>
          <t>[A.11] Acceso no autorizado</t>
        </is>
      </c>
      <c r="F34" s="34">
        <f>+VLOOKUP(E34,'CATALOGO AMENAZA'!$B$2:$D$46,3,FALSE)</f>
        <v/>
      </c>
      <c r="G34" s="34" t="inlineStr">
        <is>
          <t>X</t>
        </is>
      </c>
      <c r="H34" s="34" t="inlineStr">
        <is>
          <t>X</t>
        </is>
      </c>
      <c r="I34" s="34" t="n"/>
      <c r="J34" s="34" t="n">
        <v>2</v>
      </c>
      <c r="K34" s="34" t="n">
        <v>2</v>
      </c>
      <c r="L34" s="34">
        <f>+J34*K34</f>
        <v/>
      </c>
      <c r="M34" s="34">
        <f>+IF(L34&lt;5,"BAJO",IF(L34&lt;10,"MEDIO",IF(L34&lt;17,"ALTO","CRITICO")))</f>
        <v/>
      </c>
      <c r="N34" s="4" t="inlineStr">
        <is>
          <t>Control de accesos</t>
        </is>
      </c>
      <c r="O34" s="34" t="inlineStr">
        <is>
          <t>PREVENTIVO</t>
        </is>
      </c>
      <c r="P34" s="34" t="inlineStr">
        <is>
          <t>Control Implementado sin evidencia de efectividad (Inefectivo prueba)</t>
        </is>
      </c>
      <c r="Q34" s="52" t="n">
        <v>0.3</v>
      </c>
      <c r="R34" s="4" t="inlineStr">
        <is>
          <t>Usuarios genéricos</t>
        </is>
      </c>
      <c r="S34" s="53">
        <f>+IF(O34="PREVENTIVO",J34*(1-Q34),IF(O34="ADMINISTRACION",J34*(1-Q34),IF(O34="ELIMINACION",J34*(1-Q34),J34)))</f>
        <v/>
      </c>
      <c r="T34" s="53">
        <f>+IF(O34="DETECTIVO",K34*(1-Q34),IF(O34="RECUPERACION",K34*(1-Q34),K34))</f>
        <v/>
      </c>
      <c r="U34" s="54">
        <f>+S34*T34</f>
        <v/>
      </c>
      <c r="V34" s="65">
        <f>+IF(U34&lt;5,"BAJO",IF(U34&lt;10,"MEDIO",IF(U34&lt;17,"ALTO","CRITICO")))</f>
        <v/>
      </c>
      <c r="W34" s="65" t="inlineStr">
        <is>
          <t>ACEPTABLE</t>
        </is>
      </c>
      <c r="X34" s="80" t="inlineStr">
        <is>
          <t>-</t>
        </is>
      </c>
      <c r="Y34" s="80" t="inlineStr">
        <is>
          <t>-</t>
        </is>
      </c>
      <c r="Z34" s="80" t="inlineStr">
        <is>
          <t>-</t>
        </is>
      </c>
    </row>
    <row r="35" hidden="1" ht="22.5" customHeight="1" s="98">
      <c r="A35" s="56" t="inlineStr">
        <is>
          <t>68-GTI</t>
        </is>
      </c>
      <c r="B35" s="4" t="inlineStr">
        <is>
          <t>FortiAnalyzer</t>
        </is>
      </c>
      <c r="C35" s="4" t="inlineStr">
        <is>
          <t>Analizador de logs</t>
        </is>
      </c>
      <c r="D35" s="64" t="inlineStr">
        <is>
          <t>[SW] Software - Aplicaciones informáticas</t>
        </is>
      </c>
      <c r="E35" s="34" t="inlineStr">
        <is>
          <t>[A.23] Manipulación de los equipos</t>
        </is>
      </c>
      <c r="F35" s="34">
        <f>+VLOOKUP(E35,'CATALOGO AMENAZA'!$B$2:$D$46,3,FALSE)</f>
        <v/>
      </c>
      <c r="G35" s="34" t="inlineStr">
        <is>
          <t>X</t>
        </is>
      </c>
      <c r="H35" s="34" t="n"/>
      <c r="I35" s="34" t="inlineStr">
        <is>
          <t>X</t>
        </is>
      </c>
      <c r="J35" s="34" t="n">
        <v>2</v>
      </c>
      <c r="K35" s="34" t="n">
        <v>2</v>
      </c>
      <c r="L35" s="34">
        <f>+J35*K35</f>
        <v/>
      </c>
      <c r="M35" s="34">
        <f>+IF(L35&lt;5,"BAJO",IF(L35&lt;10,"MEDIO",IF(L35&lt;17,"ALTO","CRITICO")))</f>
        <v/>
      </c>
      <c r="N35" s="4" t="inlineStr">
        <is>
          <t>Control de accesos</t>
        </is>
      </c>
      <c r="O35" s="34" t="inlineStr">
        <is>
          <t>PREVENTIVO</t>
        </is>
      </c>
      <c r="P35" s="34" t="inlineStr">
        <is>
          <t>Control Implementado sin evidencia de efectividad (Inefectivo prueba)</t>
        </is>
      </c>
      <c r="Q35" s="52" t="n">
        <v>0.3</v>
      </c>
      <c r="R35" s="4" t="inlineStr">
        <is>
          <t>Usuarios genéricos</t>
        </is>
      </c>
      <c r="S35" s="53">
        <f>+IF(O35="PREVENTIVO",J35*(1-Q35),IF(O35="ADMINISTRACION",J35*(1-Q35),IF(O35="ELIMINACION",J35*(1-Q35),J35)))</f>
        <v/>
      </c>
      <c r="T35" s="53">
        <f>+IF(O35="DETECTIVO",K35*(1-Q35),IF(O35="RECUPERACION",K35*(1-Q35),K35))</f>
        <v/>
      </c>
      <c r="U35" s="54">
        <f>+S35*T35</f>
        <v/>
      </c>
      <c r="V35" s="65">
        <f>+IF(U35&lt;5,"BAJO",IF(U35&lt;10,"MEDIO",IF(U35&lt;17,"ALTO","CRITICO")))</f>
        <v/>
      </c>
      <c r="W35" s="65" t="inlineStr">
        <is>
          <t>ACEPTABLE</t>
        </is>
      </c>
      <c r="X35" s="80" t="inlineStr">
        <is>
          <t>-</t>
        </is>
      </c>
      <c r="Y35" s="80" t="inlineStr">
        <is>
          <t>-</t>
        </is>
      </c>
      <c r="Z35" s="80" t="inlineStr">
        <is>
          <t>-</t>
        </is>
      </c>
    </row>
    <row r="36" hidden="1" ht="22.5" customHeight="1" s="98">
      <c r="A36" s="56" t="inlineStr">
        <is>
          <t>68-GTI</t>
        </is>
      </c>
      <c r="B36" s="4" t="inlineStr">
        <is>
          <t>FortiAnalyzer</t>
        </is>
      </c>
      <c r="C36" s="4" t="inlineStr">
        <is>
          <t>Analizador de logs</t>
        </is>
      </c>
      <c r="D36" s="64" t="inlineStr">
        <is>
          <t>[SW] Software - Aplicaciones informáticas</t>
        </is>
      </c>
      <c r="E36" s="34" t="inlineStr">
        <is>
          <t>[A.6] Abuso de privilegios de acceso</t>
        </is>
      </c>
      <c r="F36" s="34">
        <f>+VLOOKUP(E36,'CATALOGO AMENAZA'!$B$2:$D$46,3,FALSE)</f>
        <v/>
      </c>
      <c r="G36" s="34" t="inlineStr">
        <is>
          <t>X</t>
        </is>
      </c>
      <c r="H36" s="34" t="inlineStr">
        <is>
          <t>X</t>
        </is>
      </c>
      <c r="I36" s="34" t="inlineStr">
        <is>
          <t>X</t>
        </is>
      </c>
      <c r="J36" s="34" t="n">
        <v>2</v>
      </c>
      <c r="K36" s="34" t="n">
        <v>2</v>
      </c>
      <c r="L36" s="34">
        <f>+J36*K36</f>
        <v/>
      </c>
      <c r="M36" s="34">
        <f>+IF(L36&lt;5,"BAJO",IF(L36&lt;10,"MEDIO",IF(L36&lt;17,"ALTO","CRITICO")))</f>
        <v/>
      </c>
      <c r="N36" s="4" t="inlineStr">
        <is>
          <t>Registro de logs</t>
        </is>
      </c>
      <c r="O36" s="34" t="inlineStr">
        <is>
          <t>DETECTIVO</t>
        </is>
      </c>
      <c r="P36" s="34" t="inlineStr">
        <is>
          <t>Control Implementado sin evidencia de efectividad (Inefectivo prueba)</t>
        </is>
      </c>
      <c r="Q36" s="52" t="n">
        <v>0.3</v>
      </c>
      <c r="R36" s="4" t="inlineStr">
        <is>
          <t>Falta de revisión de perfiles de acceso</t>
        </is>
      </c>
      <c r="S36" s="53">
        <f>+IF(O36="PREVENTIVO",J36*(1-Q36),IF(O36="ADMINISTRACION",J36*(1-Q36),IF(O36="ELIMINACION",J36*(1-Q36),J36)))</f>
        <v/>
      </c>
      <c r="T36" s="53">
        <f>+IF(O36="DETECTIVO",K36*(1-Q36),IF(O36="RECUPERACION",K36*(1-Q36),K36))</f>
        <v/>
      </c>
      <c r="U36" s="54">
        <f>+S36*T36</f>
        <v/>
      </c>
      <c r="V36" s="65">
        <f>+IF(U36&lt;5,"BAJO",IF(U36&lt;10,"MEDIO",IF(U36&lt;17,"ALTO","CRITICO")))</f>
        <v/>
      </c>
      <c r="W36" s="65" t="inlineStr">
        <is>
          <t>ACEPTABLE</t>
        </is>
      </c>
      <c r="X36" s="80" t="inlineStr">
        <is>
          <t>-</t>
        </is>
      </c>
      <c r="Y36" s="80" t="inlineStr">
        <is>
          <t>-</t>
        </is>
      </c>
      <c r="Z36" s="80" t="inlineStr">
        <is>
          <t>-</t>
        </is>
      </c>
    </row>
    <row r="37" hidden="1" ht="30.5" customHeight="1" s="98">
      <c r="A37" s="56" t="inlineStr">
        <is>
          <t>68-GTI</t>
        </is>
      </c>
      <c r="B37" s="4" t="inlineStr">
        <is>
          <t>FortiAnalyzer</t>
        </is>
      </c>
      <c r="C37" s="4" t="inlineStr">
        <is>
          <t>Analizador de logs</t>
        </is>
      </c>
      <c r="D37" s="64" t="inlineStr">
        <is>
          <t>[SW] Software - Aplicaciones informáticas</t>
        </is>
      </c>
      <c r="E37" s="34" t="inlineStr">
        <is>
          <t>[A.24] Denegación de servicio</t>
        </is>
      </c>
      <c r="F37" s="34">
        <f>+VLOOKUP(E37,'CATALOGO AMENAZA'!$B$2:$D$46,3,FALSE)</f>
        <v/>
      </c>
      <c r="G37" s="34" t="n"/>
      <c r="H37" s="34" t="n"/>
      <c r="I37" s="34" t="inlineStr">
        <is>
          <t>X</t>
        </is>
      </c>
      <c r="J37" s="34" t="n">
        <v>2</v>
      </c>
      <c r="K37" s="34" t="n">
        <v>2</v>
      </c>
      <c r="L37" s="34">
        <f>+J37*K37</f>
        <v/>
      </c>
      <c r="M37" s="34">
        <f>+IF(L37&lt;5,"BAJO",IF(L37&lt;10,"MEDIO",IF(L37&lt;17,"ALTO","CRITICO")))</f>
        <v/>
      </c>
      <c r="N37" s="4" t="inlineStr">
        <is>
          <t>Configuración segura de firewall</t>
        </is>
      </c>
      <c r="O37" s="34" t="inlineStr">
        <is>
          <t>PREVENTIVO</t>
        </is>
      </c>
      <c r="P37" s="34" t="inlineStr">
        <is>
          <t>Control Implementado sin evidencia de efectividad (Inefectivo prueba)</t>
        </is>
      </c>
      <c r="Q37" s="52" t="n">
        <v>0.3</v>
      </c>
      <c r="R37" s="34" t="inlineStr">
        <is>
          <t>Evidencia de validación de las configuraciones</t>
        </is>
      </c>
      <c r="S37" s="53">
        <f>+IF(O37="PREVENTIVO",J37*(1-Q37),IF(O37="ADMINISTRACION",J37*(1-Q37),IF(O37="ELIMINACION",J37*(1-Q37),J37)))</f>
        <v/>
      </c>
      <c r="T37" s="53">
        <f>+IF(O37="DETECTIVO",K37*(1-Q37),IF(O37="RECUPERACION",K37*(1-Q37),K37))</f>
        <v/>
      </c>
      <c r="U37" s="54">
        <f>+S37*T37</f>
        <v/>
      </c>
      <c r="V37" s="65">
        <f>+IF(U37&lt;5,"BAJO",IF(U37&lt;10,"MEDIO",IF(U37&lt;17,"ALTO","CRITICO")))</f>
        <v/>
      </c>
      <c r="W37" s="65" t="inlineStr">
        <is>
          <t>ACEPTABLE</t>
        </is>
      </c>
      <c r="X37" s="80" t="inlineStr">
        <is>
          <t>-</t>
        </is>
      </c>
      <c r="Y37" s="80" t="inlineStr">
        <is>
          <t>-</t>
        </is>
      </c>
      <c r="Z37" s="80" t="inlineStr">
        <is>
          <t>-</t>
        </is>
      </c>
    </row>
    <row r="38" hidden="1" ht="22.5" customHeight="1" s="98">
      <c r="A38" s="56" t="inlineStr">
        <is>
          <t>68-GTI</t>
        </is>
      </c>
      <c r="B38" s="4" t="inlineStr">
        <is>
          <t>FortiAnalyzer</t>
        </is>
      </c>
      <c r="C38" s="4" t="inlineStr">
        <is>
          <t>Analizador de logs</t>
        </is>
      </c>
      <c r="D38" s="64" t="inlineStr">
        <is>
          <t>[SW] Software - Aplicaciones informáticas</t>
        </is>
      </c>
      <c r="E38" s="34" t="inlineStr">
        <is>
          <t>[E.24] Caída del sistema por agotamiento de recursos</t>
        </is>
      </c>
      <c r="F38" s="34">
        <f>+VLOOKUP(E38,'CATALOGO AMENAZA'!$B$2:$D$46,3,FALSE)</f>
        <v/>
      </c>
      <c r="G38" s="34" t="n"/>
      <c r="H38" s="34" t="n"/>
      <c r="I38" s="34" t="inlineStr">
        <is>
          <t>X</t>
        </is>
      </c>
      <c r="J38" s="34" t="n">
        <v>2</v>
      </c>
      <c r="K38" s="34" t="n">
        <v>2</v>
      </c>
      <c r="L38" s="34">
        <f>+J38*K38</f>
        <v/>
      </c>
      <c r="M38" s="34">
        <f>+IF(L38&lt;5,"BAJO",IF(L38&lt;10,"MEDIO",IF(L38&lt;17,"ALTO","CRITICO")))</f>
        <v/>
      </c>
      <c r="N38" s="4" t="inlineStr">
        <is>
          <t>Monitoreo de Servidores presenta en el procedimiento operativo  Administración de Servidores en el Manua de Gestión de las Operaciones de TI</t>
        </is>
      </c>
      <c r="O38" s="34" t="inlineStr">
        <is>
          <t>PREVENTIVO</t>
        </is>
      </c>
      <c r="P38" s="34" t="inlineStr">
        <is>
          <t>Control Implementado sin evidencia de efectividad (Inefectivo prueba)</t>
        </is>
      </c>
      <c r="Q38" s="52" t="n">
        <v>0.4</v>
      </c>
      <c r="R38" s="4" t="inlineStr">
        <is>
          <t>Falta de alertas automáticas</t>
        </is>
      </c>
      <c r="S38" s="53">
        <f>+IF(O38="PREVENTIVO",J38*(1-Q38),IF(O38="ADMINISTRACION",J38*(1-Q38),IF(O38="ELIMINACION",J38*(1-Q38),J38)))</f>
        <v/>
      </c>
      <c r="T38" s="53">
        <f>+IF(O38="DETECTIVO",K38*(1-Q38),IF(O38="RECUPERACION",K38*(1-Q38),K38))</f>
        <v/>
      </c>
      <c r="U38" s="54">
        <f>+S38*T38</f>
        <v/>
      </c>
      <c r="V38" s="65">
        <f>+IF(U38&lt;5,"BAJO",IF(U38&lt;10,"MEDIO",IF(U38&lt;17,"ALTO","CRITICO")))</f>
        <v/>
      </c>
      <c r="W38" s="65" t="inlineStr">
        <is>
          <t>ACEPTABLE</t>
        </is>
      </c>
      <c r="X38" s="80" t="inlineStr">
        <is>
          <t>-</t>
        </is>
      </c>
      <c r="Y38" s="80" t="inlineStr">
        <is>
          <t>-</t>
        </is>
      </c>
      <c r="Z38" s="80" t="inlineStr">
        <is>
          <t>-</t>
        </is>
      </c>
    </row>
    <row r="39" hidden="1" ht="41" customHeight="1" s="98">
      <c r="A39" s="56" t="inlineStr">
        <is>
          <t>68-GTI</t>
        </is>
      </c>
      <c r="B39" s="4" t="inlineStr">
        <is>
          <t>FortiAnalyzer</t>
        </is>
      </c>
      <c r="C39" s="4" t="inlineStr">
        <is>
          <t>Analizador de logs</t>
        </is>
      </c>
      <c r="D39" s="64" t="inlineStr">
        <is>
          <t>[SW] Software - Aplicaciones informáticas</t>
        </is>
      </c>
      <c r="E39" s="34" t="inlineStr">
        <is>
          <t>[E.2] Errores del administrador</t>
        </is>
      </c>
      <c r="F39" s="34">
        <f>+VLOOKUP(E39,'CATALOGO AMENAZA'!$B$2:$D$46,3,FALSE)</f>
        <v/>
      </c>
      <c r="G39" s="34" t="inlineStr">
        <is>
          <t>X</t>
        </is>
      </c>
      <c r="H39" s="34" t="inlineStr">
        <is>
          <t>X</t>
        </is>
      </c>
      <c r="I39" s="34" t="inlineStr">
        <is>
          <t>X</t>
        </is>
      </c>
      <c r="J39" s="34" t="n">
        <v>2</v>
      </c>
      <c r="K39" s="34" t="n">
        <v>2</v>
      </c>
      <c r="L39" s="34">
        <f>+J39*K39</f>
        <v/>
      </c>
      <c r="M39" s="34">
        <f>+IF(L39&lt;5,"BAJO",IF(L39&lt;10,"MEDIO",IF(L39&lt;17,"ALTO","CRITICO")))</f>
        <v/>
      </c>
      <c r="N39" s="4" t="inlineStr">
        <is>
          <t>Control de cambios en los sistemas
Verificación posterior (informe)</t>
        </is>
      </c>
      <c r="O39" s="34" t="inlineStr">
        <is>
          <t>ADMINISTRACION</t>
        </is>
      </c>
      <c r="P39" s="34" t="inlineStr">
        <is>
          <t>Control Implementado sin evidencia de efectividad (Inefectivo prueba)</t>
        </is>
      </c>
      <c r="Q39" s="52" t="n">
        <v>0.3</v>
      </c>
      <c r="R39" s="4" t="inlineStr">
        <is>
          <t>No existe procedimiento formal de gestión de cambios</t>
        </is>
      </c>
      <c r="S39" s="53">
        <f>+IF(O39="PREVENTIVO",J39*(1-Q39),IF(O39="ADMINISTRACION",J39*(1-Q39),IF(O39="ELIMINACION",J39*(1-Q39),J39)))</f>
        <v/>
      </c>
      <c r="T39" s="53">
        <f>+IF(O39="DETECTIVO",K39*(1-Q39),IF(O39="RECUPERACION",K39*(1-Q39),K39))</f>
        <v/>
      </c>
      <c r="U39" s="54">
        <f>+S39*T39</f>
        <v/>
      </c>
      <c r="V39" s="65">
        <f>+IF(U39&lt;5,"BAJO",IF(U39&lt;10,"MEDIO",IF(U39&lt;17,"ALTO","CRITICO")))</f>
        <v/>
      </c>
      <c r="W39" s="65" t="inlineStr">
        <is>
          <t>ACEPTABLE</t>
        </is>
      </c>
      <c r="X39" s="80" t="inlineStr">
        <is>
          <t>-</t>
        </is>
      </c>
      <c r="Y39" s="80" t="inlineStr">
        <is>
          <t>-</t>
        </is>
      </c>
      <c r="Z39" s="80" t="inlineStr">
        <is>
          <t>-</t>
        </is>
      </c>
    </row>
    <row r="40" hidden="1" ht="22.5" customHeight="1" s="98">
      <c r="A40" s="56" t="inlineStr">
        <is>
          <t>69-GTI</t>
        </is>
      </c>
      <c r="B40" s="4" t="inlineStr">
        <is>
          <t>UTM Fortinet</t>
        </is>
      </c>
      <c r="C40" s="4" t="inlineStr">
        <is>
          <t>Revision y categorizacion urls y sitios peligrosos</t>
        </is>
      </c>
      <c r="D40" s="64" t="inlineStr">
        <is>
          <t>[SW] Software - Aplicaciones informáticas</t>
        </is>
      </c>
      <c r="E40" s="34" t="inlineStr">
        <is>
          <t>[A.11] Acceso no autorizado</t>
        </is>
      </c>
      <c r="F40" s="34">
        <f>+VLOOKUP(E40,'CATALOGO AMENAZA'!$B$2:$D$46,3,FALSE)</f>
        <v/>
      </c>
      <c r="G40" s="34" t="inlineStr">
        <is>
          <t>X</t>
        </is>
      </c>
      <c r="H40" s="34" t="inlineStr">
        <is>
          <t>X</t>
        </is>
      </c>
      <c r="I40" s="34" t="n"/>
      <c r="J40" s="34" t="n">
        <v>2</v>
      </c>
      <c r="K40" s="34" t="n">
        <v>4</v>
      </c>
      <c r="L40" s="34">
        <f>+J40*K40</f>
        <v/>
      </c>
      <c r="M40" s="34">
        <f>+IF(L40&lt;5,"BAJO",IF(L40&lt;10,"MEDIO",IF(L40&lt;17,"ALTO","CRITICO")))</f>
        <v/>
      </c>
      <c r="N40" s="4" t="inlineStr">
        <is>
          <t>Control de accesos</t>
        </is>
      </c>
      <c r="O40" s="34" t="inlineStr">
        <is>
          <t>PREVENTIVO</t>
        </is>
      </c>
      <c r="P40" s="34" t="inlineStr">
        <is>
          <t>Control Implementado sin evidencia de efectividad (Inefectivo prueba)</t>
        </is>
      </c>
      <c r="Q40" s="52" t="n">
        <v>0.3</v>
      </c>
      <c r="R40" s="4" t="inlineStr">
        <is>
          <t>Usuarios genéricos</t>
        </is>
      </c>
      <c r="S40" s="53">
        <f>+IF(O40="PREVENTIVO",J40*(1-Q40),IF(O40="ADMINISTRACION",J40*(1-Q40),IF(O40="ELIMINACION",J40*(1-Q40),J40)))</f>
        <v/>
      </c>
      <c r="T40" s="53">
        <f>+IF(O40="DETECTIVO",K40*(1-Q40),IF(O40="RECUPERACION",K40*(1-Q40),K40))</f>
        <v/>
      </c>
      <c r="U40" s="54">
        <f>+S40*T40</f>
        <v/>
      </c>
      <c r="V40" s="65">
        <f>+IF(U40&lt;5,"BAJO",IF(U40&lt;10,"MEDIO",IF(U40&lt;17,"ALTO","CRITICO")))</f>
        <v/>
      </c>
      <c r="W40" s="87" t="inlineStr">
        <is>
          <t>MITIGAR</t>
        </is>
      </c>
      <c r="X40" s="80" t="inlineStr">
        <is>
          <t>-</t>
        </is>
      </c>
      <c r="Y40" s="80" t="inlineStr">
        <is>
          <t>-</t>
        </is>
      </c>
      <c r="Z40" s="80" t="inlineStr">
        <is>
          <t>-</t>
        </is>
      </c>
    </row>
    <row r="41" hidden="1" ht="33" customHeight="1" s="98">
      <c r="A41" s="56" t="inlineStr">
        <is>
          <t>69-GTI</t>
        </is>
      </c>
      <c r="B41" s="4" t="inlineStr">
        <is>
          <t>UTM Fortinet</t>
        </is>
      </c>
      <c r="C41" s="4" t="inlineStr">
        <is>
          <t>Revision y categorizacion urls y sitios peligrosos</t>
        </is>
      </c>
      <c r="D41" s="64" t="inlineStr">
        <is>
          <t>[SW] Software - Aplicaciones informáticas</t>
        </is>
      </c>
      <c r="E41" s="34" t="inlineStr">
        <is>
          <t>[A.23] Manipulación de los equipos</t>
        </is>
      </c>
      <c r="F41" s="34">
        <f>+VLOOKUP(E41,'CATALOGO AMENAZA'!$B$2:$D$46,3,FALSE)</f>
        <v/>
      </c>
      <c r="G41" s="34" t="inlineStr">
        <is>
          <t>X</t>
        </is>
      </c>
      <c r="H41" s="34" t="n"/>
      <c r="I41" s="34" t="inlineStr">
        <is>
          <t>X</t>
        </is>
      </c>
      <c r="J41" s="34" t="n">
        <v>2</v>
      </c>
      <c r="K41" s="34" t="n">
        <v>2</v>
      </c>
      <c r="L41" s="34">
        <f>+J41*K41</f>
        <v/>
      </c>
      <c r="M41" s="34">
        <f>+IF(L41&lt;5,"BAJO",IF(L41&lt;10,"MEDIO",IF(L41&lt;17,"ALTO","CRITICO")))</f>
        <v/>
      </c>
      <c r="N41" s="4" t="inlineStr">
        <is>
          <t>Control de accesos</t>
        </is>
      </c>
      <c r="O41" s="34" t="inlineStr">
        <is>
          <t>PREVENTIVO</t>
        </is>
      </c>
      <c r="P41" s="34" t="inlineStr">
        <is>
          <t>Control Implementado sin evidencia de efectividad (Inefectivo prueba)</t>
        </is>
      </c>
      <c r="Q41" s="52" t="n">
        <v>0.3</v>
      </c>
      <c r="R41" s="4" t="inlineStr">
        <is>
          <t>Usuarios genéricos</t>
        </is>
      </c>
      <c r="S41" s="53">
        <f>+IF(O41="PREVENTIVO",J41*(1-Q41),IF(O41="ADMINISTRACION",J41*(1-Q41),IF(O41="ELIMINACION",J41*(1-Q41),J41)))</f>
        <v/>
      </c>
      <c r="T41" s="53">
        <f>+IF(O41="DETECTIVO",K41*(1-Q41),IF(O41="RECUPERACION",K41*(1-Q41),K41))</f>
        <v/>
      </c>
      <c r="U41" s="54">
        <f>+S41*T41</f>
        <v/>
      </c>
      <c r="V41" s="65">
        <f>+IF(U41&lt;5,"BAJO",IF(U41&lt;10,"MEDIO",IF(U41&lt;17,"ALTO","CRITICO")))</f>
        <v/>
      </c>
      <c r="W41" s="65" t="inlineStr">
        <is>
          <t>ACEPTABLE</t>
        </is>
      </c>
      <c r="X41" s="80" t="inlineStr">
        <is>
          <t>-</t>
        </is>
      </c>
      <c r="Y41" s="80" t="inlineStr">
        <is>
          <t>-</t>
        </is>
      </c>
      <c r="Z41" s="80" t="inlineStr">
        <is>
          <t>-</t>
        </is>
      </c>
    </row>
    <row r="42" hidden="1" ht="33" customHeight="1" s="98">
      <c r="A42" s="56" t="inlineStr">
        <is>
          <t>69-GTI</t>
        </is>
      </c>
      <c r="B42" s="4" t="inlineStr">
        <is>
          <t>UTM Fortinet</t>
        </is>
      </c>
      <c r="C42" s="4" t="inlineStr">
        <is>
          <t>Revision y categorizacion urls y sitios peligrosos</t>
        </is>
      </c>
      <c r="D42" s="64" t="inlineStr">
        <is>
          <t>[SW] Software - Aplicaciones informáticas</t>
        </is>
      </c>
      <c r="E42" s="34" t="inlineStr">
        <is>
          <t>[A.6] Abuso de privilegios de acceso</t>
        </is>
      </c>
      <c r="F42" s="34">
        <f>+VLOOKUP(E42,'CATALOGO AMENAZA'!$B$2:$D$46,3,FALSE)</f>
        <v/>
      </c>
      <c r="G42" s="34" t="inlineStr">
        <is>
          <t>X</t>
        </is>
      </c>
      <c r="H42" s="34" t="inlineStr">
        <is>
          <t>X</t>
        </is>
      </c>
      <c r="I42" s="34" t="inlineStr">
        <is>
          <t>X</t>
        </is>
      </c>
      <c r="J42" s="34" t="n">
        <v>2</v>
      </c>
      <c r="K42" s="34" t="n">
        <v>2</v>
      </c>
      <c r="L42" s="34">
        <f>+J42*K42</f>
        <v/>
      </c>
      <c r="M42" s="34">
        <f>+IF(L42&lt;5,"BAJO",IF(L42&lt;10,"MEDIO",IF(L42&lt;17,"ALTO","CRITICO")))</f>
        <v/>
      </c>
      <c r="N42" s="4" t="inlineStr">
        <is>
          <t>Registro de logs (FortiAnalyzer)</t>
        </is>
      </c>
      <c r="O42" s="34" t="inlineStr">
        <is>
          <t>DETECTIVO</t>
        </is>
      </c>
      <c r="P42" s="34" t="inlineStr">
        <is>
          <t>Control Implementado sin evidencia de efectividad (Inefectivo prueba)</t>
        </is>
      </c>
      <c r="Q42" s="52" t="n">
        <v>0.3</v>
      </c>
      <c r="R42" s="4" t="inlineStr">
        <is>
          <t>Falta de revisión de perfiles de acceso</t>
        </is>
      </c>
      <c r="S42" s="53">
        <f>+IF(O42="PREVENTIVO",J42*(1-Q42),IF(O42="ADMINISTRACION",J42*(1-Q42),IF(O42="ELIMINACION",J42*(1-Q42),J42)))</f>
        <v/>
      </c>
      <c r="T42" s="53">
        <f>+IF(O42="DETECTIVO",K42*(1-Q42),IF(O42="RECUPERACION",K42*(1-Q42),K42))</f>
        <v/>
      </c>
      <c r="U42" s="54">
        <f>+S42*T42</f>
        <v/>
      </c>
      <c r="V42" s="65">
        <f>+IF(U42&lt;5,"BAJO",IF(U42&lt;10,"MEDIO",IF(U42&lt;17,"ALTO","CRITICO")))</f>
        <v/>
      </c>
      <c r="W42" s="65" t="inlineStr">
        <is>
          <t>ACEPTABLE</t>
        </is>
      </c>
      <c r="X42" s="80" t="inlineStr">
        <is>
          <t>-</t>
        </is>
      </c>
      <c r="Y42" s="80" t="inlineStr">
        <is>
          <t>-</t>
        </is>
      </c>
      <c r="Z42" s="80" t="inlineStr">
        <is>
          <t>-</t>
        </is>
      </c>
    </row>
    <row r="43" hidden="1" ht="33" customHeight="1" s="98">
      <c r="A43" s="56" t="inlineStr">
        <is>
          <t>69-GTI</t>
        </is>
      </c>
      <c r="B43" s="4" t="inlineStr">
        <is>
          <t>UTM Fortinet</t>
        </is>
      </c>
      <c r="C43" s="4" t="inlineStr">
        <is>
          <t>Revision y categorizacion urls y sitios peligrosos</t>
        </is>
      </c>
      <c r="D43" s="64" t="inlineStr">
        <is>
          <t>[SW] Software - Aplicaciones informáticas</t>
        </is>
      </c>
      <c r="E43" s="34" t="inlineStr">
        <is>
          <t>[A.24] Denegación de servicio</t>
        </is>
      </c>
      <c r="F43" s="34">
        <f>+VLOOKUP(E43,'CATALOGO AMENAZA'!$B$2:$D$46,3,FALSE)</f>
        <v/>
      </c>
      <c r="G43" s="34" t="n"/>
      <c r="H43" s="34" t="n"/>
      <c r="I43" s="34" t="inlineStr">
        <is>
          <t>X</t>
        </is>
      </c>
      <c r="J43" s="34" t="n">
        <v>3</v>
      </c>
      <c r="K43" s="34" t="n">
        <v>2</v>
      </c>
      <c r="L43" s="34">
        <f>+J43*K43</f>
        <v/>
      </c>
      <c r="M43" s="34">
        <f>+IF(L43&lt;5,"BAJO",IF(L43&lt;10,"MEDIO",IF(L43&lt;17,"ALTO","CRITICO")))</f>
        <v/>
      </c>
      <c r="N43" s="4" t="inlineStr">
        <is>
          <t>Configuración segura de firewall</t>
        </is>
      </c>
      <c r="O43" s="34" t="inlineStr">
        <is>
          <t>PREVENTIVO</t>
        </is>
      </c>
      <c r="P43" s="34" t="inlineStr">
        <is>
          <t>Control Implementado sin evidencia de efectividad (Inefectivo prueba)</t>
        </is>
      </c>
      <c r="Q43" s="52" t="n">
        <v>0.3</v>
      </c>
      <c r="R43" s="34" t="inlineStr">
        <is>
          <t>Evidencia de validación de las configuraciones</t>
        </is>
      </c>
      <c r="S43" s="53">
        <f>+IF(O43="PREVENTIVO",J43*(1-Q43),IF(O43="ADMINISTRACION",J43*(1-Q43),IF(O43="ELIMINACION",J43*(1-Q43),J43)))</f>
        <v/>
      </c>
      <c r="T43" s="53">
        <f>+IF(O43="DETECTIVO",K43*(1-Q43),IF(O43="RECUPERACION",K43*(1-Q43),K43))</f>
        <v/>
      </c>
      <c r="U43" s="54">
        <f>+S43*T43</f>
        <v/>
      </c>
      <c r="V43" s="65">
        <f>+IF(U43&lt;5,"BAJO",IF(U43&lt;10,"MEDIO",IF(U43&lt;17,"ALTO","CRITICO")))</f>
        <v/>
      </c>
      <c r="W43" s="65" t="inlineStr">
        <is>
          <t>ACEPTABLE</t>
        </is>
      </c>
      <c r="X43" s="80" t="inlineStr">
        <is>
          <t>-</t>
        </is>
      </c>
      <c r="Y43" s="80" t="inlineStr">
        <is>
          <t>-</t>
        </is>
      </c>
      <c r="Z43" s="80" t="inlineStr">
        <is>
          <t>-</t>
        </is>
      </c>
    </row>
    <row r="44" hidden="1" ht="41" customHeight="1" s="98">
      <c r="A44" s="56" t="inlineStr">
        <is>
          <t>69-GTI</t>
        </is>
      </c>
      <c r="B44" s="4" t="inlineStr">
        <is>
          <t>UTM Fortinet</t>
        </is>
      </c>
      <c r="C44" s="4" t="inlineStr">
        <is>
          <t>Revision y categorizacion urls y sitios peligrosos</t>
        </is>
      </c>
      <c r="D44" s="64" t="inlineStr">
        <is>
          <t>[SW] Software - Aplicaciones informáticas</t>
        </is>
      </c>
      <c r="E44" s="34" t="inlineStr">
        <is>
          <t>[E.2] Errores del administrador</t>
        </is>
      </c>
      <c r="F44" s="34">
        <f>+VLOOKUP(E44,'CATALOGO AMENAZA'!$B$2:$D$46,3,FALSE)</f>
        <v/>
      </c>
      <c r="G44" s="34" t="inlineStr">
        <is>
          <t>X</t>
        </is>
      </c>
      <c r="H44" s="34" t="inlineStr">
        <is>
          <t>X</t>
        </is>
      </c>
      <c r="I44" s="34" t="inlineStr">
        <is>
          <t>X</t>
        </is>
      </c>
      <c r="J44" s="34" t="n">
        <v>2</v>
      </c>
      <c r="K44" s="34" t="n">
        <v>3</v>
      </c>
      <c r="L44" s="34">
        <f>+J44*K44</f>
        <v/>
      </c>
      <c r="M44" s="34">
        <f>+IF(L44&lt;5,"BAJO",IF(L44&lt;10,"MEDIO",IF(L44&lt;17,"ALTO","CRITICO")))</f>
        <v/>
      </c>
      <c r="N44" s="4" t="inlineStr">
        <is>
          <t>Control de cambios en los sistemas
Verificación posterior (informe)</t>
        </is>
      </c>
      <c r="O44" s="34" t="inlineStr">
        <is>
          <t>ADMINISTRACION</t>
        </is>
      </c>
      <c r="P44" s="34" t="inlineStr">
        <is>
          <t>Control Implementado sin evidencia de efectividad (Inefectivo prueba)</t>
        </is>
      </c>
      <c r="Q44" s="52" t="n">
        <v>0.3</v>
      </c>
      <c r="R44" s="4" t="inlineStr">
        <is>
          <t>No existe procedimiento formal de gestión de cambios</t>
        </is>
      </c>
      <c r="S44" s="53">
        <f>+IF(O44="PREVENTIVO",J44*(1-Q44),IF(O44="ADMINISTRACION",J44*(1-Q44),IF(O44="ELIMINACION",J44*(1-Q44),J44)))</f>
        <v/>
      </c>
      <c r="T44" s="53">
        <f>+IF(O44="DETECTIVO",K44*(1-Q44),IF(O44="RECUPERACION",K44*(1-Q44),K44))</f>
        <v/>
      </c>
      <c r="U44" s="54">
        <f>+S44*T44</f>
        <v/>
      </c>
      <c r="V44" s="65">
        <f>+IF(U44&lt;5,"BAJO",IF(U44&lt;10,"MEDIO",IF(U44&lt;17,"ALTO","CRITICO")))</f>
        <v/>
      </c>
      <c r="W44" s="65" t="inlineStr">
        <is>
          <t>ACEPTABLE</t>
        </is>
      </c>
      <c r="X44" s="80" t="inlineStr">
        <is>
          <t>-</t>
        </is>
      </c>
      <c r="Y44" s="80" t="inlineStr">
        <is>
          <t>-</t>
        </is>
      </c>
      <c r="Z44" s="80" t="inlineStr">
        <is>
          <t>-</t>
        </is>
      </c>
    </row>
    <row r="45" hidden="1" ht="92" customHeight="1" s="98">
      <c r="A45" s="56" t="inlineStr">
        <is>
          <t>69-GTI</t>
        </is>
      </c>
      <c r="B45" s="4" t="inlineStr">
        <is>
          <t>UTM Fortinet</t>
        </is>
      </c>
      <c r="C45" s="4" t="inlineStr">
        <is>
          <t>Revision y categorizacion urls y sitios peligrosos</t>
        </is>
      </c>
      <c r="D45" s="64" t="inlineStr">
        <is>
          <t>[SW] Software - Aplicaciones informáticas</t>
        </is>
      </c>
      <c r="E45" s="34" t="inlineStr">
        <is>
          <t>[E.24] Caída del sistema por agotamiento de recursos</t>
        </is>
      </c>
      <c r="F45" s="34">
        <f>+VLOOKUP(E45,'CATALOGO AMENAZA'!$B$2:$D$46,3,FALSE)</f>
        <v/>
      </c>
      <c r="G45" s="34" t="n"/>
      <c r="H45" s="34" t="n"/>
      <c r="I45" s="34" t="inlineStr">
        <is>
          <t>X</t>
        </is>
      </c>
      <c r="J45" s="34" t="n">
        <v>3</v>
      </c>
      <c r="K45" s="34" t="n">
        <v>3</v>
      </c>
      <c r="L45" s="34">
        <f>+J45*K45</f>
        <v/>
      </c>
      <c r="M45" s="34">
        <f>+IF(L45&lt;5,"BAJO",IF(L45&lt;10,"MEDIO",IF(L45&lt;17,"ALTO","CRITICO")))</f>
        <v/>
      </c>
      <c r="N45" s="4" t="inlineStr">
        <is>
          <t>Monitoreo de Servidores presenta en el procedimiento operativo  Administración de Servidores en el Manua de Gestión de las Operaciones de TI</t>
        </is>
      </c>
      <c r="O45" s="34" t="inlineStr">
        <is>
          <t>PREVENTIVO</t>
        </is>
      </c>
      <c r="P45" s="34" t="inlineStr">
        <is>
          <t>Control Implementado sin evidencia de efectividad (Inefectivo prueba)</t>
        </is>
      </c>
      <c r="Q45" s="52" t="n">
        <v>0.4</v>
      </c>
      <c r="R45" s="4" t="inlineStr">
        <is>
          <t>Falta de alertas automáticas</t>
        </is>
      </c>
      <c r="S45" s="53">
        <f>+IF(O45="PREVENTIVO",J45*(1-Q45),IF(O45="ADMINISTRACION",J45*(1-Q45),IF(O45="ELIMINACION",J45*(1-Q45),J45)))</f>
        <v/>
      </c>
      <c r="T45" s="53">
        <f>+IF(O45="DETECTIVO",K45*(1-Q45),IF(O45="RECUPERACION",K45*(1-Q45),K45))</f>
        <v/>
      </c>
      <c r="U45" s="54">
        <f>+S45*T45</f>
        <v/>
      </c>
      <c r="V45" s="65">
        <f>+IF(U45&lt;5,"BAJO",IF(U45&lt;10,"MEDIO",IF(U45&lt;17,"ALTO","CRITICO")))</f>
        <v/>
      </c>
      <c r="W45" s="87" t="inlineStr">
        <is>
          <t>MITIGAR</t>
        </is>
      </c>
      <c r="X45" s="80" t="inlineStr">
        <is>
          <t>-</t>
        </is>
      </c>
      <c r="Y45" s="80" t="inlineStr">
        <is>
          <t>-</t>
        </is>
      </c>
      <c r="Z45" s="80" t="inlineStr">
        <is>
          <t>-</t>
        </is>
      </c>
    </row>
    <row r="46" hidden="1" ht="30.5" customHeight="1" s="98">
      <c r="A46" s="56" t="inlineStr">
        <is>
          <t>70-GTI</t>
        </is>
      </c>
      <c r="B46" s="4" t="inlineStr">
        <is>
          <t>Eset Endpoint Security</t>
        </is>
      </c>
      <c r="C46" s="4" t="inlineStr">
        <is>
          <t>Herramienta de control de software malicioso</t>
        </is>
      </c>
      <c r="D46" s="64" t="inlineStr">
        <is>
          <t>[SW] Software - Aplicaciones informáticas</t>
        </is>
      </c>
      <c r="E46" s="34" t="inlineStr">
        <is>
          <t>[A.11] Acceso no autorizado</t>
        </is>
      </c>
      <c r="F46" s="34">
        <f>+VLOOKUP(E46,'CATALOGO AMENAZA'!$B$2:$D$46,3,FALSE)</f>
        <v/>
      </c>
      <c r="G46" s="34" t="inlineStr">
        <is>
          <t>X</t>
        </is>
      </c>
      <c r="H46" s="34" t="inlineStr">
        <is>
          <t>X</t>
        </is>
      </c>
      <c r="I46" s="34" t="n"/>
      <c r="J46" s="34" t="n">
        <v>1</v>
      </c>
      <c r="K46" s="34" t="n">
        <v>4</v>
      </c>
      <c r="L46" s="34">
        <f>+J46*K46</f>
        <v/>
      </c>
      <c r="M46" s="34">
        <f>+IF(L46&lt;5,"BAJO",IF(L46&lt;10,"MEDIO",IF(L46&lt;17,"ALTO","CRITICO")))</f>
        <v/>
      </c>
      <c r="N46" s="4" t="inlineStr">
        <is>
          <t>Control de accesos</t>
        </is>
      </c>
      <c r="O46" s="34" t="inlineStr">
        <is>
          <t>PREVENTIVO</t>
        </is>
      </c>
      <c r="P46" s="34" t="inlineStr">
        <is>
          <t>Control Implementado sin evidencia de efectividad (Inefectivo prueba)</t>
        </is>
      </c>
      <c r="Q46" s="52" t="n">
        <v>0.3</v>
      </c>
      <c r="R46" s="4" t="inlineStr">
        <is>
          <t>Usuarios genéricos</t>
        </is>
      </c>
      <c r="S46" s="53">
        <f>+IF(O46="PREVENTIVO",J46*(1-Q46),IF(O46="ADMINISTRACION",J46*(1-Q46),IF(O46="ELIMINACION",J46*(1-Q46),J46)))</f>
        <v/>
      </c>
      <c r="T46" s="53">
        <f>+IF(O46="DETECTIVO",K46*(1-Q46),IF(O46="RECUPERACION",K46*(1-Q46),K46))</f>
        <v/>
      </c>
      <c r="U46" s="54">
        <f>+S46*T46</f>
        <v/>
      </c>
      <c r="V46" s="65">
        <f>+IF(U46&lt;5,"BAJO",IF(U46&lt;10,"MEDIO",IF(U46&lt;17,"ALTO","CRITICO")))</f>
        <v/>
      </c>
      <c r="W46" s="65" t="inlineStr">
        <is>
          <t>ACEPTABLE</t>
        </is>
      </c>
      <c r="X46" s="80" t="inlineStr">
        <is>
          <t>-</t>
        </is>
      </c>
      <c r="Y46" s="80" t="inlineStr">
        <is>
          <t>-</t>
        </is>
      </c>
      <c r="Z46" s="80" t="inlineStr">
        <is>
          <t>-</t>
        </is>
      </c>
    </row>
    <row r="47" hidden="1" ht="34.5" customHeight="1" s="98">
      <c r="A47" s="56" t="inlineStr">
        <is>
          <t>70-GTI</t>
        </is>
      </c>
      <c r="B47" s="4" t="inlineStr">
        <is>
          <t>Eset Endpoint Security</t>
        </is>
      </c>
      <c r="C47" s="4" t="inlineStr">
        <is>
          <t>Herramienta de control de software malicioso</t>
        </is>
      </c>
      <c r="D47" s="64" t="inlineStr">
        <is>
          <t>[SW] Software - Aplicaciones informáticas</t>
        </is>
      </c>
      <c r="E47" s="34" t="inlineStr">
        <is>
          <t>[A.23] Manipulación de los equipos</t>
        </is>
      </c>
      <c r="F47" s="34">
        <f>+VLOOKUP(E47,'CATALOGO AMENAZA'!$B$2:$D$46,3,FALSE)</f>
        <v/>
      </c>
      <c r="G47" s="34" t="inlineStr">
        <is>
          <t>X</t>
        </is>
      </c>
      <c r="H47" s="34" t="n"/>
      <c r="I47" s="34" t="inlineStr">
        <is>
          <t>X</t>
        </is>
      </c>
      <c r="J47" s="34" t="n">
        <v>3</v>
      </c>
      <c r="K47" s="34" t="n">
        <v>3</v>
      </c>
      <c r="L47" s="34">
        <f>+J47*K47</f>
        <v/>
      </c>
      <c r="M47" s="34">
        <f>+IF(L47&lt;5,"BAJO",IF(L47&lt;10,"MEDIO",IF(L47&lt;17,"ALTO","CRITICO")))</f>
        <v/>
      </c>
      <c r="N47" s="4" t="inlineStr">
        <is>
          <t>Control de accesos</t>
        </is>
      </c>
      <c r="O47" s="34" t="inlineStr">
        <is>
          <t>PREVENTIVO</t>
        </is>
      </c>
      <c r="P47" s="34" t="inlineStr">
        <is>
          <t>Control Implementado sin evidencia de efectividad (Inefectivo prueba)</t>
        </is>
      </c>
      <c r="Q47" s="52" t="n">
        <v>0.3</v>
      </c>
      <c r="R47" s="4" t="inlineStr">
        <is>
          <t>Usuarios genéricos</t>
        </is>
      </c>
      <c r="S47" s="53">
        <f>+IF(O47="PREVENTIVO",J47*(1-Q47),IF(O47="ADMINISTRACION",J47*(1-Q47),IF(O47="ELIMINACION",J47*(1-Q47),J47)))</f>
        <v/>
      </c>
      <c r="T47" s="53">
        <f>+IF(O47="DETECTIVO",K47*(1-Q47),IF(O47="RECUPERACION",K47*(1-Q47),K47))</f>
        <v/>
      </c>
      <c r="U47" s="54">
        <f>+S47*T47</f>
        <v/>
      </c>
      <c r="V47" s="65">
        <f>+IF(U47&lt;5,"BAJO",IF(U47&lt;10,"MEDIO",IF(U47&lt;17,"ALTO","CRITICO")))</f>
        <v/>
      </c>
      <c r="W47" s="87" t="inlineStr">
        <is>
          <t>MITIGAR</t>
        </is>
      </c>
      <c r="X47" s="80" t="inlineStr">
        <is>
          <t>-</t>
        </is>
      </c>
      <c r="Y47" s="80" t="inlineStr">
        <is>
          <t>-</t>
        </is>
      </c>
      <c r="Z47" s="80" t="inlineStr">
        <is>
          <t>-</t>
        </is>
      </c>
    </row>
    <row r="48" hidden="1" ht="34.5" customHeight="1" s="98">
      <c r="A48" s="56" t="inlineStr">
        <is>
          <t>70-GTI</t>
        </is>
      </c>
      <c r="B48" s="4" t="inlineStr">
        <is>
          <t>Eset Endpoint Security</t>
        </is>
      </c>
      <c r="C48" s="4" t="inlineStr">
        <is>
          <t>Herramienta de control de software malicioso</t>
        </is>
      </c>
      <c r="D48" s="64" t="inlineStr">
        <is>
          <t>[SW] Software - Aplicaciones informáticas</t>
        </is>
      </c>
      <c r="E48" s="34" t="inlineStr">
        <is>
          <t>[A.6] Abuso de privilegios de acceso</t>
        </is>
      </c>
      <c r="F48" s="34">
        <f>+VLOOKUP(E48,'CATALOGO AMENAZA'!$B$2:$D$46,3,FALSE)</f>
        <v/>
      </c>
      <c r="G48" s="34" t="inlineStr">
        <is>
          <t>X</t>
        </is>
      </c>
      <c r="H48" s="34" t="inlineStr">
        <is>
          <t>X</t>
        </is>
      </c>
      <c r="I48" s="34" t="inlineStr">
        <is>
          <t>X</t>
        </is>
      </c>
      <c r="J48" s="34" t="n">
        <v>2</v>
      </c>
      <c r="K48" s="34" t="n">
        <v>4</v>
      </c>
      <c r="L48" s="34">
        <f>+J48*K48</f>
        <v/>
      </c>
      <c r="M48" s="34">
        <f>+IF(L48&lt;5,"BAJO",IF(L48&lt;10,"MEDIO",IF(L48&lt;17,"ALTO","CRITICO")))</f>
        <v/>
      </c>
      <c r="N48" s="4" t="inlineStr">
        <is>
          <t>Registro de logs (FortiAnalyzer)</t>
        </is>
      </c>
      <c r="O48" s="34" t="inlineStr">
        <is>
          <t>DETECTIVO</t>
        </is>
      </c>
      <c r="P48" s="34" t="inlineStr">
        <is>
          <t>Control Implementado sin evidencia de efectividad (Inefectivo prueba)</t>
        </is>
      </c>
      <c r="Q48" s="52" t="n">
        <v>0.3</v>
      </c>
      <c r="R48" s="4" t="inlineStr">
        <is>
          <t>Falta de revisión de perfiles de acceso</t>
        </is>
      </c>
      <c r="S48" s="53">
        <f>+IF(O48="PREVENTIVO",J48*(1-Q48),IF(O48="ADMINISTRACION",J48*(1-Q48),IF(O48="ELIMINACION",J48*(1-Q48),J48)))</f>
        <v/>
      </c>
      <c r="T48" s="53">
        <f>+IF(O48="DETECTIVO",K48*(1-Q48),IF(O48="RECUPERACION",K48*(1-Q48),K48))</f>
        <v/>
      </c>
      <c r="U48" s="54">
        <f>+S48*T48</f>
        <v/>
      </c>
      <c r="V48" s="65">
        <f>+IF(U48&lt;5,"BAJO",IF(U48&lt;10,"MEDIO",IF(U48&lt;17,"ALTO","CRITICO")))</f>
        <v/>
      </c>
      <c r="W48" s="87" t="inlineStr">
        <is>
          <t>MITIGAR</t>
        </is>
      </c>
      <c r="X48" s="80" t="inlineStr">
        <is>
          <t>-</t>
        </is>
      </c>
      <c r="Y48" s="80" t="inlineStr">
        <is>
          <t>-</t>
        </is>
      </c>
      <c r="Z48" s="80" t="inlineStr">
        <is>
          <t>-</t>
        </is>
      </c>
    </row>
    <row r="49" hidden="1" ht="34.5" customHeight="1" s="98">
      <c r="A49" s="56" t="inlineStr">
        <is>
          <t>70-GTI</t>
        </is>
      </c>
      <c r="B49" s="4" t="inlineStr">
        <is>
          <t>Eset Endpoint Security</t>
        </is>
      </c>
      <c r="C49" s="4" t="inlineStr">
        <is>
          <t>Herramienta de control de software malicioso</t>
        </is>
      </c>
      <c r="D49" s="64" t="inlineStr">
        <is>
          <t>[SW] Software - Aplicaciones informáticas</t>
        </is>
      </c>
      <c r="E49" s="34" t="inlineStr">
        <is>
          <t>[A.24] Denegación de servicio</t>
        </is>
      </c>
      <c r="F49" s="34">
        <f>+VLOOKUP(E49,'CATALOGO AMENAZA'!$B$2:$D$46,3,FALSE)</f>
        <v/>
      </c>
      <c r="G49" s="34" t="n"/>
      <c r="H49" s="34" t="n"/>
      <c r="I49" s="34" t="inlineStr">
        <is>
          <t>X</t>
        </is>
      </c>
      <c r="J49" s="34" t="n">
        <v>3</v>
      </c>
      <c r="K49" s="34" t="n">
        <v>4</v>
      </c>
      <c r="L49" s="34">
        <f>+J49*K49</f>
        <v/>
      </c>
      <c r="M49" s="34">
        <f>+IF(L49&lt;5,"BAJO",IF(L49&lt;10,"MEDIO",IF(L49&lt;17,"ALTO","CRITICO")))</f>
        <v/>
      </c>
      <c r="N49" s="4" t="inlineStr">
        <is>
          <t>Configuración segura de firewall</t>
        </is>
      </c>
      <c r="O49" s="34" t="inlineStr">
        <is>
          <t>PREVENTIVO</t>
        </is>
      </c>
      <c r="P49" s="34" t="inlineStr">
        <is>
          <t>Control Implementado sin evidencia de efectividad (Inefectivo prueba)</t>
        </is>
      </c>
      <c r="Q49" s="52" t="n">
        <v>0.3</v>
      </c>
      <c r="R49" s="34" t="inlineStr">
        <is>
          <t>Evidencia de validación de las configuraciones</t>
        </is>
      </c>
      <c r="S49" s="53">
        <f>+IF(O49="PREVENTIVO",J49*(1-Q49),IF(O49="ADMINISTRACION",J49*(1-Q49),IF(O49="ELIMINACION",J49*(1-Q49),J49)))</f>
        <v/>
      </c>
      <c r="T49" s="53">
        <f>+IF(O49="DETECTIVO",K49*(1-Q49),IF(O49="RECUPERACION",K49*(1-Q49),K49))</f>
        <v/>
      </c>
      <c r="U49" s="54">
        <f>+S49*T49</f>
        <v/>
      </c>
      <c r="V49" s="65">
        <f>+IF(U49&lt;5,"BAJO",IF(U49&lt;10,"MEDIO",IF(U49&lt;17,"ALTO","CRITICO")))</f>
        <v/>
      </c>
      <c r="W49" s="87" t="inlineStr">
        <is>
          <t>MITIGAR</t>
        </is>
      </c>
      <c r="X49" s="80" t="inlineStr">
        <is>
          <t>-</t>
        </is>
      </c>
      <c r="Y49" s="80" t="inlineStr">
        <is>
          <t>-</t>
        </is>
      </c>
      <c r="Z49" s="80" t="inlineStr">
        <is>
          <t>-</t>
        </is>
      </c>
    </row>
    <row r="50" hidden="1" ht="22.5" customHeight="1" s="98">
      <c r="A50" s="56" t="inlineStr">
        <is>
          <t>70-GTI</t>
        </is>
      </c>
      <c r="B50" s="4" t="inlineStr">
        <is>
          <t>Eset Endpoint Security</t>
        </is>
      </c>
      <c r="C50" s="4" t="inlineStr">
        <is>
          <t>Herramienta de control de software malicioso</t>
        </is>
      </c>
      <c r="D50" s="64" t="inlineStr">
        <is>
          <t>[SW] Software - Aplicaciones informáticas</t>
        </is>
      </c>
      <c r="E50" s="34" t="inlineStr">
        <is>
          <t>[E.2] Errores del administrador</t>
        </is>
      </c>
      <c r="F50" s="34">
        <f>+VLOOKUP(E50,'CATALOGO AMENAZA'!$B$2:$D$46,3,FALSE)</f>
        <v/>
      </c>
      <c r="G50" s="34" t="inlineStr">
        <is>
          <t>X</t>
        </is>
      </c>
      <c r="H50" s="34" t="inlineStr">
        <is>
          <t>X</t>
        </is>
      </c>
      <c r="I50" s="34" t="inlineStr">
        <is>
          <t>X</t>
        </is>
      </c>
      <c r="J50" s="34" t="n">
        <v>2</v>
      </c>
      <c r="K50" s="34" t="n">
        <v>3</v>
      </c>
      <c r="L50" s="34">
        <f>+J50*K50</f>
        <v/>
      </c>
      <c r="M50" s="34">
        <f>+IF(L50&lt;5,"BAJO",IF(L50&lt;10,"MEDIO",IF(L50&lt;17,"ALTO","CRITICO")))</f>
        <v/>
      </c>
      <c r="N50" s="4" t="inlineStr">
        <is>
          <t>Control de cambios en los sistemas
Verificación posterior (informe)</t>
        </is>
      </c>
      <c r="O50" s="34" t="inlineStr">
        <is>
          <t>ADMINISTRACION</t>
        </is>
      </c>
      <c r="P50" s="34" t="inlineStr">
        <is>
          <t>Control Implementado sin evidencia de efectividad (Inefectivo prueba)</t>
        </is>
      </c>
      <c r="Q50" s="52" t="n">
        <v>0.3</v>
      </c>
      <c r="R50" s="4" t="inlineStr">
        <is>
          <t>No existe procedimiento formal de gestión de cambios</t>
        </is>
      </c>
      <c r="S50" s="53">
        <f>+IF(O50="PREVENTIVO",J50*(1-Q50),IF(O50="ADMINISTRACION",J50*(1-Q50),IF(O50="ELIMINACION",J50*(1-Q50),J50)))</f>
        <v/>
      </c>
      <c r="T50" s="53">
        <f>+IF(O50="DETECTIVO",K50*(1-Q50),IF(O50="RECUPERACION",K50*(1-Q50),K50))</f>
        <v/>
      </c>
      <c r="U50" s="54">
        <f>+S50*T50</f>
        <v/>
      </c>
      <c r="V50" s="65">
        <f>+IF(U50&lt;5,"BAJO",IF(U50&lt;10,"MEDIO",IF(U50&lt;17,"ALTO","CRITICO")))</f>
        <v/>
      </c>
      <c r="W50" s="65" t="inlineStr">
        <is>
          <t>ACEPTABLE</t>
        </is>
      </c>
      <c r="X50" s="80" t="inlineStr">
        <is>
          <t>-</t>
        </is>
      </c>
      <c r="Y50" s="80" t="inlineStr">
        <is>
          <t>-</t>
        </is>
      </c>
      <c r="Z50" s="80" t="inlineStr">
        <is>
          <t>-</t>
        </is>
      </c>
    </row>
    <row r="51" hidden="1" ht="92" customHeight="1" s="98">
      <c r="A51" s="56" t="inlineStr">
        <is>
          <t>70-GTI</t>
        </is>
      </c>
      <c r="B51" s="4" t="inlineStr">
        <is>
          <t>Eset Endpoint Security</t>
        </is>
      </c>
      <c r="C51" s="4" t="inlineStr">
        <is>
          <t>Herramienta de control de software malicioso</t>
        </is>
      </c>
      <c r="D51" s="64" t="inlineStr">
        <is>
          <t>[SW] Software - Aplicaciones informáticas</t>
        </is>
      </c>
      <c r="E51" s="34" t="inlineStr">
        <is>
          <t>[E.24] Caída del sistema por agotamiento de recursos</t>
        </is>
      </c>
      <c r="F51" s="34">
        <f>+VLOOKUP(E51,'CATALOGO AMENAZA'!$B$2:$D$46,3,FALSE)</f>
        <v/>
      </c>
      <c r="G51" s="34" t="n"/>
      <c r="H51" s="34" t="n"/>
      <c r="I51" s="34" t="inlineStr">
        <is>
          <t>X</t>
        </is>
      </c>
      <c r="J51" s="34" t="n">
        <v>3</v>
      </c>
      <c r="K51" s="34" t="n">
        <v>3</v>
      </c>
      <c r="L51" s="34">
        <f>+J51*K51</f>
        <v/>
      </c>
      <c r="M51" s="34">
        <f>+IF(L51&lt;5,"BAJO",IF(L51&lt;10,"MEDIO",IF(L51&lt;17,"ALTO","CRITICO")))</f>
        <v/>
      </c>
      <c r="N51" s="4" t="inlineStr">
        <is>
          <t>Monitoreo de Servidores presenta en el procedimiento operativo  Administración de Servidores en el Manua de Gestión de las Operaciones de TI</t>
        </is>
      </c>
      <c r="O51" s="34" t="inlineStr">
        <is>
          <t>PREVENTIVO</t>
        </is>
      </c>
      <c r="P51" s="34" t="inlineStr">
        <is>
          <t>Control Implementado sin evidencia de efectividad (Inefectivo prueba)</t>
        </is>
      </c>
      <c r="Q51" s="52" t="n">
        <v>0.4</v>
      </c>
      <c r="R51" s="4" t="inlineStr">
        <is>
          <t>Falta de alertas automáticas</t>
        </is>
      </c>
      <c r="S51" s="53">
        <f>+IF(O51="PREVENTIVO",J51*(1-Q51),IF(O51="ADMINISTRACION",J51*(1-Q51),IF(O51="ELIMINACION",J51*(1-Q51),J51)))</f>
        <v/>
      </c>
      <c r="T51" s="53">
        <f>+IF(O51="DETECTIVO",K51*(1-Q51),IF(O51="RECUPERACION",K51*(1-Q51),K51))</f>
        <v/>
      </c>
      <c r="U51" s="54">
        <f>+S51*T51</f>
        <v/>
      </c>
      <c r="V51" s="65">
        <f>+IF(U51&lt;5,"BAJO",IF(U51&lt;10,"MEDIO",IF(U51&lt;17,"ALTO","CRITICO")))</f>
        <v/>
      </c>
      <c r="W51" s="87" t="inlineStr">
        <is>
          <t>MITIGAR</t>
        </is>
      </c>
      <c r="X51" s="80" t="inlineStr">
        <is>
          <t>-</t>
        </is>
      </c>
      <c r="Y51" s="80" t="inlineStr">
        <is>
          <t>-</t>
        </is>
      </c>
      <c r="Z51" s="80" t="inlineStr">
        <is>
          <t>-</t>
        </is>
      </c>
    </row>
    <row r="52" hidden="1" ht="22.5" customHeight="1" s="98">
      <c r="A52" s="56" t="inlineStr">
        <is>
          <t>71-GTI</t>
        </is>
      </c>
      <c r="B52" s="4" t="inlineStr">
        <is>
          <t>FortiMail</t>
        </is>
      </c>
      <c r="C52" s="4" t="inlineStr">
        <is>
          <t>Control de correo no deseado Antispam</t>
        </is>
      </c>
      <c r="D52" s="64" t="inlineStr">
        <is>
          <t>[SW] Software - Aplicaciones informáticas</t>
        </is>
      </c>
      <c r="E52" s="34" t="inlineStr">
        <is>
          <t>[A.11] Acceso no autorizado</t>
        </is>
      </c>
      <c r="F52" s="34">
        <f>+VLOOKUP(E52,'CATALOGO AMENAZA'!$B$2:$D$46,3,FALSE)</f>
        <v/>
      </c>
      <c r="G52" s="34" t="inlineStr">
        <is>
          <t>X</t>
        </is>
      </c>
      <c r="H52" s="34" t="inlineStr">
        <is>
          <t>X</t>
        </is>
      </c>
      <c r="I52" s="34" t="n"/>
      <c r="J52" s="34" t="n">
        <v>3</v>
      </c>
      <c r="K52" s="34" t="n">
        <v>4</v>
      </c>
      <c r="L52" s="34">
        <f>+J52*K52</f>
        <v/>
      </c>
      <c r="M52" s="34">
        <f>+IF(L52&lt;5,"BAJO",IF(L52&lt;10,"MEDIO",IF(L52&lt;17,"ALTO","CRITICO")))</f>
        <v/>
      </c>
      <c r="N52" s="4" t="inlineStr">
        <is>
          <t>Control de accesos</t>
        </is>
      </c>
      <c r="O52" s="34" t="inlineStr">
        <is>
          <t>PREVENTIVO</t>
        </is>
      </c>
      <c r="P52" s="34" t="inlineStr">
        <is>
          <t>Control Implementado sin evidencia de efectividad (Inefectivo prueba)</t>
        </is>
      </c>
      <c r="Q52" s="52" t="n">
        <v>0.3</v>
      </c>
      <c r="R52" s="4" t="inlineStr">
        <is>
          <t>Usuarios genéricos</t>
        </is>
      </c>
      <c r="S52" s="53">
        <f>+IF(O52="PREVENTIVO",J52*(1-Q52),IF(O52="ADMINISTRACION",J52*(1-Q52),IF(O52="ELIMINACION",J52*(1-Q52),J52)))</f>
        <v/>
      </c>
      <c r="T52" s="53">
        <f>+IF(O52="DETECTIVO",K52*(1-Q52),IF(O52="RECUPERACION",K52*(1-Q52),K52))</f>
        <v/>
      </c>
      <c r="U52" s="54">
        <f>+S52*T52</f>
        <v/>
      </c>
      <c r="V52" s="65">
        <f>+IF(U52&lt;5,"BAJO",IF(U52&lt;10,"MEDIO",IF(U52&lt;17,"ALTO","CRITICO")))</f>
        <v/>
      </c>
      <c r="W52" s="87" t="inlineStr">
        <is>
          <t>MITIGAR</t>
        </is>
      </c>
      <c r="X52" s="80" t="inlineStr">
        <is>
          <t>-</t>
        </is>
      </c>
      <c r="Y52" s="80" t="inlineStr">
        <is>
          <t>-</t>
        </is>
      </c>
      <c r="Z52" s="80" t="inlineStr">
        <is>
          <t>-</t>
        </is>
      </c>
    </row>
    <row r="53" hidden="1" ht="22.5" customHeight="1" s="98">
      <c r="A53" s="56" t="inlineStr">
        <is>
          <t>71-GTI</t>
        </is>
      </c>
      <c r="B53" s="4" t="inlineStr">
        <is>
          <t>FortiMail</t>
        </is>
      </c>
      <c r="C53" s="4" t="inlineStr">
        <is>
          <t>Control de correo no deseado Antispam</t>
        </is>
      </c>
      <c r="D53" s="64" t="inlineStr">
        <is>
          <t>[SW] Software - Aplicaciones informáticas</t>
        </is>
      </c>
      <c r="E53" s="34" t="inlineStr">
        <is>
          <t>[A.23] Manipulación de los equipos</t>
        </is>
      </c>
      <c r="F53" s="34">
        <f>+VLOOKUP(E53,'CATALOGO AMENAZA'!$B$2:$D$46,3,FALSE)</f>
        <v/>
      </c>
      <c r="G53" s="34" t="inlineStr">
        <is>
          <t>X</t>
        </is>
      </c>
      <c r="H53" s="34" t="n"/>
      <c r="I53" s="34" t="inlineStr">
        <is>
          <t>X</t>
        </is>
      </c>
      <c r="J53" s="34" t="n">
        <v>1</v>
      </c>
      <c r="K53" s="34" t="n">
        <v>3</v>
      </c>
      <c r="L53" s="34">
        <f>+J53*K53</f>
        <v/>
      </c>
      <c r="M53" s="34">
        <f>+IF(L53&lt;5,"BAJO",IF(L53&lt;10,"MEDIO",IF(L53&lt;17,"ALTO","CRITICO")))</f>
        <v/>
      </c>
      <c r="N53" s="4" t="inlineStr">
        <is>
          <t>Control de accesos</t>
        </is>
      </c>
      <c r="O53" s="34" t="inlineStr">
        <is>
          <t>PREVENTIVO</t>
        </is>
      </c>
      <c r="P53" s="34" t="inlineStr">
        <is>
          <t>Control Implementado sin evidencia de efectividad (Inefectivo prueba)</t>
        </is>
      </c>
      <c r="Q53" s="52" t="n">
        <v>0.3</v>
      </c>
      <c r="R53" s="4" t="inlineStr">
        <is>
          <t>Usuarios genéricos</t>
        </is>
      </c>
      <c r="S53" s="53">
        <f>+IF(O53="PREVENTIVO",J53*(1-Q53),IF(O53="ADMINISTRACION",J53*(1-Q53),IF(O53="ELIMINACION",J53*(1-Q53),J53)))</f>
        <v/>
      </c>
      <c r="T53" s="53">
        <f>+IF(O53="DETECTIVO",K53*(1-Q53),IF(O53="RECUPERACION",K53*(1-Q53),K53))</f>
        <v/>
      </c>
      <c r="U53" s="54">
        <f>+S53*T53</f>
        <v/>
      </c>
      <c r="V53" s="65">
        <f>+IF(U53&lt;5,"BAJO",IF(U53&lt;10,"MEDIO",IF(U53&lt;17,"ALTO","CRITICO")))</f>
        <v/>
      </c>
      <c r="W53" s="65" t="inlineStr">
        <is>
          <t>ACEPTABLE</t>
        </is>
      </c>
      <c r="X53" s="80" t="inlineStr">
        <is>
          <t>-</t>
        </is>
      </c>
      <c r="Y53" s="80" t="inlineStr">
        <is>
          <t>-</t>
        </is>
      </c>
      <c r="Z53" s="80" t="inlineStr">
        <is>
          <t>-</t>
        </is>
      </c>
    </row>
    <row r="54" hidden="1" ht="22.5" customHeight="1" s="98">
      <c r="A54" s="56" t="inlineStr">
        <is>
          <t>71-GTI</t>
        </is>
      </c>
      <c r="B54" s="4" t="inlineStr">
        <is>
          <t>FortiMail</t>
        </is>
      </c>
      <c r="C54" s="4" t="inlineStr">
        <is>
          <t>Control de correo no deseado Antispam</t>
        </is>
      </c>
      <c r="D54" s="64" t="inlineStr">
        <is>
          <t>[SW] Software - Aplicaciones informáticas</t>
        </is>
      </c>
      <c r="E54" s="34" t="inlineStr">
        <is>
          <t>[A.6] Abuso de privilegios de acceso</t>
        </is>
      </c>
      <c r="F54" s="34">
        <f>+VLOOKUP(E54,'CATALOGO AMENAZA'!$B$2:$D$46,3,FALSE)</f>
        <v/>
      </c>
      <c r="G54" s="34" t="inlineStr">
        <is>
          <t>X</t>
        </is>
      </c>
      <c r="H54" s="34" t="inlineStr">
        <is>
          <t>X</t>
        </is>
      </c>
      <c r="I54" s="34" t="inlineStr">
        <is>
          <t>X</t>
        </is>
      </c>
      <c r="J54" s="34" t="n">
        <v>2</v>
      </c>
      <c r="K54" s="34" t="n">
        <v>3</v>
      </c>
      <c r="L54" s="34">
        <f>+J54*K54</f>
        <v/>
      </c>
      <c r="M54" s="34">
        <f>+IF(L54&lt;5,"BAJO",IF(L54&lt;10,"MEDIO",IF(L54&lt;17,"ALTO","CRITICO")))</f>
        <v/>
      </c>
      <c r="N54" s="4" t="inlineStr">
        <is>
          <t>Registro de logs (FortiAnalyzer)</t>
        </is>
      </c>
      <c r="O54" s="34" t="inlineStr">
        <is>
          <t>DETECTIVO</t>
        </is>
      </c>
      <c r="P54" s="34" t="inlineStr">
        <is>
          <t>Control Implementado sin evidencia de efectividad (Inefectivo prueba)</t>
        </is>
      </c>
      <c r="Q54" s="52" t="n">
        <v>0.3</v>
      </c>
      <c r="R54" s="4" t="inlineStr">
        <is>
          <t>Falta de revisión de perfiles de acceso</t>
        </is>
      </c>
      <c r="S54" s="53">
        <f>+IF(O54="PREVENTIVO",J54*(1-Q54),IF(O54="ADMINISTRACION",J54*(1-Q54),IF(O54="ELIMINACION",J54*(1-Q54),J54)))</f>
        <v/>
      </c>
      <c r="T54" s="53">
        <f>+IF(O54="DETECTIVO",K54*(1-Q54),IF(O54="RECUPERACION",K54*(1-Q54),K54))</f>
        <v/>
      </c>
      <c r="U54" s="54">
        <f>+S54*T54</f>
        <v/>
      </c>
      <c r="V54" s="65">
        <f>+IF(U54&lt;5,"BAJO",IF(U54&lt;10,"MEDIO",IF(U54&lt;17,"ALTO","CRITICO")))</f>
        <v/>
      </c>
      <c r="W54" s="65" t="inlineStr">
        <is>
          <t>ACEPTABLE</t>
        </is>
      </c>
      <c r="X54" s="80" t="inlineStr">
        <is>
          <t>-</t>
        </is>
      </c>
      <c r="Y54" s="80" t="inlineStr">
        <is>
          <t>-</t>
        </is>
      </c>
      <c r="Z54" s="80" t="inlineStr">
        <is>
          <t>-</t>
        </is>
      </c>
    </row>
    <row r="55" hidden="1" ht="22.5" customHeight="1" s="98">
      <c r="A55" s="56" t="inlineStr">
        <is>
          <t>71-GTI</t>
        </is>
      </c>
      <c r="B55" s="4" t="inlineStr">
        <is>
          <t>FortiMail</t>
        </is>
      </c>
      <c r="C55" s="4" t="inlineStr">
        <is>
          <t>Control de correo no deseado Antispam</t>
        </is>
      </c>
      <c r="D55" s="64" t="inlineStr">
        <is>
          <t>[SW] Software - Aplicaciones informáticas</t>
        </is>
      </c>
      <c r="E55" s="34" t="inlineStr">
        <is>
          <t>[A.24] Denegación de servicio</t>
        </is>
      </c>
      <c r="F55" s="34">
        <f>+VLOOKUP(E55,'CATALOGO AMENAZA'!$B$2:$D$46,3,FALSE)</f>
        <v/>
      </c>
      <c r="G55" s="34" t="n"/>
      <c r="H55" s="34" t="n"/>
      <c r="I55" s="34" t="inlineStr">
        <is>
          <t>X</t>
        </is>
      </c>
      <c r="J55" s="34" t="n">
        <v>3</v>
      </c>
      <c r="K55" s="34" t="n">
        <v>3</v>
      </c>
      <c r="L55" s="34">
        <f>+J55*K55</f>
        <v/>
      </c>
      <c r="M55" s="34">
        <f>+IF(L55&lt;5,"BAJO",IF(L55&lt;10,"MEDIO",IF(L55&lt;17,"ALTO","CRITICO")))</f>
        <v/>
      </c>
      <c r="N55" s="4" t="inlineStr">
        <is>
          <t>Configuración segura de firewall</t>
        </is>
      </c>
      <c r="O55" s="34" t="inlineStr">
        <is>
          <t>PREVENTIVO</t>
        </is>
      </c>
      <c r="P55" s="34" t="inlineStr">
        <is>
          <t>Control Implementado sin evidencia de efectividad (Inefectivo prueba)</t>
        </is>
      </c>
      <c r="Q55" s="52" t="n">
        <v>0.3</v>
      </c>
      <c r="R55" s="34" t="inlineStr">
        <is>
          <t>Evidencia de validación de las configuraciones</t>
        </is>
      </c>
      <c r="S55" s="53">
        <f>+IF(O55="PREVENTIVO",J55*(1-Q55),IF(O55="ADMINISTRACION",J55*(1-Q55),IF(O55="ELIMINACION",J55*(1-Q55),J55)))</f>
        <v/>
      </c>
      <c r="T55" s="53">
        <f>+IF(O55="DETECTIVO",K55*(1-Q55),IF(O55="RECUPERACION",K55*(1-Q55),K55))</f>
        <v/>
      </c>
      <c r="U55" s="54">
        <f>+S55*T55</f>
        <v/>
      </c>
      <c r="V55" s="65">
        <f>+IF(U55&lt;5,"BAJO",IF(U55&lt;10,"MEDIO",IF(U55&lt;17,"ALTO","CRITICO")))</f>
        <v/>
      </c>
      <c r="W55" s="87" t="inlineStr">
        <is>
          <t>MITIGAR</t>
        </is>
      </c>
      <c r="X55" s="80" t="inlineStr">
        <is>
          <t>-</t>
        </is>
      </c>
      <c r="Y55" s="80" t="inlineStr">
        <is>
          <t>-</t>
        </is>
      </c>
      <c r="Z55" s="80" t="inlineStr">
        <is>
          <t>-</t>
        </is>
      </c>
    </row>
    <row r="56" hidden="1" ht="22.5" customHeight="1" s="98">
      <c r="A56" s="56" t="inlineStr">
        <is>
          <t>71-GTI</t>
        </is>
      </c>
      <c r="B56" s="4" t="inlineStr">
        <is>
          <t>FortiMail</t>
        </is>
      </c>
      <c r="C56" s="4" t="inlineStr">
        <is>
          <t>Control de correo no deseado Antispam</t>
        </is>
      </c>
      <c r="D56" s="64" t="inlineStr">
        <is>
          <t>[SW] Software - Aplicaciones informáticas</t>
        </is>
      </c>
      <c r="E56" s="34" t="inlineStr">
        <is>
          <t>[E.2] Errores del administrador</t>
        </is>
      </c>
      <c r="F56" s="34">
        <f>+VLOOKUP(E56,'CATALOGO AMENAZA'!$B$2:$D$46,3,FALSE)</f>
        <v/>
      </c>
      <c r="G56" s="34" t="inlineStr">
        <is>
          <t>X</t>
        </is>
      </c>
      <c r="H56" s="34" t="inlineStr">
        <is>
          <t>X</t>
        </is>
      </c>
      <c r="I56" s="34" t="inlineStr">
        <is>
          <t>X</t>
        </is>
      </c>
      <c r="J56" s="34" t="n">
        <v>2</v>
      </c>
      <c r="K56" s="34" t="n">
        <v>3</v>
      </c>
      <c r="L56" s="34">
        <f>+J56*K56</f>
        <v/>
      </c>
      <c r="M56" s="34">
        <f>+IF(L56&lt;5,"BAJO",IF(L56&lt;10,"MEDIO",IF(L56&lt;17,"ALTO","CRITICO")))</f>
        <v/>
      </c>
      <c r="N56" s="4" t="inlineStr">
        <is>
          <t>Control de cambios en los sistemas
Verificación posterior (informe)</t>
        </is>
      </c>
      <c r="O56" s="34" t="inlineStr">
        <is>
          <t>ADMINISTRACION</t>
        </is>
      </c>
      <c r="P56" s="34" t="inlineStr">
        <is>
          <t>Control Implementado sin evidencia de efectividad (Inefectivo prueba)</t>
        </is>
      </c>
      <c r="Q56" s="52" t="n">
        <v>0.3</v>
      </c>
      <c r="R56" s="4" t="inlineStr">
        <is>
          <t>No existe procedimiento formal de gestión de cambios</t>
        </is>
      </c>
      <c r="S56" s="53">
        <f>+IF(O56="PREVENTIVO",J56*(1-Q56),IF(O56="ADMINISTRACION",J56*(1-Q56),IF(O56="ELIMINACION",J56*(1-Q56),J56)))</f>
        <v/>
      </c>
      <c r="T56" s="53">
        <f>+IF(O56="DETECTIVO",K56*(1-Q56),IF(O56="RECUPERACION",K56*(1-Q56),K56))</f>
        <v/>
      </c>
      <c r="U56" s="54">
        <f>+S56*T56</f>
        <v/>
      </c>
      <c r="V56" s="65">
        <f>+IF(U56&lt;5,"BAJO",IF(U56&lt;10,"MEDIO",IF(U56&lt;17,"ALTO","CRITICO")))</f>
        <v/>
      </c>
      <c r="W56" s="65" t="inlineStr">
        <is>
          <t>ACEPTABLE</t>
        </is>
      </c>
      <c r="X56" s="80" t="inlineStr">
        <is>
          <t>-</t>
        </is>
      </c>
      <c r="Y56" s="80" t="inlineStr">
        <is>
          <t>-</t>
        </is>
      </c>
      <c r="Z56" s="80" t="inlineStr">
        <is>
          <t>-</t>
        </is>
      </c>
    </row>
    <row r="57" hidden="1" ht="92" customHeight="1" s="98">
      <c r="A57" s="56" t="inlineStr">
        <is>
          <t>71-GTI</t>
        </is>
      </c>
      <c r="B57" s="4" t="inlineStr">
        <is>
          <t>FortiMail</t>
        </is>
      </c>
      <c r="C57" s="4" t="inlineStr">
        <is>
          <t>Control de correo no deseado Antispam</t>
        </is>
      </c>
      <c r="D57" s="64" t="inlineStr">
        <is>
          <t>[SW] Software - Aplicaciones informáticas</t>
        </is>
      </c>
      <c r="E57" s="34" t="inlineStr">
        <is>
          <t>[E.24] Caída del sistema por agotamiento de recursos</t>
        </is>
      </c>
      <c r="F57" s="34">
        <f>+VLOOKUP(E57,'CATALOGO AMENAZA'!$B$2:$D$46,3,FALSE)</f>
        <v/>
      </c>
      <c r="G57" s="34" t="n"/>
      <c r="H57" s="34" t="n"/>
      <c r="I57" s="34" t="inlineStr">
        <is>
          <t>X</t>
        </is>
      </c>
      <c r="J57" s="34" t="n">
        <v>2</v>
      </c>
      <c r="K57" s="34" t="n">
        <v>4</v>
      </c>
      <c r="L57" s="34">
        <f>+J57*K57</f>
        <v/>
      </c>
      <c r="M57" s="34">
        <f>+IF(L57&lt;5,"BAJO",IF(L57&lt;10,"MEDIO",IF(L57&lt;17,"ALTO","CRITICO")))</f>
        <v/>
      </c>
      <c r="N57" s="4" t="inlineStr">
        <is>
          <t>Monitoreo de Servidores presenta en el procedimiento operativo  Administración de Servidores en el Manua de Gestión de las Operaciones de TI</t>
        </is>
      </c>
      <c r="O57" s="34" t="inlineStr">
        <is>
          <t>PREVENTIVO</t>
        </is>
      </c>
      <c r="P57" s="34" t="inlineStr">
        <is>
          <t>Control Implementado sin evidencia de efectividad (Inefectivo prueba)</t>
        </is>
      </c>
      <c r="Q57" s="52" t="n">
        <v>0.4</v>
      </c>
      <c r="R57" s="4" t="inlineStr">
        <is>
          <t>Falta de alertas automáticas</t>
        </is>
      </c>
      <c r="S57" s="53">
        <f>+IF(O57="PREVENTIVO",J57*(1-Q57),IF(O57="ADMINISTRACION",J57*(1-Q57),IF(O57="ELIMINACION",J57*(1-Q57),J57)))</f>
        <v/>
      </c>
      <c r="T57" s="53">
        <f>+IF(O57="DETECTIVO",K57*(1-Q57),IF(O57="RECUPERACION",K57*(1-Q57),K57))</f>
        <v/>
      </c>
      <c r="U57" s="54">
        <f>+S57*T57</f>
        <v/>
      </c>
      <c r="V57" s="65">
        <f>+IF(U57&lt;5,"BAJO",IF(U57&lt;10,"MEDIO",IF(U57&lt;17,"ALTO","CRITICO")))</f>
        <v/>
      </c>
      <c r="W57" s="65" t="inlineStr">
        <is>
          <t>ACEPTABLE</t>
        </is>
      </c>
      <c r="X57" s="80" t="inlineStr">
        <is>
          <t>-</t>
        </is>
      </c>
      <c r="Y57" s="80" t="inlineStr">
        <is>
          <t>-</t>
        </is>
      </c>
      <c r="Z57" s="80" t="inlineStr">
        <is>
          <t>-</t>
        </is>
      </c>
    </row>
    <row r="58" hidden="1" ht="30.5" customHeight="1" s="98">
      <c r="A58" s="56" t="inlineStr">
        <is>
          <t>72-GTI</t>
        </is>
      </c>
      <c r="B58" s="4" t="inlineStr">
        <is>
          <t>Informe de gestión</t>
        </is>
      </c>
      <c r="C58" s="4" t="inlineStr">
        <is>
          <t>Informe eventos de seguridad</t>
        </is>
      </c>
      <c r="D58" s="64" t="inlineStr">
        <is>
          <t>[D] Datos / Información / datos de configuración</t>
        </is>
      </c>
      <c r="E58" s="34" t="inlineStr">
        <is>
          <t>[E.19] Fugas de información</t>
        </is>
      </c>
      <c r="F58" s="34">
        <f>+VLOOKUP(E58,'CATALOGO AMENAZA'!$B$2:$D$46,3,FALSE)</f>
        <v/>
      </c>
      <c r="G58" s="34" t="inlineStr">
        <is>
          <t>X</t>
        </is>
      </c>
      <c r="H58" s="34" t="n"/>
      <c r="I58" s="34" t="n"/>
      <c r="J58" s="34" t="n">
        <v>3</v>
      </c>
      <c r="K58" s="34" t="n">
        <v>4</v>
      </c>
      <c r="L58" s="34">
        <f>+J58*K58</f>
        <v/>
      </c>
      <c r="M58" s="34">
        <f>+IF(L58&lt;5,"BAJO",IF(L58&lt;10,"MEDIO",IF(L58&lt;17,"ALTO","CRITICO")))</f>
        <v/>
      </c>
      <c r="N58" s="54" t="inlineStr">
        <is>
          <t>Software DLP</t>
        </is>
      </c>
      <c r="O58" s="54" t="inlineStr">
        <is>
          <t>PREVENTIVO</t>
        </is>
      </c>
      <c r="P58" s="34" t="inlineStr">
        <is>
          <t>Control Implementado sin evidencia de efectividad (Inefectivo prueba)</t>
        </is>
      </c>
      <c r="Q58" s="52" t="n">
        <v>0.3</v>
      </c>
      <c r="R58" s="34" t="inlineStr">
        <is>
          <t>Politicas sin restricción para jefaturas</t>
        </is>
      </c>
      <c r="S58" s="53">
        <f>+IF(O58="PREVENTIVO",J58*(1-Q58),IF(O58="ADMINISTRACION",J58*(1-Q58),IF(O58="ELIMINACION",J58*(1-Q58),J58)))</f>
        <v/>
      </c>
      <c r="T58" s="53">
        <f>+IF(O58="DETECTIVO",K58*(1-Q58),IF(O58="RECUPERACION",K58*(1-Q58),K58))</f>
        <v/>
      </c>
      <c r="U58" s="54">
        <f>+S58*T58</f>
        <v/>
      </c>
      <c r="V58" s="65">
        <f>+IF(U58&lt;5,"BAJO",IF(U58&lt;10,"MEDIO",IF(U58&lt;17,"ALTO","CRITICO")))</f>
        <v/>
      </c>
      <c r="W58" s="87" t="inlineStr">
        <is>
          <t>MITIGAR</t>
        </is>
      </c>
      <c r="X58" s="80" t="inlineStr">
        <is>
          <t>-</t>
        </is>
      </c>
      <c r="Y58" s="80" t="inlineStr">
        <is>
          <t>-</t>
        </is>
      </c>
      <c r="Z58" s="80" t="inlineStr">
        <is>
          <t>-</t>
        </is>
      </c>
    </row>
    <row r="59" hidden="1" ht="41" customHeight="1" s="98">
      <c r="A59" s="56" t="inlineStr">
        <is>
          <t>72-GTI</t>
        </is>
      </c>
      <c r="B59" s="4" t="inlineStr">
        <is>
          <t>Informe de gestión</t>
        </is>
      </c>
      <c r="C59" s="4" t="inlineStr">
        <is>
          <t>Informe eventos de seguridad</t>
        </is>
      </c>
      <c r="D59" s="64" t="inlineStr">
        <is>
          <t>[D] Datos / Información / datos de configuración</t>
        </is>
      </c>
      <c r="E59" s="34" t="inlineStr">
        <is>
          <t>[E.18] Destrucción de información</t>
        </is>
      </c>
      <c r="F59" s="34">
        <f>+VLOOKUP(E59,'CATALOGO AMENAZA'!$B$2:$D$46,3,FALSE)</f>
        <v/>
      </c>
      <c r="G59" s="34" t="n"/>
      <c r="H59" s="34" t="n"/>
      <c r="I59" s="34" t="inlineStr">
        <is>
          <t>X</t>
        </is>
      </c>
      <c r="J59" s="34" t="n">
        <v>3</v>
      </c>
      <c r="K59" s="34" t="n">
        <v>3</v>
      </c>
      <c r="L59" s="34">
        <f>+J59*K59</f>
        <v/>
      </c>
      <c r="M59" s="34">
        <f>+IF(L59&lt;5,"BAJO",IF(L59&lt;10,"MEDIO",IF(L59&lt;17,"ALTO","CRITICO")))</f>
        <v/>
      </c>
      <c r="N59" s="54" t="inlineStr">
        <is>
          <t>Respaldo digital de información</t>
        </is>
      </c>
      <c r="O59" s="54" t="inlineStr">
        <is>
          <t>PREVENTIVO</t>
        </is>
      </c>
      <c r="P59" s="34" t="inlineStr">
        <is>
          <t>Control Implementado sin evidencia de efectividad (Inefectivo prueba)</t>
        </is>
      </c>
      <c r="Q59" s="52" t="n">
        <v>0.3</v>
      </c>
      <c r="R59" s="4" t="inlineStr">
        <is>
          <t>Almacenamiento manual en medio extraible</t>
        </is>
      </c>
      <c r="S59" s="53">
        <f>+IF(O59="PREVENTIVO",J59*(1-Q59),IF(O59="ADMINISTRACION",J59*(1-Q59),IF(O59="ELIMINACION",J59*(1-Q59),J59)))</f>
        <v/>
      </c>
      <c r="T59" s="53">
        <f>+IF(O59="DETECTIVO",K59*(1-Q59),IF(O59="RECUPERACION",K59*(1-Q59),K59))</f>
        <v/>
      </c>
      <c r="U59" s="54">
        <f>+S59*T59</f>
        <v/>
      </c>
      <c r="V59" s="65">
        <f>+IF(U59&lt;5,"BAJO",IF(U59&lt;10,"MEDIO",IF(U59&lt;17,"ALTO","CRITICO")))</f>
        <v/>
      </c>
      <c r="W59" s="87" t="inlineStr">
        <is>
          <t>MITIGAR</t>
        </is>
      </c>
      <c r="X59" s="80" t="inlineStr">
        <is>
          <t>-</t>
        </is>
      </c>
      <c r="Y59" s="80" t="inlineStr">
        <is>
          <t>-</t>
        </is>
      </c>
      <c r="Z59" s="80" t="inlineStr">
        <is>
          <t>-</t>
        </is>
      </c>
    </row>
    <row r="60" hidden="1" ht="30.5" customHeight="1" s="98">
      <c r="A60" s="56" t="inlineStr">
        <is>
          <t>73-GTI</t>
        </is>
      </c>
      <c r="B60" s="4" t="inlineStr">
        <is>
          <t>Consola ESET</t>
        </is>
      </c>
      <c r="C60" s="4" t="inlineStr">
        <is>
          <t>Servidor control software malicioso 
192.168.100.235</t>
        </is>
      </c>
      <c r="D60" s="64" t="inlineStr">
        <is>
          <t>[HW] Equipamiento informático (hardware)</t>
        </is>
      </c>
      <c r="E60" s="34" t="inlineStr">
        <is>
          <t>[A.11] Acceso no autorizado</t>
        </is>
      </c>
      <c r="F60" s="34">
        <f>+VLOOKUP(E60,'CATALOGO AMENAZA'!$B$2:$D$46,3,FALSE)</f>
        <v/>
      </c>
      <c r="G60" s="34" t="inlineStr">
        <is>
          <t>X</t>
        </is>
      </c>
      <c r="H60" s="34" t="inlineStr">
        <is>
          <t>X</t>
        </is>
      </c>
      <c r="I60" s="34" t="n"/>
      <c r="J60" s="34" t="n">
        <v>2</v>
      </c>
      <c r="K60" s="34" t="n">
        <v>3</v>
      </c>
      <c r="L60" s="34">
        <f>+J60*K60</f>
        <v/>
      </c>
      <c r="M60" s="34">
        <f>+IF(L60&lt;5,"BAJO",IF(L60&lt;10,"MEDIO",IF(L60&lt;17,"ALTO","CRITICO")))</f>
        <v/>
      </c>
      <c r="N60" s="4" t="inlineStr">
        <is>
          <t>Control de accesos / VPN</t>
        </is>
      </c>
      <c r="O60" s="34" t="inlineStr">
        <is>
          <t>PREVENTIVO</t>
        </is>
      </c>
      <c r="P60" s="34" t="inlineStr">
        <is>
          <t>Control Implementado sin evidencia de efectividad (Inefectivo prueba)</t>
        </is>
      </c>
      <c r="Q60" s="52" t="n">
        <v>0.3</v>
      </c>
      <c r="R60" s="4" t="inlineStr">
        <is>
          <t>Contreaseñas de VPN no expiran</t>
        </is>
      </c>
      <c r="S60" s="53">
        <f>+IF(O60="PREVENTIVO",J60*(1-Q60),IF(O60="ADMINISTRACION",J60*(1-Q60),IF(O60="ELIMINACION",J60*(1-Q60),J60)))</f>
        <v/>
      </c>
      <c r="T60" s="53">
        <f>+IF(O60="DETECTIVO",K60*(1-Q60),IF(O60="RECUPERACION",K60*(1-Q60),K60))</f>
        <v/>
      </c>
      <c r="U60" s="54">
        <f>+S60*T60</f>
        <v/>
      </c>
      <c r="V60" s="65">
        <f>+IF(U60&lt;5,"BAJO",IF(U60&lt;10,"MEDIO",IF(U60&lt;17,"ALTO","CRITICO")))</f>
        <v/>
      </c>
      <c r="W60" s="65" t="inlineStr">
        <is>
          <t>ACEPTABLE</t>
        </is>
      </c>
      <c r="X60" s="80" t="inlineStr">
        <is>
          <t>-</t>
        </is>
      </c>
      <c r="Y60" s="80" t="inlineStr">
        <is>
          <t>-</t>
        </is>
      </c>
      <c r="Z60" s="80" t="inlineStr">
        <is>
          <t>-</t>
        </is>
      </c>
    </row>
    <row r="61" hidden="1" ht="30.5" customHeight="1" s="98">
      <c r="A61" s="56" t="inlineStr">
        <is>
          <t>73-GTI</t>
        </is>
      </c>
      <c r="B61" s="4" t="inlineStr">
        <is>
          <t>Consola ESET</t>
        </is>
      </c>
      <c r="C61" s="4" t="inlineStr">
        <is>
          <t>Servidor control software malicioso 
192.168.100.235</t>
        </is>
      </c>
      <c r="D61" s="64" t="inlineStr">
        <is>
          <t>[HW] Equipamiento informático (hardware)</t>
        </is>
      </c>
      <c r="E61" s="34" t="inlineStr">
        <is>
          <t>[A.23] Manipulación de los equipos</t>
        </is>
      </c>
      <c r="F61" s="34">
        <f>+VLOOKUP(E61,'CATALOGO AMENAZA'!$B$2:$D$46,3,FALSE)</f>
        <v/>
      </c>
      <c r="G61" s="34" t="inlineStr">
        <is>
          <t>X</t>
        </is>
      </c>
      <c r="H61" s="34" t="n"/>
      <c r="I61" s="34" t="inlineStr">
        <is>
          <t>X</t>
        </is>
      </c>
      <c r="J61" s="34" t="n">
        <v>2</v>
      </c>
      <c r="K61" s="34" t="n">
        <v>3</v>
      </c>
      <c r="L61" s="34">
        <f>+J61*K61</f>
        <v/>
      </c>
      <c r="M61" s="34">
        <f>+IF(L61&lt;5,"BAJO",IF(L61&lt;10,"MEDIO",IF(L61&lt;17,"ALTO","CRITICO")))</f>
        <v/>
      </c>
      <c r="N61" s="4" t="inlineStr">
        <is>
          <t>Control de accesos</t>
        </is>
      </c>
      <c r="O61" s="34" t="inlineStr">
        <is>
          <t>PREVENTIVO</t>
        </is>
      </c>
      <c r="P61" s="34" t="inlineStr">
        <is>
          <t>Control Implementado sin evidencia de efectividad (Inefectivo prueba)</t>
        </is>
      </c>
      <c r="Q61" s="52" t="n">
        <v>0.3</v>
      </c>
      <c r="R61" s="4" t="inlineStr">
        <is>
          <t>Usuarios genéricos</t>
        </is>
      </c>
      <c r="S61" s="53">
        <f>+IF(O61="PREVENTIVO",J61*(1-Q61),IF(O61="ADMINISTRACION",J61*(1-Q61),IF(O61="ELIMINACION",J61*(1-Q61),J61)))</f>
        <v/>
      </c>
      <c r="T61" s="53">
        <f>+IF(O61="DETECTIVO",K61*(1-Q61),IF(O61="RECUPERACION",K61*(1-Q61),K61))</f>
        <v/>
      </c>
      <c r="U61" s="54">
        <f>+S61*T61</f>
        <v/>
      </c>
      <c r="V61" s="65">
        <f>+IF(U61&lt;5,"BAJO",IF(U61&lt;10,"MEDIO",IF(U61&lt;17,"ALTO","CRITICO")))</f>
        <v/>
      </c>
      <c r="W61" s="65" t="inlineStr">
        <is>
          <t>ACEPTABLE</t>
        </is>
      </c>
      <c r="X61" s="80" t="inlineStr">
        <is>
          <t>-</t>
        </is>
      </c>
      <c r="Y61" s="80" t="inlineStr">
        <is>
          <t>-</t>
        </is>
      </c>
      <c r="Z61" s="80" t="inlineStr">
        <is>
          <t>-</t>
        </is>
      </c>
    </row>
    <row r="62" hidden="1" ht="30.5" customHeight="1" s="98">
      <c r="A62" s="56" t="inlineStr">
        <is>
          <t>73-GTI</t>
        </is>
      </c>
      <c r="B62" s="4" t="inlineStr">
        <is>
          <t>Consola ESET</t>
        </is>
      </c>
      <c r="C62" s="4" t="inlineStr">
        <is>
          <t>Servidor control software malicioso 
192.168.100.235</t>
        </is>
      </c>
      <c r="D62" s="64" t="inlineStr">
        <is>
          <t>[HW] Equipamiento informático (hardware)</t>
        </is>
      </c>
      <c r="E62" s="34" t="inlineStr">
        <is>
          <t>[A.6] Abuso de privilegios de acceso</t>
        </is>
      </c>
      <c r="F62" s="34">
        <f>+VLOOKUP(E62,'CATALOGO AMENAZA'!$B$2:$D$46,3,FALSE)</f>
        <v/>
      </c>
      <c r="G62" s="34" t="inlineStr">
        <is>
          <t>X</t>
        </is>
      </c>
      <c r="H62" s="34" t="inlineStr">
        <is>
          <t>X</t>
        </is>
      </c>
      <c r="I62" s="34" t="inlineStr">
        <is>
          <t>X</t>
        </is>
      </c>
      <c r="J62" s="34" t="n">
        <v>2</v>
      </c>
      <c r="K62" s="34" t="n">
        <v>3</v>
      </c>
      <c r="L62" s="34">
        <f>+J62*K62</f>
        <v/>
      </c>
      <c r="M62" s="34">
        <f>+IF(L62&lt;5,"BAJO",IF(L62&lt;10,"MEDIO",IF(L62&lt;17,"ALTO","CRITICO")))</f>
        <v/>
      </c>
      <c r="N62" s="4" t="inlineStr">
        <is>
          <t>Registro de logs (FortiAnalyzer)</t>
        </is>
      </c>
      <c r="O62" s="34" t="inlineStr">
        <is>
          <t>DETECTIVO</t>
        </is>
      </c>
      <c r="P62" s="34" t="inlineStr">
        <is>
          <t>Control Implementado sin evidencia de efectividad (Inefectivo prueba)</t>
        </is>
      </c>
      <c r="Q62" s="52" t="n">
        <v>0.3</v>
      </c>
      <c r="R62" s="4" t="inlineStr">
        <is>
          <t>Falta de revisión de perfiles de acceso</t>
        </is>
      </c>
      <c r="S62" s="53">
        <f>+IF(O62="PREVENTIVO",J62*(1-Q62),IF(O62="ADMINISTRACION",J62*(1-Q62),IF(O62="ELIMINACION",J62*(1-Q62),J62)))</f>
        <v/>
      </c>
      <c r="T62" s="53">
        <f>+IF(O62="DETECTIVO",K62*(1-Q62),IF(O62="RECUPERACION",K62*(1-Q62),K62))</f>
        <v/>
      </c>
      <c r="U62" s="54">
        <f>+S62*T62</f>
        <v/>
      </c>
      <c r="V62" s="65">
        <f>+IF(U62&lt;5,"BAJO",IF(U62&lt;10,"MEDIO",IF(U62&lt;17,"ALTO","CRITICO")))</f>
        <v/>
      </c>
      <c r="W62" s="65" t="inlineStr">
        <is>
          <t>ACEPTABLE</t>
        </is>
      </c>
      <c r="X62" s="80" t="inlineStr">
        <is>
          <t>-</t>
        </is>
      </c>
      <c r="Y62" s="80" t="inlineStr">
        <is>
          <t>-</t>
        </is>
      </c>
      <c r="Z62" s="80" t="inlineStr">
        <is>
          <t>-</t>
        </is>
      </c>
    </row>
    <row r="63" hidden="1" ht="30.5" customHeight="1" s="98">
      <c r="A63" s="56" t="inlineStr">
        <is>
          <t>73-GTI</t>
        </is>
      </c>
      <c r="B63" s="4" t="inlineStr">
        <is>
          <t>Consola ESET</t>
        </is>
      </c>
      <c r="C63" s="4" t="inlineStr">
        <is>
          <t>Servidor control software malicioso 
192.168.100.235</t>
        </is>
      </c>
      <c r="D63" s="64" t="inlineStr">
        <is>
          <t>[HW] Equipamiento informático (hardware)</t>
        </is>
      </c>
      <c r="E63" s="34" t="inlineStr">
        <is>
          <t>[A.24] Denegación de servicio</t>
        </is>
      </c>
      <c r="F63" s="34">
        <f>+VLOOKUP(E63,'CATALOGO AMENAZA'!$B$2:$D$46,3,FALSE)</f>
        <v/>
      </c>
      <c r="G63" s="34" t="n"/>
      <c r="H63" s="34" t="n"/>
      <c r="I63" s="34" t="inlineStr">
        <is>
          <t>X</t>
        </is>
      </c>
      <c r="J63" s="34" t="n">
        <v>3</v>
      </c>
      <c r="K63" s="34" t="n">
        <v>4</v>
      </c>
      <c r="L63" s="34">
        <f>+J63*K63</f>
        <v/>
      </c>
      <c r="M63" s="34">
        <f>+IF(L63&lt;5,"BAJO",IF(L63&lt;10,"MEDIO",IF(L63&lt;17,"ALTO","CRITICO")))</f>
        <v/>
      </c>
      <c r="N63" s="4" t="inlineStr">
        <is>
          <t>Configuración segura de firewall</t>
        </is>
      </c>
      <c r="O63" s="34" t="inlineStr">
        <is>
          <t>PREVENTIVO</t>
        </is>
      </c>
      <c r="P63" s="34" t="inlineStr">
        <is>
          <t>Control Implementado sin evidencia de efectividad (Inefectivo prueba)</t>
        </is>
      </c>
      <c r="Q63" s="52" t="n">
        <v>0.3</v>
      </c>
      <c r="R63" s="34" t="inlineStr">
        <is>
          <t>Evidencia de validación de las configuraciones</t>
        </is>
      </c>
      <c r="S63" s="53">
        <f>+IF(O63="PREVENTIVO",J63*(1-Q63),IF(O63="ADMINISTRACION",J63*(1-Q63),IF(O63="ELIMINACION",J63*(1-Q63),J63)))</f>
        <v/>
      </c>
      <c r="T63" s="53">
        <f>+IF(O63="DETECTIVO",K63*(1-Q63),IF(O63="RECUPERACION",K63*(1-Q63),K63))</f>
        <v/>
      </c>
      <c r="U63" s="54">
        <f>+S63*T63</f>
        <v/>
      </c>
      <c r="V63" s="65">
        <f>+IF(U63&lt;5,"BAJO",IF(U63&lt;10,"MEDIO",IF(U63&lt;17,"ALTO","CRITICO")))</f>
        <v/>
      </c>
      <c r="W63" s="87" t="inlineStr">
        <is>
          <t>MITIGAR</t>
        </is>
      </c>
      <c r="X63" s="80" t="inlineStr">
        <is>
          <t>-</t>
        </is>
      </c>
      <c r="Y63" s="80" t="inlineStr">
        <is>
          <t>-</t>
        </is>
      </c>
      <c r="Z63" s="80" t="inlineStr">
        <is>
          <t>-</t>
        </is>
      </c>
    </row>
    <row r="64" hidden="1" ht="41" customHeight="1" s="98">
      <c r="A64" s="56" t="inlineStr">
        <is>
          <t>73-GTI</t>
        </is>
      </c>
      <c r="B64" s="4" t="inlineStr">
        <is>
          <t>Consola ESET</t>
        </is>
      </c>
      <c r="C64" s="4" t="inlineStr">
        <is>
          <t>Servidor control software malicioso 
192.168.100.235</t>
        </is>
      </c>
      <c r="D64" s="64" t="inlineStr">
        <is>
          <t>[HW] Equipamiento informático (hardware)</t>
        </is>
      </c>
      <c r="E64" s="34" t="inlineStr">
        <is>
          <t>[E.2] Errores del administrador</t>
        </is>
      </c>
      <c r="F64" s="34">
        <f>+VLOOKUP(E64,'CATALOGO AMENAZA'!$B$2:$D$46,3,FALSE)</f>
        <v/>
      </c>
      <c r="G64" s="34" t="inlineStr">
        <is>
          <t>X</t>
        </is>
      </c>
      <c r="H64" s="34" t="inlineStr">
        <is>
          <t>X</t>
        </is>
      </c>
      <c r="I64" s="34" t="inlineStr">
        <is>
          <t>X</t>
        </is>
      </c>
      <c r="J64" s="34" t="n">
        <v>2</v>
      </c>
      <c r="K64" s="34" t="n">
        <v>3</v>
      </c>
      <c r="L64" s="34">
        <f>+J64*K64</f>
        <v/>
      </c>
      <c r="M64" s="34">
        <f>+IF(L64&lt;5,"BAJO",IF(L64&lt;10,"MEDIO",IF(L64&lt;17,"ALTO","CRITICO")))</f>
        <v/>
      </c>
      <c r="N64" s="4" t="inlineStr">
        <is>
          <t>Control de cambios en los sistemas
Verificación posterior (informe)</t>
        </is>
      </c>
      <c r="O64" s="34" t="inlineStr">
        <is>
          <t>ADMINISTRACION</t>
        </is>
      </c>
      <c r="P64" s="34" t="inlineStr">
        <is>
          <t>Control Implementado sin evidencia de efectividad (Inefectivo prueba)</t>
        </is>
      </c>
      <c r="Q64" s="52" t="n">
        <v>0.3</v>
      </c>
      <c r="R64" s="4" t="inlineStr">
        <is>
          <t>No existe procedimiento formal de gestión de cambios</t>
        </is>
      </c>
      <c r="S64" s="53">
        <f>+IF(O64="PREVENTIVO",J64*(1-Q64),IF(O64="ADMINISTRACION",J64*(1-Q64),IF(O64="ELIMINACION",J64*(1-Q64),J64)))</f>
        <v/>
      </c>
      <c r="T64" s="53">
        <f>+IF(O64="DETECTIVO",K64*(1-Q64),IF(O64="RECUPERACION",K64*(1-Q64),K64))</f>
        <v/>
      </c>
      <c r="U64" s="54">
        <f>+S64*T64</f>
        <v/>
      </c>
      <c r="V64" s="65">
        <f>+IF(U64&lt;5,"BAJO",IF(U64&lt;10,"MEDIO",IF(U64&lt;17,"ALTO","CRITICO")))</f>
        <v/>
      </c>
      <c r="W64" s="65" t="inlineStr">
        <is>
          <t>ACEPTABLE</t>
        </is>
      </c>
      <c r="X64" s="80" t="inlineStr">
        <is>
          <t>-</t>
        </is>
      </c>
      <c r="Y64" s="80" t="inlineStr">
        <is>
          <t>-</t>
        </is>
      </c>
      <c r="Z64" s="80" t="inlineStr">
        <is>
          <t>-</t>
        </is>
      </c>
    </row>
    <row r="65" hidden="1" ht="41" customHeight="1" s="98">
      <c r="A65" s="56" t="inlineStr">
        <is>
          <t>73-GTI</t>
        </is>
      </c>
      <c r="B65" s="4" t="inlineStr">
        <is>
          <t>Consola ESET</t>
        </is>
      </c>
      <c r="C65" s="4" t="inlineStr">
        <is>
          <t>Servidor control software malicioso 
192.168.100.235</t>
        </is>
      </c>
      <c r="D65" s="64" t="inlineStr">
        <is>
          <t>[HW] Equipamiento informático (hardware)</t>
        </is>
      </c>
      <c r="E65" s="34" t="inlineStr">
        <is>
          <t>[E.24] Caída del sistema por agotamiento de recursos</t>
        </is>
      </c>
      <c r="F65" s="34">
        <f>+VLOOKUP(E65,'CATALOGO AMENAZA'!$B$2:$D$46,3,FALSE)</f>
        <v/>
      </c>
      <c r="G65" s="34" t="n"/>
      <c r="H65" s="34" t="n"/>
      <c r="I65" s="34" t="inlineStr">
        <is>
          <t>X</t>
        </is>
      </c>
      <c r="J65" s="34" t="n">
        <v>2</v>
      </c>
      <c r="K65" s="34" t="n">
        <v>3</v>
      </c>
      <c r="L65" s="34">
        <f>+J65*K65</f>
        <v/>
      </c>
      <c r="M65" s="34">
        <f>+IF(L65&lt;5,"BAJO",IF(L65&lt;10,"MEDIO",IF(L65&lt;17,"ALTO","CRITICO")))</f>
        <v/>
      </c>
      <c r="N65" s="34" t="inlineStr">
        <is>
          <t>Procedimiento de Gestión de la capacidad y desempeño de la Infraestructura</t>
        </is>
      </c>
      <c r="O65" s="54" t="inlineStr">
        <is>
          <t>PREVENTIVO</t>
        </is>
      </c>
      <c r="P65" s="34" t="inlineStr">
        <is>
          <t>Control Implementado sin evidencia de efectividad (Inefectivo prueba)</t>
        </is>
      </c>
      <c r="Q65" s="52" t="n">
        <v>0.3</v>
      </c>
      <c r="R65" s="34" t="inlineStr">
        <is>
          <t>Notificación automática de alertas</t>
        </is>
      </c>
      <c r="S65" s="53">
        <f>+IF(O65="PREVENTIVO",J65*(1-Q65),IF(O65="ADMINISTRACION",J65*(1-Q65),IF(O65="ELIMINACION",J65*(1-Q65),J65)))</f>
        <v/>
      </c>
      <c r="T65" s="53">
        <f>+IF(O65="DETECTIVO",K65*(1-Q65),IF(O65="RECUPERACION",K65*(1-Q65),K65))</f>
        <v/>
      </c>
      <c r="U65" s="54">
        <f>+S65*T65</f>
        <v/>
      </c>
      <c r="V65" s="65">
        <f>+IF(U65&lt;5,"BAJO",IF(U65&lt;10,"MEDIO",IF(U65&lt;17,"ALTO","CRITICO")))</f>
        <v/>
      </c>
      <c r="W65" s="65" t="inlineStr">
        <is>
          <t>ACEPTABLE</t>
        </is>
      </c>
      <c r="X65" s="80" t="inlineStr">
        <is>
          <t>-</t>
        </is>
      </c>
      <c r="Y65" s="80" t="inlineStr">
        <is>
          <t>-</t>
        </is>
      </c>
      <c r="Z65" s="80" t="inlineStr">
        <is>
          <t>-</t>
        </is>
      </c>
    </row>
    <row r="66" hidden="1" ht="22.5" customHeight="1" s="98">
      <c r="A66" s="56" t="inlineStr">
        <is>
          <t>74-GTI</t>
        </is>
      </c>
      <c r="B66" s="4" t="inlineStr">
        <is>
          <t>Consola AntiSpam</t>
        </is>
      </c>
      <c r="C66" s="4" t="inlineStr">
        <is>
          <t>Servidor prevencion correo no deseado  
192.168.23.6</t>
        </is>
      </c>
      <c r="D66" s="64" t="inlineStr">
        <is>
          <t>[HW] Equipamiento informático (hardware)</t>
        </is>
      </c>
      <c r="E66" s="34" t="inlineStr">
        <is>
          <t>[A.11] Acceso no autorizado</t>
        </is>
      </c>
      <c r="F66" s="34">
        <f>+VLOOKUP(E66,'CATALOGO AMENAZA'!$B$2:$D$46,3,FALSE)</f>
        <v/>
      </c>
      <c r="G66" s="34" t="inlineStr">
        <is>
          <t>X</t>
        </is>
      </c>
      <c r="H66" s="34" t="inlineStr">
        <is>
          <t>X</t>
        </is>
      </c>
      <c r="I66" s="34" t="n"/>
      <c r="J66" s="34" t="n">
        <v>3</v>
      </c>
      <c r="K66" s="34" t="n">
        <v>4</v>
      </c>
      <c r="L66" s="34">
        <f>+J66*K66</f>
        <v/>
      </c>
      <c r="M66" s="34">
        <f>+IF(L66&lt;5,"BAJO",IF(L66&lt;10,"MEDIO",IF(L66&lt;17,"ALTO","CRITICO")))</f>
        <v/>
      </c>
      <c r="N66" s="4" t="inlineStr">
        <is>
          <t>Control de accesos / VPN</t>
        </is>
      </c>
      <c r="O66" s="34" t="inlineStr">
        <is>
          <t>PREVENTIVO</t>
        </is>
      </c>
      <c r="P66" s="34" t="inlineStr">
        <is>
          <t>Control Implementado sin evidencia de efectividad (Inefectivo prueba)</t>
        </is>
      </c>
      <c r="Q66" s="52" t="n">
        <v>0.3</v>
      </c>
      <c r="R66" s="4" t="inlineStr">
        <is>
          <t>Contreaseñas de VPN no expiran</t>
        </is>
      </c>
      <c r="S66" s="53">
        <f>+IF(O66="PREVENTIVO",J66*(1-Q66),IF(O66="ADMINISTRACION",J66*(1-Q66),IF(O66="ELIMINACION",J66*(1-Q66),J66)))</f>
        <v/>
      </c>
      <c r="T66" s="53">
        <f>+IF(O66="DETECTIVO",K66*(1-Q66),IF(O66="RECUPERACION",K66*(1-Q66),K66))</f>
        <v/>
      </c>
      <c r="U66" s="54">
        <f>+S66*T66</f>
        <v/>
      </c>
      <c r="V66" s="65">
        <f>+IF(U66&lt;5,"BAJO",IF(U66&lt;10,"MEDIO",IF(U66&lt;17,"ALTO","CRITICO")))</f>
        <v/>
      </c>
      <c r="W66" s="87" t="inlineStr">
        <is>
          <t>MITIGAR</t>
        </is>
      </c>
      <c r="X66" s="80" t="inlineStr">
        <is>
          <t>-</t>
        </is>
      </c>
      <c r="Y66" s="80" t="inlineStr">
        <is>
          <t>-</t>
        </is>
      </c>
      <c r="Z66" s="80" t="inlineStr">
        <is>
          <t>-</t>
        </is>
      </c>
    </row>
    <row r="67" hidden="1" ht="30.5" customHeight="1" s="98">
      <c r="A67" s="56" t="inlineStr">
        <is>
          <t>74-GTI</t>
        </is>
      </c>
      <c r="B67" s="4" t="inlineStr">
        <is>
          <t>Consola AntiSpam</t>
        </is>
      </c>
      <c r="C67" s="4" t="inlineStr">
        <is>
          <t>Servidor prevencion correo no deseado  
192.168.23.6</t>
        </is>
      </c>
      <c r="D67" s="64" t="inlineStr">
        <is>
          <t>[HW] Equipamiento informático (hardware)</t>
        </is>
      </c>
      <c r="E67" s="34" t="inlineStr">
        <is>
          <t>[A.23] Manipulación de los equipos</t>
        </is>
      </c>
      <c r="F67" s="34">
        <f>+VLOOKUP(E67,'CATALOGO AMENAZA'!$B$2:$D$46,3,FALSE)</f>
        <v/>
      </c>
      <c r="G67" s="34" t="inlineStr">
        <is>
          <t>X</t>
        </is>
      </c>
      <c r="H67" s="34" t="n"/>
      <c r="I67" s="34" t="inlineStr">
        <is>
          <t>X</t>
        </is>
      </c>
      <c r="J67" s="34" t="n">
        <v>3</v>
      </c>
      <c r="K67" s="34" t="n">
        <v>3</v>
      </c>
      <c r="L67" s="34">
        <f>+J67*K67</f>
        <v/>
      </c>
      <c r="M67" s="34">
        <f>+IF(L67&lt;5,"BAJO",IF(L67&lt;10,"MEDIO",IF(L67&lt;17,"ALTO","CRITICO")))</f>
        <v/>
      </c>
      <c r="N67" s="4" t="inlineStr">
        <is>
          <t>Control de accesos</t>
        </is>
      </c>
      <c r="O67" s="34" t="inlineStr">
        <is>
          <t>PREVENTIVO</t>
        </is>
      </c>
      <c r="P67" s="34" t="inlineStr">
        <is>
          <t>Control Implementado sin evidencia de efectividad (Inefectivo prueba)</t>
        </is>
      </c>
      <c r="Q67" s="52" t="n">
        <v>0.3</v>
      </c>
      <c r="R67" s="4" t="inlineStr">
        <is>
          <t>Usuarios genéricos</t>
        </is>
      </c>
      <c r="S67" s="53">
        <f>+IF(O67="PREVENTIVO",J67*(1-Q67),IF(O67="ADMINISTRACION",J67*(1-Q67),IF(O67="ELIMINACION",J67*(1-Q67),J67)))</f>
        <v/>
      </c>
      <c r="T67" s="53">
        <f>+IF(O67="DETECTIVO",K67*(1-Q67),IF(O67="RECUPERACION",K67*(1-Q67),K67))</f>
        <v/>
      </c>
      <c r="U67" s="54">
        <f>+S67*T67</f>
        <v/>
      </c>
      <c r="V67" s="65">
        <f>+IF(U67&lt;5,"BAJO",IF(U67&lt;10,"MEDIO",IF(U67&lt;17,"ALTO","CRITICO")))</f>
        <v/>
      </c>
      <c r="W67" s="87" t="inlineStr">
        <is>
          <t>MITIGAR</t>
        </is>
      </c>
      <c r="X67" s="80" t="inlineStr">
        <is>
          <t>-</t>
        </is>
      </c>
      <c r="Y67" s="80" t="inlineStr">
        <is>
          <t>-</t>
        </is>
      </c>
      <c r="Z67" s="80" t="inlineStr">
        <is>
          <t>-</t>
        </is>
      </c>
    </row>
    <row r="68" hidden="1" ht="30.5" customHeight="1" s="98">
      <c r="A68" s="56" t="inlineStr">
        <is>
          <t>74-GTI</t>
        </is>
      </c>
      <c r="B68" s="4" t="inlineStr">
        <is>
          <t>Consola AntiSpam</t>
        </is>
      </c>
      <c r="C68" s="4" t="inlineStr">
        <is>
          <t>Servidor prevencion correo no deseado  
192.168.23.6</t>
        </is>
      </c>
      <c r="D68" s="64" t="inlineStr">
        <is>
          <t>[HW] Equipamiento informático (hardware)</t>
        </is>
      </c>
      <c r="E68" s="34" t="inlineStr">
        <is>
          <t>[A.6] Abuso de privilegios de acceso</t>
        </is>
      </c>
      <c r="F68" s="34">
        <f>+VLOOKUP(E68,'CATALOGO AMENAZA'!$B$2:$D$46,3,FALSE)</f>
        <v/>
      </c>
      <c r="G68" s="34" t="inlineStr">
        <is>
          <t>X</t>
        </is>
      </c>
      <c r="H68" s="34" t="inlineStr">
        <is>
          <t>X</t>
        </is>
      </c>
      <c r="I68" s="34" t="inlineStr">
        <is>
          <t>X</t>
        </is>
      </c>
      <c r="J68" s="34" t="n">
        <v>2</v>
      </c>
      <c r="K68" s="34" t="n">
        <v>3</v>
      </c>
      <c r="L68" s="34">
        <f>+J68*K68</f>
        <v/>
      </c>
      <c r="M68" s="34">
        <f>+IF(L68&lt;5,"BAJO",IF(L68&lt;10,"MEDIO",IF(L68&lt;17,"ALTO","CRITICO")))</f>
        <v/>
      </c>
      <c r="N68" s="4" t="inlineStr">
        <is>
          <t>Registro de logs (FortiAnalyzer)</t>
        </is>
      </c>
      <c r="O68" s="34" t="inlineStr">
        <is>
          <t>DETECTIVO</t>
        </is>
      </c>
      <c r="P68" s="34" t="inlineStr">
        <is>
          <t>Control Implementado sin evidencia de efectividad (Inefectivo prueba)</t>
        </is>
      </c>
      <c r="Q68" s="52" t="n">
        <v>0.3</v>
      </c>
      <c r="R68" s="4" t="inlineStr">
        <is>
          <t>Falta de revisión de perfiles de acceso</t>
        </is>
      </c>
      <c r="S68" s="53">
        <f>+IF(O68="PREVENTIVO",J68*(1-Q68),IF(O68="ADMINISTRACION",J68*(1-Q68),IF(O68="ELIMINACION",J68*(1-Q68),J68)))</f>
        <v/>
      </c>
      <c r="T68" s="53">
        <f>+IF(O68="DETECTIVO",K68*(1-Q68),IF(O68="RECUPERACION",K68*(1-Q68),K68))</f>
        <v/>
      </c>
      <c r="U68" s="54">
        <f>+S68*T68</f>
        <v/>
      </c>
      <c r="V68" s="65">
        <f>+IF(U68&lt;5,"BAJO",IF(U68&lt;10,"MEDIO",IF(U68&lt;17,"ALTO","CRITICO")))</f>
        <v/>
      </c>
      <c r="W68" s="65" t="inlineStr">
        <is>
          <t>ACEPTABLE</t>
        </is>
      </c>
      <c r="X68" s="80" t="inlineStr">
        <is>
          <t>-</t>
        </is>
      </c>
      <c r="Y68" s="80" t="inlineStr">
        <is>
          <t>-</t>
        </is>
      </c>
      <c r="Z68" s="80" t="inlineStr">
        <is>
          <t>-</t>
        </is>
      </c>
    </row>
    <row r="69" hidden="1" ht="30.5" customHeight="1" s="98">
      <c r="A69" s="56" t="inlineStr">
        <is>
          <t>74-GTI</t>
        </is>
      </c>
      <c r="B69" s="4" t="inlineStr">
        <is>
          <t>Consola AntiSpam</t>
        </is>
      </c>
      <c r="C69" s="4" t="inlineStr">
        <is>
          <t>Servidor prevencion correo no deseado  
192.168.23.6</t>
        </is>
      </c>
      <c r="D69" s="64" t="inlineStr">
        <is>
          <t>[HW] Equipamiento informático (hardware)</t>
        </is>
      </c>
      <c r="E69" s="34" t="inlineStr">
        <is>
          <t>[A.24] Denegación de servicio</t>
        </is>
      </c>
      <c r="F69" s="34">
        <f>+VLOOKUP(E69,'CATALOGO AMENAZA'!$B$2:$D$46,3,FALSE)</f>
        <v/>
      </c>
      <c r="G69" s="34" t="n"/>
      <c r="H69" s="34" t="n"/>
      <c r="I69" s="34" t="inlineStr">
        <is>
          <t>X</t>
        </is>
      </c>
      <c r="J69" s="34" t="n">
        <v>3</v>
      </c>
      <c r="K69" s="34" t="n">
        <v>4</v>
      </c>
      <c r="L69" s="34">
        <f>+J69*K69</f>
        <v/>
      </c>
      <c r="M69" s="34">
        <f>+IF(L69&lt;5,"BAJO",IF(L69&lt;10,"MEDIO",IF(L69&lt;17,"ALTO","CRITICO")))</f>
        <v/>
      </c>
      <c r="N69" s="4" t="inlineStr">
        <is>
          <t>Configuración segura de firewall</t>
        </is>
      </c>
      <c r="O69" s="34" t="inlineStr">
        <is>
          <t>PREVENTIVO</t>
        </is>
      </c>
      <c r="P69" s="34" t="inlineStr">
        <is>
          <t>Control Implementado sin evidencia de efectividad (Inefectivo prueba)</t>
        </is>
      </c>
      <c r="Q69" s="52" t="n">
        <v>0.3</v>
      </c>
      <c r="R69" s="34" t="inlineStr">
        <is>
          <t>Evidencia de validación de las configuraciones</t>
        </is>
      </c>
      <c r="S69" s="53">
        <f>+IF(O69="PREVENTIVO",J69*(1-Q69),IF(O69="ADMINISTRACION",J69*(1-Q69),IF(O69="ELIMINACION",J69*(1-Q69),J69)))</f>
        <v/>
      </c>
      <c r="T69" s="53">
        <f>+IF(O69="DETECTIVO",K69*(1-Q69),IF(O69="RECUPERACION",K69*(1-Q69),K69))</f>
        <v/>
      </c>
      <c r="U69" s="54">
        <f>+S69*T69</f>
        <v/>
      </c>
      <c r="V69" s="65">
        <f>+IF(U69&lt;5,"BAJO",IF(U69&lt;10,"MEDIO",IF(U69&lt;17,"ALTO","CRITICO")))</f>
        <v/>
      </c>
      <c r="W69" s="87" t="inlineStr">
        <is>
          <t>MITIGAR</t>
        </is>
      </c>
      <c r="X69" s="80" t="inlineStr">
        <is>
          <t>-</t>
        </is>
      </c>
      <c r="Y69" s="80" t="inlineStr">
        <is>
          <t>-</t>
        </is>
      </c>
      <c r="Z69" s="80" t="inlineStr">
        <is>
          <t>-</t>
        </is>
      </c>
    </row>
    <row r="70" hidden="1" ht="41" customHeight="1" s="98">
      <c r="A70" s="56" t="inlineStr">
        <is>
          <t>74-GTI</t>
        </is>
      </c>
      <c r="B70" s="4" t="inlineStr">
        <is>
          <t>Consola AntiSpam</t>
        </is>
      </c>
      <c r="C70" s="4" t="inlineStr">
        <is>
          <t>Servidor prevencion correo no deseado  
192.168.23.6</t>
        </is>
      </c>
      <c r="D70" s="64" t="inlineStr">
        <is>
          <t>[HW] Equipamiento informático (hardware)</t>
        </is>
      </c>
      <c r="E70" s="34" t="inlineStr">
        <is>
          <t>[E.2] Errores del administrador</t>
        </is>
      </c>
      <c r="F70" s="34">
        <f>+VLOOKUP(E70,'CATALOGO AMENAZA'!$B$2:$D$46,3,FALSE)</f>
        <v/>
      </c>
      <c r="G70" s="34" t="inlineStr">
        <is>
          <t>X</t>
        </is>
      </c>
      <c r="H70" s="34" t="inlineStr">
        <is>
          <t>X</t>
        </is>
      </c>
      <c r="I70" s="34" t="inlineStr">
        <is>
          <t>X</t>
        </is>
      </c>
      <c r="J70" s="34" t="n">
        <v>2</v>
      </c>
      <c r="K70" s="34" t="n">
        <v>4</v>
      </c>
      <c r="L70" s="34">
        <f>+J70*K70</f>
        <v/>
      </c>
      <c r="M70" s="34">
        <f>+IF(L70&lt;5,"BAJO",IF(L70&lt;10,"MEDIO",IF(L70&lt;17,"ALTO","CRITICO")))</f>
        <v/>
      </c>
      <c r="N70" s="4" t="inlineStr">
        <is>
          <t>Control de cambios en los sistemas
Verificación posterior (informe)</t>
        </is>
      </c>
      <c r="O70" s="34" t="inlineStr">
        <is>
          <t>ADMINISTRACION</t>
        </is>
      </c>
      <c r="P70" s="34" t="inlineStr">
        <is>
          <t>Control Implementado sin evidencia de efectividad (Inefectivo prueba)</t>
        </is>
      </c>
      <c r="Q70" s="52" t="n">
        <v>0.3</v>
      </c>
      <c r="R70" s="4" t="inlineStr">
        <is>
          <t>No existe procedimiento formal de gestión de cambios</t>
        </is>
      </c>
      <c r="S70" s="53">
        <f>+IF(O70="PREVENTIVO",J70*(1-Q70),IF(O70="ADMINISTRACION",J70*(1-Q70),IF(O70="ELIMINACION",J70*(1-Q70),J70)))</f>
        <v/>
      </c>
      <c r="T70" s="53">
        <f>+IF(O70="DETECTIVO",K70*(1-Q70),IF(O70="RECUPERACION",K70*(1-Q70),K70))</f>
        <v/>
      </c>
      <c r="U70" s="54">
        <f>+S70*T70</f>
        <v/>
      </c>
      <c r="V70" s="65">
        <f>+IF(U70&lt;5,"BAJO",IF(U70&lt;10,"MEDIO",IF(U70&lt;17,"ALTO","CRITICO")))</f>
        <v/>
      </c>
      <c r="W70" s="87" t="inlineStr">
        <is>
          <t>MITIGAR</t>
        </is>
      </c>
      <c r="X70" s="80" t="inlineStr">
        <is>
          <t>-</t>
        </is>
      </c>
      <c r="Y70" s="80" t="inlineStr">
        <is>
          <t>-</t>
        </is>
      </c>
      <c r="Z70" s="80" t="inlineStr">
        <is>
          <t>-</t>
        </is>
      </c>
    </row>
    <row r="71" hidden="1" ht="51" customHeight="1" s="98">
      <c r="A71" s="56" t="inlineStr">
        <is>
          <t>74-GTI</t>
        </is>
      </c>
      <c r="B71" s="4" t="inlineStr">
        <is>
          <t>Consola AntiSpam</t>
        </is>
      </c>
      <c r="C71" s="4" t="inlineStr">
        <is>
          <t>Servidor prevencion correo no deseado  
192.168.23.6</t>
        </is>
      </c>
      <c r="D71" s="64" t="inlineStr">
        <is>
          <t>[HW] Equipamiento informático (hardware)</t>
        </is>
      </c>
      <c r="E71" s="34" t="inlineStr">
        <is>
          <t>[E.24] Caída del sistema por agotamiento de recursos</t>
        </is>
      </c>
      <c r="F71" s="34">
        <f>+VLOOKUP(E71,'CATALOGO AMENAZA'!$B$2:$D$46,3,FALSE)</f>
        <v/>
      </c>
      <c r="G71" s="34" t="n"/>
      <c r="H71" s="34" t="n"/>
      <c r="I71" s="34" t="inlineStr">
        <is>
          <t>X</t>
        </is>
      </c>
      <c r="J71" s="34" t="n">
        <v>2</v>
      </c>
      <c r="K71" s="34" t="n">
        <v>3</v>
      </c>
      <c r="L71" s="34">
        <f>+J71*K71</f>
        <v/>
      </c>
      <c r="M71" s="34">
        <f>+IF(L71&lt;5,"BAJO",IF(L71&lt;10,"MEDIO",IF(L71&lt;17,"ALTO","CRITICO")))</f>
        <v/>
      </c>
      <c r="N71" s="34" t="inlineStr">
        <is>
          <t>Procedimiento de Gestión de la capacidad y desempeño de la Infraestructura</t>
        </is>
      </c>
      <c r="O71" s="54" t="inlineStr">
        <is>
          <t>PREVENTIVO</t>
        </is>
      </c>
      <c r="P71" s="34" t="inlineStr">
        <is>
          <t>Control Implementado sin evidencia de efectividad (Inefectivo prueba)</t>
        </is>
      </c>
      <c r="Q71" s="52" t="n">
        <v>0.3</v>
      </c>
      <c r="R71" s="34" t="inlineStr">
        <is>
          <t>Notificación automática de alertas</t>
        </is>
      </c>
      <c r="S71" s="53">
        <f>+IF(O71="PREVENTIVO",J71*(1-Q71),IF(O71="ADMINISTRACION",J71*(1-Q71),IF(O71="ELIMINACION",J71*(1-Q71),J71)))</f>
        <v/>
      </c>
      <c r="T71" s="53">
        <f>+IF(O71="DETECTIVO",K71*(1-Q71),IF(O71="RECUPERACION",K71*(1-Q71),K71))</f>
        <v/>
      </c>
      <c r="U71" s="54">
        <f>+S71*T71</f>
        <v/>
      </c>
      <c r="V71" s="65">
        <f>+IF(U71&lt;5,"BAJO",IF(U71&lt;10,"MEDIO",IF(U71&lt;17,"ALTO","CRITICO")))</f>
        <v/>
      </c>
      <c r="W71" s="65" t="inlineStr">
        <is>
          <t>ACEPTABLE</t>
        </is>
      </c>
      <c r="X71" s="80" t="inlineStr">
        <is>
          <t>-</t>
        </is>
      </c>
      <c r="Y71" s="80" t="inlineStr">
        <is>
          <t>-</t>
        </is>
      </c>
      <c r="Z71" s="80" t="inlineStr">
        <is>
          <t>-</t>
        </is>
      </c>
    </row>
    <row r="72" hidden="1" ht="22.5" customHeight="1" s="98">
      <c r="A72" s="56" t="inlineStr">
        <is>
          <t>75-GTI</t>
        </is>
      </c>
      <c r="B72" s="4" t="inlineStr">
        <is>
          <t>Consola Firewall</t>
        </is>
      </c>
      <c r="C72" s="4" t="inlineStr">
        <is>
          <t>Consola de administracion firewall
192.168.21.2</t>
        </is>
      </c>
      <c r="D72" s="64" t="inlineStr">
        <is>
          <t>[HW] Equipamiento informático (hardware)</t>
        </is>
      </c>
      <c r="E72" s="34" t="inlineStr">
        <is>
          <t>[A.11] Acceso no autorizado</t>
        </is>
      </c>
      <c r="F72" s="34">
        <f>+VLOOKUP(E72,'CATALOGO AMENAZA'!$B$2:$D$46,3,FALSE)</f>
        <v/>
      </c>
      <c r="G72" s="34" t="inlineStr">
        <is>
          <t>X</t>
        </is>
      </c>
      <c r="H72" s="34" t="inlineStr">
        <is>
          <t>X</t>
        </is>
      </c>
      <c r="I72" s="34" t="n"/>
      <c r="J72" s="34" t="n">
        <v>3</v>
      </c>
      <c r="K72" s="34" t="n">
        <v>4</v>
      </c>
      <c r="L72" s="34">
        <f>+J72*K72</f>
        <v/>
      </c>
      <c r="M72" s="34">
        <f>+IF(L72&lt;5,"BAJO",IF(L72&lt;10,"MEDIO",IF(L72&lt;17,"ALTO","CRITICO")))</f>
        <v/>
      </c>
      <c r="N72" s="4" t="inlineStr">
        <is>
          <t>Control de accesos / VPN</t>
        </is>
      </c>
      <c r="O72" s="34" t="inlineStr">
        <is>
          <t>PREVENTIVO</t>
        </is>
      </c>
      <c r="P72" s="34" t="inlineStr">
        <is>
          <t>Control Implementado sin evidencia de efectividad (Inefectivo prueba)</t>
        </is>
      </c>
      <c r="Q72" s="52" t="n">
        <v>0.3</v>
      </c>
      <c r="R72" s="4" t="inlineStr">
        <is>
          <t>Contreaseñas de VPN no expiran</t>
        </is>
      </c>
      <c r="S72" s="53">
        <f>+IF(O72="PREVENTIVO",J72*(1-Q72),IF(O72="ADMINISTRACION",J72*(1-Q72),IF(O72="ELIMINACION",J72*(1-Q72),J72)))</f>
        <v/>
      </c>
      <c r="T72" s="53">
        <f>+IF(O72="DETECTIVO",K72*(1-Q72),IF(O72="RECUPERACION",K72*(1-Q72),K72))</f>
        <v/>
      </c>
      <c r="U72" s="54">
        <f>+S72*T72</f>
        <v/>
      </c>
      <c r="V72" s="65">
        <f>+IF(U72&lt;5,"BAJO",IF(U72&lt;10,"MEDIO",IF(U72&lt;17,"ALTO","CRITICO")))</f>
        <v/>
      </c>
      <c r="W72" s="87" t="inlineStr">
        <is>
          <t>MITIGAR</t>
        </is>
      </c>
      <c r="X72" s="80" t="inlineStr">
        <is>
          <t>-</t>
        </is>
      </c>
      <c r="Y72" s="80" t="inlineStr">
        <is>
          <t>-</t>
        </is>
      </c>
      <c r="Z72" s="80" t="inlineStr">
        <is>
          <t>-</t>
        </is>
      </c>
    </row>
    <row r="73" hidden="1" ht="22.5" customHeight="1" s="98">
      <c r="A73" s="56" t="inlineStr">
        <is>
          <t>75-GTI</t>
        </is>
      </c>
      <c r="B73" s="4" t="inlineStr">
        <is>
          <t>Consola Firewall</t>
        </is>
      </c>
      <c r="C73" s="4" t="inlineStr">
        <is>
          <t>Consola de administracion firewall
192.168.21.2</t>
        </is>
      </c>
      <c r="D73" s="64" t="inlineStr">
        <is>
          <t>[HW] Equipamiento informático (hardware)</t>
        </is>
      </c>
      <c r="E73" s="34" t="inlineStr">
        <is>
          <t>[A.23] Manipulación de los equipos</t>
        </is>
      </c>
      <c r="F73" s="34">
        <f>+VLOOKUP(E73,'CATALOGO AMENAZA'!$B$2:$D$46,3,FALSE)</f>
        <v/>
      </c>
      <c r="G73" s="34" t="inlineStr">
        <is>
          <t>X</t>
        </is>
      </c>
      <c r="H73" s="34" t="n"/>
      <c r="I73" s="34" t="inlineStr">
        <is>
          <t>X</t>
        </is>
      </c>
      <c r="J73" s="34" t="n">
        <v>2</v>
      </c>
      <c r="K73" s="34" t="n">
        <v>4</v>
      </c>
      <c r="L73" s="34">
        <f>+J73*K73</f>
        <v/>
      </c>
      <c r="M73" s="34">
        <f>+IF(L73&lt;5,"BAJO",IF(L73&lt;10,"MEDIO",IF(L73&lt;17,"ALTO","CRITICO")))</f>
        <v/>
      </c>
      <c r="N73" s="4" t="inlineStr">
        <is>
          <t>Control de accesos</t>
        </is>
      </c>
      <c r="O73" s="34" t="inlineStr">
        <is>
          <t>PREVENTIVO</t>
        </is>
      </c>
      <c r="P73" s="34" t="inlineStr">
        <is>
          <t>Control Implementado sin evidencia de efectividad (Inefectivo prueba)</t>
        </is>
      </c>
      <c r="Q73" s="52" t="n">
        <v>0.3</v>
      </c>
      <c r="R73" s="4" t="inlineStr">
        <is>
          <t>Usuarios genéricos</t>
        </is>
      </c>
      <c r="S73" s="53">
        <f>+IF(O73="PREVENTIVO",J73*(1-Q73),IF(O73="ADMINISTRACION",J73*(1-Q73),IF(O73="ELIMINACION",J73*(1-Q73),J73)))</f>
        <v/>
      </c>
      <c r="T73" s="53">
        <f>+IF(O73="DETECTIVO",K73*(1-Q73),IF(O73="RECUPERACION",K73*(1-Q73),K73))</f>
        <v/>
      </c>
      <c r="U73" s="54">
        <f>+S73*T73</f>
        <v/>
      </c>
      <c r="V73" s="65">
        <f>+IF(U73&lt;5,"BAJO",IF(U73&lt;10,"MEDIO",IF(U73&lt;17,"ALTO","CRITICO")))</f>
        <v/>
      </c>
      <c r="W73" s="87" t="inlineStr">
        <is>
          <t>MITIGAR</t>
        </is>
      </c>
      <c r="X73" s="80" t="inlineStr">
        <is>
          <t>-</t>
        </is>
      </c>
      <c r="Y73" s="80" t="inlineStr">
        <is>
          <t>-</t>
        </is>
      </c>
      <c r="Z73" s="80" t="inlineStr">
        <is>
          <t>-</t>
        </is>
      </c>
    </row>
    <row r="74" hidden="1" ht="22.5" customHeight="1" s="98">
      <c r="A74" s="56" t="inlineStr">
        <is>
          <t>75-GTI</t>
        </is>
      </c>
      <c r="B74" s="4" t="inlineStr">
        <is>
          <t>Consola Firewall</t>
        </is>
      </c>
      <c r="C74" s="4" t="inlineStr">
        <is>
          <t>Consola de administracion firewall
192.168.21.2</t>
        </is>
      </c>
      <c r="D74" s="64" t="inlineStr">
        <is>
          <t>[HW] Equipamiento informático (hardware)</t>
        </is>
      </c>
      <c r="E74" s="34" t="inlineStr">
        <is>
          <t>[A.6] Abuso de privilegios de acceso</t>
        </is>
      </c>
      <c r="F74" s="34">
        <f>+VLOOKUP(E74,'CATALOGO AMENAZA'!$B$2:$D$46,3,FALSE)</f>
        <v/>
      </c>
      <c r="G74" s="34" t="inlineStr">
        <is>
          <t>X</t>
        </is>
      </c>
      <c r="H74" s="34" t="inlineStr">
        <is>
          <t>X</t>
        </is>
      </c>
      <c r="I74" s="34" t="inlineStr">
        <is>
          <t>X</t>
        </is>
      </c>
      <c r="J74" s="34" t="n">
        <v>2</v>
      </c>
      <c r="K74" s="34" t="n">
        <v>4</v>
      </c>
      <c r="L74" s="34">
        <f>+J74*K74</f>
        <v/>
      </c>
      <c r="M74" s="34">
        <f>+IF(L74&lt;5,"BAJO",IF(L74&lt;10,"MEDIO",IF(L74&lt;17,"ALTO","CRITICO")))</f>
        <v/>
      </c>
      <c r="N74" s="4" t="inlineStr">
        <is>
          <t>Registro de logs (FortiAnalyzer)</t>
        </is>
      </c>
      <c r="O74" s="34" t="inlineStr">
        <is>
          <t>DETECTIVO</t>
        </is>
      </c>
      <c r="P74" s="34" t="inlineStr">
        <is>
          <t>Control Implementado sin evidencia de efectividad (Inefectivo prueba)</t>
        </is>
      </c>
      <c r="Q74" s="52" t="n">
        <v>0.3</v>
      </c>
      <c r="R74" s="4" t="inlineStr">
        <is>
          <t>Falta de revisión de perfiles de acceso</t>
        </is>
      </c>
      <c r="S74" s="53">
        <f>+IF(O74="PREVENTIVO",J74*(1-Q74),IF(O74="ADMINISTRACION",J74*(1-Q74),IF(O74="ELIMINACION",J74*(1-Q74),J74)))</f>
        <v/>
      </c>
      <c r="T74" s="53">
        <f>+IF(O74="DETECTIVO",K74*(1-Q74),IF(O74="RECUPERACION",K74*(1-Q74),K74))</f>
        <v/>
      </c>
      <c r="U74" s="54">
        <f>+S74*T74</f>
        <v/>
      </c>
      <c r="V74" s="65">
        <f>+IF(U74&lt;5,"BAJO",IF(U74&lt;10,"MEDIO",IF(U74&lt;17,"ALTO","CRITICO")))</f>
        <v/>
      </c>
      <c r="W74" s="87" t="inlineStr">
        <is>
          <t>MITIGAR</t>
        </is>
      </c>
      <c r="X74" s="80" t="inlineStr">
        <is>
          <t>-</t>
        </is>
      </c>
      <c r="Y74" s="80" t="inlineStr">
        <is>
          <t>-</t>
        </is>
      </c>
      <c r="Z74" s="80" t="inlineStr">
        <is>
          <t>-</t>
        </is>
      </c>
    </row>
    <row r="75" ht="29" customHeight="1" s="98">
      <c r="A75" s="56" t="inlineStr">
        <is>
          <t>75-GTI</t>
        </is>
      </c>
      <c r="B75" s="4" t="inlineStr">
        <is>
          <t>Consola Firewall</t>
        </is>
      </c>
      <c r="C75" s="4" t="inlineStr">
        <is>
          <t>Consola de administracion firewall
192.168.21.2</t>
        </is>
      </c>
      <c r="D75" s="64" t="inlineStr">
        <is>
          <t>[HW] Equipamiento informático (hardware)</t>
        </is>
      </c>
      <c r="E75" s="34" t="inlineStr">
        <is>
          <t>[A.24] Denegación de servicio</t>
        </is>
      </c>
      <c r="F75" s="34">
        <f>+VLOOKUP(E75,'CATALOGO AMENAZA'!$B$2:$D$46,3,FALSE)</f>
        <v/>
      </c>
      <c r="G75" s="34" t="n"/>
      <c r="H75" s="34" t="n"/>
      <c r="I75" s="34" t="inlineStr">
        <is>
          <t>X</t>
        </is>
      </c>
      <c r="J75" s="34" t="n">
        <v>3</v>
      </c>
      <c r="K75" s="34" t="n">
        <v>5</v>
      </c>
      <c r="L75" s="34">
        <f>+J75*K75</f>
        <v/>
      </c>
      <c r="M75" s="34">
        <f>+IF(L75&lt;5,"BAJO",IF(L75&lt;10,"MEDIO",IF(L75&lt;17,"ALTO","CRITICO")))</f>
        <v/>
      </c>
      <c r="N75" s="4" t="inlineStr">
        <is>
          <t>Configuración segura de firewall</t>
        </is>
      </c>
      <c r="O75" s="34" t="inlineStr">
        <is>
          <t>PREVENTIVO</t>
        </is>
      </c>
      <c r="P75" s="34" t="inlineStr">
        <is>
          <t>Control Implementado sin evidencia de efectividad (Inefectivo prueba)</t>
        </is>
      </c>
      <c r="Q75" s="52" t="n">
        <v>0.3</v>
      </c>
      <c r="R75" s="34" t="inlineStr">
        <is>
          <t>Evidencia de validación de las configuraciones</t>
        </is>
      </c>
      <c r="S75" s="53">
        <f>+IF(O75="PREVENTIVO",J75*(1-Q75),IF(O75="ADMINISTRACION",J75*(1-Q75),IF(O75="ELIMINACION",J75*(1-Q75),J75)))</f>
        <v/>
      </c>
      <c r="T75" s="53">
        <f>+IF(O75="DETECTIVO",K75*(1-Q75),IF(O75="RECUPERACION",K75*(1-Q75),K75))</f>
        <v/>
      </c>
      <c r="U75" s="54">
        <f>+S75*T75</f>
        <v/>
      </c>
      <c r="V75" s="65">
        <f>+IF(U75&lt;5,"BAJO",IF(U75&lt;10,"MEDIO",IF(U75&lt;17,"ALTO","CRITICO")))</f>
        <v/>
      </c>
      <c r="W75" s="65" t="inlineStr">
        <is>
          <t>MITIGAR</t>
        </is>
      </c>
      <c r="X75" s="34" t="inlineStr">
        <is>
          <t>REQUIERE TRATAMIENTO</t>
        </is>
      </c>
      <c r="Y75" s="34" t="inlineStr">
        <is>
          <t>PA-SI-003</t>
        </is>
      </c>
      <c r="Z75" s="34" t="inlineStr">
        <is>
          <t>Determinar accesos restringidos para la consola administrativa</t>
        </is>
      </c>
    </row>
    <row r="76" hidden="1" ht="41" customHeight="1" s="98">
      <c r="A76" s="56" t="inlineStr">
        <is>
          <t>75-GTI</t>
        </is>
      </c>
      <c r="B76" s="4" t="inlineStr">
        <is>
          <t>Consola Firewall</t>
        </is>
      </c>
      <c r="C76" s="4" t="inlineStr">
        <is>
          <t>Consola de administracion firewall
192.168.21.2</t>
        </is>
      </c>
      <c r="D76" s="64" t="inlineStr">
        <is>
          <t>[HW] Equipamiento informático (hardware)</t>
        </is>
      </c>
      <c r="E76" s="34" t="inlineStr">
        <is>
          <t>[E.2] Errores del administrador</t>
        </is>
      </c>
      <c r="F76" s="34">
        <f>+VLOOKUP(E76,'CATALOGO AMENAZA'!$B$2:$D$46,3,FALSE)</f>
        <v/>
      </c>
      <c r="G76" s="34" t="inlineStr">
        <is>
          <t>X</t>
        </is>
      </c>
      <c r="H76" s="34" t="inlineStr">
        <is>
          <t>X</t>
        </is>
      </c>
      <c r="I76" s="34" t="inlineStr">
        <is>
          <t>X</t>
        </is>
      </c>
      <c r="J76" s="34" t="n">
        <v>2</v>
      </c>
      <c r="K76" s="34" t="n">
        <v>4</v>
      </c>
      <c r="L76" s="34">
        <f>+J76*K76</f>
        <v/>
      </c>
      <c r="M76" s="34">
        <f>+IF(L76&lt;5,"BAJO",IF(L76&lt;10,"MEDIO",IF(L76&lt;17,"ALTO","CRITICO")))</f>
        <v/>
      </c>
      <c r="N76" s="4" t="inlineStr">
        <is>
          <t>Control de cambios en los sistemas
Verificación posterior (informe)</t>
        </is>
      </c>
      <c r="O76" s="34" t="inlineStr">
        <is>
          <t>ADMINISTRACION</t>
        </is>
      </c>
      <c r="P76" s="34" t="inlineStr">
        <is>
          <t>Control Implementado sin evidencia de efectividad (Inefectivo prueba)</t>
        </is>
      </c>
      <c r="Q76" s="52" t="n">
        <v>0.3</v>
      </c>
      <c r="R76" s="4" t="inlineStr">
        <is>
          <t>No existe procedimiento formal de gestión de cambios</t>
        </is>
      </c>
      <c r="S76" s="53">
        <f>+IF(O76="PREVENTIVO",J76*(1-Q76),IF(O76="ADMINISTRACION",J76*(1-Q76),IF(O76="ELIMINACION",J76*(1-Q76),J76)))</f>
        <v/>
      </c>
      <c r="T76" s="53">
        <f>+IF(O76="DETECTIVO",K76*(1-Q76),IF(O76="RECUPERACION",K76*(1-Q76),K76))</f>
        <v/>
      </c>
      <c r="U76" s="54">
        <f>+S76*T76</f>
        <v/>
      </c>
      <c r="V76" s="65">
        <f>+IF(U76&lt;5,"BAJO",IF(U76&lt;10,"MEDIO",IF(U76&lt;17,"ALTO","CRITICO")))</f>
        <v/>
      </c>
      <c r="W76" s="87" t="inlineStr">
        <is>
          <t>MITIGAR</t>
        </is>
      </c>
      <c r="X76" s="80" t="inlineStr">
        <is>
          <t>-</t>
        </is>
      </c>
      <c r="Y76" s="80" t="inlineStr">
        <is>
          <t>-</t>
        </is>
      </c>
      <c r="Z76" s="80" t="inlineStr">
        <is>
          <t>-</t>
        </is>
      </c>
    </row>
    <row r="77" hidden="1" ht="51" customHeight="1" s="98">
      <c r="A77" s="56" t="inlineStr">
        <is>
          <t>75-GTI</t>
        </is>
      </c>
      <c r="B77" s="4" t="inlineStr">
        <is>
          <t>Consola Firewall</t>
        </is>
      </c>
      <c r="C77" s="4" t="inlineStr">
        <is>
          <t>Consola de administracion firewall
192.168.21.2</t>
        </is>
      </c>
      <c r="D77" s="64" t="inlineStr">
        <is>
          <t>[HW] Equipamiento informático (hardware)</t>
        </is>
      </c>
      <c r="E77" s="34" t="inlineStr">
        <is>
          <t>[E.24] Caída del sistema por agotamiento de recursos</t>
        </is>
      </c>
      <c r="F77" s="34">
        <f>+VLOOKUP(E77,'CATALOGO AMENAZA'!$B$2:$D$46,3,FALSE)</f>
        <v/>
      </c>
      <c r="G77" s="34" t="n"/>
      <c r="H77" s="34" t="n"/>
      <c r="I77" s="34" t="inlineStr">
        <is>
          <t>X</t>
        </is>
      </c>
      <c r="J77" s="34" t="n">
        <v>2</v>
      </c>
      <c r="K77" s="34" t="n">
        <v>3</v>
      </c>
      <c r="L77" s="34">
        <f>+J77*K77</f>
        <v/>
      </c>
      <c r="M77" s="34">
        <f>+IF(L77&lt;5,"BAJO",IF(L77&lt;10,"MEDIO",IF(L77&lt;17,"ALTO","CRITICO")))</f>
        <v/>
      </c>
      <c r="N77" s="34" t="inlineStr">
        <is>
          <t>Procedimiento de Gestión de la capacidad y desempeño de la Infraestructura</t>
        </is>
      </c>
      <c r="O77" s="54" t="inlineStr">
        <is>
          <t>PREVENTIVO</t>
        </is>
      </c>
      <c r="P77" s="34" t="inlineStr">
        <is>
          <t>Control Implementado sin evidencia de efectividad (Inefectivo prueba)</t>
        </is>
      </c>
      <c r="Q77" s="52" t="n">
        <v>0.3</v>
      </c>
      <c r="R77" s="34" t="inlineStr">
        <is>
          <t>Notificación automática de alertas</t>
        </is>
      </c>
      <c r="S77" s="53">
        <f>+IF(O77="PREVENTIVO",J77*(1-Q77),IF(O77="ADMINISTRACION",J77*(1-Q77),IF(O77="ELIMINACION",J77*(1-Q77),J77)))</f>
        <v/>
      </c>
      <c r="T77" s="53">
        <f>+IF(O77="DETECTIVO",K77*(1-Q77),IF(O77="RECUPERACION",K77*(1-Q77),K77))</f>
        <v/>
      </c>
      <c r="U77" s="54">
        <f>+S77*T77</f>
        <v/>
      </c>
      <c r="V77" s="65">
        <f>+IF(U77&lt;5,"BAJO",IF(U77&lt;10,"MEDIO",IF(U77&lt;17,"ALTO","CRITICO")))</f>
        <v/>
      </c>
      <c r="W77" s="65" t="inlineStr">
        <is>
          <t>ACEPTABLE</t>
        </is>
      </c>
      <c r="X77" s="80" t="inlineStr">
        <is>
          <t>-</t>
        </is>
      </c>
      <c r="Y77" s="80" t="inlineStr">
        <is>
          <t>-</t>
        </is>
      </c>
      <c r="Z77" s="80" t="inlineStr">
        <is>
          <t>-</t>
        </is>
      </c>
    </row>
    <row r="78" hidden="1" ht="22.5" customHeight="1" s="98">
      <c r="A78" s="56" t="inlineStr">
        <is>
          <t>77-GTI</t>
        </is>
      </c>
      <c r="B78" s="4" t="inlineStr">
        <is>
          <t>Consola FortiAnalizer</t>
        </is>
      </c>
      <c r="C78" s="4" t="inlineStr">
        <is>
          <t>Analizador de logs
192.168.100.232</t>
        </is>
      </c>
      <c r="D78" s="64" t="inlineStr">
        <is>
          <t>[HW] Equipamiento informático (hardware)</t>
        </is>
      </c>
      <c r="E78" s="34" t="inlineStr">
        <is>
          <t>[A.11] Acceso no autorizado</t>
        </is>
      </c>
      <c r="F78" s="34">
        <f>+VLOOKUP(E78,'CATALOGO AMENAZA'!$B$2:$D$46,3,FALSE)</f>
        <v/>
      </c>
      <c r="G78" s="34" t="inlineStr">
        <is>
          <t>X</t>
        </is>
      </c>
      <c r="H78" s="34" t="inlineStr">
        <is>
          <t>X</t>
        </is>
      </c>
      <c r="I78" s="34" t="n"/>
      <c r="J78" s="34" t="n">
        <v>2</v>
      </c>
      <c r="K78" s="34" t="n">
        <v>3</v>
      </c>
      <c r="L78" s="34">
        <f>+J78*K78</f>
        <v/>
      </c>
      <c r="M78" s="34">
        <f>+IF(L78&lt;5,"BAJO",IF(L78&lt;10,"MEDIO",IF(L78&lt;17,"ALTO","CRITICO")))</f>
        <v/>
      </c>
      <c r="N78" s="4" t="inlineStr">
        <is>
          <t>Control de accesos / VPN</t>
        </is>
      </c>
      <c r="O78" s="34" t="inlineStr">
        <is>
          <t>PREVENTIVO</t>
        </is>
      </c>
      <c r="P78" s="34" t="inlineStr">
        <is>
          <t>Control Implementado sin evidencia de efectividad (Inefectivo prueba)</t>
        </is>
      </c>
      <c r="Q78" s="52" t="n">
        <v>0.3</v>
      </c>
      <c r="R78" s="4" t="inlineStr">
        <is>
          <t>Contreaseñas de VPN no expiran</t>
        </is>
      </c>
      <c r="S78" s="53">
        <f>+IF(O78="PREVENTIVO",J78*(1-Q78),IF(O78="ADMINISTRACION",J78*(1-Q78),IF(O78="ELIMINACION",J78*(1-Q78),J78)))</f>
        <v/>
      </c>
      <c r="T78" s="53">
        <f>+IF(O78="DETECTIVO",K78*(1-Q78),IF(O78="RECUPERACION",K78*(1-Q78),K78))</f>
        <v/>
      </c>
      <c r="U78" s="54">
        <f>+S78*T78</f>
        <v/>
      </c>
      <c r="V78" s="65">
        <f>+IF(U78&lt;5,"BAJO",IF(U78&lt;10,"MEDIO",IF(U78&lt;17,"ALTO","CRITICO")))</f>
        <v/>
      </c>
      <c r="W78" s="65" t="inlineStr">
        <is>
          <t>ACEPTABLE</t>
        </is>
      </c>
      <c r="X78" s="80" t="inlineStr">
        <is>
          <t>-</t>
        </is>
      </c>
      <c r="Y78" s="80" t="inlineStr">
        <is>
          <t>-</t>
        </is>
      </c>
      <c r="Z78" s="80" t="inlineStr">
        <is>
          <t>-</t>
        </is>
      </c>
    </row>
    <row r="79" hidden="1" ht="22.5" customHeight="1" s="98">
      <c r="A79" s="56" t="inlineStr">
        <is>
          <t>77-GTI</t>
        </is>
      </c>
      <c r="B79" s="4" t="inlineStr">
        <is>
          <t>Consola FortiAnalizer</t>
        </is>
      </c>
      <c r="C79" s="4" t="inlineStr">
        <is>
          <t>Analizador de logs
192.168.100.232</t>
        </is>
      </c>
      <c r="D79" s="64" t="inlineStr">
        <is>
          <t>[HW] Equipamiento informático (hardware)</t>
        </is>
      </c>
      <c r="E79" s="34" t="inlineStr">
        <is>
          <t>[A.23] Manipulación de los equipos</t>
        </is>
      </c>
      <c r="F79" s="34">
        <f>+VLOOKUP(E79,'CATALOGO AMENAZA'!$B$2:$D$46,3,FALSE)</f>
        <v/>
      </c>
      <c r="G79" s="34" t="inlineStr">
        <is>
          <t>X</t>
        </is>
      </c>
      <c r="H79" s="34" t="n"/>
      <c r="I79" s="34" t="inlineStr">
        <is>
          <t>X</t>
        </is>
      </c>
      <c r="J79" s="34" t="n">
        <v>2</v>
      </c>
      <c r="K79" s="34" t="n">
        <v>3</v>
      </c>
      <c r="L79" s="34">
        <f>+J79*K79</f>
        <v/>
      </c>
      <c r="M79" s="34">
        <f>+IF(L79&lt;5,"BAJO",IF(L79&lt;10,"MEDIO",IF(L79&lt;17,"ALTO","CRITICO")))</f>
        <v/>
      </c>
      <c r="N79" s="4" t="inlineStr">
        <is>
          <t>Control de accesos</t>
        </is>
      </c>
      <c r="O79" s="34" t="inlineStr">
        <is>
          <t>PREVENTIVO</t>
        </is>
      </c>
      <c r="P79" s="34" t="inlineStr">
        <is>
          <t>Control Implementado sin evidencia de efectividad (Inefectivo prueba)</t>
        </is>
      </c>
      <c r="Q79" s="52" t="n">
        <v>0.3</v>
      </c>
      <c r="R79" s="4" t="inlineStr">
        <is>
          <t>Usuarios genéricos</t>
        </is>
      </c>
      <c r="S79" s="53">
        <f>+IF(O79="PREVENTIVO",J79*(1-Q79),IF(O79="ADMINISTRACION",J79*(1-Q79),IF(O79="ELIMINACION",J79*(1-Q79),J79)))</f>
        <v/>
      </c>
      <c r="T79" s="53">
        <f>+IF(O79="DETECTIVO",K79*(1-Q79),IF(O79="RECUPERACION",K79*(1-Q79),K79))</f>
        <v/>
      </c>
      <c r="U79" s="54">
        <f>+S79*T79</f>
        <v/>
      </c>
      <c r="V79" s="65">
        <f>+IF(U79&lt;5,"BAJO",IF(U79&lt;10,"MEDIO",IF(U79&lt;17,"ALTO","CRITICO")))</f>
        <v/>
      </c>
      <c r="W79" s="65" t="inlineStr">
        <is>
          <t>ACEPTABLE</t>
        </is>
      </c>
      <c r="X79" s="80" t="inlineStr">
        <is>
          <t>-</t>
        </is>
      </c>
      <c r="Y79" s="80" t="inlineStr">
        <is>
          <t>-</t>
        </is>
      </c>
      <c r="Z79" s="80" t="inlineStr">
        <is>
          <t>-</t>
        </is>
      </c>
    </row>
    <row r="80" hidden="1" ht="22.5" customHeight="1" s="98">
      <c r="A80" s="56" t="inlineStr">
        <is>
          <t>77-GTI</t>
        </is>
      </c>
      <c r="B80" s="4" t="inlineStr">
        <is>
          <t>Consola FortiAnalizer</t>
        </is>
      </c>
      <c r="C80" s="4" t="inlineStr">
        <is>
          <t>Analizador de logs
192.168.100.232</t>
        </is>
      </c>
      <c r="D80" s="64" t="inlineStr">
        <is>
          <t>[HW] Equipamiento informático (hardware)</t>
        </is>
      </c>
      <c r="E80" s="34" t="inlineStr">
        <is>
          <t>[A.6] Abuso de privilegios de acceso</t>
        </is>
      </c>
      <c r="F80" s="34">
        <f>+VLOOKUP(E80,'CATALOGO AMENAZA'!$B$2:$D$46,3,FALSE)</f>
        <v/>
      </c>
      <c r="G80" s="34" t="inlineStr">
        <is>
          <t>X</t>
        </is>
      </c>
      <c r="H80" s="34" t="inlineStr">
        <is>
          <t>X</t>
        </is>
      </c>
      <c r="I80" s="34" t="inlineStr">
        <is>
          <t>X</t>
        </is>
      </c>
      <c r="J80" s="34" t="n">
        <v>2</v>
      </c>
      <c r="K80" s="34" t="n">
        <v>3</v>
      </c>
      <c r="L80" s="34">
        <f>+J80*K80</f>
        <v/>
      </c>
      <c r="M80" s="34">
        <f>+IF(L80&lt;5,"BAJO",IF(L80&lt;10,"MEDIO",IF(L80&lt;17,"ALTO","CRITICO")))</f>
        <v/>
      </c>
      <c r="N80" s="4" t="inlineStr">
        <is>
          <t>Registro de logs (FortiAnalyzer)</t>
        </is>
      </c>
      <c r="O80" s="34" t="inlineStr">
        <is>
          <t>DETECTIVO</t>
        </is>
      </c>
      <c r="P80" s="34" t="inlineStr">
        <is>
          <t>Control Implementado sin evidencia de efectividad (Inefectivo prueba)</t>
        </is>
      </c>
      <c r="Q80" s="52" t="n">
        <v>0.3</v>
      </c>
      <c r="R80" s="4" t="inlineStr">
        <is>
          <t>Falta de revisión de perfiles de acceso</t>
        </is>
      </c>
      <c r="S80" s="53">
        <f>+IF(O80="PREVENTIVO",J80*(1-Q80),IF(O80="ADMINISTRACION",J80*(1-Q80),IF(O80="ELIMINACION",J80*(1-Q80),J80)))</f>
        <v/>
      </c>
      <c r="T80" s="53">
        <f>+IF(O80="DETECTIVO",K80*(1-Q80),IF(O80="RECUPERACION",K80*(1-Q80),K80))</f>
        <v/>
      </c>
      <c r="U80" s="54">
        <f>+S80*T80</f>
        <v/>
      </c>
      <c r="V80" s="65">
        <f>+IF(U80&lt;5,"BAJO",IF(U80&lt;10,"MEDIO",IF(U80&lt;17,"ALTO","CRITICO")))</f>
        <v/>
      </c>
      <c r="W80" s="65" t="inlineStr">
        <is>
          <t>ACEPTABLE</t>
        </is>
      </c>
      <c r="X80" s="80" t="inlineStr">
        <is>
          <t>-</t>
        </is>
      </c>
      <c r="Y80" s="80" t="inlineStr">
        <is>
          <t>-</t>
        </is>
      </c>
      <c r="Z80" s="80" t="inlineStr">
        <is>
          <t>-</t>
        </is>
      </c>
    </row>
    <row r="81" hidden="1" ht="22.5" customHeight="1" s="98">
      <c r="A81" s="56" t="inlineStr">
        <is>
          <t>77-GTI</t>
        </is>
      </c>
      <c r="B81" s="4" t="inlineStr">
        <is>
          <t>Consola FortiAnalizer</t>
        </is>
      </c>
      <c r="C81" s="4" t="inlineStr">
        <is>
          <t>Analizador de logs
192.168.100.232</t>
        </is>
      </c>
      <c r="D81" s="64" t="inlineStr">
        <is>
          <t>[HW] Equipamiento informático (hardware)</t>
        </is>
      </c>
      <c r="E81" s="34" t="inlineStr">
        <is>
          <t>[A.24] Denegación de servicio</t>
        </is>
      </c>
      <c r="F81" s="34">
        <f>+VLOOKUP(E81,'CATALOGO AMENAZA'!$B$2:$D$46,3,FALSE)</f>
        <v/>
      </c>
      <c r="G81" s="34" t="n"/>
      <c r="H81" s="34" t="n"/>
      <c r="I81" s="34" t="inlineStr">
        <is>
          <t>X</t>
        </is>
      </c>
      <c r="J81" s="34" t="n">
        <v>3</v>
      </c>
      <c r="K81" s="34" t="n">
        <v>3</v>
      </c>
      <c r="L81" s="34">
        <f>+J81*K81</f>
        <v/>
      </c>
      <c r="M81" s="34">
        <f>+IF(L81&lt;5,"BAJO",IF(L81&lt;10,"MEDIO",IF(L81&lt;17,"ALTO","CRITICO")))</f>
        <v/>
      </c>
      <c r="N81" s="4" t="inlineStr">
        <is>
          <t>Configuración segura de firewall</t>
        </is>
      </c>
      <c r="O81" s="34" t="inlineStr">
        <is>
          <t>PREVENTIVO</t>
        </is>
      </c>
      <c r="P81" s="34" t="inlineStr">
        <is>
          <t>Control Implementado sin evidencia de efectividad (Inefectivo prueba)</t>
        </is>
      </c>
      <c r="Q81" s="52" t="n">
        <v>0.3</v>
      </c>
      <c r="R81" s="34" t="inlineStr">
        <is>
          <t>Evidencia de validación de las configuraciones</t>
        </is>
      </c>
      <c r="S81" s="53">
        <f>+IF(O81="PREVENTIVO",J81*(1-Q81),IF(O81="ADMINISTRACION",J81*(1-Q81),IF(O81="ELIMINACION",J81*(1-Q81),J81)))</f>
        <v/>
      </c>
      <c r="T81" s="53">
        <f>+IF(O81="DETECTIVO",K81*(1-Q81),IF(O81="RECUPERACION",K81*(1-Q81),K81))</f>
        <v/>
      </c>
      <c r="U81" s="54">
        <f>+S81*T81</f>
        <v/>
      </c>
      <c r="V81" s="65">
        <f>+IF(U81&lt;5,"BAJO",IF(U81&lt;10,"MEDIO",IF(U81&lt;17,"ALTO","CRITICO")))</f>
        <v/>
      </c>
      <c r="W81" s="87" t="inlineStr">
        <is>
          <t>MITIGAR</t>
        </is>
      </c>
      <c r="X81" s="80" t="inlineStr">
        <is>
          <t>-</t>
        </is>
      </c>
      <c r="Y81" s="80" t="inlineStr">
        <is>
          <t>-</t>
        </is>
      </c>
      <c r="Z81" s="80" t="inlineStr">
        <is>
          <t>-</t>
        </is>
      </c>
    </row>
    <row r="82" hidden="1" ht="41" customHeight="1" s="98">
      <c r="A82" s="56" t="inlineStr">
        <is>
          <t>77-GTI</t>
        </is>
      </c>
      <c r="B82" s="4" t="inlineStr">
        <is>
          <t>Consola FortiAnalizer</t>
        </is>
      </c>
      <c r="C82" s="4" t="inlineStr">
        <is>
          <t>Analizador de logs
192.168.100.232</t>
        </is>
      </c>
      <c r="D82" s="64" t="inlineStr">
        <is>
          <t>[HW] Equipamiento informático (hardware)</t>
        </is>
      </c>
      <c r="E82" s="34" t="inlineStr">
        <is>
          <t>[E.2] Errores del administrador</t>
        </is>
      </c>
      <c r="F82" s="34">
        <f>+VLOOKUP(E82,'CATALOGO AMENAZA'!$B$2:$D$46,3,FALSE)</f>
        <v/>
      </c>
      <c r="G82" s="34" t="inlineStr">
        <is>
          <t>X</t>
        </is>
      </c>
      <c r="H82" s="34" t="inlineStr">
        <is>
          <t>X</t>
        </is>
      </c>
      <c r="I82" s="34" t="inlineStr">
        <is>
          <t>X</t>
        </is>
      </c>
      <c r="J82" s="34" t="n">
        <v>2</v>
      </c>
      <c r="K82" s="34" t="n">
        <v>3</v>
      </c>
      <c r="L82" s="34">
        <f>+J82*K82</f>
        <v/>
      </c>
      <c r="M82" s="34">
        <f>+IF(L82&lt;5,"BAJO",IF(L82&lt;10,"MEDIO",IF(L82&lt;17,"ALTO","CRITICO")))</f>
        <v/>
      </c>
      <c r="N82" s="4" t="inlineStr">
        <is>
          <t>Control de cambios en los sistemas
Verificación posterior (informe)</t>
        </is>
      </c>
      <c r="O82" s="34" t="inlineStr">
        <is>
          <t>ADMINISTRACION</t>
        </is>
      </c>
      <c r="P82" s="34" t="inlineStr">
        <is>
          <t>Control Implementado sin evidencia de efectividad (Inefectivo prueba)</t>
        </is>
      </c>
      <c r="Q82" s="52" t="n">
        <v>0.3</v>
      </c>
      <c r="R82" s="4" t="inlineStr">
        <is>
          <t>No existe procedimiento formal de gestión de cambios</t>
        </is>
      </c>
      <c r="S82" s="53">
        <f>+IF(O82="PREVENTIVO",J82*(1-Q82),IF(O82="ADMINISTRACION",J82*(1-Q82),IF(O82="ELIMINACION",J82*(1-Q82),J82)))</f>
        <v/>
      </c>
      <c r="T82" s="53">
        <f>+IF(O82="DETECTIVO",K82*(1-Q82),IF(O82="RECUPERACION",K82*(1-Q82),K82))</f>
        <v/>
      </c>
      <c r="U82" s="54">
        <f>+S82*T82</f>
        <v/>
      </c>
      <c r="V82" s="65">
        <f>+IF(U82&lt;5,"BAJO",IF(U82&lt;10,"MEDIO",IF(U82&lt;17,"ALTO","CRITICO")))</f>
        <v/>
      </c>
      <c r="W82" s="65" t="inlineStr">
        <is>
          <t>ACEPTABLE</t>
        </is>
      </c>
      <c r="X82" s="80" t="inlineStr">
        <is>
          <t>-</t>
        </is>
      </c>
      <c r="Y82" s="80" t="inlineStr">
        <is>
          <t>-</t>
        </is>
      </c>
      <c r="Z82" s="80" t="inlineStr">
        <is>
          <t>-</t>
        </is>
      </c>
    </row>
    <row r="83" hidden="1" ht="39.5" customHeight="1" s="98">
      <c r="A83" s="56" t="inlineStr">
        <is>
          <t>77-GTI</t>
        </is>
      </c>
      <c r="B83" s="4" t="inlineStr">
        <is>
          <t>Consola FortiAnalizer</t>
        </is>
      </c>
      <c r="C83" s="4" t="inlineStr">
        <is>
          <t>Analizador de logs
192.168.100.232</t>
        </is>
      </c>
      <c r="D83" s="64" t="inlineStr">
        <is>
          <t>[HW] Equipamiento informático (hardware)</t>
        </is>
      </c>
      <c r="E83" s="34" t="inlineStr">
        <is>
          <t>[E.24] Caída del sistema por agotamiento de recursos</t>
        </is>
      </c>
      <c r="F83" s="34">
        <f>+VLOOKUP(E83,'CATALOGO AMENAZA'!$B$2:$D$46,3,FALSE)</f>
        <v/>
      </c>
      <c r="G83" s="34" t="n"/>
      <c r="H83" s="34" t="n"/>
      <c r="I83" s="34" t="inlineStr">
        <is>
          <t>X</t>
        </is>
      </c>
      <c r="J83" s="34" t="n">
        <v>3</v>
      </c>
      <c r="K83" s="34" t="n">
        <v>3</v>
      </c>
      <c r="L83" s="34">
        <f>+J83*K83</f>
        <v/>
      </c>
      <c r="M83" s="34">
        <f>+IF(L83&lt;5,"BAJO",IF(L83&lt;10,"MEDIO",IF(L83&lt;17,"ALTO","CRITICO")))</f>
        <v/>
      </c>
      <c r="N83" s="34" t="inlineStr">
        <is>
          <t>Procedimiento de Gestión de la capacidad y desempeño de la Infraestructura</t>
        </is>
      </c>
      <c r="O83" s="54" t="inlineStr">
        <is>
          <t>PREVENTIVO</t>
        </is>
      </c>
      <c r="P83" s="34" t="inlineStr">
        <is>
          <t>Control Implementado sin evidencia de efectividad (Inefectivo prueba)</t>
        </is>
      </c>
      <c r="Q83" s="52" t="n">
        <v>0.3</v>
      </c>
      <c r="R83" s="34" t="inlineStr">
        <is>
          <t>Notificación automática de alertas</t>
        </is>
      </c>
      <c r="S83" s="53">
        <f>+IF(O83="PREVENTIVO",J83*(1-Q83),IF(O83="ADMINISTRACION",J83*(1-Q83),IF(O83="ELIMINACION",J83*(1-Q83),J83)))</f>
        <v/>
      </c>
      <c r="T83" s="53">
        <f>+IF(O83="DETECTIVO",K83*(1-Q83),IF(O83="RECUPERACION",K83*(1-Q83),K83))</f>
        <v/>
      </c>
      <c r="U83" s="54">
        <f>+S83*T83</f>
        <v/>
      </c>
      <c r="V83" s="65">
        <f>+IF(U83&lt;5,"BAJO",IF(U83&lt;10,"MEDIO",IF(U83&lt;17,"ALTO","CRITICO")))</f>
        <v/>
      </c>
      <c r="W83" s="87" t="inlineStr">
        <is>
          <t>MITIGAR</t>
        </is>
      </c>
      <c r="X83" s="80" t="inlineStr">
        <is>
          <t>-</t>
        </is>
      </c>
      <c r="Y83" s="80" t="inlineStr">
        <is>
          <t>-</t>
        </is>
      </c>
      <c r="Z83" s="80" t="inlineStr">
        <is>
          <t>-</t>
        </is>
      </c>
    </row>
    <row r="84" hidden="1" ht="39.5" customHeight="1" s="98">
      <c r="A84" s="57" t="inlineStr">
        <is>
          <t>78-GTI</t>
        </is>
      </c>
      <c r="B84" s="17" t="inlineStr">
        <is>
          <t>FortiGate</t>
        </is>
      </c>
      <c r="C84" s="17" t="inlineStr">
        <is>
          <t>Consola de administracion  
192.168.100.238</t>
        </is>
      </c>
      <c r="D84" s="64" t="inlineStr">
        <is>
          <t>[HW] Equipamiento informático (hardware)</t>
        </is>
      </c>
      <c r="E84" s="34" t="inlineStr">
        <is>
          <t>[A.11] Acceso no autorizado</t>
        </is>
      </c>
      <c r="F84" s="34">
        <f>+VLOOKUP(E84,'CATALOGO AMENAZA'!$B$2:$D$46,3,FALSE)</f>
        <v/>
      </c>
      <c r="G84" s="34" t="inlineStr">
        <is>
          <t>X</t>
        </is>
      </c>
      <c r="H84" s="34" t="inlineStr">
        <is>
          <t>X</t>
        </is>
      </c>
      <c r="I84" s="34" t="n"/>
      <c r="J84" s="34" t="n">
        <v>3</v>
      </c>
      <c r="K84" s="34" t="n">
        <v>4</v>
      </c>
      <c r="L84" s="34">
        <f>+J84*K84</f>
        <v/>
      </c>
      <c r="M84" s="34">
        <f>+IF(L84&lt;5,"BAJO",IF(L84&lt;10,"MEDIO",IF(L84&lt;17,"ALTO","CRITICO")))</f>
        <v/>
      </c>
      <c r="N84" s="4" t="inlineStr">
        <is>
          <t>Control de accesos / VPN</t>
        </is>
      </c>
      <c r="O84" s="34" t="inlineStr">
        <is>
          <t>PREVENTIVO</t>
        </is>
      </c>
      <c r="P84" s="34" t="inlineStr">
        <is>
          <t>Control Implementado sin evidencia de efectividad (Inefectivo prueba)</t>
        </is>
      </c>
      <c r="Q84" s="52" t="n">
        <v>0.3</v>
      </c>
      <c r="R84" s="4" t="inlineStr">
        <is>
          <t>Contreaseñas de VPN no expiran</t>
        </is>
      </c>
      <c r="S84" s="53">
        <f>+IF(O84="PREVENTIVO",J84*(1-Q84),IF(O84="ADMINISTRACION",J84*(1-Q84),IF(O84="ELIMINACION",J84*(1-Q84),J84)))</f>
        <v/>
      </c>
      <c r="T84" s="53">
        <f>+IF(O84="DETECTIVO",K84*(1-Q84),IF(O84="RECUPERACION",K84*(1-Q84),K84))</f>
        <v/>
      </c>
      <c r="U84" s="54">
        <f>+S84*T84</f>
        <v/>
      </c>
      <c r="V84" s="65">
        <f>+IF(U84&lt;5,"BAJO",IF(U84&lt;10,"MEDIO",IF(U84&lt;17,"ALTO","CRITICO")))</f>
        <v/>
      </c>
      <c r="W84" s="87" t="inlineStr">
        <is>
          <t>MITIGAR</t>
        </is>
      </c>
      <c r="X84" s="80" t="inlineStr">
        <is>
          <t>-</t>
        </is>
      </c>
      <c r="Y84" s="80" t="inlineStr">
        <is>
          <t>-</t>
        </is>
      </c>
      <c r="Z84" s="80" t="inlineStr">
        <is>
          <t>-</t>
        </is>
      </c>
    </row>
    <row r="85" hidden="1" ht="39.5" customHeight="1" s="98">
      <c r="A85" s="57" t="inlineStr">
        <is>
          <t>78-GTI</t>
        </is>
      </c>
      <c r="B85" s="17" t="inlineStr">
        <is>
          <t>FortiGate</t>
        </is>
      </c>
      <c r="C85" s="17" t="inlineStr">
        <is>
          <t>Consola de administracion  
192.168.100.238</t>
        </is>
      </c>
      <c r="D85" s="64" t="inlineStr">
        <is>
          <t>[HW] Equipamiento informático (hardware)</t>
        </is>
      </c>
      <c r="E85" s="34" t="inlineStr">
        <is>
          <t>[A.23] Manipulación de los equipos</t>
        </is>
      </c>
      <c r="F85" s="34">
        <f>+VLOOKUP(E85,'CATALOGO AMENAZA'!$B$2:$D$46,3,FALSE)</f>
        <v/>
      </c>
      <c r="G85" s="34" t="inlineStr">
        <is>
          <t>X</t>
        </is>
      </c>
      <c r="H85" s="34" t="n"/>
      <c r="I85" s="34" t="inlineStr">
        <is>
          <t>X</t>
        </is>
      </c>
      <c r="J85" s="34" t="n">
        <v>2</v>
      </c>
      <c r="K85" s="34" t="n">
        <v>3</v>
      </c>
      <c r="L85" s="34">
        <f>+J85*K85</f>
        <v/>
      </c>
      <c r="M85" s="34">
        <f>+IF(L85&lt;5,"BAJO",IF(L85&lt;10,"MEDIO",IF(L85&lt;17,"ALTO","CRITICO")))</f>
        <v/>
      </c>
      <c r="N85" s="4" t="inlineStr">
        <is>
          <t>Control de accesos</t>
        </is>
      </c>
      <c r="O85" s="34" t="inlineStr">
        <is>
          <t>PREVENTIVO</t>
        </is>
      </c>
      <c r="P85" s="34" t="inlineStr">
        <is>
          <t>Control Implementado sin evidencia de efectividad (Inefectivo prueba)</t>
        </is>
      </c>
      <c r="Q85" s="52" t="n">
        <v>0.3</v>
      </c>
      <c r="R85" s="4" t="inlineStr">
        <is>
          <t>Usuarios genéricos</t>
        </is>
      </c>
      <c r="S85" s="53">
        <f>+IF(O85="PREVENTIVO",J85*(1-Q85),IF(O85="ADMINISTRACION",J85*(1-Q85),IF(O85="ELIMINACION",J85*(1-Q85),J85)))</f>
        <v/>
      </c>
      <c r="T85" s="53">
        <f>+IF(O85="DETECTIVO",K85*(1-Q85),IF(O85="RECUPERACION",K85*(1-Q85),K85))</f>
        <v/>
      </c>
      <c r="U85" s="54">
        <f>+S85*T85</f>
        <v/>
      </c>
      <c r="V85" s="65">
        <f>+IF(U85&lt;5,"BAJO",IF(U85&lt;10,"MEDIO",IF(U85&lt;17,"ALTO","CRITICO")))</f>
        <v/>
      </c>
      <c r="W85" s="65" t="inlineStr">
        <is>
          <t>ACEPTABLE</t>
        </is>
      </c>
      <c r="X85" s="80" t="inlineStr">
        <is>
          <t>-</t>
        </is>
      </c>
      <c r="Y85" s="80" t="inlineStr">
        <is>
          <t>-</t>
        </is>
      </c>
      <c r="Z85" s="80" t="inlineStr">
        <is>
          <t>-</t>
        </is>
      </c>
    </row>
    <row r="86" hidden="1" ht="39.5" customHeight="1" s="98">
      <c r="A86" s="57" t="inlineStr">
        <is>
          <t>78-GTI</t>
        </is>
      </c>
      <c r="B86" s="17" t="inlineStr">
        <is>
          <t>FortiGate</t>
        </is>
      </c>
      <c r="C86" s="17" t="inlineStr">
        <is>
          <t>Consola de administracion  
192.168.100.238</t>
        </is>
      </c>
      <c r="D86" s="64" t="inlineStr">
        <is>
          <t>[HW] Equipamiento informático (hardware)</t>
        </is>
      </c>
      <c r="E86" s="34" t="inlineStr">
        <is>
          <t>[A.6] Abuso de privilegios de acceso</t>
        </is>
      </c>
      <c r="F86" s="34">
        <f>+VLOOKUP(E86,'CATALOGO AMENAZA'!$B$2:$D$46,3,FALSE)</f>
        <v/>
      </c>
      <c r="G86" s="34" t="inlineStr">
        <is>
          <t>X</t>
        </is>
      </c>
      <c r="H86" s="34" t="inlineStr">
        <is>
          <t>X</t>
        </is>
      </c>
      <c r="I86" s="34" t="inlineStr">
        <is>
          <t>X</t>
        </is>
      </c>
      <c r="J86" s="34" t="n">
        <v>2</v>
      </c>
      <c r="K86" s="34" t="n">
        <v>4</v>
      </c>
      <c r="L86" s="34">
        <f>+J86*K86</f>
        <v/>
      </c>
      <c r="M86" s="34">
        <f>+IF(L86&lt;5,"BAJO",IF(L86&lt;10,"MEDIO",IF(L86&lt;17,"ALTO","CRITICO")))</f>
        <v/>
      </c>
      <c r="N86" s="4" t="inlineStr">
        <is>
          <t>Registro de logs (FortiAnalyzer)</t>
        </is>
      </c>
      <c r="O86" s="34" t="inlineStr">
        <is>
          <t>DETECTIVO</t>
        </is>
      </c>
      <c r="P86" s="34" t="inlineStr">
        <is>
          <t>Control Implementado sin evidencia de efectividad (Inefectivo prueba)</t>
        </is>
      </c>
      <c r="Q86" s="52" t="n">
        <v>0.3</v>
      </c>
      <c r="R86" s="4" t="inlineStr">
        <is>
          <t>Falta de revisión de perfiles de acceso</t>
        </is>
      </c>
      <c r="S86" s="53">
        <f>+IF(O86="PREVENTIVO",J86*(1-Q86),IF(O86="ADMINISTRACION",J86*(1-Q86),IF(O86="ELIMINACION",J86*(1-Q86),J86)))</f>
        <v/>
      </c>
      <c r="T86" s="53">
        <f>+IF(O86="DETECTIVO",K86*(1-Q86),IF(O86="RECUPERACION",K86*(1-Q86),K86))</f>
        <v/>
      </c>
      <c r="U86" s="54">
        <f>+S86*T86</f>
        <v/>
      </c>
      <c r="V86" s="65">
        <f>+IF(U86&lt;5,"BAJO",IF(U86&lt;10,"MEDIO",IF(U86&lt;17,"ALTO","CRITICO")))</f>
        <v/>
      </c>
      <c r="W86" s="87" t="inlineStr">
        <is>
          <t>MITIGAR</t>
        </is>
      </c>
      <c r="X86" s="80" t="inlineStr">
        <is>
          <t>-</t>
        </is>
      </c>
      <c r="Y86" s="80" t="inlineStr">
        <is>
          <t>-</t>
        </is>
      </c>
      <c r="Z86" s="80" t="inlineStr">
        <is>
          <t>-</t>
        </is>
      </c>
    </row>
    <row r="87" hidden="1" ht="39.5" customHeight="1" s="98">
      <c r="A87" s="57" t="inlineStr">
        <is>
          <t>78-GTI</t>
        </is>
      </c>
      <c r="B87" s="17" t="inlineStr">
        <is>
          <t>FortiGate</t>
        </is>
      </c>
      <c r="C87" s="17" t="inlineStr">
        <is>
          <t>Consola de administracion  
192.168.100.238</t>
        </is>
      </c>
      <c r="D87" s="64" t="inlineStr">
        <is>
          <t>[HW] Equipamiento informático (hardware)</t>
        </is>
      </c>
      <c r="E87" s="34" t="inlineStr">
        <is>
          <t>[A.24] Denegación de servicio</t>
        </is>
      </c>
      <c r="F87" s="34">
        <f>+VLOOKUP(E87,'CATALOGO AMENAZA'!$B$2:$D$46,3,FALSE)</f>
        <v/>
      </c>
      <c r="G87" s="34" t="n"/>
      <c r="H87" s="34" t="n"/>
      <c r="I87" s="34" t="inlineStr">
        <is>
          <t>X</t>
        </is>
      </c>
      <c r="J87" s="34" t="n">
        <v>3</v>
      </c>
      <c r="K87" s="34" t="n">
        <v>4</v>
      </c>
      <c r="L87" s="34">
        <f>+J87*K87</f>
        <v/>
      </c>
      <c r="M87" s="34">
        <f>+IF(L87&lt;5,"BAJO",IF(L87&lt;10,"MEDIO",IF(L87&lt;17,"ALTO","CRITICO")))</f>
        <v/>
      </c>
      <c r="N87" s="4" t="inlineStr">
        <is>
          <t>Configuración segura de firewall</t>
        </is>
      </c>
      <c r="O87" s="34" t="inlineStr">
        <is>
          <t>PREVENTIVO</t>
        </is>
      </c>
      <c r="P87" s="34" t="inlineStr">
        <is>
          <t>Control Implementado sin evidencia de efectividad (Inefectivo prueba)</t>
        </is>
      </c>
      <c r="Q87" s="52" t="n">
        <v>0.3</v>
      </c>
      <c r="R87" s="34" t="inlineStr">
        <is>
          <t>Evidencia de validación de las configuraciones</t>
        </is>
      </c>
      <c r="S87" s="53">
        <f>+IF(O87="PREVENTIVO",J87*(1-Q87),IF(O87="ADMINISTRACION",J87*(1-Q87),IF(O87="ELIMINACION",J87*(1-Q87),J87)))</f>
        <v/>
      </c>
      <c r="T87" s="53">
        <f>+IF(O87="DETECTIVO",K87*(1-Q87),IF(O87="RECUPERACION",K87*(1-Q87),K87))</f>
        <v/>
      </c>
      <c r="U87" s="54">
        <f>+S87*T87</f>
        <v/>
      </c>
      <c r="V87" s="65">
        <f>+IF(U87&lt;5,"BAJO",IF(U87&lt;10,"MEDIO",IF(U87&lt;17,"ALTO","CRITICO")))</f>
        <v/>
      </c>
      <c r="W87" s="87" t="inlineStr">
        <is>
          <t>MITIGAR</t>
        </is>
      </c>
      <c r="X87" s="80" t="inlineStr">
        <is>
          <t>-</t>
        </is>
      </c>
      <c r="Y87" s="80" t="inlineStr">
        <is>
          <t>-</t>
        </is>
      </c>
      <c r="Z87" s="80" t="inlineStr">
        <is>
          <t>-</t>
        </is>
      </c>
    </row>
    <row r="88" hidden="1" ht="39.5" customHeight="1" s="98">
      <c r="A88" s="57" t="inlineStr">
        <is>
          <t>78-GTI</t>
        </is>
      </c>
      <c r="B88" s="17" t="inlineStr">
        <is>
          <t>FortiGate</t>
        </is>
      </c>
      <c r="C88" s="17" t="inlineStr">
        <is>
          <t>Consola de administracion  
192.168.100.238</t>
        </is>
      </c>
      <c r="D88" s="64" t="inlineStr">
        <is>
          <t>[HW] Equipamiento informático (hardware)</t>
        </is>
      </c>
      <c r="E88" s="34" t="inlineStr">
        <is>
          <t>[E.2] Errores del administrador</t>
        </is>
      </c>
      <c r="F88" s="34">
        <f>+VLOOKUP(E88,'CATALOGO AMENAZA'!$B$2:$D$46,3,FALSE)</f>
        <v/>
      </c>
      <c r="G88" s="34" t="inlineStr">
        <is>
          <t>X</t>
        </is>
      </c>
      <c r="H88" s="34" t="inlineStr">
        <is>
          <t>X</t>
        </is>
      </c>
      <c r="I88" s="34" t="inlineStr">
        <is>
          <t>X</t>
        </is>
      </c>
      <c r="J88" s="34" t="n">
        <v>2</v>
      </c>
      <c r="K88" s="34" t="n">
        <v>3</v>
      </c>
      <c r="L88" s="34">
        <f>+J88*K88</f>
        <v/>
      </c>
      <c r="M88" s="34">
        <f>+IF(L88&lt;5,"BAJO",IF(L88&lt;10,"MEDIO",IF(L88&lt;17,"ALTO","CRITICO")))</f>
        <v/>
      </c>
      <c r="N88" s="4" t="inlineStr">
        <is>
          <t>Control de cambios en los sistemas
Verificación posterior (informe)</t>
        </is>
      </c>
      <c r="O88" s="34" t="inlineStr">
        <is>
          <t>ADMINISTRACION</t>
        </is>
      </c>
      <c r="P88" s="34" t="inlineStr">
        <is>
          <t>Control Implementado sin evidencia de efectividad (Inefectivo prueba)</t>
        </is>
      </c>
      <c r="Q88" s="52" t="n">
        <v>0.3</v>
      </c>
      <c r="R88" s="4" t="inlineStr">
        <is>
          <t>No existe procedimiento formal de gestión de cambios</t>
        </is>
      </c>
      <c r="S88" s="53">
        <f>+IF(O88="PREVENTIVO",J88*(1-Q88),IF(O88="ADMINISTRACION",J88*(1-Q88),IF(O88="ELIMINACION",J88*(1-Q88),J88)))</f>
        <v/>
      </c>
      <c r="T88" s="53">
        <f>+IF(O88="DETECTIVO",K88*(1-Q88),IF(O88="RECUPERACION",K88*(1-Q88),K88))</f>
        <v/>
      </c>
      <c r="U88" s="54">
        <f>+S88*T88</f>
        <v/>
      </c>
      <c r="V88" s="65">
        <f>+IF(U88&lt;5,"BAJO",IF(U88&lt;10,"MEDIO",IF(U88&lt;17,"ALTO","CRITICO")))</f>
        <v/>
      </c>
      <c r="W88" s="65" t="inlineStr">
        <is>
          <t>ACEPTABLE</t>
        </is>
      </c>
      <c r="X88" s="80" t="inlineStr">
        <is>
          <t>-</t>
        </is>
      </c>
      <c r="Y88" s="80" t="inlineStr">
        <is>
          <t>-</t>
        </is>
      </c>
      <c r="Z88" s="80" t="inlineStr">
        <is>
          <t>-</t>
        </is>
      </c>
    </row>
    <row r="89" hidden="1" ht="51" customHeight="1" s="98">
      <c r="A89" s="57" t="inlineStr">
        <is>
          <t>78-GTI</t>
        </is>
      </c>
      <c r="B89" s="17" t="inlineStr">
        <is>
          <t>FortiGate</t>
        </is>
      </c>
      <c r="C89" s="17" t="inlineStr">
        <is>
          <t>Consola de administracion  
192.168.100.238</t>
        </is>
      </c>
      <c r="D89" s="64" t="inlineStr">
        <is>
          <t>[HW] Equipamiento informático (hardware)</t>
        </is>
      </c>
      <c r="E89" s="34" t="inlineStr">
        <is>
          <t>[E.24] Caída del sistema por agotamiento de recursos</t>
        </is>
      </c>
      <c r="F89" s="34">
        <f>+VLOOKUP(E89,'CATALOGO AMENAZA'!$B$2:$D$46,3,FALSE)</f>
        <v/>
      </c>
      <c r="G89" s="34" t="n"/>
      <c r="H89" s="34" t="n"/>
      <c r="I89" s="34" t="inlineStr">
        <is>
          <t>X</t>
        </is>
      </c>
      <c r="J89" s="34" t="n">
        <v>2</v>
      </c>
      <c r="K89" s="34" t="n">
        <v>4</v>
      </c>
      <c r="L89" s="34">
        <f>+J89*K89</f>
        <v/>
      </c>
      <c r="M89" s="34">
        <f>+IF(L89&lt;5,"BAJO",IF(L89&lt;10,"MEDIO",IF(L89&lt;17,"ALTO","CRITICO")))</f>
        <v/>
      </c>
      <c r="N89" s="34" t="inlineStr">
        <is>
          <t>Procedimiento de Gestión de la capacidad y desempeño de la Infraestructura</t>
        </is>
      </c>
      <c r="O89" s="54" t="inlineStr">
        <is>
          <t>PREVENTIVO</t>
        </is>
      </c>
      <c r="P89" s="34" t="inlineStr">
        <is>
          <t>Control Implementado sin evidencia de efectividad (Inefectivo prueba)</t>
        </is>
      </c>
      <c r="Q89" s="52" t="n">
        <v>0.3</v>
      </c>
      <c r="R89" s="34" t="inlineStr">
        <is>
          <t>Notificación automática de alertas</t>
        </is>
      </c>
      <c r="S89" s="53">
        <f>+IF(O89="PREVENTIVO",J89*(1-Q89),IF(O89="ADMINISTRACION",J89*(1-Q89),IF(O89="ELIMINACION",J89*(1-Q89),J89)))</f>
        <v/>
      </c>
      <c r="T89" s="53">
        <f>+IF(O89="DETECTIVO",K89*(1-Q89),IF(O89="RECUPERACION",K89*(1-Q89),K89))</f>
        <v/>
      </c>
      <c r="U89" s="54">
        <f>+S89*T89</f>
        <v/>
      </c>
      <c r="V89" s="65">
        <f>+IF(U89&lt;5,"BAJO",IF(U89&lt;10,"MEDIO",IF(U89&lt;17,"ALTO","CRITICO")))</f>
        <v/>
      </c>
      <c r="W89" s="87" t="inlineStr">
        <is>
          <t>MITIGAR</t>
        </is>
      </c>
      <c r="X89" s="80" t="inlineStr">
        <is>
          <t>-</t>
        </is>
      </c>
      <c r="Y89" s="80" t="inlineStr">
        <is>
          <t>-</t>
        </is>
      </c>
      <c r="Z89" s="80" t="inlineStr">
        <is>
          <t>-</t>
        </is>
      </c>
    </row>
    <row r="90" hidden="1" ht="41" customHeight="1" s="98">
      <c r="A90" s="57" t="inlineStr">
        <is>
          <t>80-GTI</t>
        </is>
      </c>
      <c r="B90" s="17" t="inlineStr">
        <is>
          <t>Administrador de Seguridad Informática</t>
        </is>
      </c>
      <c r="C90" s="17" t="inlineStr">
        <is>
          <t>Funcionarios con el cargo de Administrador de Seguridad Informática</t>
        </is>
      </c>
      <c r="D90" s="55" t="inlineStr">
        <is>
          <t>[P] Personal</t>
        </is>
      </c>
      <c r="E90" s="34" t="inlineStr">
        <is>
          <t>[E.28] Indisponibilidad del personal</t>
        </is>
      </c>
      <c r="F90" s="34">
        <f>+VLOOKUP(E90,'CATALOGO AMENAZA'!$B$2:$D$46,3,FALSE)</f>
        <v/>
      </c>
      <c r="G90" s="34" t="n"/>
      <c r="H90" s="34" t="n"/>
      <c r="I90" s="34" t="inlineStr">
        <is>
          <t>X</t>
        </is>
      </c>
      <c r="J90" s="34" t="n">
        <v>2</v>
      </c>
      <c r="K90" s="34" t="n">
        <v>3</v>
      </c>
      <c r="L90" s="34">
        <f>+J90*K90</f>
        <v/>
      </c>
      <c r="M90" s="34">
        <f>+IF(L90&lt;5,"BAJO",IF(L90&lt;10,"MEDIO",IF(L90&lt;17,"ALTO","CRITICO")))</f>
        <v/>
      </c>
      <c r="N90" s="54" t="inlineStr">
        <is>
          <t>Plan de continuidad documentado</t>
        </is>
      </c>
      <c r="O90" s="54" t="inlineStr">
        <is>
          <t>RECUPERACION</t>
        </is>
      </c>
      <c r="P90" s="34" t="inlineStr">
        <is>
          <t>Control Implementado sin evidencia de efectividad (Inefectivo prueba)</t>
        </is>
      </c>
      <c r="Q90" s="52" t="n">
        <v>0.3</v>
      </c>
      <c r="R90" s="34" t="inlineStr">
        <is>
          <t>Dependencia de personal clave</t>
        </is>
      </c>
      <c r="S90" s="53">
        <f>+IF(O90="PREVENTIVO",J90*(1-Q90),IF(O90="ADMINISTRACION",J90*(1-Q90),IF(O90="ELIMINACION",J90*(1-Q90),J90)))</f>
        <v/>
      </c>
      <c r="T90" s="53">
        <f>+IF(O90="DETECTIVO",K90*(1-Q90),IF(O90="RECUPERACION",K90*(1-Q90),K90))</f>
        <v/>
      </c>
      <c r="U90" s="54">
        <f>+S90*T90</f>
        <v/>
      </c>
      <c r="V90" s="65">
        <f>+IF(U90&lt;5,"BAJO",IF(U90&lt;10,"MEDIO",IF(U90&lt;17,"ALTO","CRITICO")))</f>
        <v/>
      </c>
      <c r="W90" s="65" t="inlineStr">
        <is>
          <t>ACEPTABLE</t>
        </is>
      </c>
      <c r="X90" s="80" t="inlineStr">
        <is>
          <t>-</t>
        </is>
      </c>
      <c r="Y90" s="80" t="inlineStr">
        <is>
          <t>-</t>
        </is>
      </c>
      <c r="Z90" s="80" t="inlineStr">
        <is>
          <t>-</t>
        </is>
      </c>
    </row>
    <row r="91" hidden="1" ht="41" customHeight="1" s="98">
      <c r="A91" s="57" t="inlineStr">
        <is>
          <t>81-GTI</t>
        </is>
      </c>
      <c r="B91" s="17" t="inlineStr">
        <is>
          <t>Administrador de Base de Datos</t>
        </is>
      </c>
      <c r="C91" s="17" t="inlineStr">
        <is>
          <t>Funcionarios con el cargo de Administrador de Base de Datos</t>
        </is>
      </c>
      <c r="D91" s="55" t="inlineStr">
        <is>
          <t>[P] Personal</t>
        </is>
      </c>
      <c r="E91" s="34" t="inlineStr">
        <is>
          <t>[E.28] Indisponibilidad del personal</t>
        </is>
      </c>
      <c r="F91" s="34">
        <f>+VLOOKUP(E91,'CATALOGO AMENAZA'!$B$2:$D$46,3,FALSE)</f>
        <v/>
      </c>
      <c r="G91" s="34" t="n"/>
      <c r="H91" s="34" t="n"/>
      <c r="I91" s="34" t="inlineStr">
        <is>
          <t>X</t>
        </is>
      </c>
      <c r="J91" s="34" t="n">
        <v>2</v>
      </c>
      <c r="K91" s="34" t="n">
        <v>3</v>
      </c>
      <c r="L91" s="34">
        <f>+J91*K91</f>
        <v/>
      </c>
      <c r="M91" s="34">
        <f>+IF(L91&lt;5,"BAJO",IF(L91&lt;10,"MEDIO",IF(L91&lt;17,"ALTO","CRITICO")))</f>
        <v/>
      </c>
      <c r="N91" s="54" t="inlineStr">
        <is>
          <t>Plan de continuidad documentado</t>
        </is>
      </c>
      <c r="O91" s="54" t="inlineStr">
        <is>
          <t>RECUPERACION</t>
        </is>
      </c>
      <c r="P91" s="34" t="inlineStr">
        <is>
          <t>Control Implementado sin evidencia de efectividad (Inefectivo prueba)</t>
        </is>
      </c>
      <c r="Q91" s="52" t="n">
        <v>0.3</v>
      </c>
      <c r="R91" s="34" t="inlineStr">
        <is>
          <t>Dependencia de personal clave</t>
        </is>
      </c>
      <c r="S91" s="53">
        <f>+IF(O91="PREVENTIVO",J91*(1-Q91),IF(O91="ADMINISTRACION",J91*(1-Q91),IF(O91="ELIMINACION",J91*(1-Q91),J91)))</f>
        <v/>
      </c>
      <c r="T91" s="53">
        <f>+IF(O91="DETECTIVO",K91*(1-Q91),IF(O91="RECUPERACION",K91*(1-Q91),K91))</f>
        <v/>
      </c>
      <c r="U91" s="54">
        <f>+S91*T91</f>
        <v/>
      </c>
      <c r="V91" s="65">
        <f>+IF(U91&lt;5,"BAJO",IF(U91&lt;10,"MEDIO",IF(U91&lt;17,"ALTO","CRITICO")))</f>
        <v/>
      </c>
      <c r="W91" s="65" t="inlineStr">
        <is>
          <t>ACEPTABLE</t>
        </is>
      </c>
      <c r="X91" s="80" t="inlineStr">
        <is>
          <t>-</t>
        </is>
      </c>
      <c r="Y91" s="80" t="inlineStr">
        <is>
          <t>-</t>
        </is>
      </c>
      <c r="Z91" s="80" t="inlineStr">
        <is>
          <t>-</t>
        </is>
      </c>
    </row>
    <row r="92" hidden="1" ht="41" customHeight="1" s="98">
      <c r="A92" s="57" t="inlineStr">
        <is>
          <t>85-GTI</t>
        </is>
      </c>
      <c r="B92" s="17" t="inlineStr">
        <is>
          <t>Ruteador CISCO 1900 Series (02)</t>
        </is>
      </c>
      <c r="C92" s="17" t="inlineStr">
        <is>
          <t>Ruteador para enlaces de comunicación / 192.168.100.253</t>
        </is>
      </c>
      <c r="D92" s="64" t="inlineStr">
        <is>
          <t>[HW] Equipamiento informático (hardware)</t>
        </is>
      </c>
      <c r="E92" s="34" t="inlineStr">
        <is>
          <t>[E.2] Errores del administrador</t>
        </is>
      </c>
      <c r="F92" s="34">
        <f>+VLOOKUP(E92,'CATALOGO AMENAZA'!$B$2:$D$46,3,FALSE)</f>
        <v/>
      </c>
      <c r="G92" s="34" t="inlineStr">
        <is>
          <t>X</t>
        </is>
      </c>
      <c r="H92" s="34" t="inlineStr">
        <is>
          <t>X</t>
        </is>
      </c>
      <c r="I92" s="34" t="inlineStr">
        <is>
          <t>X</t>
        </is>
      </c>
      <c r="J92" s="34" t="n">
        <v>2</v>
      </c>
      <c r="K92" s="34" t="n">
        <v>3</v>
      </c>
      <c r="L92" s="34">
        <f>+J92*K92</f>
        <v/>
      </c>
      <c r="M92" s="34">
        <f>+IF(L92&lt;5,"BAJO",IF(L92&lt;10,"MEDIO",IF(L92&lt;17,"ALTO","CRITICO")))</f>
        <v/>
      </c>
      <c r="N92" s="4" t="inlineStr">
        <is>
          <t>Control de cambios en los sistemas
Verificación posterior (informe)</t>
        </is>
      </c>
      <c r="O92" s="34" t="inlineStr">
        <is>
          <t>ADMINISTRACION</t>
        </is>
      </c>
      <c r="P92" s="34" t="inlineStr">
        <is>
          <t>Control Implementado sin evidencia de efectividad (Inefectivo prueba)</t>
        </is>
      </c>
      <c r="Q92" s="52" t="n">
        <v>0.3</v>
      </c>
      <c r="R92" s="4" t="inlineStr">
        <is>
          <t>No existe procedimiento formal de gestión de cambios</t>
        </is>
      </c>
      <c r="S92" s="53">
        <f>+IF(O92="PREVENTIVO",J92*(1-Q92),IF(O92="ADMINISTRACION",J92*(1-Q92),IF(O92="ELIMINACION",J92*(1-Q92),J92)))</f>
        <v/>
      </c>
      <c r="T92" s="53">
        <f>+IF(O92="DETECTIVO",K92*(1-Q92),IF(O92="RECUPERACION",K92*(1-Q92),K92))</f>
        <v/>
      </c>
      <c r="U92" s="54">
        <f>+S92*T92</f>
        <v/>
      </c>
      <c r="V92" s="65">
        <f>+IF(U92&lt;5,"BAJO",IF(U92&lt;10,"MEDIO",IF(U92&lt;17,"ALTO","CRITICO")))</f>
        <v/>
      </c>
      <c r="W92" s="65" t="inlineStr">
        <is>
          <t>ACEPTABLE</t>
        </is>
      </c>
      <c r="X92" s="80" t="inlineStr">
        <is>
          <t>-</t>
        </is>
      </c>
      <c r="Y92" s="80" t="inlineStr">
        <is>
          <t>-</t>
        </is>
      </c>
      <c r="Z92" s="80" t="inlineStr">
        <is>
          <t>-</t>
        </is>
      </c>
    </row>
    <row r="93" hidden="1" ht="30.5" customHeight="1" s="98">
      <c r="A93" s="57" t="inlineStr">
        <is>
          <t>85-GTI</t>
        </is>
      </c>
      <c r="B93" s="17" t="inlineStr">
        <is>
          <t>Ruteador CISCO 1900 Series (02)</t>
        </is>
      </c>
      <c r="C93" s="17" t="inlineStr">
        <is>
          <t>Ruteador para enlaces de comunicación / 192.168.100.253</t>
        </is>
      </c>
      <c r="D93" s="64" t="inlineStr">
        <is>
          <t>[HW] Equipamiento informático (hardware)</t>
        </is>
      </c>
      <c r="E93" s="34" t="inlineStr">
        <is>
          <t>[A.11] Acceso no autorizado</t>
        </is>
      </c>
      <c r="F93" s="34">
        <f>+VLOOKUP(E93,'CATALOGO AMENAZA'!$B$2:$D$46,3,FALSE)</f>
        <v/>
      </c>
      <c r="G93" s="34" t="inlineStr">
        <is>
          <t>X</t>
        </is>
      </c>
      <c r="H93" s="34" t="inlineStr">
        <is>
          <t>X</t>
        </is>
      </c>
      <c r="I93" s="34" t="n"/>
      <c r="J93" s="34" t="n">
        <v>3</v>
      </c>
      <c r="K93" s="34" t="n">
        <v>4</v>
      </c>
      <c r="L93" s="34">
        <f>+J93*K93</f>
        <v/>
      </c>
      <c r="M93" s="34">
        <f>+IF(L93&lt;5,"BAJO",IF(L93&lt;10,"MEDIO",IF(L93&lt;17,"ALTO","CRITICO")))</f>
        <v/>
      </c>
      <c r="N93" s="4" t="inlineStr">
        <is>
          <t>Control de accesos / VPN</t>
        </is>
      </c>
      <c r="O93" s="34" t="inlineStr">
        <is>
          <t>PREVENTIVO</t>
        </is>
      </c>
      <c r="P93" s="34" t="inlineStr">
        <is>
          <t>Control Implementado sin evidencia de efectividad (Inefectivo prueba)</t>
        </is>
      </c>
      <c r="Q93" s="52" t="n">
        <v>0.3</v>
      </c>
      <c r="R93" s="4" t="inlineStr">
        <is>
          <t>Contreaseñas de VPN no expiran</t>
        </is>
      </c>
      <c r="S93" s="53">
        <f>+IF(O93="PREVENTIVO",J93*(1-Q93),IF(O93="ADMINISTRACION",J93*(1-Q93),IF(O93="ELIMINACION",J93*(1-Q93),J93)))</f>
        <v/>
      </c>
      <c r="T93" s="53">
        <f>+IF(O93="DETECTIVO",K93*(1-Q93),IF(O93="RECUPERACION",K93*(1-Q93),K93))</f>
        <v/>
      </c>
      <c r="U93" s="54">
        <f>+S93*T93</f>
        <v/>
      </c>
      <c r="V93" s="65">
        <f>+IF(U93&lt;5,"BAJO",IF(U93&lt;10,"MEDIO",IF(U93&lt;17,"ALTO","CRITICO")))</f>
        <v/>
      </c>
      <c r="W93" s="87" t="inlineStr">
        <is>
          <t>MITIGAR</t>
        </is>
      </c>
      <c r="X93" s="80" t="inlineStr">
        <is>
          <t>-</t>
        </is>
      </c>
      <c r="Y93" s="80" t="inlineStr">
        <is>
          <t>-</t>
        </is>
      </c>
      <c r="Z93" s="80" t="inlineStr">
        <is>
          <t>-</t>
        </is>
      </c>
    </row>
    <row r="94" hidden="1" ht="30.5" customHeight="1" s="98">
      <c r="A94" s="57" t="inlineStr">
        <is>
          <t>85-GTI</t>
        </is>
      </c>
      <c r="B94" s="17" t="inlineStr">
        <is>
          <t>Ruteador CISCO 1900 Series (02)</t>
        </is>
      </c>
      <c r="C94" s="17" t="inlineStr">
        <is>
          <t>Ruteador para enlaces de comunicación / 192.168.100.253</t>
        </is>
      </c>
      <c r="D94" s="64" t="inlineStr">
        <is>
          <t>[HW] Equipamiento informático (hardware)</t>
        </is>
      </c>
      <c r="E94" s="34" t="inlineStr">
        <is>
          <t>[A.6] Abuso de privilegios de acceso</t>
        </is>
      </c>
      <c r="F94" s="34">
        <f>+VLOOKUP(E94,'CATALOGO AMENAZA'!$B$2:$D$46,3,FALSE)</f>
        <v/>
      </c>
      <c r="G94" s="34" t="inlineStr">
        <is>
          <t>X</t>
        </is>
      </c>
      <c r="H94" s="34" t="inlineStr">
        <is>
          <t>X</t>
        </is>
      </c>
      <c r="I94" s="34" t="inlineStr">
        <is>
          <t>X</t>
        </is>
      </c>
      <c r="J94" s="34" t="n">
        <v>2</v>
      </c>
      <c r="K94" s="34" t="n">
        <v>4</v>
      </c>
      <c r="L94" s="34">
        <f>+J94*K94</f>
        <v/>
      </c>
      <c r="M94" s="34">
        <f>+IF(L94&lt;5,"BAJO",IF(L94&lt;10,"MEDIO",IF(L94&lt;17,"ALTO","CRITICO")))</f>
        <v/>
      </c>
      <c r="N94" s="54" t="inlineStr">
        <is>
          <t>Registro de logs</t>
        </is>
      </c>
      <c r="O94" s="34" t="inlineStr">
        <is>
          <t>DETECTIVO</t>
        </is>
      </c>
      <c r="P94" s="34" t="inlineStr">
        <is>
          <t>Control Implementado sin evidencia de efectividad (Inefectivo prueba)</t>
        </is>
      </c>
      <c r="Q94" s="52" t="n">
        <v>0.3</v>
      </c>
      <c r="R94" s="4" t="inlineStr">
        <is>
          <t>Falta de revisión de perfiles de acceso</t>
        </is>
      </c>
      <c r="S94" s="53">
        <f>+IF(O94="PREVENTIVO",J94*(1-Q94),IF(O94="ADMINISTRACION",J94*(1-Q94),IF(O94="ELIMINACION",J94*(1-Q94),J94)))</f>
        <v/>
      </c>
      <c r="T94" s="53">
        <f>+IF(O94="DETECTIVO",K94*(1-Q94),IF(O94="RECUPERACION",K94*(1-Q94),K94))</f>
        <v/>
      </c>
      <c r="U94" s="54">
        <f>+S94*T94</f>
        <v/>
      </c>
      <c r="V94" s="65">
        <f>+IF(U94&lt;5,"BAJO",IF(U94&lt;10,"MEDIO",IF(U94&lt;17,"ALTO","CRITICO")))</f>
        <v/>
      </c>
      <c r="W94" s="87" t="inlineStr">
        <is>
          <t>MITIGAR</t>
        </is>
      </c>
      <c r="X94" s="80" t="inlineStr">
        <is>
          <t>-</t>
        </is>
      </c>
      <c r="Y94" s="80" t="inlineStr">
        <is>
          <t>-</t>
        </is>
      </c>
      <c r="Z94" s="80" t="inlineStr">
        <is>
          <t>-</t>
        </is>
      </c>
    </row>
    <row r="95" hidden="1" ht="41" customHeight="1" s="98">
      <c r="A95" s="57" t="inlineStr">
        <is>
          <t>85-GTI</t>
        </is>
      </c>
      <c r="B95" s="17" t="inlineStr">
        <is>
          <t>Ruteador CISCO 1900 Series (02)</t>
        </is>
      </c>
      <c r="C95" s="17" t="inlineStr">
        <is>
          <t>Ruteador para enlaces de comunicación / 192.168.100.253</t>
        </is>
      </c>
      <c r="D95" s="64" t="inlineStr">
        <is>
          <t>[HW] Equipamiento informático (hardware)</t>
        </is>
      </c>
      <c r="E95" s="34" t="inlineStr">
        <is>
          <t>[E.23] Errores de mantenimiento / actualización de equipos (hardware)</t>
        </is>
      </c>
      <c r="F95" s="34">
        <f>+VLOOKUP(E95,'CATALOGO AMENAZA'!$B$2:$D$46,3,FALSE)</f>
        <v/>
      </c>
      <c r="G95" s="34" t="n"/>
      <c r="H95" s="34" t="n"/>
      <c r="I95" s="34" t="inlineStr">
        <is>
          <t>X</t>
        </is>
      </c>
      <c r="J95" s="34" t="n">
        <v>3</v>
      </c>
      <c r="K95" s="34" t="n">
        <v>4</v>
      </c>
      <c r="L95" s="34">
        <f>+J95*K95</f>
        <v/>
      </c>
      <c r="M95" s="34">
        <f>+IF(L95&lt;5,"BAJO",IF(L95&lt;10,"MEDIO",IF(L95&lt;17,"ALTO","CRITICO")))</f>
        <v/>
      </c>
      <c r="N95" s="4" t="inlineStr">
        <is>
          <t>Gestión de vulnerabilidades</t>
        </is>
      </c>
      <c r="O95" s="34" t="inlineStr">
        <is>
          <t>PREVENTIVO</t>
        </is>
      </c>
      <c r="P95" s="34" t="inlineStr">
        <is>
          <t>Control Implementado sin evidencia de efectividad (Inefectivo prueba)</t>
        </is>
      </c>
      <c r="Q95" s="52" t="n">
        <v>0.4</v>
      </c>
      <c r="R95" s="4" t="inlineStr">
        <is>
          <t>Recursos tecnológicos insuficientes para remediación</t>
        </is>
      </c>
      <c r="S95" s="53">
        <f>+IF(O95="PREVENTIVO",J95*(1-Q95),IF(O95="ADMINISTRACION",J95*(1-Q95),IF(O95="ELIMINACION",J95*(1-Q95),J95)))</f>
        <v/>
      </c>
      <c r="T95" s="53">
        <f>+IF(O95="DETECTIVO",K95*(1-Q95),IF(O95="RECUPERACION",K95*(1-Q95),K95))</f>
        <v/>
      </c>
      <c r="U95" s="54">
        <f>+S95*T95</f>
        <v/>
      </c>
      <c r="V95" s="65">
        <f>+IF(U95&lt;5,"BAJO",IF(U95&lt;10,"MEDIO",IF(U95&lt;17,"ALTO","CRITICO")))</f>
        <v/>
      </c>
      <c r="W95" s="87" t="inlineStr">
        <is>
          <t>MITIGAR</t>
        </is>
      </c>
      <c r="X95" s="80" t="inlineStr">
        <is>
          <t>-</t>
        </is>
      </c>
      <c r="Y95" s="80" t="inlineStr">
        <is>
          <t>-</t>
        </is>
      </c>
      <c r="Z95" s="80" t="inlineStr">
        <is>
          <t>-</t>
        </is>
      </c>
    </row>
    <row r="96" hidden="1" ht="41" customHeight="1" s="98">
      <c r="A96" s="57" t="inlineStr">
        <is>
          <t>86-GTI</t>
        </is>
      </c>
      <c r="B96" s="17" t="inlineStr">
        <is>
          <t>Ruteador CISCO 1900 Series (03)</t>
        </is>
      </c>
      <c r="C96" s="17" t="inlineStr">
        <is>
          <t>Ruteador para enlaces de comunicación / 192.168.40.253</t>
        </is>
      </c>
      <c r="D96" s="64" t="inlineStr">
        <is>
          <t>[HW] Equipamiento informático (hardware)</t>
        </is>
      </c>
      <c r="E96" s="34" t="inlineStr">
        <is>
          <t>[E.2] Errores del administrador</t>
        </is>
      </c>
      <c r="F96" s="34">
        <f>+VLOOKUP(E96,'CATALOGO AMENAZA'!$B$2:$D$46,3,FALSE)</f>
        <v/>
      </c>
      <c r="G96" s="34" t="inlineStr">
        <is>
          <t>X</t>
        </is>
      </c>
      <c r="H96" s="34" t="inlineStr">
        <is>
          <t>X</t>
        </is>
      </c>
      <c r="I96" s="34" t="inlineStr">
        <is>
          <t>X</t>
        </is>
      </c>
      <c r="J96" s="34" t="n">
        <v>2</v>
      </c>
      <c r="K96" s="34" t="n">
        <v>3</v>
      </c>
      <c r="L96" s="34">
        <f>+J96*K96</f>
        <v/>
      </c>
      <c r="M96" s="34">
        <f>+IF(L96&lt;5,"BAJO",IF(L96&lt;10,"MEDIO",IF(L96&lt;17,"ALTO","CRITICO")))</f>
        <v/>
      </c>
      <c r="N96" s="4" t="inlineStr">
        <is>
          <t>Control de cambios en los sistemas
Verificación posterior (informe)</t>
        </is>
      </c>
      <c r="O96" s="34" t="inlineStr">
        <is>
          <t>ADMINISTRACION</t>
        </is>
      </c>
      <c r="P96" s="34" t="inlineStr">
        <is>
          <t>Control Implementado sin evidencia de efectividad (Inefectivo prueba)</t>
        </is>
      </c>
      <c r="Q96" s="52" t="n">
        <v>0.3</v>
      </c>
      <c r="R96" s="4" t="inlineStr">
        <is>
          <t>No existe procedimiento formal de gestión de cambios</t>
        </is>
      </c>
      <c r="S96" s="53">
        <f>+IF(O96="PREVENTIVO",J96*(1-Q96),IF(O96="ADMINISTRACION",J96*(1-Q96),IF(O96="ELIMINACION",J96*(1-Q96),J96)))</f>
        <v/>
      </c>
      <c r="T96" s="53">
        <f>+IF(O96="DETECTIVO",K96*(1-Q96),IF(O96="RECUPERACION",K96*(1-Q96),K96))</f>
        <v/>
      </c>
      <c r="U96" s="54">
        <f>+S96*T96</f>
        <v/>
      </c>
      <c r="V96" s="65">
        <f>+IF(U96&lt;5,"BAJO",IF(U96&lt;10,"MEDIO",IF(U96&lt;17,"ALTO","CRITICO")))</f>
        <v/>
      </c>
      <c r="W96" s="65" t="inlineStr">
        <is>
          <t>ACEPTABLE</t>
        </is>
      </c>
      <c r="X96" s="80" t="inlineStr">
        <is>
          <t>-</t>
        </is>
      </c>
      <c r="Y96" s="80" t="inlineStr">
        <is>
          <t>-</t>
        </is>
      </c>
      <c r="Z96" s="80" t="inlineStr">
        <is>
          <t>-</t>
        </is>
      </c>
    </row>
    <row r="97" hidden="1" ht="30.5" customHeight="1" s="98">
      <c r="A97" s="57" t="inlineStr">
        <is>
          <t>86-GTI</t>
        </is>
      </c>
      <c r="B97" s="17" t="inlineStr">
        <is>
          <t>Ruteador CISCO 1900 Series (03)</t>
        </is>
      </c>
      <c r="C97" s="17" t="inlineStr">
        <is>
          <t>Ruteador para enlaces de comunicación / 192.168.40.253</t>
        </is>
      </c>
      <c r="D97" s="64" t="inlineStr">
        <is>
          <t>[HW] Equipamiento informático (hardware)</t>
        </is>
      </c>
      <c r="E97" s="34" t="inlineStr">
        <is>
          <t>[A.11] Acceso no autorizado</t>
        </is>
      </c>
      <c r="F97" s="34">
        <f>+VLOOKUP(E97,'CATALOGO AMENAZA'!$B$2:$D$46,3,FALSE)</f>
        <v/>
      </c>
      <c r="G97" s="34" t="inlineStr">
        <is>
          <t>X</t>
        </is>
      </c>
      <c r="H97" s="34" t="inlineStr">
        <is>
          <t>X</t>
        </is>
      </c>
      <c r="I97" s="34" t="n"/>
      <c r="J97" s="34" t="n">
        <v>2</v>
      </c>
      <c r="K97" s="34" t="n">
        <v>4</v>
      </c>
      <c r="L97" s="34">
        <f>+J97*K97</f>
        <v/>
      </c>
      <c r="M97" s="34">
        <f>+IF(L97&lt;5,"BAJO",IF(L97&lt;10,"MEDIO",IF(L97&lt;17,"ALTO","CRITICO")))</f>
        <v/>
      </c>
      <c r="N97" s="4" t="inlineStr">
        <is>
          <t>Control de accesos / VPN</t>
        </is>
      </c>
      <c r="O97" s="34" t="inlineStr">
        <is>
          <t>PREVENTIVO</t>
        </is>
      </c>
      <c r="P97" s="34" t="inlineStr">
        <is>
          <t>Control Implementado sin evidencia de efectividad (Inefectivo prueba)</t>
        </is>
      </c>
      <c r="Q97" s="52" t="n">
        <v>0.3</v>
      </c>
      <c r="R97" s="4" t="inlineStr">
        <is>
          <t>Contreaseñas de VPN no expiran</t>
        </is>
      </c>
      <c r="S97" s="53">
        <f>+IF(O97="PREVENTIVO",J97*(1-Q97),IF(O97="ADMINISTRACION",J97*(1-Q97),IF(O97="ELIMINACION",J97*(1-Q97),J97)))</f>
        <v/>
      </c>
      <c r="T97" s="53">
        <f>+IF(O97="DETECTIVO",K97*(1-Q97),IF(O97="RECUPERACION",K97*(1-Q97),K97))</f>
        <v/>
      </c>
      <c r="U97" s="54">
        <f>+S97*T97</f>
        <v/>
      </c>
      <c r="V97" s="65">
        <f>+IF(U97&lt;5,"BAJO",IF(U97&lt;10,"MEDIO",IF(U97&lt;17,"ALTO","CRITICO")))</f>
        <v/>
      </c>
      <c r="W97" s="87" t="inlineStr">
        <is>
          <t>MITIGAR</t>
        </is>
      </c>
      <c r="X97" s="80" t="inlineStr">
        <is>
          <t>-</t>
        </is>
      </c>
      <c r="Y97" s="80" t="inlineStr">
        <is>
          <t>-</t>
        </is>
      </c>
      <c r="Z97" s="80" t="inlineStr">
        <is>
          <t>-</t>
        </is>
      </c>
    </row>
    <row r="98" hidden="1" ht="22.5" customHeight="1" s="98">
      <c r="A98" s="57" t="inlineStr">
        <is>
          <t>86-GTI</t>
        </is>
      </c>
      <c r="B98" s="17" t="inlineStr">
        <is>
          <t>Ruteador CISCO 1900 Series (03)</t>
        </is>
      </c>
      <c r="C98" s="17" t="inlineStr">
        <is>
          <t>Ruteador para enlaces de comunicación / 192.168.40.253</t>
        </is>
      </c>
      <c r="D98" s="64" t="inlineStr">
        <is>
          <t>[HW] Equipamiento informático (hardware)</t>
        </is>
      </c>
      <c r="E98" s="34" t="inlineStr">
        <is>
          <t>[A.6] Abuso de privilegios de acceso</t>
        </is>
      </c>
      <c r="F98" s="34">
        <f>+VLOOKUP(E98,'CATALOGO AMENAZA'!$B$2:$D$46,3,FALSE)</f>
        <v/>
      </c>
      <c r="G98" s="34" t="inlineStr">
        <is>
          <t>X</t>
        </is>
      </c>
      <c r="H98" s="34" t="inlineStr">
        <is>
          <t>X</t>
        </is>
      </c>
      <c r="I98" s="34" t="inlineStr">
        <is>
          <t>X</t>
        </is>
      </c>
      <c r="J98" s="34" t="n">
        <v>2</v>
      </c>
      <c r="K98" s="34" t="n">
        <v>4</v>
      </c>
      <c r="L98" s="34">
        <f>+J98*K98</f>
        <v/>
      </c>
      <c r="M98" s="34">
        <f>+IF(L98&lt;5,"BAJO",IF(L98&lt;10,"MEDIO",IF(L98&lt;17,"ALTO","CRITICO")))</f>
        <v/>
      </c>
      <c r="N98" s="54" t="inlineStr">
        <is>
          <t>Registro de logs</t>
        </is>
      </c>
      <c r="O98" s="34" t="inlineStr">
        <is>
          <t>DETECTIVO</t>
        </is>
      </c>
      <c r="P98" s="34" t="inlineStr">
        <is>
          <t>Control Implementado sin evidencia de efectividad (Inefectivo prueba)</t>
        </is>
      </c>
      <c r="Q98" s="52" t="n">
        <v>0.3</v>
      </c>
      <c r="R98" s="4" t="inlineStr">
        <is>
          <t>Falta de revisión de perfiles de acceso</t>
        </is>
      </c>
      <c r="S98" s="53">
        <f>+IF(O98="PREVENTIVO",J98*(1-Q98),IF(O98="ADMINISTRACION",J98*(1-Q98),IF(O98="ELIMINACION",J98*(1-Q98),J98)))</f>
        <v/>
      </c>
      <c r="T98" s="53">
        <f>+IF(O98="DETECTIVO",K98*(1-Q98),IF(O98="RECUPERACION",K98*(1-Q98),K98))</f>
        <v/>
      </c>
      <c r="U98" s="54">
        <f>+S98*T98</f>
        <v/>
      </c>
      <c r="V98" s="65">
        <f>+IF(U98&lt;5,"BAJO",IF(U98&lt;10,"MEDIO",IF(U98&lt;17,"ALTO","CRITICO")))</f>
        <v/>
      </c>
      <c r="W98" s="87" t="inlineStr">
        <is>
          <t>MITIGAR</t>
        </is>
      </c>
      <c r="X98" s="80" t="inlineStr">
        <is>
          <t>-</t>
        </is>
      </c>
      <c r="Y98" s="80" t="inlineStr">
        <is>
          <t>-</t>
        </is>
      </c>
      <c r="Z98" s="80" t="inlineStr">
        <is>
          <t>-</t>
        </is>
      </c>
    </row>
    <row r="99" hidden="1" ht="22.5" customHeight="1" s="98">
      <c r="A99" s="57" t="inlineStr">
        <is>
          <t>86-GTI</t>
        </is>
      </c>
      <c r="B99" s="17" t="inlineStr">
        <is>
          <t>Ruteador CISCO 1900 Series (03)</t>
        </is>
      </c>
      <c r="C99" s="17" t="inlineStr">
        <is>
          <t>Ruteador para enlaces de comunicación / 192.168.40.253</t>
        </is>
      </c>
      <c r="D99" s="64" t="inlineStr">
        <is>
          <t>[HW] Equipamiento informático (hardware)</t>
        </is>
      </c>
      <c r="E99" s="34" t="inlineStr">
        <is>
          <t>[E.23] Errores de mantenimiento / actualización de equipos (hardware)</t>
        </is>
      </c>
      <c r="F99" s="34">
        <f>+VLOOKUP(E99,'CATALOGO AMENAZA'!$B$2:$D$46,3,FALSE)</f>
        <v/>
      </c>
      <c r="G99" s="34" t="n"/>
      <c r="H99" s="34" t="n"/>
      <c r="I99" s="34" t="inlineStr">
        <is>
          <t>X</t>
        </is>
      </c>
      <c r="J99" s="34" t="n">
        <v>3</v>
      </c>
      <c r="K99" s="34" t="n">
        <v>3</v>
      </c>
      <c r="L99" s="34">
        <f>+J99*K99</f>
        <v/>
      </c>
      <c r="M99" s="34">
        <f>+IF(L99&lt;5,"BAJO",IF(L99&lt;10,"MEDIO",IF(L99&lt;17,"ALTO","CRITICO")))</f>
        <v/>
      </c>
      <c r="N99" s="4" t="inlineStr">
        <is>
          <t>Gestión de vulnerabilidades</t>
        </is>
      </c>
      <c r="O99" s="34" t="inlineStr">
        <is>
          <t>PREVENTIVO</t>
        </is>
      </c>
      <c r="P99" s="34" t="inlineStr">
        <is>
          <t>Control Implementado sin evidencia de efectividad (Inefectivo prueba)</t>
        </is>
      </c>
      <c r="Q99" s="52" t="n">
        <v>0.4</v>
      </c>
      <c r="R99" s="4" t="inlineStr">
        <is>
          <t>Recursos tecnológicos insuficientes para remediación</t>
        </is>
      </c>
      <c r="S99" s="53">
        <f>+IF(O99="PREVENTIVO",J99*(1-Q99),IF(O99="ADMINISTRACION",J99*(1-Q99),IF(O99="ELIMINACION",J99*(1-Q99),J99)))</f>
        <v/>
      </c>
      <c r="T99" s="53">
        <f>+IF(O99="DETECTIVO",K99*(1-Q99),IF(O99="RECUPERACION",K99*(1-Q99),K99))</f>
        <v/>
      </c>
      <c r="U99" s="54">
        <f>+S99*T99</f>
        <v/>
      </c>
      <c r="V99" s="65">
        <f>+IF(U99&lt;5,"BAJO",IF(U99&lt;10,"MEDIO",IF(U99&lt;17,"ALTO","CRITICO")))</f>
        <v/>
      </c>
      <c r="W99" s="87" t="inlineStr">
        <is>
          <t>MITIGAR</t>
        </is>
      </c>
      <c r="X99" s="80" t="inlineStr">
        <is>
          <t>-</t>
        </is>
      </c>
      <c r="Y99" s="80" t="inlineStr">
        <is>
          <t>-</t>
        </is>
      </c>
      <c r="Z99" s="80" t="inlineStr">
        <is>
          <t>-</t>
        </is>
      </c>
    </row>
    <row r="100" hidden="1" ht="22.5" customHeight="1" s="98">
      <c r="A100" s="57" t="inlineStr">
        <is>
          <t>87-GTI</t>
        </is>
      </c>
      <c r="B100" s="17" t="inlineStr">
        <is>
          <t>Ruteador CISCO 1900 Series (04)</t>
        </is>
      </c>
      <c r="C100" s="17" t="inlineStr">
        <is>
          <t>Ruteador para enlaces de comunicación / 192.168.50.253</t>
        </is>
      </c>
      <c r="D100" s="64" t="inlineStr">
        <is>
          <t>[HW] Equipamiento informático (hardware)</t>
        </is>
      </c>
      <c r="E100" s="34" t="inlineStr">
        <is>
          <t>[E.2] Errores del administrador</t>
        </is>
      </c>
      <c r="F100" s="34">
        <f>+VLOOKUP(E100,'CATALOGO AMENAZA'!$B$2:$D$46,3,FALSE)</f>
        <v/>
      </c>
      <c r="G100" s="34" t="inlineStr">
        <is>
          <t>X</t>
        </is>
      </c>
      <c r="H100" s="34" t="inlineStr">
        <is>
          <t>X</t>
        </is>
      </c>
      <c r="I100" s="34" t="inlineStr">
        <is>
          <t>X</t>
        </is>
      </c>
      <c r="J100" s="34" t="n">
        <v>2</v>
      </c>
      <c r="K100" s="34" t="n">
        <v>3</v>
      </c>
      <c r="L100" s="34">
        <f>+J100*K100</f>
        <v/>
      </c>
      <c r="M100" s="34">
        <f>+IF(L100&lt;5,"BAJO",IF(L100&lt;10,"MEDIO",IF(L100&lt;17,"ALTO","CRITICO")))</f>
        <v/>
      </c>
      <c r="N100" s="4" t="inlineStr">
        <is>
          <t>Control de cambios en los sistemas
Verificación posterior (informe)</t>
        </is>
      </c>
      <c r="O100" s="34" t="inlineStr">
        <is>
          <t>ADMINISTRACION</t>
        </is>
      </c>
      <c r="P100" s="34" t="inlineStr">
        <is>
          <t>Control Implementado sin evidencia de efectividad (Inefectivo prueba)</t>
        </is>
      </c>
      <c r="Q100" s="52" t="n">
        <v>0.3</v>
      </c>
      <c r="R100" s="4" t="inlineStr">
        <is>
          <t>No existe procedimiento formal de gestión de cambios</t>
        </is>
      </c>
      <c r="S100" s="53">
        <f>+IF(O100="PREVENTIVO",J100*(1-Q100),IF(O100="ADMINISTRACION",J100*(1-Q100),IF(O100="ELIMINACION",J100*(1-Q100),J100)))</f>
        <v/>
      </c>
      <c r="T100" s="53">
        <f>+IF(O100="DETECTIVO",K100*(1-Q100),IF(O100="RECUPERACION",K100*(1-Q100),K100))</f>
        <v/>
      </c>
      <c r="U100" s="54">
        <f>+S100*T100</f>
        <v/>
      </c>
      <c r="V100" s="65">
        <f>+IF(U100&lt;5,"BAJO",IF(U100&lt;10,"MEDIO",IF(U100&lt;17,"ALTO","CRITICO")))</f>
        <v/>
      </c>
      <c r="W100" s="65" t="inlineStr">
        <is>
          <t>ACEPTABLE</t>
        </is>
      </c>
      <c r="X100" s="80" t="inlineStr">
        <is>
          <t>-</t>
        </is>
      </c>
      <c r="Y100" s="80" t="inlineStr">
        <is>
          <t>-</t>
        </is>
      </c>
      <c r="Z100" s="80" t="inlineStr">
        <is>
          <t>-</t>
        </is>
      </c>
    </row>
    <row r="101" hidden="1" ht="22.5" customHeight="1" s="98">
      <c r="A101" s="57" t="inlineStr">
        <is>
          <t>87-GTI</t>
        </is>
      </c>
      <c r="B101" s="17" t="inlineStr">
        <is>
          <t>Ruteador CISCO 1900 Series (04)</t>
        </is>
      </c>
      <c r="C101" s="17" t="inlineStr">
        <is>
          <t>Ruteador para enlaces de comunicación / 192.168.50.253</t>
        </is>
      </c>
      <c r="D101" s="64" t="inlineStr">
        <is>
          <t>[HW] Equipamiento informático (hardware)</t>
        </is>
      </c>
      <c r="E101" s="34" t="inlineStr">
        <is>
          <t>[A.11] Acceso no autorizado</t>
        </is>
      </c>
      <c r="F101" s="34">
        <f>+VLOOKUP(E101,'CATALOGO AMENAZA'!$B$2:$D$46,3,FALSE)</f>
        <v/>
      </c>
      <c r="G101" s="34" t="inlineStr">
        <is>
          <t>X</t>
        </is>
      </c>
      <c r="H101" s="34" t="inlineStr">
        <is>
          <t>X</t>
        </is>
      </c>
      <c r="I101" s="34" t="n"/>
      <c r="J101" s="34" t="n">
        <v>2</v>
      </c>
      <c r="K101" s="34" t="n">
        <v>4</v>
      </c>
      <c r="L101" s="34">
        <f>+J101*K101</f>
        <v/>
      </c>
      <c r="M101" s="34">
        <f>+IF(L101&lt;5,"BAJO",IF(L101&lt;10,"MEDIO",IF(L101&lt;17,"ALTO","CRITICO")))</f>
        <v/>
      </c>
      <c r="N101" s="4" t="inlineStr">
        <is>
          <t>Control de accesos / VPN</t>
        </is>
      </c>
      <c r="O101" s="34" t="inlineStr">
        <is>
          <t>PREVENTIVO</t>
        </is>
      </c>
      <c r="P101" s="34" t="inlineStr">
        <is>
          <t>Control Implementado sin evidencia de efectividad (Inefectivo prueba)</t>
        </is>
      </c>
      <c r="Q101" s="52" t="n">
        <v>0.3</v>
      </c>
      <c r="R101" s="4" t="inlineStr">
        <is>
          <t>Contreaseñas de VPN no expiran</t>
        </is>
      </c>
      <c r="S101" s="53">
        <f>+IF(O101="PREVENTIVO",J101*(1-Q101),IF(O101="ADMINISTRACION",J101*(1-Q101),IF(O101="ELIMINACION",J101*(1-Q101),J101)))</f>
        <v/>
      </c>
      <c r="T101" s="53">
        <f>+IF(O101="DETECTIVO",K101*(1-Q101),IF(O101="RECUPERACION",K101*(1-Q101),K101))</f>
        <v/>
      </c>
      <c r="U101" s="54">
        <f>+S101*T101</f>
        <v/>
      </c>
      <c r="V101" s="65">
        <f>+IF(U101&lt;5,"BAJO",IF(U101&lt;10,"MEDIO",IF(U101&lt;17,"ALTO","CRITICO")))</f>
        <v/>
      </c>
      <c r="W101" s="87" t="inlineStr">
        <is>
          <t>MITIGAR</t>
        </is>
      </c>
      <c r="X101" s="80" t="inlineStr">
        <is>
          <t>-</t>
        </is>
      </c>
      <c r="Y101" s="80" t="inlineStr">
        <is>
          <t>-</t>
        </is>
      </c>
      <c r="Z101" s="80" t="inlineStr">
        <is>
          <t>-</t>
        </is>
      </c>
    </row>
    <row r="102" hidden="1" ht="22.5" customHeight="1" s="98">
      <c r="A102" s="57" t="inlineStr">
        <is>
          <t>87-GTI</t>
        </is>
      </c>
      <c r="B102" s="17" t="inlineStr">
        <is>
          <t>Ruteador CISCO 1900 Series (04)</t>
        </is>
      </c>
      <c r="C102" s="17" t="inlineStr">
        <is>
          <t>Ruteador para enlaces de comunicación / 192.168.50.253</t>
        </is>
      </c>
      <c r="D102" s="64" t="inlineStr">
        <is>
          <t>[HW] Equipamiento informático (hardware)</t>
        </is>
      </c>
      <c r="E102" s="34" t="inlineStr">
        <is>
          <t>[A.6] Abuso de privilegios de acceso</t>
        </is>
      </c>
      <c r="F102" s="34">
        <f>+VLOOKUP(E102,'CATALOGO AMENAZA'!$B$2:$D$46,3,FALSE)</f>
        <v/>
      </c>
      <c r="G102" s="34" t="inlineStr">
        <is>
          <t>X</t>
        </is>
      </c>
      <c r="H102" s="34" t="inlineStr">
        <is>
          <t>X</t>
        </is>
      </c>
      <c r="I102" s="34" t="inlineStr">
        <is>
          <t>X</t>
        </is>
      </c>
      <c r="J102" s="34" t="n">
        <v>2</v>
      </c>
      <c r="K102" s="34" t="n">
        <v>4</v>
      </c>
      <c r="L102" s="34">
        <f>+J102*K102</f>
        <v/>
      </c>
      <c r="M102" s="34">
        <f>+IF(L102&lt;5,"BAJO",IF(L102&lt;10,"MEDIO",IF(L102&lt;17,"ALTO","CRITICO")))</f>
        <v/>
      </c>
      <c r="N102" s="54" t="inlineStr">
        <is>
          <t>Registro de logs</t>
        </is>
      </c>
      <c r="O102" s="34" t="inlineStr">
        <is>
          <t>DETECTIVO</t>
        </is>
      </c>
      <c r="P102" s="34" t="inlineStr">
        <is>
          <t>Control Implementado sin evidencia de efectividad (Inefectivo prueba)</t>
        </is>
      </c>
      <c r="Q102" s="52" t="n">
        <v>0.3</v>
      </c>
      <c r="R102" s="4" t="inlineStr">
        <is>
          <t>Falta de revisión de perfiles de acceso</t>
        </is>
      </c>
      <c r="S102" s="53">
        <f>+IF(O102="PREVENTIVO",J102*(1-Q102),IF(O102="ADMINISTRACION",J102*(1-Q102),IF(O102="ELIMINACION",J102*(1-Q102),J102)))</f>
        <v/>
      </c>
      <c r="T102" s="53">
        <f>+IF(O102="DETECTIVO",K102*(1-Q102),IF(O102="RECUPERACION",K102*(1-Q102),K102))</f>
        <v/>
      </c>
      <c r="U102" s="54">
        <f>+S102*T102</f>
        <v/>
      </c>
      <c r="V102" s="65">
        <f>+IF(U102&lt;5,"BAJO",IF(U102&lt;10,"MEDIO",IF(U102&lt;17,"ALTO","CRITICO")))</f>
        <v/>
      </c>
      <c r="W102" s="87" t="inlineStr">
        <is>
          <t>MITIGAR</t>
        </is>
      </c>
      <c r="X102" s="80" t="inlineStr">
        <is>
          <t>-</t>
        </is>
      </c>
      <c r="Y102" s="80" t="inlineStr">
        <is>
          <t>-</t>
        </is>
      </c>
      <c r="Z102" s="80" t="inlineStr">
        <is>
          <t>-</t>
        </is>
      </c>
    </row>
    <row r="103" hidden="1" ht="22.25" customHeight="1" s="98">
      <c r="A103" s="57" t="inlineStr">
        <is>
          <t>87-GTI</t>
        </is>
      </c>
      <c r="B103" s="17" t="inlineStr">
        <is>
          <t>Ruteador CISCO 1900 Series (04)</t>
        </is>
      </c>
      <c r="C103" s="17" t="inlineStr">
        <is>
          <t>Ruteador para enlaces de comunicación / 192.168.50.253</t>
        </is>
      </c>
      <c r="D103" s="64" t="inlineStr">
        <is>
          <t>[HW] Equipamiento informático (hardware)</t>
        </is>
      </c>
      <c r="E103" s="34" t="inlineStr">
        <is>
          <t>[E.23] Errores de mantenimiento / actualización de equipos (hardware)</t>
        </is>
      </c>
      <c r="F103" s="34">
        <f>+VLOOKUP(E103,'CATALOGO AMENAZA'!$B$2:$D$46,3,FALSE)</f>
        <v/>
      </c>
      <c r="G103" s="34" t="n"/>
      <c r="H103" s="34" t="n"/>
      <c r="I103" s="34" t="inlineStr">
        <is>
          <t>X</t>
        </is>
      </c>
      <c r="J103" s="34" t="n">
        <v>3</v>
      </c>
      <c r="K103" s="34" t="n">
        <v>3</v>
      </c>
      <c r="L103" s="34">
        <f>+J103*K103</f>
        <v/>
      </c>
      <c r="M103" s="34">
        <f>+IF(L103&lt;5,"BAJO",IF(L103&lt;10,"MEDIO",IF(L103&lt;17,"ALTO","CRITICO")))</f>
        <v/>
      </c>
      <c r="N103" s="4" t="inlineStr">
        <is>
          <t>Gestión de vulnerabilidades</t>
        </is>
      </c>
      <c r="O103" s="34" t="inlineStr">
        <is>
          <t>PREVENTIVO</t>
        </is>
      </c>
      <c r="P103" s="34" t="inlineStr">
        <is>
          <t>Control Implementado sin evidencia de efectividad (Inefectivo prueba)</t>
        </is>
      </c>
      <c r="Q103" s="52" t="n">
        <v>0.4</v>
      </c>
      <c r="R103" s="4" t="inlineStr">
        <is>
          <t>Recursos tecnológicos insuficientes para remediación</t>
        </is>
      </c>
      <c r="S103" s="53">
        <f>+IF(O103="PREVENTIVO",J103*(1-Q103),IF(O103="ADMINISTRACION",J103*(1-Q103),IF(O103="ELIMINACION",J103*(1-Q103),J103)))</f>
        <v/>
      </c>
      <c r="T103" s="53">
        <f>+IF(O103="DETECTIVO",K103*(1-Q103),IF(O103="RECUPERACION",K103*(1-Q103),K103))</f>
        <v/>
      </c>
      <c r="U103" s="54">
        <f>+S103*T103</f>
        <v/>
      </c>
      <c r="V103" s="65">
        <f>+IF(U103&lt;5,"BAJO",IF(U103&lt;10,"MEDIO",IF(U103&lt;17,"ALTO","CRITICO")))</f>
        <v/>
      </c>
      <c r="W103" s="87" t="inlineStr">
        <is>
          <t>MITIGAR</t>
        </is>
      </c>
      <c r="X103" s="80" t="inlineStr">
        <is>
          <t>-</t>
        </is>
      </c>
      <c r="Y103" s="80" t="inlineStr">
        <is>
          <t>-</t>
        </is>
      </c>
      <c r="Z103" s="80" t="inlineStr">
        <is>
          <t>-</t>
        </is>
      </c>
    </row>
    <row r="104" hidden="1" ht="22.25" customHeight="1" s="98">
      <c r="A104" s="57" t="inlineStr">
        <is>
          <t>88-GTI</t>
        </is>
      </c>
      <c r="B104" s="17" t="inlineStr">
        <is>
          <t>ATUNPRODU</t>
        </is>
      </c>
      <c r="C104" s="17" t="inlineStr">
        <is>
          <t>Servidor que contiene el servidor BDD Oracle / SERVIDOR APARK 192.168.10.72</t>
        </is>
      </c>
      <c r="D104" s="64" t="inlineStr">
        <is>
          <t>[HW] Equipamiento informático (hardware)</t>
        </is>
      </c>
      <c r="E104" s="34" t="inlineStr">
        <is>
          <t>[E.2] Errores del administrador</t>
        </is>
      </c>
      <c r="F104" s="34">
        <f>+VLOOKUP(E104,'CATALOGO AMENAZA'!$B$2:$D$46,3,FALSE)</f>
        <v/>
      </c>
      <c r="G104" s="34" t="inlineStr">
        <is>
          <t>X</t>
        </is>
      </c>
      <c r="H104" s="34" t="inlineStr">
        <is>
          <t>X</t>
        </is>
      </c>
      <c r="I104" s="34" t="inlineStr">
        <is>
          <t>X</t>
        </is>
      </c>
      <c r="J104" s="34" t="n">
        <v>2</v>
      </c>
      <c r="K104" s="34" t="n">
        <v>4</v>
      </c>
      <c r="L104" s="34">
        <f>+J104*K104</f>
        <v/>
      </c>
      <c r="M104" s="34">
        <f>+IF(L104&lt;5,"BAJO",IF(L104&lt;10,"MEDIO",IF(L104&lt;17,"ALTO","CRITICO")))</f>
        <v/>
      </c>
      <c r="N104" s="4" t="inlineStr">
        <is>
          <t>Control de cambios en los sistemas
Verificación posterior (informe)</t>
        </is>
      </c>
      <c r="O104" s="34" t="inlineStr">
        <is>
          <t>ADMINISTRACION</t>
        </is>
      </c>
      <c r="P104" s="34" t="inlineStr">
        <is>
          <t>Control Implementado sin evidencia de efectividad (Inefectivo prueba)</t>
        </is>
      </c>
      <c r="Q104" s="52" t="n">
        <v>0.3</v>
      </c>
      <c r="R104" s="4" t="inlineStr">
        <is>
          <t>No existe procedimiento formal de gestión de cambios</t>
        </is>
      </c>
      <c r="S104" s="53">
        <f>+IF(O104="PREVENTIVO",J104*(1-Q104),IF(O104="ADMINISTRACION",J104*(1-Q104),IF(O104="ELIMINACION",J104*(1-Q104),J104)))</f>
        <v/>
      </c>
      <c r="T104" s="53">
        <f>+IF(O104="DETECTIVO",K104*(1-Q104),IF(O104="RECUPERACION",K104*(1-Q104),K104))</f>
        <v/>
      </c>
      <c r="U104" s="54">
        <f>+S104*T104</f>
        <v/>
      </c>
      <c r="V104" s="65">
        <f>+IF(U104&lt;5,"BAJO",IF(U104&lt;10,"MEDIO",IF(U104&lt;17,"ALTO","CRITICO")))</f>
        <v/>
      </c>
      <c r="W104" s="87" t="inlineStr">
        <is>
          <t>MITIGAR</t>
        </is>
      </c>
      <c r="X104" s="80" t="inlineStr">
        <is>
          <t>-</t>
        </is>
      </c>
      <c r="Y104" s="80" t="inlineStr">
        <is>
          <t>-</t>
        </is>
      </c>
      <c r="Z104" s="80" t="inlineStr">
        <is>
          <t>-</t>
        </is>
      </c>
    </row>
    <row r="105" ht="22.25" customHeight="1" s="98">
      <c r="A105" s="57" t="inlineStr">
        <is>
          <t>88-GTI</t>
        </is>
      </c>
      <c r="B105" s="17" t="inlineStr">
        <is>
          <t>ATUNPRODU</t>
        </is>
      </c>
      <c r="C105" s="17" t="inlineStr">
        <is>
          <t>Servidor que contiene el servidor BDD Oracle / SERVIDOR APARK 192.168.10.72</t>
        </is>
      </c>
      <c r="D105" s="64" t="inlineStr">
        <is>
          <t>[HW] Equipamiento informático (hardware)</t>
        </is>
      </c>
      <c r="E105" s="34" t="inlineStr">
        <is>
          <t>[A.11] Acceso no autorizado</t>
        </is>
      </c>
      <c r="F105" s="34">
        <f>+VLOOKUP(E105,'CATALOGO AMENAZA'!$B$2:$D$46,3,FALSE)</f>
        <v/>
      </c>
      <c r="G105" s="34" t="inlineStr">
        <is>
          <t>X</t>
        </is>
      </c>
      <c r="H105" s="34" t="inlineStr">
        <is>
          <t>X</t>
        </is>
      </c>
      <c r="I105" s="34" t="n"/>
      <c r="J105" s="34" t="n">
        <v>3</v>
      </c>
      <c r="K105" s="34" t="n">
        <v>5</v>
      </c>
      <c r="L105" s="34">
        <f>+J105*K105</f>
        <v/>
      </c>
      <c r="M105" s="34">
        <f>+IF(L105&lt;5,"BAJO",IF(L105&lt;10,"MEDIO",IF(L105&lt;17,"ALTO","CRITICO")))</f>
        <v/>
      </c>
      <c r="N105" s="4" t="inlineStr">
        <is>
          <t>Control de accesos / VPN</t>
        </is>
      </c>
      <c r="O105" s="34" t="inlineStr">
        <is>
          <t>PREVENTIVO</t>
        </is>
      </c>
      <c r="P105" s="34" t="inlineStr">
        <is>
          <t>Control Implementado sin evidencia de efectividad (Inefectivo prueba)</t>
        </is>
      </c>
      <c r="Q105" s="52" t="n">
        <v>0.3</v>
      </c>
      <c r="R105" s="4" t="inlineStr">
        <is>
          <t>Contreaseñas de VPN no expiran</t>
        </is>
      </c>
      <c r="S105" s="53">
        <f>+IF(O105="PREVENTIVO",J105*(1-Q105),IF(O105="ADMINISTRACION",J105*(1-Q105),IF(O105="ELIMINACION",J105*(1-Q105),J105)))</f>
        <v/>
      </c>
      <c r="T105" s="53">
        <f>+IF(O105="DETECTIVO",K105*(1-Q105),IF(O105="RECUPERACION",K105*(1-Q105),K105))</f>
        <v/>
      </c>
      <c r="U105" s="54">
        <f>+S105*T105</f>
        <v/>
      </c>
      <c r="V105" s="65">
        <f>+IF(U105&lt;5,"BAJO",IF(U105&lt;10,"MEDIO",IF(U105&lt;17,"ALTO","CRITICO")))</f>
        <v/>
      </c>
      <c r="W105" s="65" t="inlineStr">
        <is>
          <t>MITIGAR</t>
        </is>
      </c>
      <c r="X105" s="34" t="inlineStr">
        <is>
          <t>REQUIERE TRATAMIENTO</t>
        </is>
      </c>
      <c r="Y105" s="34" t="inlineStr">
        <is>
          <t>PA-SI-004</t>
        </is>
      </c>
      <c r="Z105" s="34" t="inlineStr">
        <is>
          <t>Aplicar política de expiración de contraseñas VPN.</t>
        </is>
      </c>
    </row>
    <row r="106" hidden="1" ht="22.25" customHeight="1" s="98">
      <c r="A106" s="57" t="inlineStr">
        <is>
          <t>88-GTI</t>
        </is>
      </c>
      <c r="B106" s="17" t="inlineStr">
        <is>
          <t>ATUNPRODU</t>
        </is>
      </c>
      <c r="C106" s="17" t="inlineStr">
        <is>
          <t>Servidor que contiene el servidor BDD Oracle / SERVIDOR APARK 192.168.10.72</t>
        </is>
      </c>
      <c r="D106" s="64" t="inlineStr">
        <is>
          <t>[HW] Equipamiento informático (hardware)</t>
        </is>
      </c>
      <c r="E106" s="34" t="inlineStr">
        <is>
          <t>[A.6] Abuso de privilegios de acceso</t>
        </is>
      </c>
      <c r="F106" s="34">
        <f>+VLOOKUP(E106,'CATALOGO AMENAZA'!$B$2:$D$46,3,FALSE)</f>
        <v/>
      </c>
      <c r="G106" s="34" t="inlineStr">
        <is>
          <t>X</t>
        </is>
      </c>
      <c r="H106" s="34" t="inlineStr">
        <is>
          <t>X</t>
        </is>
      </c>
      <c r="I106" s="34" t="inlineStr">
        <is>
          <t>X</t>
        </is>
      </c>
      <c r="J106" s="34" t="n">
        <v>3</v>
      </c>
      <c r="K106" s="34" t="n">
        <v>4</v>
      </c>
      <c r="L106" s="34">
        <f>+J106*K106</f>
        <v/>
      </c>
      <c r="M106" s="34">
        <f>+IF(L106&lt;5,"BAJO",IF(L106&lt;10,"MEDIO",IF(L106&lt;17,"ALTO","CRITICO")))</f>
        <v/>
      </c>
      <c r="N106" s="4" t="inlineStr">
        <is>
          <t>Registro de logs (FortiAnalyzer)</t>
        </is>
      </c>
      <c r="O106" s="34" t="inlineStr">
        <is>
          <t>DETECTIVO</t>
        </is>
      </c>
      <c r="P106" s="34" t="inlineStr">
        <is>
          <t>Control Implementado sin evidencia de efectividad (Inefectivo prueba)</t>
        </is>
      </c>
      <c r="Q106" s="52" t="n">
        <v>0.3</v>
      </c>
      <c r="R106" s="4" t="inlineStr">
        <is>
          <t>Falta de revisión de perfiles de acceso</t>
        </is>
      </c>
      <c r="S106" s="53">
        <f>+IF(O106="PREVENTIVO",J106*(1-Q106),IF(O106="ADMINISTRACION",J106*(1-Q106),IF(O106="ELIMINACION",J106*(1-Q106),J106)))</f>
        <v/>
      </c>
      <c r="T106" s="53">
        <f>+IF(O106="DETECTIVO",K106*(1-Q106),IF(O106="RECUPERACION",K106*(1-Q106),K106))</f>
        <v/>
      </c>
      <c r="U106" s="54">
        <f>+S106*T106</f>
        <v/>
      </c>
      <c r="V106" s="65">
        <f>+IF(U106&lt;5,"BAJO",IF(U106&lt;10,"MEDIO",IF(U106&lt;17,"ALTO","CRITICO")))</f>
        <v/>
      </c>
      <c r="W106" s="87" t="inlineStr">
        <is>
          <t>MITIGAR</t>
        </is>
      </c>
      <c r="X106" s="80" t="inlineStr">
        <is>
          <t>-</t>
        </is>
      </c>
      <c r="Y106" s="80" t="inlineStr">
        <is>
          <t>-</t>
        </is>
      </c>
      <c r="Z106" s="80" t="inlineStr">
        <is>
          <t>-</t>
        </is>
      </c>
    </row>
    <row r="107" hidden="1" ht="22.5" customHeight="1" s="98">
      <c r="A107" s="57" t="inlineStr">
        <is>
          <t>88-GTI</t>
        </is>
      </c>
      <c r="B107" s="17" t="inlineStr">
        <is>
          <t>ATUNPRODU</t>
        </is>
      </c>
      <c r="C107" s="17" t="inlineStr">
        <is>
          <t>Servidor que contiene el servidor BDD Oracle / SERVIDOR APARK 192.168.10.72</t>
        </is>
      </c>
      <c r="D107" s="64" t="inlineStr">
        <is>
          <t>[HW] Equipamiento informático (hardware)</t>
        </is>
      </c>
      <c r="E107" s="34" t="inlineStr">
        <is>
          <t>[E.23] Errores de mantenimiento / actualización de equipos (hardware)</t>
        </is>
      </c>
      <c r="F107" s="34">
        <f>+VLOOKUP(E107,'CATALOGO AMENAZA'!$B$2:$D$46,3,FALSE)</f>
        <v/>
      </c>
      <c r="G107" s="34" t="n"/>
      <c r="H107" s="34" t="n"/>
      <c r="I107" s="34" t="inlineStr">
        <is>
          <t>X</t>
        </is>
      </c>
      <c r="J107" s="34" t="n">
        <v>3</v>
      </c>
      <c r="K107" s="34" t="n">
        <v>4</v>
      </c>
      <c r="L107" s="34">
        <f>+J107*K107</f>
        <v/>
      </c>
      <c r="M107" s="34">
        <f>+IF(L107&lt;5,"BAJO",IF(L107&lt;10,"MEDIO",IF(L107&lt;17,"ALTO","CRITICO")))</f>
        <v/>
      </c>
      <c r="N107" s="4" t="inlineStr">
        <is>
          <t>Gestión de vulnerabilidades</t>
        </is>
      </c>
      <c r="O107" s="34" t="inlineStr">
        <is>
          <t>PREVENTIVO</t>
        </is>
      </c>
      <c r="P107" s="34" t="inlineStr">
        <is>
          <t>Control Implementado sin evidencia de efectividad (Inefectivo prueba)</t>
        </is>
      </c>
      <c r="Q107" s="52" t="n">
        <v>0.4</v>
      </c>
      <c r="R107" s="4" t="inlineStr">
        <is>
          <t>Recursos tecnológicos insuficientes para remediación</t>
        </is>
      </c>
      <c r="S107" s="53">
        <f>+IF(O107="PREVENTIVO",J107*(1-Q107),IF(O107="ADMINISTRACION",J107*(1-Q107),IF(O107="ELIMINACION",J107*(1-Q107),J107)))</f>
        <v/>
      </c>
      <c r="T107" s="53">
        <f>+IF(O107="DETECTIVO",K107*(1-Q107),IF(O107="RECUPERACION",K107*(1-Q107),K107))</f>
        <v/>
      </c>
      <c r="U107" s="54">
        <f>+S107*T107</f>
        <v/>
      </c>
      <c r="V107" s="65">
        <f>+IF(U107&lt;5,"BAJO",IF(U107&lt;10,"MEDIO",IF(U107&lt;17,"ALTO","CRITICO")))</f>
        <v/>
      </c>
      <c r="W107" s="87" t="inlineStr">
        <is>
          <t>MITIGAR</t>
        </is>
      </c>
      <c r="X107" s="80" t="inlineStr">
        <is>
          <t>-</t>
        </is>
      </c>
      <c r="Y107" s="80" t="inlineStr">
        <is>
          <t>-</t>
        </is>
      </c>
      <c r="Z107" s="80" t="inlineStr">
        <is>
          <t>-</t>
        </is>
      </c>
    </row>
    <row r="108" hidden="1" ht="22.5" customHeight="1" s="98">
      <c r="A108" s="57" t="inlineStr">
        <is>
          <t>89-GTI</t>
        </is>
      </c>
      <c r="B108" s="17" t="inlineStr">
        <is>
          <t>Ruteador CISCO 880 Series (05)</t>
        </is>
      </c>
      <c r="C108" s="17" t="inlineStr">
        <is>
          <t>Ruteador para enlaces de comunicación / 192.168.60.253</t>
        </is>
      </c>
      <c r="D108" s="64" t="inlineStr">
        <is>
          <t>[HW] Equipamiento informático (hardware)</t>
        </is>
      </c>
      <c r="E108" s="34" t="inlineStr">
        <is>
          <t>[E.2] Errores del administrador</t>
        </is>
      </c>
      <c r="F108" s="34">
        <f>+VLOOKUP(E108,'CATALOGO AMENAZA'!$B$2:$D$46,3,FALSE)</f>
        <v/>
      </c>
      <c r="G108" s="34" t="inlineStr">
        <is>
          <t>X</t>
        </is>
      </c>
      <c r="H108" s="34" t="inlineStr">
        <is>
          <t>X</t>
        </is>
      </c>
      <c r="I108" s="34" t="inlineStr">
        <is>
          <t>X</t>
        </is>
      </c>
      <c r="J108" s="34" t="n">
        <v>2</v>
      </c>
      <c r="K108" s="34" t="n">
        <v>3</v>
      </c>
      <c r="L108" s="34">
        <f>+J108*K108</f>
        <v/>
      </c>
      <c r="M108" s="34">
        <f>+IF(L108&lt;5,"BAJO",IF(L108&lt;10,"MEDIO",IF(L108&lt;17,"ALTO","CRITICO")))</f>
        <v/>
      </c>
      <c r="N108" s="4" t="inlineStr">
        <is>
          <t>Control de cambios en los sistemas
Verificación posterior (informe)</t>
        </is>
      </c>
      <c r="O108" s="34" t="inlineStr">
        <is>
          <t>ADMINISTRACION</t>
        </is>
      </c>
      <c r="P108" s="34" t="inlineStr">
        <is>
          <t>Control Implementado sin evidencia de efectividad (Inefectivo prueba)</t>
        </is>
      </c>
      <c r="Q108" s="52" t="n">
        <v>0.3</v>
      </c>
      <c r="R108" s="4" t="inlineStr">
        <is>
          <t>No existe procedimiento formal de gestión de cambios</t>
        </is>
      </c>
      <c r="S108" s="53">
        <f>+IF(O108="PREVENTIVO",J108*(1-Q108),IF(O108="ADMINISTRACION",J108*(1-Q108),IF(O108="ELIMINACION",J108*(1-Q108),J108)))</f>
        <v/>
      </c>
      <c r="T108" s="53">
        <f>+IF(O108="DETECTIVO",K108*(1-Q108),IF(O108="RECUPERACION",K108*(1-Q108),K108))</f>
        <v/>
      </c>
      <c r="U108" s="54">
        <f>+S108*T108</f>
        <v/>
      </c>
      <c r="V108" s="65">
        <f>+IF(U108&lt;5,"BAJO",IF(U108&lt;10,"MEDIO",IF(U108&lt;17,"ALTO","CRITICO")))</f>
        <v/>
      </c>
      <c r="W108" s="65" t="inlineStr">
        <is>
          <t>ACEPTABLE</t>
        </is>
      </c>
      <c r="X108" s="80" t="inlineStr">
        <is>
          <t>-</t>
        </is>
      </c>
      <c r="Y108" s="80" t="inlineStr">
        <is>
          <t>-</t>
        </is>
      </c>
      <c r="Z108" s="80" t="inlineStr">
        <is>
          <t>-</t>
        </is>
      </c>
    </row>
    <row r="109" hidden="1" ht="22.5" customHeight="1" s="98">
      <c r="A109" s="57" t="inlineStr">
        <is>
          <t>89-GTI</t>
        </is>
      </c>
      <c r="B109" s="17" t="inlineStr">
        <is>
          <t>Ruteador CISCO 880 Series (05)</t>
        </is>
      </c>
      <c r="C109" s="17" t="inlineStr">
        <is>
          <t>Ruteador para enlaces de comunicación / 192.168.60.253</t>
        </is>
      </c>
      <c r="D109" s="64" t="inlineStr">
        <is>
          <t>[HW] Equipamiento informático (hardware)</t>
        </is>
      </c>
      <c r="E109" s="34" t="inlineStr">
        <is>
          <t>[A.11] Acceso no autorizado</t>
        </is>
      </c>
      <c r="F109" s="34">
        <f>+VLOOKUP(E109,'CATALOGO AMENAZA'!$B$2:$D$46,3,FALSE)</f>
        <v/>
      </c>
      <c r="G109" s="34" t="inlineStr">
        <is>
          <t>X</t>
        </is>
      </c>
      <c r="H109" s="34" t="inlineStr">
        <is>
          <t>X</t>
        </is>
      </c>
      <c r="I109" s="34" t="n"/>
      <c r="J109" s="34" t="n">
        <v>2</v>
      </c>
      <c r="K109" s="34" t="n">
        <v>4</v>
      </c>
      <c r="L109" s="34">
        <f>+J109*K109</f>
        <v/>
      </c>
      <c r="M109" s="34">
        <f>+IF(L109&lt;5,"BAJO",IF(L109&lt;10,"MEDIO",IF(L109&lt;17,"ALTO","CRITICO")))</f>
        <v/>
      </c>
      <c r="N109" s="4" t="inlineStr">
        <is>
          <t>Control de accesos / VPN</t>
        </is>
      </c>
      <c r="O109" s="34" t="inlineStr">
        <is>
          <t>PREVENTIVO</t>
        </is>
      </c>
      <c r="P109" s="34" t="inlineStr">
        <is>
          <t>Control Implementado sin evidencia de efectividad (Inefectivo prueba)</t>
        </is>
      </c>
      <c r="Q109" s="52" t="n">
        <v>0.3</v>
      </c>
      <c r="R109" s="4" t="inlineStr">
        <is>
          <t>Contreaseñas de VPN no expiran</t>
        </is>
      </c>
      <c r="S109" s="53">
        <f>+IF(O109="PREVENTIVO",J109*(1-Q109),IF(O109="ADMINISTRACION",J109*(1-Q109),IF(O109="ELIMINACION",J109*(1-Q109),J109)))</f>
        <v/>
      </c>
      <c r="T109" s="53">
        <f>+IF(O109="DETECTIVO",K109*(1-Q109),IF(O109="RECUPERACION",K109*(1-Q109),K109))</f>
        <v/>
      </c>
      <c r="U109" s="54">
        <f>+S109*T109</f>
        <v/>
      </c>
      <c r="V109" s="65">
        <f>+IF(U109&lt;5,"BAJO",IF(U109&lt;10,"MEDIO",IF(U109&lt;17,"ALTO","CRITICO")))</f>
        <v/>
      </c>
      <c r="W109" s="87" t="inlineStr">
        <is>
          <t>MITIGAR</t>
        </is>
      </c>
      <c r="X109" s="80" t="inlineStr">
        <is>
          <t>-</t>
        </is>
      </c>
      <c r="Y109" s="80" t="inlineStr">
        <is>
          <t>-</t>
        </is>
      </c>
      <c r="Z109" s="80" t="inlineStr">
        <is>
          <t>-</t>
        </is>
      </c>
    </row>
    <row r="110" hidden="1" ht="22.5" customHeight="1" s="98">
      <c r="A110" s="57" t="inlineStr">
        <is>
          <t>89-GTI</t>
        </is>
      </c>
      <c r="B110" s="17" t="inlineStr">
        <is>
          <t>Ruteador CISCO 880 Series (05)</t>
        </is>
      </c>
      <c r="C110" s="17" t="inlineStr">
        <is>
          <t>Ruteador para enlaces de comunicación / 192.168.60.253</t>
        </is>
      </c>
      <c r="D110" s="64" t="inlineStr">
        <is>
          <t>[HW] Equipamiento informático (hardware)</t>
        </is>
      </c>
      <c r="E110" s="34" t="inlineStr">
        <is>
          <t>[A.6] Abuso de privilegios de acceso</t>
        </is>
      </c>
      <c r="F110" s="34">
        <f>+VLOOKUP(E110,'CATALOGO AMENAZA'!$B$2:$D$46,3,FALSE)</f>
        <v/>
      </c>
      <c r="G110" s="34" t="inlineStr">
        <is>
          <t>X</t>
        </is>
      </c>
      <c r="H110" s="34" t="inlineStr">
        <is>
          <t>X</t>
        </is>
      </c>
      <c r="I110" s="34" t="inlineStr">
        <is>
          <t>X</t>
        </is>
      </c>
      <c r="J110" s="34" t="n">
        <v>2</v>
      </c>
      <c r="K110" s="34" t="n">
        <v>4</v>
      </c>
      <c r="L110" s="34">
        <f>+J110*K110</f>
        <v/>
      </c>
      <c r="M110" s="34">
        <f>+IF(L110&lt;5,"BAJO",IF(L110&lt;10,"MEDIO",IF(L110&lt;17,"ALTO","CRITICO")))</f>
        <v/>
      </c>
      <c r="N110" s="54" t="inlineStr">
        <is>
          <t>Registro de logs</t>
        </is>
      </c>
      <c r="O110" s="34" t="inlineStr">
        <is>
          <t>DETECTIVO</t>
        </is>
      </c>
      <c r="P110" s="34" t="inlineStr">
        <is>
          <t>Control Implementado sin evidencia de efectividad (Inefectivo prueba)</t>
        </is>
      </c>
      <c r="Q110" s="52" t="n">
        <v>0.3</v>
      </c>
      <c r="R110" s="4" t="inlineStr">
        <is>
          <t>Falta de revisión de perfiles de acceso</t>
        </is>
      </c>
      <c r="S110" s="53">
        <f>+IF(O110="PREVENTIVO",J110*(1-Q110),IF(O110="ADMINISTRACION",J110*(1-Q110),IF(O110="ELIMINACION",J110*(1-Q110),J110)))</f>
        <v/>
      </c>
      <c r="T110" s="53">
        <f>+IF(O110="DETECTIVO",K110*(1-Q110),IF(O110="RECUPERACION",K110*(1-Q110),K110))</f>
        <v/>
      </c>
      <c r="U110" s="54">
        <f>+S110*T110</f>
        <v/>
      </c>
      <c r="V110" s="65">
        <f>+IF(U110&lt;5,"BAJO",IF(U110&lt;10,"MEDIO",IF(U110&lt;17,"ALTO","CRITICO")))</f>
        <v/>
      </c>
      <c r="W110" s="87" t="inlineStr">
        <is>
          <t>MITIGAR</t>
        </is>
      </c>
      <c r="X110" s="80" t="inlineStr">
        <is>
          <t>-</t>
        </is>
      </c>
      <c r="Y110" s="80" t="inlineStr">
        <is>
          <t>-</t>
        </is>
      </c>
      <c r="Z110" s="80" t="inlineStr">
        <is>
          <t>-</t>
        </is>
      </c>
    </row>
    <row r="111" hidden="1" ht="22.5" customHeight="1" s="98">
      <c r="A111" s="57" t="inlineStr">
        <is>
          <t>89-GTI</t>
        </is>
      </c>
      <c r="B111" s="17" t="inlineStr">
        <is>
          <t>Ruteador CISCO 880 Series (05)</t>
        </is>
      </c>
      <c r="C111" s="17" t="inlineStr">
        <is>
          <t>Ruteador para enlaces de comunicación / 192.168.60.253</t>
        </is>
      </c>
      <c r="D111" s="64" t="inlineStr">
        <is>
          <t>[HW] Equipamiento informático (hardware)</t>
        </is>
      </c>
      <c r="E111" s="34" t="inlineStr">
        <is>
          <t>[E.23] Errores de mantenimiento / actualización de equipos (hardware)</t>
        </is>
      </c>
      <c r="F111" s="34">
        <f>+VLOOKUP(E111,'CATALOGO AMENAZA'!$B$2:$D$46,3,FALSE)</f>
        <v/>
      </c>
      <c r="G111" s="34" t="n"/>
      <c r="H111" s="34" t="n"/>
      <c r="I111" s="34" t="inlineStr">
        <is>
          <t>X</t>
        </is>
      </c>
      <c r="J111" s="34" t="n">
        <v>3</v>
      </c>
      <c r="K111" s="34" t="n">
        <v>3</v>
      </c>
      <c r="L111" s="34">
        <f>+J111*K111</f>
        <v/>
      </c>
      <c r="M111" s="34">
        <f>+IF(L111&lt;5,"BAJO",IF(L111&lt;10,"MEDIO",IF(L111&lt;17,"ALTO","CRITICO")))</f>
        <v/>
      </c>
      <c r="N111" s="4" t="inlineStr">
        <is>
          <t>Gestión de vulnerabilidades</t>
        </is>
      </c>
      <c r="O111" s="34" t="inlineStr">
        <is>
          <t>PREVENTIVO</t>
        </is>
      </c>
      <c r="P111" s="34" t="inlineStr">
        <is>
          <t>Control Implementado sin evidencia de efectividad (Inefectivo prueba)</t>
        </is>
      </c>
      <c r="Q111" s="52" t="n">
        <v>0.4</v>
      </c>
      <c r="R111" s="4" t="inlineStr">
        <is>
          <t>Recursos tecnológicos insuficientes para remediación</t>
        </is>
      </c>
      <c r="S111" s="53">
        <f>+IF(O111="PREVENTIVO",J111*(1-Q111),IF(O111="ADMINISTRACION",J111*(1-Q111),IF(O111="ELIMINACION",J111*(1-Q111),J111)))</f>
        <v/>
      </c>
      <c r="T111" s="53">
        <f>+IF(O111="DETECTIVO",K111*(1-Q111),IF(O111="RECUPERACION",K111*(1-Q111),K111))</f>
        <v/>
      </c>
      <c r="U111" s="54">
        <f>+S111*T111</f>
        <v/>
      </c>
      <c r="V111" s="65">
        <f>+IF(U111&lt;5,"BAJO",IF(U111&lt;10,"MEDIO",IF(U111&lt;17,"ALTO","CRITICO")))</f>
        <v/>
      </c>
      <c r="W111" s="87" t="inlineStr">
        <is>
          <t>MITIGAR</t>
        </is>
      </c>
      <c r="X111" s="80" t="inlineStr">
        <is>
          <t>-</t>
        </is>
      </c>
      <c r="Y111" s="80" t="inlineStr">
        <is>
          <t>-</t>
        </is>
      </c>
      <c r="Z111" s="80" t="inlineStr">
        <is>
          <t>-</t>
        </is>
      </c>
    </row>
    <row r="112" hidden="1" ht="22.5" customHeight="1" s="98">
      <c r="A112" s="57" t="inlineStr">
        <is>
          <t>90-GTI</t>
        </is>
      </c>
      <c r="B112" s="17" t="inlineStr">
        <is>
          <t>Ruteador CISCO 1800 Series (06)</t>
        </is>
      </c>
      <c r="C112" s="17" t="inlineStr">
        <is>
          <t>Ruteador para enlaces de comunicación / 192.168.31.253</t>
        </is>
      </c>
      <c r="D112" s="64" t="inlineStr">
        <is>
          <t>[HW] Equipamiento informático (hardware)</t>
        </is>
      </c>
      <c r="E112" s="34" t="inlineStr">
        <is>
          <t>[E.2] Errores del administrador</t>
        </is>
      </c>
      <c r="F112" s="34">
        <f>+VLOOKUP(E112,'CATALOGO AMENAZA'!$B$2:$D$46,3,FALSE)</f>
        <v/>
      </c>
      <c r="G112" s="34" t="inlineStr">
        <is>
          <t>X</t>
        </is>
      </c>
      <c r="H112" s="34" t="inlineStr">
        <is>
          <t>X</t>
        </is>
      </c>
      <c r="I112" s="34" t="inlineStr">
        <is>
          <t>X</t>
        </is>
      </c>
      <c r="J112" s="34" t="n">
        <v>2</v>
      </c>
      <c r="K112" s="34" t="n">
        <v>3</v>
      </c>
      <c r="L112" s="34">
        <f>+J112*K112</f>
        <v/>
      </c>
      <c r="M112" s="34">
        <f>+IF(L112&lt;5,"BAJO",IF(L112&lt;10,"MEDIO",IF(L112&lt;17,"ALTO","CRITICO")))</f>
        <v/>
      </c>
      <c r="N112" s="4" t="inlineStr">
        <is>
          <t>Control de cambios en los sistemas
Verificación posterior (informe)</t>
        </is>
      </c>
      <c r="O112" s="34" t="inlineStr">
        <is>
          <t>ADMINISTRACION</t>
        </is>
      </c>
      <c r="P112" s="34" t="inlineStr">
        <is>
          <t>Control Implementado sin evidencia de efectividad (Inefectivo prueba)</t>
        </is>
      </c>
      <c r="Q112" s="52" t="n">
        <v>0.3</v>
      </c>
      <c r="R112" s="4" t="inlineStr">
        <is>
          <t>No existe procedimiento formal de gestión de cambios</t>
        </is>
      </c>
      <c r="S112" s="53">
        <f>+IF(O112="PREVENTIVO",J112*(1-Q112),IF(O112="ADMINISTRACION",J112*(1-Q112),IF(O112="ELIMINACION",J112*(1-Q112),J112)))</f>
        <v/>
      </c>
      <c r="T112" s="53">
        <f>+IF(O112="DETECTIVO",K112*(1-Q112),IF(O112="RECUPERACION",K112*(1-Q112),K112))</f>
        <v/>
      </c>
      <c r="U112" s="54">
        <f>+S112*T112</f>
        <v/>
      </c>
      <c r="V112" s="65">
        <f>+IF(U112&lt;5,"BAJO",IF(U112&lt;10,"MEDIO",IF(U112&lt;17,"ALTO","CRITICO")))</f>
        <v/>
      </c>
      <c r="W112" s="65" t="inlineStr">
        <is>
          <t>ACEPTABLE</t>
        </is>
      </c>
      <c r="X112" s="80" t="inlineStr">
        <is>
          <t>-</t>
        </is>
      </c>
      <c r="Y112" s="80" t="inlineStr">
        <is>
          <t>-</t>
        </is>
      </c>
      <c r="Z112" s="80" t="inlineStr">
        <is>
          <t>-</t>
        </is>
      </c>
    </row>
    <row r="113" hidden="1" ht="22.5" customHeight="1" s="98">
      <c r="A113" s="57" t="inlineStr">
        <is>
          <t>90-GTI</t>
        </is>
      </c>
      <c r="B113" s="17" t="inlineStr">
        <is>
          <t>Ruteador CISCO 1800 Series (06)</t>
        </is>
      </c>
      <c r="C113" s="17" t="inlineStr">
        <is>
          <t>Ruteador para enlaces de comunicación / 192.168.31.253</t>
        </is>
      </c>
      <c r="D113" s="64" t="inlineStr">
        <is>
          <t>[HW] Equipamiento informático (hardware)</t>
        </is>
      </c>
      <c r="E113" s="34" t="inlineStr">
        <is>
          <t>[A.11] Acceso no autorizado</t>
        </is>
      </c>
      <c r="F113" s="34">
        <f>+VLOOKUP(E113,'CATALOGO AMENAZA'!$B$2:$D$46,3,FALSE)</f>
        <v/>
      </c>
      <c r="G113" s="34" t="inlineStr">
        <is>
          <t>X</t>
        </is>
      </c>
      <c r="H113" s="34" t="inlineStr">
        <is>
          <t>X</t>
        </is>
      </c>
      <c r="I113" s="34" t="n"/>
      <c r="J113" s="34" t="n">
        <v>2</v>
      </c>
      <c r="K113" s="34" t="n">
        <v>4</v>
      </c>
      <c r="L113" s="34">
        <f>+J113*K113</f>
        <v/>
      </c>
      <c r="M113" s="34">
        <f>+IF(L113&lt;5,"BAJO",IF(L113&lt;10,"MEDIO",IF(L113&lt;17,"ALTO","CRITICO")))</f>
        <v/>
      </c>
      <c r="N113" s="4" t="inlineStr">
        <is>
          <t>Control de accesos / VPN</t>
        </is>
      </c>
      <c r="O113" s="34" t="inlineStr">
        <is>
          <t>PREVENTIVO</t>
        </is>
      </c>
      <c r="P113" s="34" t="inlineStr">
        <is>
          <t>Control Implementado sin evidencia de efectividad (Inefectivo prueba)</t>
        </is>
      </c>
      <c r="Q113" s="52" t="n">
        <v>0.3</v>
      </c>
      <c r="R113" s="4" t="inlineStr">
        <is>
          <t>Contreaseñas de VPN no expiran</t>
        </is>
      </c>
      <c r="S113" s="53">
        <f>+IF(O113="PREVENTIVO",J113*(1-Q113),IF(O113="ADMINISTRACION",J113*(1-Q113),IF(O113="ELIMINACION",J113*(1-Q113),J113)))</f>
        <v/>
      </c>
      <c r="T113" s="53">
        <f>+IF(O113="DETECTIVO",K113*(1-Q113),IF(O113="RECUPERACION",K113*(1-Q113),K113))</f>
        <v/>
      </c>
      <c r="U113" s="54">
        <f>+S113*T113</f>
        <v/>
      </c>
      <c r="V113" s="65">
        <f>+IF(U113&lt;5,"BAJO",IF(U113&lt;10,"MEDIO",IF(U113&lt;17,"ALTO","CRITICO")))</f>
        <v/>
      </c>
      <c r="W113" s="87" t="inlineStr">
        <is>
          <t>MITIGAR</t>
        </is>
      </c>
      <c r="X113" s="80" t="inlineStr">
        <is>
          <t>-</t>
        </is>
      </c>
      <c r="Y113" s="80" t="inlineStr">
        <is>
          <t>-</t>
        </is>
      </c>
      <c r="Z113" s="80" t="inlineStr">
        <is>
          <t>-</t>
        </is>
      </c>
    </row>
    <row r="114" hidden="1" ht="22.5" customHeight="1" s="98">
      <c r="A114" s="57" t="inlineStr">
        <is>
          <t>90-GTI</t>
        </is>
      </c>
      <c r="B114" s="17" t="inlineStr">
        <is>
          <t>Ruteador CISCO 1800 Series (06)</t>
        </is>
      </c>
      <c r="C114" s="17" t="inlineStr">
        <is>
          <t>Ruteador para enlaces de comunicación / 192.168.31.253</t>
        </is>
      </c>
      <c r="D114" s="64" t="inlineStr">
        <is>
          <t>[HW] Equipamiento informático (hardware)</t>
        </is>
      </c>
      <c r="E114" s="34" t="inlineStr">
        <is>
          <t>[A.6] Abuso de privilegios de acceso</t>
        </is>
      </c>
      <c r="F114" s="34">
        <f>+VLOOKUP(E114,'CATALOGO AMENAZA'!$B$2:$D$46,3,FALSE)</f>
        <v/>
      </c>
      <c r="G114" s="34" t="inlineStr">
        <is>
          <t>X</t>
        </is>
      </c>
      <c r="H114" s="34" t="inlineStr">
        <is>
          <t>X</t>
        </is>
      </c>
      <c r="I114" s="34" t="inlineStr">
        <is>
          <t>X</t>
        </is>
      </c>
      <c r="J114" s="34" t="n">
        <v>2</v>
      </c>
      <c r="K114" s="34" t="n">
        <v>4</v>
      </c>
      <c r="L114" s="34">
        <f>+J114*K114</f>
        <v/>
      </c>
      <c r="M114" s="34">
        <f>+IF(L114&lt;5,"BAJO",IF(L114&lt;10,"MEDIO",IF(L114&lt;17,"ALTO","CRITICO")))</f>
        <v/>
      </c>
      <c r="N114" s="54" t="inlineStr">
        <is>
          <t>Registro de logs</t>
        </is>
      </c>
      <c r="O114" s="34" t="inlineStr">
        <is>
          <t>DETECTIVO</t>
        </is>
      </c>
      <c r="P114" s="34" t="inlineStr">
        <is>
          <t>Control Implementado sin evidencia de efectividad (Inefectivo prueba)</t>
        </is>
      </c>
      <c r="Q114" s="52" t="n">
        <v>0.3</v>
      </c>
      <c r="R114" s="4" t="inlineStr">
        <is>
          <t>Falta de revisión de perfiles de acceso</t>
        </is>
      </c>
      <c r="S114" s="53">
        <f>+IF(O114="PREVENTIVO",J114*(1-Q114),IF(O114="ADMINISTRACION",J114*(1-Q114),IF(O114="ELIMINACION",J114*(1-Q114),J114)))</f>
        <v/>
      </c>
      <c r="T114" s="53">
        <f>+IF(O114="DETECTIVO",K114*(1-Q114),IF(O114="RECUPERACION",K114*(1-Q114),K114))</f>
        <v/>
      </c>
      <c r="U114" s="54">
        <f>+S114*T114</f>
        <v/>
      </c>
      <c r="V114" s="65">
        <f>+IF(U114&lt;5,"BAJO",IF(U114&lt;10,"MEDIO",IF(U114&lt;17,"ALTO","CRITICO")))</f>
        <v/>
      </c>
      <c r="W114" s="87" t="inlineStr">
        <is>
          <t>MITIGAR</t>
        </is>
      </c>
      <c r="X114" s="80" t="inlineStr">
        <is>
          <t>-</t>
        </is>
      </c>
      <c r="Y114" s="80" t="inlineStr">
        <is>
          <t>-</t>
        </is>
      </c>
      <c r="Z114" s="80" t="inlineStr">
        <is>
          <t>-</t>
        </is>
      </c>
    </row>
    <row r="115" hidden="1" ht="22.5" customHeight="1" s="98">
      <c r="A115" s="57" t="inlineStr">
        <is>
          <t>90-GTI</t>
        </is>
      </c>
      <c r="B115" s="17" t="inlineStr">
        <is>
          <t>Ruteador CISCO 1800 Series (06)</t>
        </is>
      </c>
      <c r="C115" s="17" t="inlineStr">
        <is>
          <t>Ruteador para enlaces de comunicación / 192.168.31.253</t>
        </is>
      </c>
      <c r="D115" s="64" t="inlineStr">
        <is>
          <t>[HW] Equipamiento informático (hardware)</t>
        </is>
      </c>
      <c r="E115" s="34" t="inlineStr">
        <is>
          <t>[E.23] Errores de mantenimiento / actualización de equipos (hardware)</t>
        </is>
      </c>
      <c r="F115" s="34">
        <f>+VLOOKUP(E115,'CATALOGO AMENAZA'!$B$2:$D$46,3,FALSE)</f>
        <v/>
      </c>
      <c r="G115" s="34" t="n"/>
      <c r="H115" s="34" t="n"/>
      <c r="I115" s="34" t="inlineStr">
        <is>
          <t>X</t>
        </is>
      </c>
      <c r="J115" s="34" t="n">
        <v>3</v>
      </c>
      <c r="K115" s="34" t="n">
        <v>3</v>
      </c>
      <c r="L115" s="34">
        <f>+J115*K115</f>
        <v/>
      </c>
      <c r="M115" s="34">
        <f>+IF(L115&lt;5,"BAJO",IF(L115&lt;10,"MEDIO",IF(L115&lt;17,"ALTO","CRITICO")))</f>
        <v/>
      </c>
      <c r="N115" s="4" t="inlineStr">
        <is>
          <t>Gestión de vulnerabilidades</t>
        </is>
      </c>
      <c r="O115" s="34" t="inlineStr">
        <is>
          <t>PREVENTIVO</t>
        </is>
      </c>
      <c r="P115" s="34" t="inlineStr">
        <is>
          <t>Control Implementado sin evidencia de efectividad (Inefectivo prueba)</t>
        </is>
      </c>
      <c r="Q115" s="52" t="n">
        <v>0.4</v>
      </c>
      <c r="R115" s="4" t="inlineStr">
        <is>
          <t>Recursos tecnológicos insuficientes para remediación</t>
        </is>
      </c>
      <c r="S115" s="53">
        <f>+IF(O115="PREVENTIVO",J115*(1-Q115),IF(O115="ADMINISTRACION",J115*(1-Q115),IF(O115="ELIMINACION",J115*(1-Q115),J115)))</f>
        <v/>
      </c>
      <c r="T115" s="53">
        <f>+IF(O115="DETECTIVO",K115*(1-Q115),IF(O115="RECUPERACION",K115*(1-Q115),K115))</f>
        <v/>
      </c>
      <c r="U115" s="54">
        <f>+S115*T115</f>
        <v/>
      </c>
      <c r="V115" s="65">
        <f>+IF(U115&lt;5,"BAJO",IF(U115&lt;10,"MEDIO",IF(U115&lt;17,"ALTO","CRITICO")))</f>
        <v/>
      </c>
      <c r="W115" s="87" t="inlineStr">
        <is>
          <t>MITIGAR</t>
        </is>
      </c>
      <c r="X115" s="80" t="inlineStr">
        <is>
          <t>-</t>
        </is>
      </c>
      <c r="Y115" s="80" t="inlineStr">
        <is>
          <t>-</t>
        </is>
      </c>
      <c r="Z115" s="80" t="inlineStr">
        <is>
          <t>-</t>
        </is>
      </c>
    </row>
    <row r="116" hidden="1" ht="22.5" customHeight="1" s="98">
      <c r="A116" s="57" t="inlineStr">
        <is>
          <t>91-GTI</t>
        </is>
      </c>
      <c r="B116" s="17" t="inlineStr">
        <is>
          <t>Ruteador CISCO 1800 Series (07)</t>
        </is>
      </c>
      <c r="C116" s="17" t="inlineStr">
        <is>
          <t>Ruteador para enlaces de comunicación / 192.168.80.253</t>
        </is>
      </c>
      <c r="D116" s="64" t="inlineStr">
        <is>
          <t>[HW] Equipamiento informático (hardware)</t>
        </is>
      </c>
      <c r="E116" s="34" t="inlineStr">
        <is>
          <t>[E.2] Errores del administrador</t>
        </is>
      </c>
      <c r="F116" s="34">
        <f>+VLOOKUP(E116,'CATALOGO AMENAZA'!$B$2:$D$46,3,FALSE)</f>
        <v/>
      </c>
      <c r="G116" s="34" t="inlineStr">
        <is>
          <t>X</t>
        </is>
      </c>
      <c r="H116" s="34" t="inlineStr">
        <is>
          <t>X</t>
        </is>
      </c>
      <c r="I116" s="34" t="inlineStr">
        <is>
          <t>X</t>
        </is>
      </c>
      <c r="J116" s="34" t="n">
        <v>2</v>
      </c>
      <c r="K116" s="34" t="n">
        <v>3</v>
      </c>
      <c r="L116" s="34">
        <f>+J116*K116</f>
        <v/>
      </c>
      <c r="M116" s="34">
        <f>+IF(L116&lt;5,"BAJO",IF(L116&lt;10,"MEDIO",IF(L116&lt;17,"ALTO","CRITICO")))</f>
        <v/>
      </c>
      <c r="N116" s="4" t="inlineStr">
        <is>
          <t>Control de cambios en los sistemas
Verificación posterior (informe)</t>
        </is>
      </c>
      <c r="O116" s="34" t="inlineStr">
        <is>
          <t>ADMINISTRACION</t>
        </is>
      </c>
      <c r="P116" s="34" t="inlineStr">
        <is>
          <t>Control Implementado sin evidencia de efectividad (Inefectivo prueba)</t>
        </is>
      </c>
      <c r="Q116" s="52" t="n">
        <v>0.3</v>
      </c>
      <c r="R116" s="4" t="inlineStr">
        <is>
          <t>No existe procedimiento formal de gestión de cambios</t>
        </is>
      </c>
      <c r="S116" s="53">
        <f>+IF(O116="PREVENTIVO",J116*(1-Q116),IF(O116="ADMINISTRACION",J116*(1-Q116),IF(O116="ELIMINACION",J116*(1-Q116),J116)))</f>
        <v/>
      </c>
      <c r="T116" s="53">
        <f>+IF(O116="DETECTIVO",K116*(1-Q116),IF(O116="RECUPERACION",K116*(1-Q116),K116))</f>
        <v/>
      </c>
      <c r="U116" s="54">
        <f>+S116*T116</f>
        <v/>
      </c>
      <c r="V116" s="65">
        <f>+IF(U116&lt;5,"BAJO",IF(U116&lt;10,"MEDIO",IF(U116&lt;17,"ALTO","CRITICO")))</f>
        <v/>
      </c>
      <c r="W116" s="65" t="inlineStr">
        <is>
          <t>ACEPTABLE</t>
        </is>
      </c>
      <c r="X116" s="80" t="inlineStr">
        <is>
          <t>-</t>
        </is>
      </c>
      <c r="Y116" s="80" t="inlineStr">
        <is>
          <t>-</t>
        </is>
      </c>
      <c r="Z116" s="80" t="inlineStr">
        <is>
          <t>-</t>
        </is>
      </c>
    </row>
    <row r="117" hidden="1" ht="22.5" customHeight="1" s="98">
      <c r="A117" s="57" t="inlineStr">
        <is>
          <t>91-GTI</t>
        </is>
      </c>
      <c r="B117" s="17" t="inlineStr">
        <is>
          <t>Ruteador CISCO 1800 Series (07)</t>
        </is>
      </c>
      <c r="C117" s="17" t="inlineStr">
        <is>
          <t>Ruteador para enlaces de comunicación / 192.168.80.253</t>
        </is>
      </c>
      <c r="D117" s="64" t="inlineStr">
        <is>
          <t>[HW] Equipamiento informático (hardware)</t>
        </is>
      </c>
      <c r="E117" s="34" t="inlineStr">
        <is>
          <t>[A.11] Acceso no autorizado</t>
        </is>
      </c>
      <c r="F117" s="34">
        <f>+VLOOKUP(E117,'CATALOGO AMENAZA'!$B$2:$D$46,3,FALSE)</f>
        <v/>
      </c>
      <c r="G117" s="34" t="inlineStr">
        <is>
          <t>X</t>
        </is>
      </c>
      <c r="H117" s="34" t="inlineStr">
        <is>
          <t>X</t>
        </is>
      </c>
      <c r="I117" s="34" t="n"/>
      <c r="J117" s="34" t="n">
        <v>2</v>
      </c>
      <c r="K117" s="34" t="n">
        <v>4</v>
      </c>
      <c r="L117" s="34">
        <f>+J117*K117</f>
        <v/>
      </c>
      <c r="M117" s="34">
        <f>+IF(L117&lt;5,"BAJO",IF(L117&lt;10,"MEDIO",IF(L117&lt;17,"ALTO","CRITICO")))</f>
        <v/>
      </c>
      <c r="N117" s="4" t="inlineStr">
        <is>
          <t>Control de accesos / VPN</t>
        </is>
      </c>
      <c r="O117" s="34" t="inlineStr">
        <is>
          <t>PREVENTIVO</t>
        </is>
      </c>
      <c r="P117" s="34" t="inlineStr">
        <is>
          <t>Control Implementado sin evidencia de efectividad (Inefectivo prueba)</t>
        </is>
      </c>
      <c r="Q117" s="52" t="n">
        <v>0.3</v>
      </c>
      <c r="R117" s="4" t="inlineStr">
        <is>
          <t>Contreaseñas de VPN no expiran</t>
        </is>
      </c>
      <c r="S117" s="53">
        <f>+IF(O117="PREVENTIVO",J117*(1-Q117),IF(O117="ADMINISTRACION",J117*(1-Q117),IF(O117="ELIMINACION",J117*(1-Q117),J117)))</f>
        <v/>
      </c>
      <c r="T117" s="53">
        <f>+IF(O117="DETECTIVO",K117*(1-Q117),IF(O117="RECUPERACION",K117*(1-Q117),K117))</f>
        <v/>
      </c>
      <c r="U117" s="54">
        <f>+S117*T117</f>
        <v/>
      </c>
      <c r="V117" s="65">
        <f>+IF(U117&lt;5,"BAJO",IF(U117&lt;10,"MEDIO",IF(U117&lt;17,"ALTO","CRITICO")))</f>
        <v/>
      </c>
      <c r="W117" s="87" t="inlineStr">
        <is>
          <t>MITIGAR</t>
        </is>
      </c>
      <c r="X117" s="80" t="inlineStr">
        <is>
          <t>-</t>
        </is>
      </c>
      <c r="Y117" s="80" t="inlineStr">
        <is>
          <t>-</t>
        </is>
      </c>
      <c r="Z117" s="80" t="inlineStr">
        <is>
          <t>-</t>
        </is>
      </c>
    </row>
    <row r="118" hidden="1" ht="22.5" customHeight="1" s="98">
      <c r="A118" s="57" t="inlineStr">
        <is>
          <t>91-GTI</t>
        </is>
      </c>
      <c r="B118" s="17" t="inlineStr">
        <is>
          <t>Ruteador CISCO 1800 Series (07)</t>
        </is>
      </c>
      <c r="C118" s="17" t="inlineStr">
        <is>
          <t>Ruteador para enlaces de comunicación / 192.168.80.253</t>
        </is>
      </c>
      <c r="D118" s="64" t="inlineStr">
        <is>
          <t>[HW] Equipamiento informático (hardware)</t>
        </is>
      </c>
      <c r="E118" s="34" t="inlineStr">
        <is>
          <t>[A.6] Abuso de privilegios de acceso</t>
        </is>
      </c>
      <c r="F118" s="34">
        <f>+VLOOKUP(E118,'CATALOGO AMENAZA'!$B$2:$D$46,3,FALSE)</f>
        <v/>
      </c>
      <c r="G118" s="34" t="inlineStr">
        <is>
          <t>X</t>
        </is>
      </c>
      <c r="H118" s="34" t="inlineStr">
        <is>
          <t>X</t>
        </is>
      </c>
      <c r="I118" s="34" t="inlineStr">
        <is>
          <t>X</t>
        </is>
      </c>
      <c r="J118" s="34" t="n">
        <v>2</v>
      </c>
      <c r="K118" s="34" t="n">
        <v>4</v>
      </c>
      <c r="L118" s="34">
        <f>+J118*K118</f>
        <v/>
      </c>
      <c r="M118" s="34">
        <f>+IF(L118&lt;5,"BAJO",IF(L118&lt;10,"MEDIO",IF(L118&lt;17,"ALTO","CRITICO")))</f>
        <v/>
      </c>
      <c r="N118" s="54" t="inlineStr">
        <is>
          <t>Registro de logs</t>
        </is>
      </c>
      <c r="O118" s="34" t="inlineStr">
        <is>
          <t>DETECTIVO</t>
        </is>
      </c>
      <c r="P118" s="34" t="inlineStr">
        <is>
          <t>Control Implementado sin evidencia de efectividad (Inefectivo prueba)</t>
        </is>
      </c>
      <c r="Q118" s="52" t="n">
        <v>0.3</v>
      </c>
      <c r="R118" s="4" t="inlineStr">
        <is>
          <t>Falta de revisión de perfiles de acceso</t>
        </is>
      </c>
      <c r="S118" s="53">
        <f>+IF(O118="PREVENTIVO",J118*(1-Q118),IF(O118="ADMINISTRACION",J118*(1-Q118),IF(O118="ELIMINACION",J118*(1-Q118),J118)))</f>
        <v/>
      </c>
      <c r="T118" s="53">
        <f>+IF(O118="DETECTIVO",K118*(1-Q118),IF(O118="RECUPERACION",K118*(1-Q118),K118))</f>
        <v/>
      </c>
      <c r="U118" s="54">
        <f>+S118*T118</f>
        <v/>
      </c>
      <c r="V118" s="65">
        <f>+IF(U118&lt;5,"BAJO",IF(U118&lt;10,"MEDIO",IF(U118&lt;17,"ALTO","CRITICO")))</f>
        <v/>
      </c>
      <c r="W118" s="87" t="inlineStr">
        <is>
          <t>MITIGAR</t>
        </is>
      </c>
      <c r="X118" s="80" t="inlineStr">
        <is>
          <t>-</t>
        </is>
      </c>
      <c r="Y118" s="80" t="inlineStr">
        <is>
          <t>-</t>
        </is>
      </c>
      <c r="Z118" s="80" t="inlineStr">
        <is>
          <t>-</t>
        </is>
      </c>
    </row>
    <row r="119" hidden="1" ht="22.5" customHeight="1" s="98">
      <c r="A119" s="57" t="inlineStr">
        <is>
          <t>91-GTI</t>
        </is>
      </c>
      <c r="B119" s="17" t="inlineStr">
        <is>
          <t>Ruteador CISCO 1800 Series (07)</t>
        </is>
      </c>
      <c r="C119" s="17" t="inlineStr">
        <is>
          <t>Ruteador para enlaces de comunicación / 192.168.80.253</t>
        </is>
      </c>
      <c r="D119" s="64" t="inlineStr">
        <is>
          <t>[HW] Equipamiento informático (hardware)</t>
        </is>
      </c>
      <c r="E119" s="34" t="inlineStr">
        <is>
          <t>[E.23] Errores de mantenimiento / actualización de equipos (hardware)</t>
        </is>
      </c>
      <c r="F119" s="34">
        <f>+VLOOKUP(E119,'CATALOGO AMENAZA'!$B$2:$D$46,3,FALSE)</f>
        <v/>
      </c>
      <c r="G119" s="34" t="n"/>
      <c r="H119" s="34" t="n"/>
      <c r="I119" s="34" t="inlineStr">
        <is>
          <t>X</t>
        </is>
      </c>
      <c r="J119" s="34" t="n">
        <v>3</v>
      </c>
      <c r="K119" s="34" t="n">
        <v>3</v>
      </c>
      <c r="L119" s="34">
        <f>+J119*K119</f>
        <v/>
      </c>
      <c r="M119" s="34">
        <f>+IF(L119&lt;5,"BAJO",IF(L119&lt;10,"MEDIO",IF(L119&lt;17,"ALTO","CRITICO")))</f>
        <v/>
      </c>
      <c r="N119" s="4" t="inlineStr">
        <is>
          <t>Gestión de vulnerabilidades</t>
        </is>
      </c>
      <c r="O119" s="34" t="inlineStr">
        <is>
          <t>PREVENTIVO</t>
        </is>
      </c>
      <c r="P119" s="34" t="inlineStr">
        <is>
          <t>Control Implementado sin evidencia de efectividad (Inefectivo prueba)</t>
        </is>
      </c>
      <c r="Q119" s="52" t="n">
        <v>0.4</v>
      </c>
      <c r="R119" s="4" t="inlineStr">
        <is>
          <t>Recursos tecnológicos insuficientes para remediación</t>
        </is>
      </c>
      <c r="S119" s="53">
        <f>+IF(O119="PREVENTIVO",J119*(1-Q119),IF(O119="ADMINISTRACION",J119*(1-Q119),IF(O119="ELIMINACION",J119*(1-Q119),J119)))</f>
        <v/>
      </c>
      <c r="T119" s="53">
        <f>+IF(O119="DETECTIVO",K119*(1-Q119),IF(O119="RECUPERACION",K119*(1-Q119),K119))</f>
        <v/>
      </c>
      <c r="U119" s="54">
        <f>+S119*T119</f>
        <v/>
      </c>
      <c r="V119" s="65">
        <f>+IF(U119&lt;5,"BAJO",IF(U119&lt;10,"MEDIO",IF(U119&lt;17,"ALTO","CRITICO")))</f>
        <v/>
      </c>
      <c r="W119" s="87" t="inlineStr">
        <is>
          <t>MITIGAR</t>
        </is>
      </c>
      <c r="X119" s="80" t="inlineStr">
        <is>
          <t>-</t>
        </is>
      </c>
      <c r="Y119" s="80" t="inlineStr">
        <is>
          <t>-</t>
        </is>
      </c>
      <c r="Z119" s="80" t="inlineStr">
        <is>
          <t>-</t>
        </is>
      </c>
    </row>
    <row r="120" hidden="1" ht="22.5" customHeight="1" s="98">
      <c r="A120" s="57" t="inlineStr">
        <is>
          <t>92-GTI</t>
        </is>
      </c>
      <c r="B120" s="17" t="inlineStr">
        <is>
          <t>Ruteador CISCO 1800 Series (09)</t>
        </is>
      </c>
      <c r="C120" s="17" t="inlineStr">
        <is>
          <t>Ruteador para enlaces de comunicación / 192.168.82.253</t>
        </is>
      </c>
      <c r="D120" s="64" t="inlineStr">
        <is>
          <t>[HW] Equipamiento informático (hardware)</t>
        </is>
      </c>
      <c r="E120" s="34" t="inlineStr">
        <is>
          <t>[E.2] Errores del administrador</t>
        </is>
      </c>
      <c r="F120" s="34">
        <f>+VLOOKUP(E120,'CATALOGO AMENAZA'!$B$2:$D$46,3,FALSE)</f>
        <v/>
      </c>
      <c r="G120" s="34" t="inlineStr">
        <is>
          <t>X</t>
        </is>
      </c>
      <c r="H120" s="34" t="inlineStr">
        <is>
          <t>X</t>
        </is>
      </c>
      <c r="I120" s="34" t="inlineStr">
        <is>
          <t>X</t>
        </is>
      </c>
      <c r="J120" s="34" t="n">
        <v>2</v>
      </c>
      <c r="K120" s="34" t="n">
        <v>3</v>
      </c>
      <c r="L120" s="34">
        <f>+J120*K120</f>
        <v/>
      </c>
      <c r="M120" s="34">
        <f>+IF(L120&lt;5,"BAJO",IF(L120&lt;10,"MEDIO",IF(L120&lt;17,"ALTO","CRITICO")))</f>
        <v/>
      </c>
      <c r="N120" s="4" t="inlineStr">
        <is>
          <t>Control de cambios en los sistemas
Verificación posterior (informe)</t>
        </is>
      </c>
      <c r="O120" s="34" t="inlineStr">
        <is>
          <t>ADMINISTRACION</t>
        </is>
      </c>
      <c r="P120" s="34" t="inlineStr">
        <is>
          <t>Control Implementado sin evidencia de efectividad (Inefectivo prueba)</t>
        </is>
      </c>
      <c r="Q120" s="52" t="n">
        <v>0.3</v>
      </c>
      <c r="R120" s="4" t="inlineStr">
        <is>
          <t>No existe procedimiento formal de gestión de cambios</t>
        </is>
      </c>
      <c r="S120" s="53">
        <f>+IF(O120="PREVENTIVO",J120*(1-Q120),IF(O120="ADMINISTRACION",J120*(1-Q120),IF(O120="ELIMINACION",J120*(1-Q120),J120)))</f>
        <v/>
      </c>
      <c r="T120" s="53">
        <f>+IF(O120="DETECTIVO",K120*(1-Q120),IF(O120="RECUPERACION",K120*(1-Q120),K120))</f>
        <v/>
      </c>
      <c r="U120" s="54">
        <f>+S120*T120</f>
        <v/>
      </c>
      <c r="V120" s="65">
        <f>+IF(U120&lt;5,"BAJO",IF(U120&lt;10,"MEDIO",IF(U120&lt;17,"ALTO","CRITICO")))</f>
        <v/>
      </c>
      <c r="W120" s="65" t="inlineStr">
        <is>
          <t>ACEPTABLE</t>
        </is>
      </c>
      <c r="X120" s="80" t="inlineStr">
        <is>
          <t>-</t>
        </is>
      </c>
      <c r="Y120" s="80" t="inlineStr">
        <is>
          <t>-</t>
        </is>
      </c>
      <c r="Z120" s="80" t="inlineStr">
        <is>
          <t>-</t>
        </is>
      </c>
    </row>
    <row r="121" hidden="1" ht="22.5" customHeight="1" s="98">
      <c r="A121" s="57" t="inlineStr">
        <is>
          <t>92-GTI</t>
        </is>
      </c>
      <c r="B121" s="17" t="inlineStr">
        <is>
          <t>Ruteador CISCO 1800 Series (09)</t>
        </is>
      </c>
      <c r="C121" s="17" t="inlineStr">
        <is>
          <t>Ruteador para enlaces de comunicación / 192.168.82.253</t>
        </is>
      </c>
      <c r="D121" s="64" t="inlineStr">
        <is>
          <t>[HW] Equipamiento informático (hardware)</t>
        </is>
      </c>
      <c r="E121" s="34" t="inlineStr">
        <is>
          <t>[A.11] Acceso no autorizado</t>
        </is>
      </c>
      <c r="F121" s="34">
        <f>+VLOOKUP(E121,'CATALOGO AMENAZA'!$B$2:$D$46,3,FALSE)</f>
        <v/>
      </c>
      <c r="G121" s="34" t="inlineStr">
        <is>
          <t>X</t>
        </is>
      </c>
      <c r="H121" s="34" t="inlineStr">
        <is>
          <t>X</t>
        </is>
      </c>
      <c r="I121" s="34" t="n"/>
      <c r="J121" s="34" t="n">
        <v>2</v>
      </c>
      <c r="K121" s="34" t="n">
        <v>4</v>
      </c>
      <c r="L121" s="34">
        <f>+J121*K121</f>
        <v/>
      </c>
      <c r="M121" s="34">
        <f>+IF(L121&lt;5,"BAJO",IF(L121&lt;10,"MEDIO",IF(L121&lt;17,"ALTO","CRITICO")))</f>
        <v/>
      </c>
      <c r="N121" s="4" t="inlineStr">
        <is>
          <t>Control de accesos / VPN</t>
        </is>
      </c>
      <c r="O121" s="34" t="inlineStr">
        <is>
          <t>PREVENTIVO</t>
        </is>
      </c>
      <c r="P121" s="34" t="inlineStr">
        <is>
          <t>Control Implementado sin evidencia de efectividad (Inefectivo prueba)</t>
        </is>
      </c>
      <c r="Q121" s="52" t="n">
        <v>0.3</v>
      </c>
      <c r="R121" s="4" t="inlineStr">
        <is>
          <t>Contreaseñas de VPN no expiran</t>
        </is>
      </c>
      <c r="S121" s="53">
        <f>+IF(O121="PREVENTIVO",J121*(1-Q121),IF(O121="ADMINISTRACION",J121*(1-Q121),IF(O121="ELIMINACION",J121*(1-Q121),J121)))</f>
        <v/>
      </c>
      <c r="T121" s="53">
        <f>+IF(O121="DETECTIVO",K121*(1-Q121),IF(O121="RECUPERACION",K121*(1-Q121),K121))</f>
        <v/>
      </c>
      <c r="U121" s="54">
        <f>+S121*T121</f>
        <v/>
      </c>
      <c r="V121" s="65">
        <f>+IF(U121&lt;5,"BAJO",IF(U121&lt;10,"MEDIO",IF(U121&lt;17,"ALTO","CRITICO")))</f>
        <v/>
      </c>
      <c r="W121" s="87" t="inlineStr">
        <is>
          <t>MITIGAR</t>
        </is>
      </c>
      <c r="X121" s="80" t="inlineStr">
        <is>
          <t>-</t>
        </is>
      </c>
      <c r="Y121" s="80" t="inlineStr">
        <is>
          <t>-</t>
        </is>
      </c>
      <c r="Z121" s="80" t="inlineStr">
        <is>
          <t>-</t>
        </is>
      </c>
    </row>
    <row r="122" hidden="1" ht="22.5" customHeight="1" s="98">
      <c r="A122" s="57" t="inlineStr">
        <is>
          <t>92-GTI</t>
        </is>
      </c>
      <c r="B122" s="17" t="inlineStr">
        <is>
          <t>Ruteador CISCO 1800 Series (09)</t>
        </is>
      </c>
      <c r="C122" s="17" t="inlineStr">
        <is>
          <t>Ruteador para enlaces de comunicación / 192.168.82.253</t>
        </is>
      </c>
      <c r="D122" s="64" t="inlineStr">
        <is>
          <t>[HW] Equipamiento informático (hardware)</t>
        </is>
      </c>
      <c r="E122" s="34" t="inlineStr">
        <is>
          <t>[A.6] Abuso de privilegios de acceso</t>
        </is>
      </c>
      <c r="F122" s="34">
        <f>+VLOOKUP(E122,'CATALOGO AMENAZA'!$B$2:$D$46,3,FALSE)</f>
        <v/>
      </c>
      <c r="G122" s="34" t="inlineStr">
        <is>
          <t>X</t>
        </is>
      </c>
      <c r="H122" s="34" t="inlineStr">
        <is>
          <t>X</t>
        </is>
      </c>
      <c r="I122" s="34" t="inlineStr">
        <is>
          <t>X</t>
        </is>
      </c>
      <c r="J122" s="34" t="n">
        <v>2</v>
      </c>
      <c r="K122" s="34" t="n">
        <v>4</v>
      </c>
      <c r="L122" s="34">
        <f>+J122*K122</f>
        <v/>
      </c>
      <c r="M122" s="34">
        <f>+IF(L122&lt;5,"BAJO",IF(L122&lt;10,"MEDIO",IF(L122&lt;17,"ALTO","CRITICO")))</f>
        <v/>
      </c>
      <c r="N122" s="54" t="inlineStr">
        <is>
          <t>Registro de logs</t>
        </is>
      </c>
      <c r="O122" s="34" t="inlineStr">
        <is>
          <t>DETECTIVO</t>
        </is>
      </c>
      <c r="P122" s="34" t="inlineStr">
        <is>
          <t>Control Implementado sin evidencia de efectividad (Inefectivo prueba)</t>
        </is>
      </c>
      <c r="Q122" s="52" t="n">
        <v>0.3</v>
      </c>
      <c r="R122" s="4" t="inlineStr">
        <is>
          <t>Falta de revisión de perfiles de acceso</t>
        </is>
      </c>
      <c r="S122" s="53">
        <f>+IF(O122="PREVENTIVO",J122*(1-Q122),IF(O122="ADMINISTRACION",J122*(1-Q122),IF(O122="ELIMINACION",J122*(1-Q122),J122)))</f>
        <v/>
      </c>
      <c r="T122" s="53">
        <f>+IF(O122="DETECTIVO",K122*(1-Q122),IF(O122="RECUPERACION",K122*(1-Q122),K122))</f>
        <v/>
      </c>
      <c r="U122" s="54">
        <f>+S122*T122</f>
        <v/>
      </c>
      <c r="V122" s="65">
        <f>+IF(U122&lt;5,"BAJO",IF(U122&lt;10,"MEDIO",IF(U122&lt;17,"ALTO","CRITICO")))</f>
        <v/>
      </c>
      <c r="W122" s="87" t="inlineStr">
        <is>
          <t>MITIGAR</t>
        </is>
      </c>
      <c r="X122" s="80" t="inlineStr">
        <is>
          <t>-</t>
        </is>
      </c>
      <c r="Y122" s="80" t="inlineStr">
        <is>
          <t>-</t>
        </is>
      </c>
      <c r="Z122" s="80" t="inlineStr">
        <is>
          <t>-</t>
        </is>
      </c>
    </row>
    <row r="123" hidden="1" ht="22.5" customHeight="1" s="98">
      <c r="A123" s="57" t="inlineStr">
        <is>
          <t>92-GTI</t>
        </is>
      </c>
      <c r="B123" s="17" t="inlineStr">
        <is>
          <t>Ruteador CISCO 1800 Series (09)</t>
        </is>
      </c>
      <c r="C123" s="17" t="inlineStr">
        <is>
          <t>Ruteador para enlaces de comunicación / 192.168.82.253</t>
        </is>
      </c>
      <c r="D123" s="64" t="inlineStr">
        <is>
          <t>[HW] Equipamiento informático (hardware)</t>
        </is>
      </c>
      <c r="E123" s="34" t="inlineStr">
        <is>
          <t>[E.23] Errores de mantenimiento / actualización de equipos (hardware)</t>
        </is>
      </c>
      <c r="F123" s="34">
        <f>+VLOOKUP(E123,'CATALOGO AMENAZA'!$B$2:$D$46,3,FALSE)</f>
        <v/>
      </c>
      <c r="G123" s="34" t="n"/>
      <c r="H123" s="34" t="n"/>
      <c r="I123" s="34" t="inlineStr">
        <is>
          <t>X</t>
        </is>
      </c>
      <c r="J123" s="34" t="n">
        <v>3</v>
      </c>
      <c r="K123" s="34" t="n">
        <v>3</v>
      </c>
      <c r="L123" s="34">
        <f>+J123*K123</f>
        <v/>
      </c>
      <c r="M123" s="34">
        <f>+IF(L123&lt;5,"BAJO",IF(L123&lt;10,"MEDIO",IF(L123&lt;17,"ALTO","CRITICO")))</f>
        <v/>
      </c>
      <c r="N123" s="4" t="inlineStr">
        <is>
          <t>Gestión de vulnerabilidades</t>
        </is>
      </c>
      <c r="O123" s="34" t="inlineStr">
        <is>
          <t>PREVENTIVO</t>
        </is>
      </c>
      <c r="P123" s="34" t="inlineStr">
        <is>
          <t>Control Implementado sin evidencia de efectividad (Inefectivo prueba)</t>
        </is>
      </c>
      <c r="Q123" s="52" t="n">
        <v>0.4</v>
      </c>
      <c r="R123" s="4" t="inlineStr">
        <is>
          <t>Recursos tecnológicos insuficientes para remediación</t>
        </is>
      </c>
      <c r="S123" s="53">
        <f>+IF(O123="PREVENTIVO",J123*(1-Q123),IF(O123="ADMINISTRACION",J123*(1-Q123),IF(O123="ELIMINACION",J123*(1-Q123),J123)))</f>
        <v/>
      </c>
      <c r="T123" s="53">
        <f>+IF(O123="DETECTIVO",K123*(1-Q123),IF(O123="RECUPERACION",K123*(1-Q123),K123))</f>
        <v/>
      </c>
      <c r="U123" s="54">
        <f>+S123*T123</f>
        <v/>
      </c>
      <c r="V123" s="65">
        <f>+IF(U123&lt;5,"BAJO",IF(U123&lt;10,"MEDIO",IF(U123&lt;17,"ALTO","CRITICO")))</f>
        <v/>
      </c>
      <c r="W123" s="87" t="inlineStr">
        <is>
          <t>MITIGAR</t>
        </is>
      </c>
      <c r="X123" s="80" t="inlineStr">
        <is>
          <t>-</t>
        </is>
      </c>
      <c r="Y123" s="80" t="inlineStr">
        <is>
          <t>-</t>
        </is>
      </c>
      <c r="Z123" s="80" t="inlineStr">
        <is>
          <t>-</t>
        </is>
      </c>
    </row>
    <row r="124" hidden="1" ht="22.5" customHeight="1" s="98">
      <c r="A124" s="57" t="inlineStr">
        <is>
          <t>93-GTI</t>
        </is>
      </c>
      <c r="B124" s="17" t="inlineStr">
        <is>
          <t>Ruteador CISCO 1800 Series (08)</t>
        </is>
      </c>
      <c r="C124" s="17" t="inlineStr">
        <is>
          <t>Ruteador para enlaces de comunicación / 192.168.81.253</t>
        </is>
      </c>
      <c r="D124" s="64" t="inlineStr">
        <is>
          <t>[HW] Equipamiento informático (hardware)</t>
        </is>
      </c>
      <c r="E124" s="34" t="inlineStr">
        <is>
          <t>[E.2] Errores del administrador</t>
        </is>
      </c>
      <c r="F124" s="34">
        <f>+VLOOKUP(E124,'CATALOGO AMENAZA'!$B$2:$D$46,3,FALSE)</f>
        <v/>
      </c>
      <c r="G124" s="34" t="inlineStr">
        <is>
          <t>X</t>
        </is>
      </c>
      <c r="H124" s="34" t="inlineStr">
        <is>
          <t>X</t>
        </is>
      </c>
      <c r="I124" s="34" t="inlineStr">
        <is>
          <t>X</t>
        </is>
      </c>
      <c r="J124" s="34" t="n">
        <v>2</v>
      </c>
      <c r="K124" s="34" t="n">
        <v>3</v>
      </c>
      <c r="L124" s="34">
        <f>+J124*K124</f>
        <v/>
      </c>
      <c r="M124" s="34">
        <f>+IF(L124&lt;5,"BAJO",IF(L124&lt;10,"MEDIO",IF(L124&lt;17,"ALTO","CRITICO")))</f>
        <v/>
      </c>
      <c r="N124" s="4" t="inlineStr">
        <is>
          <t>Control de cambios en los sistemas
Verificación posterior (informe)</t>
        </is>
      </c>
      <c r="O124" s="34" t="inlineStr">
        <is>
          <t>ADMINISTRACION</t>
        </is>
      </c>
      <c r="P124" s="34" t="inlineStr">
        <is>
          <t>Control Implementado sin evidencia de efectividad (Inefectivo prueba)</t>
        </is>
      </c>
      <c r="Q124" s="52" t="n">
        <v>0.3</v>
      </c>
      <c r="R124" s="4" t="inlineStr">
        <is>
          <t>No existe procedimiento formal de gestión de cambios</t>
        </is>
      </c>
      <c r="S124" s="53">
        <f>+IF(O124="PREVENTIVO",J124*(1-Q124),IF(O124="ADMINISTRACION",J124*(1-Q124),IF(O124="ELIMINACION",J124*(1-Q124),J124)))</f>
        <v/>
      </c>
      <c r="T124" s="53">
        <f>+IF(O124="DETECTIVO",K124*(1-Q124),IF(O124="RECUPERACION",K124*(1-Q124),K124))</f>
        <v/>
      </c>
      <c r="U124" s="54">
        <f>+S124*T124</f>
        <v/>
      </c>
      <c r="V124" s="65">
        <f>+IF(U124&lt;5,"BAJO",IF(U124&lt;10,"MEDIO",IF(U124&lt;17,"ALTO","CRITICO")))</f>
        <v/>
      </c>
      <c r="W124" s="65" t="inlineStr">
        <is>
          <t>ACEPTABLE</t>
        </is>
      </c>
      <c r="X124" s="80" t="inlineStr">
        <is>
          <t>-</t>
        </is>
      </c>
      <c r="Y124" s="80" t="inlineStr">
        <is>
          <t>-</t>
        </is>
      </c>
      <c r="Z124" s="80" t="inlineStr">
        <is>
          <t>-</t>
        </is>
      </c>
    </row>
    <row r="125" hidden="1" ht="22.5" customHeight="1" s="98">
      <c r="A125" s="57" t="inlineStr">
        <is>
          <t>93-GTI</t>
        </is>
      </c>
      <c r="B125" s="17" t="inlineStr">
        <is>
          <t>Ruteador CISCO 1800 Series (08)</t>
        </is>
      </c>
      <c r="C125" s="17" t="inlineStr">
        <is>
          <t>Ruteador para enlaces de comunicación / 192.168.81.253</t>
        </is>
      </c>
      <c r="D125" s="64" t="inlineStr">
        <is>
          <t>[HW] Equipamiento informático (hardware)</t>
        </is>
      </c>
      <c r="E125" s="34" t="inlineStr">
        <is>
          <t>[A.11] Acceso no autorizado</t>
        </is>
      </c>
      <c r="F125" s="34">
        <f>+VLOOKUP(E125,'CATALOGO AMENAZA'!$B$2:$D$46,3,FALSE)</f>
        <v/>
      </c>
      <c r="G125" s="34" t="inlineStr">
        <is>
          <t>X</t>
        </is>
      </c>
      <c r="H125" s="34" t="inlineStr">
        <is>
          <t>X</t>
        </is>
      </c>
      <c r="I125" s="34" t="n"/>
      <c r="J125" s="34" t="n">
        <v>2</v>
      </c>
      <c r="K125" s="34" t="n">
        <v>4</v>
      </c>
      <c r="L125" s="34">
        <f>+J125*K125</f>
        <v/>
      </c>
      <c r="M125" s="34">
        <f>+IF(L125&lt;5,"BAJO",IF(L125&lt;10,"MEDIO",IF(L125&lt;17,"ALTO","CRITICO")))</f>
        <v/>
      </c>
      <c r="N125" s="4" t="inlineStr">
        <is>
          <t>Control de accesos / VPN</t>
        </is>
      </c>
      <c r="O125" s="34" t="inlineStr">
        <is>
          <t>PREVENTIVO</t>
        </is>
      </c>
      <c r="P125" s="34" t="inlineStr">
        <is>
          <t>Control Implementado sin evidencia de efectividad (Inefectivo prueba)</t>
        </is>
      </c>
      <c r="Q125" s="52" t="n">
        <v>0.3</v>
      </c>
      <c r="R125" s="4" t="inlineStr">
        <is>
          <t>Contreaseñas de VPN no expiran</t>
        </is>
      </c>
      <c r="S125" s="53">
        <f>+IF(O125="PREVENTIVO",J125*(1-Q125),IF(O125="ADMINISTRACION",J125*(1-Q125),IF(O125="ELIMINACION",J125*(1-Q125),J125)))</f>
        <v/>
      </c>
      <c r="T125" s="53">
        <f>+IF(O125="DETECTIVO",K125*(1-Q125),IF(O125="RECUPERACION",K125*(1-Q125),K125))</f>
        <v/>
      </c>
      <c r="U125" s="54">
        <f>+S125*T125</f>
        <v/>
      </c>
      <c r="V125" s="65">
        <f>+IF(U125&lt;5,"BAJO",IF(U125&lt;10,"MEDIO",IF(U125&lt;17,"ALTO","CRITICO")))</f>
        <v/>
      </c>
      <c r="W125" s="87" t="inlineStr">
        <is>
          <t>MITIGAR</t>
        </is>
      </c>
      <c r="X125" s="80" t="inlineStr">
        <is>
          <t>-</t>
        </is>
      </c>
      <c r="Y125" s="80" t="inlineStr">
        <is>
          <t>-</t>
        </is>
      </c>
      <c r="Z125" s="80" t="inlineStr">
        <is>
          <t>-</t>
        </is>
      </c>
    </row>
    <row r="126" hidden="1" ht="22.5" customHeight="1" s="98">
      <c r="A126" s="57" t="inlineStr">
        <is>
          <t>93-GTI</t>
        </is>
      </c>
      <c r="B126" s="17" t="inlineStr">
        <is>
          <t>Ruteador CISCO 1800 Series (08)</t>
        </is>
      </c>
      <c r="C126" s="17" t="inlineStr">
        <is>
          <t>Ruteador para enlaces de comunicación / 192.168.81.253</t>
        </is>
      </c>
      <c r="D126" s="64" t="inlineStr">
        <is>
          <t>[HW] Equipamiento informático (hardware)</t>
        </is>
      </c>
      <c r="E126" s="34" t="inlineStr">
        <is>
          <t>[A.6] Abuso de privilegios de acceso</t>
        </is>
      </c>
      <c r="F126" s="34">
        <f>+VLOOKUP(E126,'CATALOGO AMENAZA'!$B$2:$D$46,3,FALSE)</f>
        <v/>
      </c>
      <c r="G126" s="34" t="inlineStr">
        <is>
          <t>X</t>
        </is>
      </c>
      <c r="H126" s="34" t="inlineStr">
        <is>
          <t>X</t>
        </is>
      </c>
      <c r="I126" s="34" t="inlineStr">
        <is>
          <t>X</t>
        </is>
      </c>
      <c r="J126" s="34" t="n">
        <v>2</v>
      </c>
      <c r="K126" s="34" t="n">
        <v>4</v>
      </c>
      <c r="L126" s="34">
        <f>+J126*K126</f>
        <v/>
      </c>
      <c r="M126" s="34">
        <f>+IF(L126&lt;5,"BAJO",IF(L126&lt;10,"MEDIO",IF(L126&lt;17,"ALTO","CRITICO")))</f>
        <v/>
      </c>
      <c r="N126" s="54" t="inlineStr">
        <is>
          <t>Registro de logs</t>
        </is>
      </c>
      <c r="O126" s="34" t="inlineStr">
        <is>
          <t>DETECTIVO</t>
        </is>
      </c>
      <c r="P126" s="34" t="inlineStr">
        <is>
          <t>Control Implementado sin evidencia de efectividad (Inefectivo prueba)</t>
        </is>
      </c>
      <c r="Q126" s="52" t="n">
        <v>0.3</v>
      </c>
      <c r="R126" s="4" t="inlineStr">
        <is>
          <t>Falta de revisión de perfiles de acceso</t>
        </is>
      </c>
      <c r="S126" s="53">
        <f>+IF(O126="PREVENTIVO",J126*(1-Q126),IF(O126="ADMINISTRACION",J126*(1-Q126),IF(O126="ELIMINACION",J126*(1-Q126),J126)))</f>
        <v/>
      </c>
      <c r="T126" s="53">
        <f>+IF(O126="DETECTIVO",K126*(1-Q126),IF(O126="RECUPERACION",K126*(1-Q126),K126))</f>
        <v/>
      </c>
      <c r="U126" s="54">
        <f>+S126*T126</f>
        <v/>
      </c>
      <c r="V126" s="65">
        <f>+IF(U126&lt;5,"BAJO",IF(U126&lt;10,"MEDIO",IF(U126&lt;17,"ALTO","CRITICO")))</f>
        <v/>
      </c>
      <c r="W126" s="87" t="inlineStr">
        <is>
          <t>MITIGAR</t>
        </is>
      </c>
      <c r="X126" s="80" t="inlineStr">
        <is>
          <t>-</t>
        </is>
      </c>
      <c r="Y126" s="80" t="inlineStr">
        <is>
          <t>-</t>
        </is>
      </c>
      <c r="Z126" s="80" t="inlineStr">
        <is>
          <t>-</t>
        </is>
      </c>
    </row>
    <row r="127" hidden="1" ht="22.5" customHeight="1" s="98">
      <c r="A127" s="57" t="inlineStr">
        <is>
          <t>93-GTI</t>
        </is>
      </c>
      <c r="B127" s="17" t="inlineStr">
        <is>
          <t>Ruteador CISCO 1800 Series (08)</t>
        </is>
      </c>
      <c r="C127" s="17" t="inlineStr">
        <is>
          <t>Ruteador para enlaces de comunicación / 192.168.81.253</t>
        </is>
      </c>
      <c r="D127" s="64" t="inlineStr">
        <is>
          <t>[HW] Equipamiento informático (hardware)</t>
        </is>
      </c>
      <c r="E127" s="34" t="inlineStr">
        <is>
          <t>[E.23] Errores de mantenimiento / actualización de equipos (hardware)</t>
        </is>
      </c>
      <c r="F127" s="34">
        <f>+VLOOKUP(E127,'CATALOGO AMENAZA'!$B$2:$D$46,3,FALSE)</f>
        <v/>
      </c>
      <c r="G127" s="34" t="n"/>
      <c r="H127" s="34" t="n"/>
      <c r="I127" s="34" t="inlineStr">
        <is>
          <t>X</t>
        </is>
      </c>
      <c r="J127" s="34" t="n">
        <v>3</v>
      </c>
      <c r="K127" s="34" t="n">
        <v>3</v>
      </c>
      <c r="L127" s="34">
        <f>+J127*K127</f>
        <v/>
      </c>
      <c r="M127" s="34">
        <f>+IF(L127&lt;5,"BAJO",IF(L127&lt;10,"MEDIO",IF(L127&lt;17,"ALTO","CRITICO")))</f>
        <v/>
      </c>
      <c r="N127" s="4" t="inlineStr">
        <is>
          <t>Gestión de vulnerabilidades</t>
        </is>
      </c>
      <c r="O127" s="34" t="inlineStr">
        <is>
          <t>PREVENTIVO</t>
        </is>
      </c>
      <c r="P127" s="34" t="inlineStr">
        <is>
          <t>Control Implementado sin evidencia de efectividad (Inefectivo prueba)</t>
        </is>
      </c>
      <c r="Q127" s="52" t="n">
        <v>0.4</v>
      </c>
      <c r="R127" s="4" t="inlineStr">
        <is>
          <t>Recursos tecnológicos insuficientes para remediación</t>
        </is>
      </c>
      <c r="S127" s="53">
        <f>+IF(O127="PREVENTIVO",J127*(1-Q127),IF(O127="ADMINISTRACION",J127*(1-Q127),IF(O127="ELIMINACION",J127*(1-Q127),J127)))</f>
        <v/>
      </c>
      <c r="T127" s="53">
        <f>+IF(O127="DETECTIVO",K127*(1-Q127),IF(O127="RECUPERACION",K127*(1-Q127),K127))</f>
        <v/>
      </c>
      <c r="U127" s="54">
        <f>+S127*T127</f>
        <v/>
      </c>
      <c r="V127" s="65">
        <f>+IF(U127&lt;5,"BAJO",IF(U127&lt;10,"MEDIO",IF(U127&lt;17,"ALTO","CRITICO")))</f>
        <v/>
      </c>
      <c r="W127" s="87" t="inlineStr">
        <is>
          <t>MITIGAR</t>
        </is>
      </c>
      <c r="X127" s="80" t="inlineStr">
        <is>
          <t>-</t>
        </is>
      </c>
      <c r="Y127" s="80" t="inlineStr">
        <is>
          <t>-</t>
        </is>
      </c>
      <c r="Z127" s="80" t="inlineStr">
        <is>
          <t>-</t>
        </is>
      </c>
    </row>
    <row r="128" hidden="1" ht="22.5" customHeight="1" s="98">
      <c r="A128" s="57" t="inlineStr">
        <is>
          <t>94-GTI</t>
        </is>
      </c>
      <c r="B128" s="17" t="inlineStr">
        <is>
          <t>Ruteador CISCO 1800 Series (SERVIPAGOS)</t>
        </is>
      </c>
      <c r="C128" s="17" t="inlineStr">
        <is>
          <t>Ruteador para enlaces de comunicación</t>
        </is>
      </c>
      <c r="D128" s="64" t="inlineStr">
        <is>
          <t>[HW] Equipamiento informático (hardware)</t>
        </is>
      </c>
      <c r="E128" s="34" t="inlineStr">
        <is>
          <t>[E.2] Errores del administrador</t>
        </is>
      </c>
      <c r="F128" s="34">
        <f>+VLOOKUP(E128,'CATALOGO AMENAZA'!$B$2:$D$46,3,FALSE)</f>
        <v/>
      </c>
      <c r="G128" s="34" t="inlineStr">
        <is>
          <t>X</t>
        </is>
      </c>
      <c r="H128" s="34" t="inlineStr">
        <is>
          <t>X</t>
        </is>
      </c>
      <c r="I128" s="34" t="inlineStr">
        <is>
          <t>X</t>
        </is>
      </c>
      <c r="J128" s="34" t="n">
        <v>2</v>
      </c>
      <c r="K128" s="34" t="n">
        <v>3</v>
      </c>
      <c r="L128" s="34">
        <f>+J128*K128</f>
        <v/>
      </c>
      <c r="M128" s="34">
        <f>+IF(L128&lt;5,"BAJO",IF(L128&lt;10,"MEDIO",IF(L128&lt;17,"ALTO","CRITICO")))</f>
        <v/>
      </c>
      <c r="N128" s="4" t="inlineStr">
        <is>
          <t>Control de cambios en los sistemas
Verificación posterior (informe)</t>
        </is>
      </c>
      <c r="O128" s="34" t="inlineStr">
        <is>
          <t>ADMINISTRACION</t>
        </is>
      </c>
      <c r="P128" s="34" t="inlineStr">
        <is>
          <t>Control Implementado sin evidencia de efectividad (Inefectivo prueba)</t>
        </is>
      </c>
      <c r="Q128" s="52" t="n">
        <v>0.3</v>
      </c>
      <c r="R128" s="4" t="inlineStr">
        <is>
          <t>No existe procedimiento formal de gestión de cambios</t>
        </is>
      </c>
      <c r="S128" s="53">
        <f>+IF(O128="PREVENTIVO",J128*(1-Q128),IF(O128="ADMINISTRACION",J128*(1-Q128),IF(O128="ELIMINACION",J128*(1-Q128),J128)))</f>
        <v/>
      </c>
      <c r="T128" s="53">
        <f>+IF(O128="DETECTIVO",K128*(1-Q128),IF(O128="RECUPERACION",K128*(1-Q128),K128))</f>
        <v/>
      </c>
      <c r="U128" s="54">
        <f>+S128*T128</f>
        <v/>
      </c>
      <c r="V128" s="65">
        <f>+IF(U128&lt;5,"BAJO",IF(U128&lt;10,"MEDIO",IF(U128&lt;17,"ALTO","CRITICO")))</f>
        <v/>
      </c>
      <c r="W128" s="65" t="inlineStr">
        <is>
          <t>ACEPTABLE</t>
        </is>
      </c>
      <c r="X128" s="80" t="inlineStr">
        <is>
          <t>-</t>
        </is>
      </c>
      <c r="Y128" s="80" t="inlineStr">
        <is>
          <t>-</t>
        </is>
      </c>
      <c r="Z128" s="80" t="inlineStr">
        <is>
          <t>-</t>
        </is>
      </c>
    </row>
    <row r="129" hidden="1" ht="22.5" customHeight="1" s="98">
      <c r="A129" s="57" t="inlineStr">
        <is>
          <t>94-GTI</t>
        </is>
      </c>
      <c r="B129" s="17" t="inlineStr">
        <is>
          <t>Ruteador CISCO 1800 Series (SERVIPAGOS)</t>
        </is>
      </c>
      <c r="C129" s="17" t="inlineStr">
        <is>
          <t>Ruteador para enlaces de comunicación</t>
        </is>
      </c>
      <c r="D129" s="64" t="inlineStr">
        <is>
          <t>[HW] Equipamiento informático (hardware)</t>
        </is>
      </c>
      <c r="E129" s="34" t="inlineStr">
        <is>
          <t>[A.11] Acceso no autorizado</t>
        </is>
      </c>
      <c r="F129" s="34">
        <f>+VLOOKUP(E129,'CATALOGO AMENAZA'!$B$2:$D$46,3,FALSE)</f>
        <v/>
      </c>
      <c r="G129" s="34" t="inlineStr">
        <is>
          <t>X</t>
        </is>
      </c>
      <c r="H129" s="34" t="inlineStr">
        <is>
          <t>X</t>
        </is>
      </c>
      <c r="I129" s="34" t="n"/>
      <c r="J129" s="34" t="n">
        <v>2</v>
      </c>
      <c r="K129" s="34" t="n">
        <v>4</v>
      </c>
      <c r="L129" s="34">
        <f>+J129*K129</f>
        <v/>
      </c>
      <c r="M129" s="34">
        <f>+IF(L129&lt;5,"BAJO",IF(L129&lt;10,"MEDIO",IF(L129&lt;17,"ALTO","CRITICO")))</f>
        <v/>
      </c>
      <c r="N129" s="4" t="inlineStr">
        <is>
          <t>Control de accesos / VPN</t>
        </is>
      </c>
      <c r="O129" s="34" t="inlineStr">
        <is>
          <t>PREVENTIVO</t>
        </is>
      </c>
      <c r="P129" s="34" t="inlineStr">
        <is>
          <t>Control Implementado sin evidencia de efectividad (Inefectivo prueba)</t>
        </is>
      </c>
      <c r="Q129" s="52" t="n">
        <v>0.3</v>
      </c>
      <c r="R129" s="4" t="inlineStr">
        <is>
          <t>Contreaseñas de VPN no expiran</t>
        </is>
      </c>
      <c r="S129" s="53">
        <f>+IF(O129="PREVENTIVO",J129*(1-Q129),IF(O129="ADMINISTRACION",J129*(1-Q129),IF(O129="ELIMINACION",J129*(1-Q129),J129)))</f>
        <v/>
      </c>
      <c r="T129" s="53">
        <f>+IF(O129="DETECTIVO",K129*(1-Q129),IF(O129="RECUPERACION",K129*(1-Q129),K129))</f>
        <v/>
      </c>
      <c r="U129" s="54">
        <f>+S129*T129</f>
        <v/>
      </c>
      <c r="V129" s="65">
        <f>+IF(U129&lt;5,"BAJO",IF(U129&lt;10,"MEDIO",IF(U129&lt;17,"ALTO","CRITICO")))</f>
        <v/>
      </c>
      <c r="W129" s="87" t="inlineStr">
        <is>
          <t>MITIGAR</t>
        </is>
      </c>
      <c r="X129" s="80" t="inlineStr">
        <is>
          <t>-</t>
        </is>
      </c>
      <c r="Y129" s="80" t="inlineStr">
        <is>
          <t>-</t>
        </is>
      </c>
      <c r="Z129" s="80" t="inlineStr">
        <is>
          <t>-</t>
        </is>
      </c>
    </row>
    <row r="130" hidden="1" ht="22.5" customHeight="1" s="98">
      <c r="A130" s="57" t="inlineStr">
        <is>
          <t>94-GTI</t>
        </is>
      </c>
      <c r="B130" s="17" t="inlineStr">
        <is>
          <t>Ruteador CISCO 1800 Series (SERVIPAGOS)</t>
        </is>
      </c>
      <c r="C130" s="17" t="inlineStr">
        <is>
          <t>Ruteador para enlaces de comunicación</t>
        </is>
      </c>
      <c r="D130" s="64" t="inlineStr">
        <is>
          <t>[HW] Equipamiento informático (hardware)</t>
        </is>
      </c>
      <c r="E130" s="34" t="inlineStr">
        <is>
          <t>[A.6] Abuso de privilegios de acceso</t>
        </is>
      </c>
      <c r="F130" s="34">
        <f>+VLOOKUP(E130,'CATALOGO AMENAZA'!$B$2:$D$46,3,FALSE)</f>
        <v/>
      </c>
      <c r="G130" s="34" t="inlineStr">
        <is>
          <t>X</t>
        </is>
      </c>
      <c r="H130" s="34" t="inlineStr">
        <is>
          <t>X</t>
        </is>
      </c>
      <c r="I130" s="34" t="inlineStr">
        <is>
          <t>X</t>
        </is>
      </c>
      <c r="J130" s="34" t="n">
        <v>2</v>
      </c>
      <c r="K130" s="34" t="n">
        <v>4</v>
      </c>
      <c r="L130" s="34">
        <f>+J130*K130</f>
        <v/>
      </c>
      <c r="M130" s="34">
        <f>+IF(L130&lt;5,"BAJO",IF(L130&lt;10,"MEDIO",IF(L130&lt;17,"ALTO","CRITICO")))</f>
        <v/>
      </c>
      <c r="N130" s="54" t="inlineStr">
        <is>
          <t>Registro de logs</t>
        </is>
      </c>
      <c r="O130" s="34" t="inlineStr">
        <is>
          <t>DETECTIVO</t>
        </is>
      </c>
      <c r="P130" s="34" t="inlineStr">
        <is>
          <t>Control Implementado sin evidencia de efectividad (Inefectivo prueba)</t>
        </is>
      </c>
      <c r="Q130" s="52" t="n">
        <v>0.3</v>
      </c>
      <c r="R130" s="4" t="inlineStr">
        <is>
          <t>Falta de revisión de perfiles de acceso</t>
        </is>
      </c>
      <c r="S130" s="53">
        <f>+IF(O130="PREVENTIVO",J130*(1-Q130),IF(O130="ADMINISTRACION",J130*(1-Q130),IF(O130="ELIMINACION",J130*(1-Q130),J130)))</f>
        <v/>
      </c>
      <c r="T130" s="53">
        <f>+IF(O130="DETECTIVO",K130*(1-Q130),IF(O130="RECUPERACION",K130*(1-Q130),K130))</f>
        <v/>
      </c>
      <c r="U130" s="54">
        <f>+S130*T130</f>
        <v/>
      </c>
      <c r="V130" s="65">
        <f>+IF(U130&lt;5,"BAJO",IF(U130&lt;10,"MEDIO",IF(U130&lt;17,"ALTO","CRITICO")))</f>
        <v/>
      </c>
      <c r="W130" s="87" t="inlineStr">
        <is>
          <t>MITIGAR</t>
        </is>
      </c>
      <c r="X130" s="80" t="inlineStr">
        <is>
          <t>-</t>
        </is>
      </c>
      <c r="Y130" s="80" t="inlineStr">
        <is>
          <t>-</t>
        </is>
      </c>
      <c r="Z130" s="80" t="inlineStr">
        <is>
          <t>-</t>
        </is>
      </c>
    </row>
    <row r="131" hidden="1" ht="33.75" customHeight="1" s="98">
      <c r="A131" s="57" t="inlineStr">
        <is>
          <t>94-GTI</t>
        </is>
      </c>
      <c r="B131" s="17" t="inlineStr">
        <is>
          <t>Ruteador CISCO 1800 Series (SERVIPAGOS)</t>
        </is>
      </c>
      <c r="C131" s="17" t="inlineStr">
        <is>
          <t>Ruteador para enlaces de comunicación</t>
        </is>
      </c>
      <c r="D131" s="64" t="inlineStr">
        <is>
          <t>[HW] Equipamiento informático (hardware)</t>
        </is>
      </c>
      <c r="E131" s="34" t="inlineStr">
        <is>
          <t>[E.23] Errores de mantenimiento / actualización de equipos (hardware)</t>
        </is>
      </c>
      <c r="F131" s="34">
        <f>+VLOOKUP(E131,'CATALOGO AMENAZA'!$B$2:$D$46,3,FALSE)</f>
        <v/>
      </c>
      <c r="G131" s="34" t="n"/>
      <c r="H131" s="34" t="n"/>
      <c r="I131" s="34" t="inlineStr">
        <is>
          <t>X</t>
        </is>
      </c>
      <c r="J131" s="34" t="n">
        <v>3</v>
      </c>
      <c r="K131" s="34" t="n">
        <v>3</v>
      </c>
      <c r="L131" s="34">
        <f>+J131*K131</f>
        <v/>
      </c>
      <c r="M131" s="34">
        <f>+IF(L131&lt;5,"BAJO",IF(L131&lt;10,"MEDIO",IF(L131&lt;17,"ALTO","CRITICO")))</f>
        <v/>
      </c>
      <c r="N131" s="4" t="inlineStr">
        <is>
          <t>Gestión de vulnerabilidades</t>
        </is>
      </c>
      <c r="O131" s="34" t="inlineStr">
        <is>
          <t>PREVENTIVO</t>
        </is>
      </c>
      <c r="P131" s="34" t="inlineStr">
        <is>
          <t>Control Implementado sin evidencia de efectividad (Inefectivo prueba)</t>
        </is>
      </c>
      <c r="Q131" s="52" t="n">
        <v>0.4</v>
      </c>
      <c r="R131" s="4" t="inlineStr">
        <is>
          <t>Recursos tecnológicos insuficientes para remediación</t>
        </is>
      </c>
      <c r="S131" s="53">
        <f>+IF(O131="PREVENTIVO",J131*(1-Q131),IF(O131="ADMINISTRACION",J131*(1-Q131),IF(O131="ELIMINACION",J131*(1-Q131),J131)))</f>
        <v/>
      </c>
      <c r="T131" s="53">
        <f>+IF(O131="DETECTIVO",K131*(1-Q131),IF(O131="RECUPERACION",K131*(1-Q131),K131))</f>
        <v/>
      </c>
      <c r="U131" s="54">
        <f>+S131*T131</f>
        <v/>
      </c>
      <c r="V131" s="65">
        <f>+IF(U131&lt;5,"BAJO",IF(U131&lt;10,"MEDIO",IF(U131&lt;17,"ALTO","CRITICO")))</f>
        <v/>
      </c>
      <c r="W131" s="87" t="inlineStr">
        <is>
          <t>MITIGAR</t>
        </is>
      </c>
      <c r="X131" s="80" t="inlineStr">
        <is>
          <t>-</t>
        </is>
      </c>
      <c r="Y131" s="80" t="inlineStr">
        <is>
          <t>-</t>
        </is>
      </c>
      <c r="Z131" s="80" t="inlineStr">
        <is>
          <t>-</t>
        </is>
      </c>
    </row>
    <row r="132" hidden="1" ht="71.5" customHeight="1" s="98">
      <c r="A132" s="57" t="inlineStr">
        <is>
          <t>115-GTI</t>
        </is>
      </c>
      <c r="B132" s="17" t="inlineStr">
        <is>
          <t>SERVIDOR VM ESXI (Sistemas Externos, WS/APP Públicos)</t>
        </is>
      </c>
      <c r="C132" s="17" t="inlineStr">
        <is>
          <t>SVR 192.168.100.145 que contiene Virtualizados: Servidor de Riesgos-Servidor PANDORA FMS Enterprise 7.0NG 760-Sistemas, WS Acceso Público</t>
        </is>
      </c>
      <c r="D132" s="64" t="inlineStr">
        <is>
          <t>[HW] Equipamiento informático (hardware)</t>
        </is>
      </c>
      <c r="E132" s="34" t="inlineStr">
        <is>
          <t>[E.2] Errores del administrador</t>
        </is>
      </c>
      <c r="F132" s="34">
        <f>+VLOOKUP(E132,'CATALOGO AMENAZA'!$B$2:$D$46,3,FALSE)</f>
        <v/>
      </c>
      <c r="G132" s="34" t="inlineStr">
        <is>
          <t>X</t>
        </is>
      </c>
      <c r="H132" s="34" t="inlineStr">
        <is>
          <t>X</t>
        </is>
      </c>
      <c r="I132" s="34" t="inlineStr">
        <is>
          <t>X</t>
        </is>
      </c>
      <c r="J132" s="34" t="n">
        <v>2</v>
      </c>
      <c r="K132" s="34" t="n">
        <v>4</v>
      </c>
      <c r="L132" s="34">
        <f>+J132*K132</f>
        <v/>
      </c>
      <c r="M132" s="34">
        <f>+IF(L132&lt;5,"BAJO",IF(L132&lt;10,"MEDIO",IF(L132&lt;17,"ALTO","CRITICO")))</f>
        <v/>
      </c>
      <c r="N132" s="4" t="inlineStr">
        <is>
          <t>Control de cambios en los sistemas
Verificación posterior (informe)</t>
        </is>
      </c>
      <c r="O132" s="34" t="inlineStr">
        <is>
          <t>ADMINISTRACION</t>
        </is>
      </c>
      <c r="P132" s="34" t="inlineStr">
        <is>
          <t>Control Implementado sin evidencia de efectividad (Inefectivo prueba)</t>
        </is>
      </c>
      <c r="Q132" s="52" t="n">
        <v>0.3</v>
      </c>
      <c r="R132" s="4" t="inlineStr">
        <is>
          <t>No existe procedimiento formal de gestión de cambios</t>
        </is>
      </c>
      <c r="S132" s="53">
        <f>+IF(O132="PREVENTIVO",J132*(1-Q132),IF(O132="ADMINISTRACION",J132*(1-Q132),IF(O132="ELIMINACION",J132*(1-Q132),J132)))</f>
        <v/>
      </c>
      <c r="T132" s="53">
        <f>+IF(O132="DETECTIVO",K132*(1-Q132),IF(O132="RECUPERACION",K132*(1-Q132),K132))</f>
        <v/>
      </c>
      <c r="U132" s="54">
        <f>+S132*T132</f>
        <v/>
      </c>
      <c r="V132" s="65">
        <f>+IF(U132&lt;5,"BAJO",IF(U132&lt;10,"MEDIO",IF(U132&lt;17,"ALTO","CRITICO")))</f>
        <v/>
      </c>
      <c r="W132" s="87" t="inlineStr">
        <is>
          <t>MITIGAR</t>
        </is>
      </c>
      <c r="X132" s="80" t="inlineStr">
        <is>
          <t>-</t>
        </is>
      </c>
      <c r="Y132" s="80" t="inlineStr">
        <is>
          <t>-</t>
        </is>
      </c>
      <c r="Z132" s="80" t="inlineStr">
        <is>
          <t>-</t>
        </is>
      </c>
    </row>
    <row r="133" ht="33.75" customHeight="1" s="98">
      <c r="A133" s="57" t="inlineStr">
        <is>
          <t>115-GTI</t>
        </is>
      </c>
      <c r="B133" s="17" t="inlineStr">
        <is>
          <t>SERVIDOR VM ESXI (Sistemas Externos, WS/APP Públicos)</t>
        </is>
      </c>
      <c r="C133" s="17" t="inlineStr">
        <is>
          <t>SVR 192.168.100.145 que contiene Virtualizados: Servidor de Riesgos-Servidor PANDORA FMS Enterprise 7.0NG 760-Sistemas, WS Acceso Público</t>
        </is>
      </c>
      <c r="D133" s="64" t="inlineStr">
        <is>
          <t>[HW] Equipamiento informático (hardware)</t>
        </is>
      </c>
      <c r="E133" s="34" t="inlineStr">
        <is>
          <t>[E.24] Caída del sistema por agotamiento de recursos</t>
        </is>
      </c>
      <c r="F133" s="34">
        <f>+VLOOKUP(E133,'CATALOGO AMENAZA'!$B$2:$D$46,3,FALSE)</f>
        <v/>
      </c>
      <c r="G133" s="34" t="n"/>
      <c r="H133" s="34" t="n"/>
      <c r="I133" s="34" t="inlineStr">
        <is>
          <t>X</t>
        </is>
      </c>
      <c r="J133" s="34" t="n">
        <v>3</v>
      </c>
      <c r="K133" s="34" t="n">
        <v>5</v>
      </c>
      <c r="L133" s="34">
        <f>+J133*K133</f>
        <v/>
      </c>
      <c r="M133" s="34">
        <f>+IF(L133&lt;5,"BAJO",IF(L133&lt;10,"MEDIO",IF(L133&lt;17,"ALTO","CRITICO")))</f>
        <v/>
      </c>
      <c r="N133" s="34" t="inlineStr">
        <is>
          <t>Procedimiento de Gestión de la capacidad y desempeño de la Infraestructura</t>
        </is>
      </c>
      <c r="O133" s="54" t="inlineStr">
        <is>
          <t>PREVENTIVO</t>
        </is>
      </c>
      <c r="P133" s="34" t="inlineStr">
        <is>
          <t>Control Implementado sin evidencia de efectividad (Inefectivo prueba)</t>
        </is>
      </c>
      <c r="Q133" s="52" t="n">
        <v>0.3</v>
      </c>
      <c r="R133" s="34" t="inlineStr">
        <is>
          <t>Notificación automática de alertas</t>
        </is>
      </c>
      <c r="S133" s="53">
        <f>+IF(O133="PREVENTIVO",J133*(1-Q133),IF(O133="ADMINISTRACION",J133*(1-Q133),IF(O133="ELIMINACION",J133*(1-Q133),J133)))</f>
        <v/>
      </c>
      <c r="T133" s="53">
        <f>+IF(O133="DETECTIVO",K133*(1-Q133),IF(O133="RECUPERACION",K133*(1-Q133),K133))</f>
        <v/>
      </c>
      <c r="U133" s="54">
        <f>+S133*T133</f>
        <v/>
      </c>
      <c r="V133" s="65">
        <f>+IF(U133&lt;5,"BAJO",IF(U133&lt;10,"MEDIO",IF(U133&lt;17,"ALTO","CRITICO")))</f>
        <v/>
      </c>
      <c r="W133" s="65" t="inlineStr">
        <is>
          <t>MITIGAR</t>
        </is>
      </c>
      <c r="X133" s="34" t="inlineStr">
        <is>
          <t>REQUIERE TRATAMIENTO</t>
        </is>
      </c>
      <c r="Y133" s="34" t="inlineStr">
        <is>
          <t>PA-SI-005</t>
        </is>
      </c>
      <c r="Z133" s="34" t="inlineStr">
        <is>
          <t>Fortalecer el monitoreo proactivo de recursos (CPU, RAM, almacenamiento).</t>
        </is>
      </c>
    </row>
    <row r="134" hidden="1" ht="33.75" customHeight="1" s="98">
      <c r="A134" s="57" t="inlineStr">
        <is>
          <t>115-GTI</t>
        </is>
      </c>
      <c r="B134" s="17" t="inlineStr">
        <is>
          <t>SERVIDOR VM ESXI (Sistemas Externos, WS/APP Públicos)</t>
        </is>
      </c>
      <c r="C134" s="17" t="inlineStr">
        <is>
          <t>SVR 192.168.100.145 que contiene Virtualizados: Servidor de Riesgos-Servidor PANDORA FMS Enterprise 7.0NG 760-Sistemas, WS Acceso Público</t>
        </is>
      </c>
      <c r="D134" s="64" t="inlineStr">
        <is>
          <t>[HW] Equipamiento informático (hardware)</t>
        </is>
      </c>
      <c r="E134" s="34" t="inlineStr">
        <is>
          <t>[A.11] Acceso no autorizado</t>
        </is>
      </c>
      <c r="F134" s="34">
        <f>+VLOOKUP(E134,'CATALOGO AMENAZA'!$B$2:$D$46,3,FALSE)</f>
        <v/>
      </c>
      <c r="G134" s="34" t="inlineStr">
        <is>
          <t>X</t>
        </is>
      </c>
      <c r="H134" s="34" t="inlineStr">
        <is>
          <t>X</t>
        </is>
      </c>
      <c r="I134" s="34" t="n"/>
      <c r="J134" s="34" t="n">
        <v>2</v>
      </c>
      <c r="K134" s="34" t="n">
        <v>4</v>
      </c>
      <c r="L134" s="34">
        <f>+J134*K134</f>
        <v/>
      </c>
      <c r="M134" s="34">
        <f>+IF(L134&lt;5,"BAJO",IF(L134&lt;10,"MEDIO",IF(L134&lt;17,"ALTO","CRITICO")))</f>
        <v/>
      </c>
      <c r="N134" s="4" t="inlineStr">
        <is>
          <t>Control de accesos / VPN</t>
        </is>
      </c>
      <c r="O134" s="34" t="inlineStr">
        <is>
          <t>PREVENTIVO</t>
        </is>
      </c>
      <c r="P134" s="34" t="inlineStr">
        <is>
          <t>Control Implementado sin evidencia de efectividad (Inefectivo prueba)</t>
        </is>
      </c>
      <c r="Q134" s="52" t="n">
        <v>0.3</v>
      </c>
      <c r="R134" s="4" t="inlineStr">
        <is>
          <t>Contreaseñas de VPN no expiran</t>
        </is>
      </c>
      <c r="S134" s="53">
        <f>+IF(O134="PREVENTIVO",J134*(1-Q134),IF(O134="ADMINISTRACION",J134*(1-Q134),IF(O134="ELIMINACION",J134*(1-Q134),J134)))</f>
        <v/>
      </c>
      <c r="T134" s="53">
        <f>+IF(O134="DETECTIVO",K134*(1-Q134),IF(O134="RECUPERACION",K134*(1-Q134),K134))</f>
        <v/>
      </c>
      <c r="U134" s="54">
        <f>+S134*T134</f>
        <v/>
      </c>
      <c r="V134" s="65">
        <f>+IF(U134&lt;5,"BAJO",IF(U134&lt;10,"MEDIO",IF(U134&lt;17,"ALTO","CRITICO")))</f>
        <v/>
      </c>
      <c r="W134" s="87" t="inlineStr">
        <is>
          <t>MITIGAR</t>
        </is>
      </c>
      <c r="X134" s="80" t="inlineStr">
        <is>
          <t>-</t>
        </is>
      </c>
      <c r="Y134" s="80" t="inlineStr">
        <is>
          <t>-</t>
        </is>
      </c>
      <c r="Z134" s="80" t="inlineStr">
        <is>
          <t>-</t>
        </is>
      </c>
    </row>
    <row r="135" hidden="1" ht="45" customHeight="1" s="98">
      <c r="A135" s="57" t="inlineStr">
        <is>
          <t>115-GTI</t>
        </is>
      </c>
      <c r="B135" s="17" t="inlineStr">
        <is>
          <t>SERVIDOR VM ESXI (Sistemas Externos, WS/APP Públicos)</t>
        </is>
      </c>
      <c r="C135" s="17" t="inlineStr">
        <is>
          <t>SVR 192.168.100.145 que contiene Virtualizados: Servidor de Riesgos-Servidor PANDORA FMS Enterprise 7.0NG 760-Sistemas, WS Acceso Público</t>
        </is>
      </c>
      <c r="D135" s="64" t="inlineStr">
        <is>
          <t>[HW] Equipamiento informático (hardware)</t>
        </is>
      </c>
      <c r="E135" s="34" t="inlineStr">
        <is>
          <t>[A.23] Manipulación de los equipos</t>
        </is>
      </c>
      <c r="F135" s="34">
        <f>+VLOOKUP(E135,'CATALOGO AMENAZA'!$B$2:$D$46,3,FALSE)</f>
        <v/>
      </c>
      <c r="G135" s="34" t="inlineStr">
        <is>
          <t>X</t>
        </is>
      </c>
      <c r="H135" s="34" t="n"/>
      <c r="I135" s="34" t="inlineStr">
        <is>
          <t>X</t>
        </is>
      </c>
      <c r="J135" s="34" t="n">
        <v>3</v>
      </c>
      <c r="K135" s="34" t="n">
        <v>3</v>
      </c>
      <c r="L135" s="34">
        <f>+J135*K135</f>
        <v/>
      </c>
      <c r="M135" s="34">
        <f>+IF(L135&lt;5,"BAJO",IF(L135&lt;10,"MEDIO",IF(L135&lt;17,"ALTO","CRITICO")))</f>
        <v/>
      </c>
      <c r="N135" s="4" t="inlineStr">
        <is>
          <t>Control de accesos</t>
        </is>
      </c>
      <c r="O135" s="34" t="inlineStr">
        <is>
          <t>PREVENTIVO</t>
        </is>
      </c>
      <c r="P135" s="34" t="inlineStr">
        <is>
          <t>Control Implementado sin evidencia de efectividad (Inefectivo prueba)</t>
        </is>
      </c>
      <c r="Q135" s="52" t="n">
        <v>0.3</v>
      </c>
      <c r="R135" s="4" t="inlineStr">
        <is>
          <t>Usuarios genéricos</t>
        </is>
      </c>
      <c r="S135" s="53">
        <f>+IF(O135="PREVENTIVO",J135*(1-Q135),IF(O135="ADMINISTRACION",J135*(1-Q135),IF(O135="ELIMINACION",J135*(1-Q135),J135)))</f>
        <v/>
      </c>
      <c r="T135" s="53">
        <f>+IF(O135="DETECTIVO",K135*(1-Q135),IF(O135="RECUPERACION",K135*(1-Q135),K135))</f>
        <v/>
      </c>
      <c r="U135" s="54">
        <f>+S135*T135</f>
        <v/>
      </c>
      <c r="V135" s="65">
        <f>+IF(U135&lt;5,"BAJO",IF(U135&lt;10,"MEDIO",IF(U135&lt;17,"ALTO","CRITICO")))</f>
        <v/>
      </c>
      <c r="W135" s="87" t="inlineStr">
        <is>
          <t>MITIGAR</t>
        </is>
      </c>
      <c r="X135" s="80" t="inlineStr">
        <is>
          <t>-</t>
        </is>
      </c>
      <c r="Y135" s="80" t="inlineStr">
        <is>
          <t>-</t>
        </is>
      </c>
      <c r="Z135" s="80" t="inlineStr">
        <is>
          <t>-</t>
        </is>
      </c>
    </row>
    <row r="136" hidden="1" ht="102" customHeight="1" s="98">
      <c r="A136" s="57" t="inlineStr">
        <is>
          <t>116-GTI</t>
        </is>
      </c>
      <c r="B136" s="17" t="inlineStr">
        <is>
          <t>SERVIDOR VM ESXI (SW Cajeros)(VMSRVINTERNOS2)</t>
        </is>
      </c>
      <c r="C136" s="17" t="inlineStr">
        <is>
          <t>SVR 192.168.100.149 que contiene Virtualizados: Switch Transaccional Cajeros Automaticos PROSUPLY - Consola para Administracion Remota de Cajeros Automaticos- Consola para Administracion Remota de Cajeros Automaticos</t>
        </is>
      </c>
      <c r="D136" s="64" t="inlineStr">
        <is>
          <t>[HW] Equipamiento informático (hardware)</t>
        </is>
      </c>
      <c r="E136" s="34" t="inlineStr">
        <is>
          <t>[E.2] Errores del administrador</t>
        </is>
      </c>
      <c r="F136" s="34">
        <f>+VLOOKUP(E136,'CATALOGO AMENAZA'!$B$2:$D$46,3,FALSE)</f>
        <v/>
      </c>
      <c r="G136" s="34" t="inlineStr">
        <is>
          <t>X</t>
        </is>
      </c>
      <c r="H136" s="34" t="inlineStr">
        <is>
          <t>X</t>
        </is>
      </c>
      <c r="I136" s="34" t="inlineStr">
        <is>
          <t>X</t>
        </is>
      </c>
      <c r="J136" s="34" t="n">
        <v>2</v>
      </c>
      <c r="K136" s="34" t="n">
        <v>4</v>
      </c>
      <c r="L136" s="34">
        <f>+J136*K136</f>
        <v/>
      </c>
      <c r="M136" s="34">
        <f>+IF(L136&lt;5,"BAJO",IF(L136&lt;10,"MEDIO",IF(L136&lt;17,"ALTO","CRITICO")))</f>
        <v/>
      </c>
      <c r="N136" s="4" t="inlineStr">
        <is>
          <t>Control de cambios en los sistemas
Verificación posterior (informe)</t>
        </is>
      </c>
      <c r="O136" s="34" t="inlineStr">
        <is>
          <t>ADMINISTRACION</t>
        </is>
      </c>
      <c r="P136" s="34" t="inlineStr">
        <is>
          <t>Control Implementado sin evidencia de efectividad (Inefectivo prueba)</t>
        </is>
      </c>
      <c r="Q136" s="52" t="n">
        <v>0.3</v>
      </c>
      <c r="R136" s="4" t="inlineStr">
        <is>
          <t>No existe procedimiento formal de gestión de cambios</t>
        </is>
      </c>
      <c r="S136" s="53">
        <f>+IF(O136="PREVENTIVO",J136*(1-Q136),IF(O136="ADMINISTRACION",J136*(1-Q136),IF(O136="ELIMINACION",J136*(1-Q136),J136)))</f>
        <v/>
      </c>
      <c r="T136" s="53">
        <f>+IF(O136="DETECTIVO",K136*(1-Q136),IF(O136="RECUPERACION",K136*(1-Q136),K136))</f>
        <v/>
      </c>
      <c r="U136" s="54">
        <f>+S136*T136</f>
        <v/>
      </c>
      <c r="V136" s="65">
        <f>+IF(U136&lt;5,"BAJO",IF(U136&lt;10,"MEDIO",IF(U136&lt;17,"ALTO","CRITICO")))</f>
        <v/>
      </c>
      <c r="W136" s="87" t="inlineStr">
        <is>
          <t>MITIGAR</t>
        </is>
      </c>
      <c r="X136" s="80" t="inlineStr">
        <is>
          <t>-</t>
        </is>
      </c>
      <c r="Y136" s="80" t="inlineStr">
        <is>
          <t>-</t>
        </is>
      </c>
      <c r="Z136" s="80" t="inlineStr">
        <is>
          <t>-</t>
        </is>
      </c>
    </row>
    <row r="137" ht="45" customHeight="1" s="98">
      <c r="A137" s="57" t="inlineStr">
        <is>
          <t>116-GTI</t>
        </is>
      </c>
      <c r="B137" s="17" t="inlineStr">
        <is>
          <t>SERVIDOR VM ESXI (SW Cajeros)(VMSRVINTERNOS2)</t>
        </is>
      </c>
      <c r="C137" s="17" t="inlineStr">
        <is>
          <t>SVR 192.168.100.149 que contiene Virtualizados: Switch Transaccional Cajeros Automaticos PROSUPLY - Consola para Administracion Remota de Cajeros Automaticos- Consola para Administracion Remota de Cajeros Automaticos</t>
        </is>
      </c>
      <c r="D137" s="64" t="inlineStr">
        <is>
          <t>[HW] Equipamiento informático (hardware)</t>
        </is>
      </c>
      <c r="E137" s="34" t="inlineStr">
        <is>
          <t>[E.24] Caída del sistema por agotamiento de recursos</t>
        </is>
      </c>
      <c r="F137" s="34">
        <f>+VLOOKUP(E137,'CATALOGO AMENAZA'!$B$2:$D$46,3,FALSE)</f>
        <v/>
      </c>
      <c r="G137" s="34" t="n"/>
      <c r="H137" s="34" t="n"/>
      <c r="I137" s="34" t="inlineStr">
        <is>
          <t>X</t>
        </is>
      </c>
      <c r="J137" s="34" t="n">
        <v>3</v>
      </c>
      <c r="K137" s="34" t="n">
        <v>5</v>
      </c>
      <c r="L137" s="34">
        <f>+J137*K137</f>
        <v/>
      </c>
      <c r="M137" s="34">
        <f>+IF(L137&lt;5,"BAJO",IF(L137&lt;10,"MEDIO",IF(L137&lt;17,"ALTO","CRITICO")))</f>
        <v/>
      </c>
      <c r="N137" s="34" t="inlineStr">
        <is>
          <t>Procedimiento de Gestión de la capacidad y desempeño de la Infraestructura</t>
        </is>
      </c>
      <c r="O137" s="54" t="inlineStr">
        <is>
          <t>PREVENTIVO</t>
        </is>
      </c>
      <c r="P137" s="34" t="inlineStr">
        <is>
          <t>Control Implementado sin evidencia de efectividad (Inefectivo prueba)</t>
        </is>
      </c>
      <c r="Q137" s="52" t="n">
        <v>0.3</v>
      </c>
      <c r="R137" s="34" t="inlineStr">
        <is>
          <t>Notificación automática de alertas</t>
        </is>
      </c>
      <c r="S137" s="53">
        <f>+IF(O137="PREVENTIVO",J137*(1-Q137),IF(O137="ADMINISTRACION",J137*(1-Q137),IF(O137="ELIMINACION",J137*(1-Q137),J137)))</f>
        <v/>
      </c>
      <c r="T137" s="53">
        <f>+IF(O137="DETECTIVO",K137*(1-Q137),IF(O137="RECUPERACION",K137*(1-Q137),K137))</f>
        <v/>
      </c>
      <c r="U137" s="54">
        <f>+S137*T137</f>
        <v/>
      </c>
      <c r="V137" s="65">
        <f>+IF(U137&lt;5,"BAJO",IF(U137&lt;10,"MEDIO",IF(U137&lt;17,"ALTO","CRITICO")))</f>
        <v/>
      </c>
      <c r="W137" s="65" t="inlineStr">
        <is>
          <t>MITIGAR</t>
        </is>
      </c>
      <c r="X137" s="34" t="inlineStr">
        <is>
          <t>REQUIERE TRATAMIENTO</t>
        </is>
      </c>
      <c r="Y137" s="34" t="inlineStr">
        <is>
          <t>PA-SI-005</t>
        </is>
      </c>
      <c r="Z137" s="34" t="inlineStr">
        <is>
          <t>Fortalecer el monitoreo proactivo de recursos (CPU, RAM, almacenamiento).</t>
        </is>
      </c>
    </row>
    <row r="138" hidden="1" ht="45" customHeight="1" s="98">
      <c r="A138" s="57" t="inlineStr">
        <is>
          <t>116-GTI</t>
        </is>
      </c>
      <c r="B138" s="17" t="inlineStr">
        <is>
          <t>SERVIDOR VM ESXI (SW Cajeros)(VMSRVINTERNOS2)</t>
        </is>
      </c>
      <c r="C138" s="17" t="inlineStr">
        <is>
          <t>SVR 192.168.100.149 que contiene Virtualizados: Switch Transaccional Cajeros Automaticos PROSUPLY - Consola para Administracion Remota de Cajeros Automaticos- Consola para Administracion Remota de Cajeros Automaticos</t>
        </is>
      </c>
      <c r="D138" s="64" t="inlineStr">
        <is>
          <t>[HW] Equipamiento informático (hardware)</t>
        </is>
      </c>
      <c r="E138" s="34" t="inlineStr">
        <is>
          <t>[A.11] Acceso no autorizado</t>
        </is>
      </c>
      <c r="F138" s="34">
        <f>+VLOOKUP(E138,'CATALOGO AMENAZA'!$B$2:$D$46,3,FALSE)</f>
        <v/>
      </c>
      <c r="G138" s="34" t="inlineStr">
        <is>
          <t>X</t>
        </is>
      </c>
      <c r="H138" s="34" t="inlineStr">
        <is>
          <t>X</t>
        </is>
      </c>
      <c r="I138" s="34" t="n"/>
      <c r="J138" s="34" t="n">
        <v>2</v>
      </c>
      <c r="K138" s="34" t="n">
        <v>4</v>
      </c>
      <c r="L138" s="34">
        <f>+J138*K138</f>
        <v/>
      </c>
      <c r="M138" s="34">
        <f>+IF(L138&lt;5,"BAJO",IF(L138&lt;10,"MEDIO",IF(L138&lt;17,"ALTO","CRITICO")))</f>
        <v/>
      </c>
      <c r="N138" s="4" t="inlineStr">
        <is>
          <t>Control de accesos / VPN</t>
        </is>
      </c>
      <c r="O138" s="34" t="inlineStr">
        <is>
          <t>PREVENTIVO</t>
        </is>
      </c>
      <c r="P138" s="34" t="inlineStr">
        <is>
          <t>Control Implementado sin evidencia de efectividad (Inefectivo prueba)</t>
        </is>
      </c>
      <c r="Q138" s="52" t="n">
        <v>0.3</v>
      </c>
      <c r="R138" s="4" t="inlineStr">
        <is>
          <t>Contreaseñas de VPN no expiran</t>
        </is>
      </c>
      <c r="S138" s="53">
        <f>+IF(O138="PREVENTIVO",J138*(1-Q138),IF(O138="ADMINISTRACION",J138*(1-Q138),IF(O138="ELIMINACION",J138*(1-Q138),J138)))</f>
        <v/>
      </c>
      <c r="T138" s="53">
        <f>+IF(O138="DETECTIVO",K138*(1-Q138),IF(O138="RECUPERACION",K138*(1-Q138),K138))</f>
        <v/>
      </c>
      <c r="U138" s="54">
        <f>+S138*T138</f>
        <v/>
      </c>
      <c r="V138" s="65">
        <f>+IF(U138&lt;5,"BAJO",IF(U138&lt;10,"MEDIO",IF(U138&lt;17,"ALTO","CRITICO")))</f>
        <v/>
      </c>
      <c r="W138" s="87" t="inlineStr">
        <is>
          <t>MITIGAR</t>
        </is>
      </c>
      <c r="X138" s="80" t="inlineStr">
        <is>
          <t>-</t>
        </is>
      </c>
      <c r="Y138" s="80" t="inlineStr">
        <is>
          <t>-</t>
        </is>
      </c>
      <c r="Z138" s="80" t="inlineStr">
        <is>
          <t>-</t>
        </is>
      </c>
    </row>
    <row r="139" hidden="1" ht="45" customHeight="1" s="98">
      <c r="A139" s="57" t="inlineStr">
        <is>
          <t>116-GTI</t>
        </is>
      </c>
      <c r="B139" s="17" t="inlineStr">
        <is>
          <t>SERVIDOR VM ESXI (SW Cajeros)(VMSRVINTERNOS2)</t>
        </is>
      </c>
      <c r="C139" s="17" t="inlineStr">
        <is>
          <t>SVR 192.168.100.149 que contiene Virtualizados: Switch Transaccional Cajeros Automaticos PROSUPLY - Consola para Administracion Remota de Cajeros Automaticos- Consola para Administracion Remota de Cajeros Automaticos</t>
        </is>
      </c>
      <c r="D139" s="64" t="inlineStr">
        <is>
          <t>[HW] Equipamiento informático (hardware)</t>
        </is>
      </c>
      <c r="E139" s="34" t="inlineStr">
        <is>
          <t>[A.23] Manipulación de los equipos</t>
        </is>
      </c>
      <c r="F139" s="34">
        <f>+VLOOKUP(E139,'CATALOGO AMENAZA'!$B$2:$D$46,3,FALSE)</f>
        <v/>
      </c>
      <c r="G139" s="34" t="inlineStr">
        <is>
          <t>X</t>
        </is>
      </c>
      <c r="H139" s="34" t="n"/>
      <c r="I139" s="34" t="inlineStr">
        <is>
          <t>X</t>
        </is>
      </c>
      <c r="J139" s="34" t="n">
        <v>3</v>
      </c>
      <c r="K139" s="34" t="n">
        <v>3</v>
      </c>
      <c r="L139" s="34">
        <f>+J139*K139</f>
        <v/>
      </c>
      <c r="M139" s="34">
        <f>+IF(L139&lt;5,"BAJO",IF(L139&lt;10,"MEDIO",IF(L139&lt;17,"ALTO","CRITICO")))</f>
        <v/>
      </c>
      <c r="N139" s="4" t="inlineStr">
        <is>
          <t>Control de accesos</t>
        </is>
      </c>
      <c r="O139" s="34" t="inlineStr">
        <is>
          <t>PREVENTIVO</t>
        </is>
      </c>
      <c r="P139" s="34" t="inlineStr">
        <is>
          <t>Control Implementado sin evidencia de efectividad (Inefectivo prueba)</t>
        </is>
      </c>
      <c r="Q139" s="52" t="n">
        <v>0.3</v>
      </c>
      <c r="R139" s="4" t="inlineStr">
        <is>
          <t>Usuarios genéricos</t>
        </is>
      </c>
      <c r="S139" s="53">
        <f>+IF(O139="PREVENTIVO",J139*(1-Q139),IF(O139="ADMINISTRACION",J139*(1-Q139),IF(O139="ELIMINACION",J139*(1-Q139),J139)))</f>
        <v/>
      </c>
      <c r="T139" s="53">
        <f>+IF(O139="DETECTIVO",K139*(1-Q139),IF(O139="RECUPERACION",K139*(1-Q139),K139))</f>
        <v/>
      </c>
      <c r="U139" s="54">
        <f>+S139*T139</f>
        <v/>
      </c>
      <c r="V139" s="65">
        <f>+IF(U139&lt;5,"BAJO",IF(U139&lt;10,"MEDIO",IF(U139&lt;17,"ALTO","CRITICO")))</f>
        <v/>
      </c>
      <c r="W139" s="87" t="inlineStr">
        <is>
          <t>MITIGAR</t>
        </is>
      </c>
      <c r="X139" s="80" t="inlineStr">
        <is>
          <t>-</t>
        </is>
      </c>
      <c r="Y139" s="80" t="inlineStr">
        <is>
          <t>-</t>
        </is>
      </c>
      <c r="Z139" s="80" t="inlineStr">
        <is>
          <t>-</t>
        </is>
      </c>
    </row>
    <row r="140" hidden="1" ht="45" customHeight="1" s="98">
      <c r="A140" s="57" t="inlineStr">
        <is>
          <t>117-GTI</t>
        </is>
      </c>
      <c r="B140" s="17" t="inlineStr">
        <is>
          <t>SERVIDOR VM ESXI (Sistemas, WS Internos) (VMSRVINTERNOS)</t>
        </is>
      </c>
      <c r="C140" s="17" t="inlineStr">
        <is>
          <t>AVR 192.168.100.146 que contiene virtualizados :  Servidor de Dominio (Active Directory) y DNS - Servidor Webcoop/Dynacoop/ Alertas SMS OTP Correo - Web Service Equifax, Bdd Sybase Riesgos - Servidor de Veeam Backup/ Servidor Impresión RICOH</t>
        </is>
      </c>
      <c r="D140" s="64" t="inlineStr">
        <is>
          <t>[HW] Equipamiento informático (hardware)</t>
        </is>
      </c>
      <c r="E140" s="34" t="inlineStr">
        <is>
          <t>[E.2] Errores del administrador</t>
        </is>
      </c>
      <c r="F140" s="34">
        <f>+VLOOKUP(E140,'CATALOGO AMENAZA'!$B$2:$D$46,3,FALSE)</f>
        <v/>
      </c>
      <c r="G140" s="34" t="inlineStr">
        <is>
          <t>X</t>
        </is>
      </c>
      <c r="H140" s="34" t="inlineStr">
        <is>
          <t>X</t>
        </is>
      </c>
      <c r="I140" s="34" t="inlineStr">
        <is>
          <t>X</t>
        </is>
      </c>
      <c r="J140" s="34" t="n">
        <v>2</v>
      </c>
      <c r="K140" s="34" t="n">
        <v>4</v>
      </c>
      <c r="L140" s="34">
        <f>+J140*K140</f>
        <v/>
      </c>
      <c r="M140" s="34">
        <f>+IF(L140&lt;5,"BAJO",IF(L140&lt;10,"MEDIO",IF(L140&lt;17,"ALTO","CRITICO")))</f>
        <v/>
      </c>
      <c r="N140" s="4" t="inlineStr">
        <is>
          <t>Control de cambios en los sistemas
Verificación posterior (informe)</t>
        </is>
      </c>
      <c r="O140" s="34" t="inlineStr">
        <is>
          <t>ADMINISTRACION</t>
        </is>
      </c>
      <c r="P140" s="34" t="inlineStr">
        <is>
          <t>Control Implementado sin evidencia de efectividad (Inefectivo prueba)</t>
        </is>
      </c>
      <c r="Q140" s="52" t="n">
        <v>0.3</v>
      </c>
      <c r="R140" s="4" t="inlineStr">
        <is>
          <t>No existe procedimiento formal de gestión de cambios</t>
        </is>
      </c>
      <c r="S140" s="53">
        <f>+IF(O140="PREVENTIVO",J140*(1-Q140),IF(O140="ADMINISTRACION",J140*(1-Q140),IF(O140="ELIMINACION",J140*(1-Q140),J140)))</f>
        <v/>
      </c>
      <c r="T140" s="53">
        <f>+IF(O140="DETECTIVO",K140*(1-Q140),IF(O140="RECUPERACION",K140*(1-Q140),K140))</f>
        <v/>
      </c>
      <c r="U140" s="54">
        <f>+S140*T140</f>
        <v/>
      </c>
      <c r="V140" s="65">
        <f>+IF(U140&lt;5,"BAJO",IF(U140&lt;10,"MEDIO",IF(U140&lt;17,"ALTO","CRITICO")))</f>
        <v/>
      </c>
      <c r="W140" s="87" t="inlineStr">
        <is>
          <t>MITIGAR</t>
        </is>
      </c>
      <c r="X140" s="80" t="inlineStr">
        <is>
          <t>-</t>
        </is>
      </c>
      <c r="Y140" s="80" t="inlineStr">
        <is>
          <t>-</t>
        </is>
      </c>
      <c r="Z140" s="80" t="inlineStr">
        <is>
          <t>-</t>
        </is>
      </c>
    </row>
    <row r="141" ht="45" customHeight="1" s="98">
      <c r="A141" s="57" t="inlineStr">
        <is>
          <t>117-GTI</t>
        </is>
      </c>
      <c r="B141" s="17" t="inlineStr">
        <is>
          <t>SERVIDOR VM ESXI (Sistemas, WS Internos) (VMSRVINTERNOS)</t>
        </is>
      </c>
      <c r="C141" s="17" t="inlineStr">
        <is>
          <t>AVR 192.168.100.146 que contiene virtualizados :  Servidor de Dominio (Active Directory) y DNS - Servidor Webcoop/Dynacoop/ Alertas SMS OTP Correo - Web Service Equifax, Bdd Sybase Riesgos - Servidor de Veeam Backup/ Servidor Impresión RICOH</t>
        </is>
      </c>
      <c r="D141" s="64" t="inlineStr">
        <is>
          <t>[HW] Equipamiento informático (hardware)</t>
        </is>
      </c>
      <c r="E141" s="34" t="inlineStr">
        <is>
          <t>[E.24] Caída del sistema por agotamiento de recursos</t>
        </is>
      </c>
      <c r="F141" s="34">
        <f>+VLOOKUP(E141,'CATALOGO AMENAZA'!$B$2:$D$46,3,FALSE)</f>
        <v/>
      </c>
      <c r="G141" s="34" t="n"/>
      <c r="H141" s="34" t="n"/>
      <c r="I141" s="34" t="inlineStr">
        <is>
          <t>X</t>
        </is>
      </c>
      <c r="J141" s="34" t="n">
        <v>3</v>
      </c>
      <c r="K141" s="34" t="n">
        <v>5</v>
      </c>
      <c r="L141" s="34">
        <f>+J141*K141</f>
        <v/>
      </c>
      <c r="M141" s="34">
        <f>+IF(L141&lt;5,"BAJO",IF(L141&lt;10,"MEDIO",IF(L141&lt;17,"ALTO","CRITICO")))</f>
        <v/>
      </c>
      <c r="N141" s="34" t="inlineStr">
        <is>
          <t>Procedimiento de Gestión de la capacidad y desempeño de la Infraestructura</t>
        </is>
      </c>
      <c r="O141" s="54" t="inlineStr">
        <is>
          <t>PREVENTIVO</t>
        </is>
      </c>
      <c r="P141" s="34" t="inlineStr">
        <is>
          <t>Control Implementado sin evidencia de efectividad (Inefectivo prueba)</t>
        </is>
      </c>
      <c r="Q141" s="52" t="n">
        <v>0.3</v>
      </c>
      <c r="R141" s="34" t="inlineStr">
        <is>
          <t>Notificación automática de alertas</t>
        </is>
      </c>
      <c r="S141" s="53">
        <f>+IF(O141="PREVENTIVO",J141*(1-Q141),IF(O141="ADMINISTRACION",J141*(1-Q141),IF(O141="ELIMINACION",J141*(1-Q141),J141)))</f>
        <v/>
      </c>
      <c r="T141" s="53">
        <f>+IF(O141="DETECTIVO",K141*(1-Q141),IF(O141="RECUPERACION",K141*(1-Q141),K141))</f>
        <v/>
      </c>
      <c r="U141" s="54">
        <f>+S141*T141</f>
        <v/>
      </c>
      <c r="V141" s="65">
        <f>+IF(U141&lt;5,"BAJO",IF(U141&lt;10,"MEDIO",IF(U141&lt;17,"ALTO","CRITICO")))</f>
        <v/>
      </c>
      <c r="W141" s="65" t="inlineStr">
        <is>
          <t>MITIGAR</t>
        </is>
      </c>
      <c r="X141" s="34" t="inlineStr">
        <is>
          <t>REQUIERE TRATAMIENTO</t>
        </is>
      </c>
      <c r="Y141" s="34" t="inlineStr">
        <is>
          <t>PA-SI-005</t>
        </is>
      </c>
      <c r="Z141" s="34" t="inlineStr">
        <is>
          <t>Fortalecer el monitoreo proactivo de recursos (CPU, RAM, almacenamiento).</t>
        </is>
      </c>
    </row>
    <row r="142" hidden="1" ht="45" customHeight="1" s="98">
      <c r="A142" s="57" t="inlineStr">
        <is>
          <t>117-GTI</t>
        </is>
      </c>
      <c r="B142" s="17" t="inlineStr">
        <is>
          <t>SERVIDOR VM ESXI (Sistemas, WS Internos) (VMSRVINTERNOS)</t>
        </is>
      </c>
      <c r="C142" s="17" t="inlineStr">
        <is>
          <t>AVR 192.168.100.146 que contiene virtualizados :  Servidor de Dominio (Active Directory) y DNS - Servidor Webcoop/Dynacoop/ Alertas SMS OTP Correo - Web Service Equifax, Bdd Sybase Riesgos - Servidor de Veeam Backup/ Servidor Impresión RICOH</t>
        </is>
      </c>
      <c r="D142" s="64" t="inlineStr">
        <is>
          <t>[HW] Equipamiento informático (hardware)</t>
        </is>
      </c>
      <c r="E142" s="34" t="inlineStr">
        <is>
          <t>[A.11] Acceso no autorizado</t>
        </is>
      </c>
      <c r="F142" s="34">
        <f>+VLOOKUP(E142,'CATALOGO AMENAZA'!$B$2:$D$46,3,FALSE)</f>
        <v/>
      </c>
      <c r="G142" s="34" t="inlineStr">
        <is>
          <t>X</t>
        </is>
      </c>
      <c r="H142" s="34" t="inlineStr">
        <is>
          <t>X</t>
        </is>
      </c>
      <c r="I142" s="34" t="n"/>
      <c r="J142" s="34" t="n">
        <v>2</v>
      </c>
      <c r="K142" s="34" t="n">
        <v>4</v>
      </c>
      <c r="L142" s="34">
        <f>+J142*K142</f>
        <v/>
      </c>
      <c r="M142" s="34">
        <f>+IF(L142&lt;5,"BAJO",IF(L142&lt;10,"MEDIO",IF(L142&lt;17,"ALTO","CRITICO")))</f>
        <v/>
      </c>
      <c r="N142" s="4" t="inlineStr">
        <is>
          <t>Control de accesos / VPN</t>
        </is>
      </c>
      <c r="O142" s="34" t="inlineStr">
        <is>
          <t>PREVENTIVO</t>
        </is>
      </c>
      <c r="P142" s="34" t="inlineStr">
        <is>
          <t>Control Implementado sin evidencia de efectividad (Inefectivo prueba)</t>
        </is>
      </c>
      <c r="Q142" s="52" t="n">
        <v>0.3</v>
      </c>
      <c r="R142" s="4" t="inlineStr">
        <is>
          <t>Contreaseñas de VPN no expiran</t>
        </is>
      </c>
      <c r="S142" s="53">
        <f>+IF(O142="PREVENTIVO",J142*(1-Q142),IF(O142="ADMINISTRACION",J142*(1-Q142),IF(O142="ELIMINACION",J142*(1-Q142),J142)))</f>
        <v/>
      </c>
      <c r="T142" s="53">
        <f>+IF(O142="DETECTIVO",K142*(1-Q142),IF(O142="RECUPERACION",K142*(1-Q142),K142))</f>
        <v/>
      </c>
      <c r="U142" s="54">
        <f>+S142*T142</f>
        <v/>
      </c>
      <c r="V142" s="65">
        <f>+IF(U142&lt;5,"BAJO",IF(U142&lt;10,"MEDIO",IF(U142&lt;17,"ALTO","CRITICO")))</f>
        <v/>
      </c>
      <c r="W142" s="87" t="inlineStr">
        <is>
          <t>MITIGAR</t>
        </is>
      </c>
      <c r="X142" s="80" t="inlineStr">
        <is>
          <t>-</t>
        </is>
      </c>
      <c r="Y142" s="80" t="inlineStr">
        <is>
          <t>-</t>
        </is>
      </c>
      <c r="Z142" s="80" t="inlineStr">
        <is>
          <t>-</t>
        </is>
      </c>
    </row>
    <row r="143" hidden="1" ht="45" customHeight="1" s="98">
      <c r="A143" s="57" t="inlineStr">
        <is>
          <t>117-GTI</t>
        </is>
      </c>
      <c r="B143" s="17" t="inlineStr">
        <is>
          <t>SERVIDOR VM ESXI (Sistemas, WS Internos) (VMSRVINTERNOS)</t>
        </is>
      </c>
      <c r="C143" s="17" t="inlineStr">
        <is>
          <t>AVR 192.168.100.146 que contiene virtualizados :  Servidor de Dominio (Active Directory) y DNS - Servidor Webcoop/Dynacoop/ Alertas SMS OTP Correo - Web Service Equifax, Bdd Sybase Riesgos - Servidor de Veeam Backup/ Servidor Impresión RICOH</t>
        </is>
      </c>
      <c r="D143" s="64" t="inlineStr">
        <is>
          <t>[HW] Equipamiento informático (hardware)</t>
        </is>
      </c>
      <c r="E143" s="34" t="inlineStr">
        <is>
          <t>[A.23] Manipulación de los equipos</t>
        </is>
      </c>
      <c r="F143" s="34">
        <f>+VLOOKUP(E143,'CATALOGO AMENAZA'!$B$2:$D$46,3,FALSE)</f>
        <v/>
      </c>
      <c r="G143" s="34" t="inlineStr">
        <is>
          <t>X</t>
        </is>
      </c>
      <c r="H143" s="34" t="n"/>
      <c r="I143" s="34" t="inlineStr">
        <is>
          <t>X</t>
        </is>
      </c>
      <c r="J143" s="34" t="n">
        <v>3</v>
      </c>
      <c r="K143" s="34" t="n">
        <v>3</v>
      </c>
      <c r="L143" s="34">
        <f>+J143*K143</f>
        <v/>
      </c>
      <c r="M143" s="34">
        <f>+IF(L143&lt;5,"BAJO",IF(L143&lt;10,"MEDIO",IF(L143&lt;17,"ALTO","CRITICO")))</f>
        <v/>
      </c>
      <c r="N143" s="4" t="inlineStr">
        <is>
          <t>Control de accesos</t>
        </is>
      </c>
      <c r="O143" s="34" t="inlineStr">
        <is>
          <t>PREVENTIVO</t>
        </is>
      </c>
      <c r="P143" s="34" t="inlineStr">
        <is>
          <t>Control Implementado sin evidencia de efectividad (Inefectivo prueba)</t>
        </is>
      </c>
      <c r="Q143" s="52" t="n">
        <v>0.3</v>
      </c>
      <c r="R143" s="4" t="inlineStr">
        <is>
          <t>Usuarios genéricos</t>
        </is>
      </c>
      <c r="S143" s="53">
        <f>+IF(O143="PREVENTIVO",J143*(1-Q143),IF(O143="ADMINISTRACION",J143*(1-Q143),IF(O143="ELIMINACION",J143*(1-Q143),J143)))</f>
        <v/>
      </c>
      <c r="T143" s="53">
        <f>+IF(O143="DETECTIVO",K143*(1-Q143),IF(O143="RECUPERACION",K143*(1-Q143),K143))</f>
        <v/>
      </c>
      <c r="U143" s="54">
        <f>+S143*T143</f>
        <v/>
      </c>
      <c r="V143" s="65">
        <f>+IF(U143&lt;5,"BAJO",IF(U143&lt;10,"MEDIO",IF(U143&lt;17,"ALTO","CRITICO")))</f>
        <v/>
      </c>
      <c r="W143" s="87" t="inlineStr">
        <is>
          <t>MITIGAR</t>
        </is>
      </c>
      <c r="X143" s="80" t="inlineStr">
        <is>
          <t>-</t>
        </is>
      </c>
      <c r="Y143" s="80" t="inlineStr">
        <is>
          <t>-</t>
        </is>
      </c>
      <c r="Z143" s="80" t="inlineStr">
        <is>
          <t>-</t>
        </is>
      </c>
    </row>
    <row r="144" hidden="1" ht="45" customHeight="1" s="98">
      <c r="A144" s="57" t="inlineStr">
        <is>
          <t>118-GTI</t>
        </is>
      </c>
      <c r="B144" s="17" t="inlineStr">
        <is>
          <t>SERVIDOR VM ESXI (Sistemas, WS Internos)(VMSREXTERNOS3)</t>
        </is>
      </c>
      <c r="C144" s="17" t="inlineStr">
        <is>
          <t>SVR 192.168.100.242 que contiene virtualizados : Oracle VM Manager</t>
        </is>
      </c>
      <c r="D144" s="64" t="inlineStr">
        <is>
          <t>[HW] Equipamiento informático (hardware)</t>
        </is>
      </c>
      <c r="E144" s="34" t="inlineStr">
        <is>
          <t>[E.2] Errores del administrador</t>
        </is>
      </c>
      <c r="F144" s="34">
        <f>+VLOOKUP(E144,'CATALOGO AMENAZA'!$B$2:$D$46,3,FALSE)</f>
        <v/>
      </c>
      <c r="G144" s="34" t="inlineStr">
        <is>
          <t>X</t>
        </is>
      </c>
      <c r="H144" s="34" t="inlineStr">
        <is>
          <t>X</t>
        </is>
      </c>
      <c r="I144" s="34" t="inlineStr">
        <is>
          <t>X</t>
        </is>
      </c>
      <c r="J144" s="34" t="n">
        <v>2</v>
      </c>
      <c r="K144" s="34" t="n">
        <v>4</v>
      </c>
      <c r="L144" s="34">
        <f>+J144*K144</f>
        <v/>
      </c>
      <c r="M144" s="34">
        <f>+IF(L144&lt;5,"BAJO",IF(L144&lt;10,"MEDIO",IF(L144&lt;17,"ALTO","CRITICO")))</f>
        <v/>
      </c>
      <c r="N144" s="4" t="inlineStr">
        <is>
          <t>Control de cambios en los sistemas
Verificación posterior (informe)</t>
        </is>
      </c>
      <c r="O144" s="34" t="inlineStr">
        <is>
          <t>ADMINISTRACION</t>
        </is>
      </c>
      <c r="P144" s="34" t="inlineStr">
        <is>
          <t>Control Implementado sin evidencia de efectividad (Inefectivo prueba)</t>
        </is>
      </c>
      <c r="Q144" s="52" t="n">
        <v>0.3</v>
      </c>
      <c r="R144" s="4" t="inlineStr">
        <is>
          <t>No existe procedimiento formal de gestión de cambios</t>
        </is>
      </c>
      <c r="S144" s="53">
        <f>+IF(O144="PREVENTIVO",J144*(1-Q144),IF(O144="ADMINISTRACION",J144*(1-Q144),IF(O144="ELIMINACION",J144*(1-Q144),J144)))</f>
        <v/>
      </c>
      <c r="T144" s="53">
        <f>+IF(O144="DETECTIVO",K144*(1-Q144),IF(O144="RECUPERACION",K144*(1-Q144),K144))</f>
        <v/>
      </c>
      <c r="U144" s="54">
        <f>+S144*T144</f>
        <v/>
      </c>
      <c r="V144" s="65">
        <f>+IF(U144&lt;5,"BAJO",IF(U144&lt;10,"MEDIO",IF(U144&lt;17,"ALTO","CRITICO")))</f>
        <v/>
      </c>
      <c r="W144" s="87" t="inlineStr">
        <is>
          <t>MITIGAR</t>
        </is>
      </c>
      <c r="X144" s="80" t="inlineStr">
        <is>
          <t>-</t>
        </is>
      </c>
      <c r="Y144" s="80" t="inlineStr">
        <is>
          <t>-</t>
        </is>
      </c>
      <c r="Z144" s="80" t="inlineStr">
        <is>
          <t>-</t>
        </is>
      </c>
    </row>
    <row r="145" ht="45" customHeight="1" s="98">
      <c r="A145" s="57" t="inlineStr">
        <is>
          <t>118-GTI</t>
        </is>
      </c>
      <c r="B145" s="17" t="inlineStr">
        <is>
          <t>SERVIDOR VM ESXI (Sistemas, WS Internos)(VMSREXTERNOS3)</t>
        </is>
      </c>
      <c r="C145" s="17" t="inlineStr">
        <is>
          <t>SVR 192.168.100.242 que contiene virtualizados : Oracle VM Manager</t>
        </is>
      </c>
      <c r="D145" s="64" t="inlineStr">
        <is>
          <t>[HW] Equipamiento informático (hardware)</t>
        </is>
      </c>
      <c r="E145" s="34" t="inlineStr">
        <is>
          <t>[E.24] Caída del sistema por agotamiento de recursos</t>
        </is>
      </c>
      <c r="F145" s="34">
        <f>+VLOOKUP(E145,'CATALOGO AMENAZA'!$B$2:$D$46,3,FALSE)</f>
        <v/>
      </c>
      <c r="G145" s="34" t="n"/>
      <c r="H145" s="34" t="n"/>
      <c r="I145" s="34" t="inlineStr">
        <is>
          <t>X</t>
        </is>
      </c>
      <c r="J145" s="34" t="n">
        <v>3</v>
      </c>
      <c r="K145" s="34" t="n">
        <v>5</v>
      </c>
      <c r="L145" s="34">
        <f>+J145*K145</f>
        <v/>
      </c>
      <c r="M145" s="34">
        <f>+IF(L145&lt;5,"BAJO",IF(L145&lt;10,"MEDIO",IF(L145&lt;17,"ALTO","CRITICO")))</f>
        <v/>
      </c>
      <c r="N145" s="34" t="inlineStr">
        <is>
          <t>Procedimiento de Gestión de la capacidad y desempeño de la Infraestructura</t>
        </is>
      </c>
      <c r="O145" s="54" t="inlineStr">
        <is>
          <t>PREVENTIVO</t>
        </is>
      </c>
      <c r="P145" s="34" t="inlineStr">
        <is>
          <t>Control Implementado sin evidencia de efectividad (Inefectivo prueba)</t>
        </is>
      </c>
      <c r="Q145" s="52" t="n">
        <v>0.3</v>
      </c>
      <c r="R145" s="34" t="inlineStr">
        <is>
          <t>Notificación automática de alertas</t>
        </is>
      </c>
      <c r="S145" s="53">
        <f>+IF(O145="PREVENTIVO",J145*(1-Q145),IF(O145="ADMINISTRACION",J145*(1-Q145),IF(O145="ELIMINACION",J145*(1-Q145),J145)))</f>
        <v/>
      </c>
      <c r="T145" s="53">
        <f>+IF(O145="DETECTIVO",K145*(1-Q145),IF(O145="RECUPERACION",K145*(1-Q145),K145))</f>
        <v/>
      </c>
      <c r="U145" s="54">
        <f>+S145*T145</f>
        <v/>
      </c>
      <c r="V145" s="65">
        <f>+IF(U145&lt;5,"BAJO",IF(U145&lt;10,"MEDIO",IF(U145&lt;17,"ALTO","CRITICO")))</f>
        <v/>
      </c>
      <c r="W145" s="65" t="inlineStr">
        <is>
          <t>MITIGAR</t>
        </is>
      </c>
      <c r="X145" s="34" t="inlineStr">
        <is>
          <t>REQUIERE TRATAMIENTO</t>
        </is>
      </c>
      <c r="Y145" s="34" t="inlineStr">
        <is>
          <t>PA-SI-005</t>
        </is>
      </c>
      <c r="Z145" s="34" t="inlineStr">
        <is>
          <t>Fortalecer el monitoreo proactivo de recursos (CPU, RAM, almacenamiento).</t>
        </is>
      </c>
    </row>
    <row r="146" hidden="1" ht="45" customHeight="1" s="98">
      <c r="A146" s="57" t="inlineStr">
        <is>
          <t>118-GTI</t>
        </is>
      </c>
      <c r="B146" s="17" t="inlineStr">
        <is>
          <t>SERVIDOR VM ESXI (Sistemas, WS Internos)(VMSREXTERNOS3)</t>
        </is>
      </c>
      <c r="C146" s="17" t="inlineStr">
        <is>
          <t>SVR 192.168.100.242 que contiene virtualizados : Oracle VM Manager</t>
        </is>
      </c>
      <c r="D146" s="64" t="inlineStr">
        <is>
          <t>[HW] Equipamiento informático (hardware)</t>
        </is>
      </c>
      <c r="E146" s="34" t="inlineStr">
        <is>
          <t>[A.11] Acceso no autorizado</t>
        </is>
      </c>
      <c r="F146" s="34">
        <f>+VLOOKUP(E146,'CATALOGO AMENAZA'!$B$2:$D$46,3,FALSE)</f>
        <v/>
      </c>
      <c r="G146" s="34" t="inlineStr">
        <is>
          <t>X</t>
        </is>
      </c>
      <c r="H146" s="34" t="inlineStr">
        <is>
          <t>X</t>
        </is>
      </c>
      <c r="I146" s="34" t="n"/>
      <c r="J146" s="34" t="n">
        <v>2</v>
      </c>
      <c r="K146" s="34" t="n">
        <v>4</v>
      </c>
      <c r="L146" s="34">
        <f>+J146*K146</f>
        <v/>
      </c>
      <c r="M146" s="34">
        <f>+IF(L146&lt;5,"BAJO",IF(L146&lt;10,"MEDIO",IF(L146&lt;17,"ALTO","CRITICO")))</f>
        <v/>
      </c>
      <c r="N146" s="4" t="inlineStr">
        <is>
          <t>Control de accesos / VPN</t>
        </is>
      </c>
      <c r="O146" s="34" t="inlineStr">
        <is>
          <t>PREVENTIVO</t>
        </is>
      </c>
      <c r="P146" s="34" t="inlineStr">
        <is>
          <t>Control Implementado sin evidencia de efectividad (Inefectivo prueba)</t>
        </is>
      </c>
      <c r="Q146" s="52" t="n">
        <v>0.3</v>
      </c>
      <c r="R146" s="4" t="inlineStr">
        <is>
          <t>Contreaseñas de VPN no expiran</t>
        </is>
      </c>
      <c r="S146" s="53">
        <f>+IF(O146="PREVENTIVO",J146*(1-Q146),IF(O146="ADMINISTRACION",J146*(1-Q146),IF(O146="ELIMINACION",J146*(1-Q146),J146)))</f>
        <v/>
      </c>
      <c r="T146" s="53">
        <f>+IF(O146="DETECTIVO",K146*(1-Q146),IF(O146="RECUPERACION",K146*(1-Q146),K146))</f>
        <v/>
      </c>
      <c r="U146" s="54">
        <f>+S146*T146</f>
        <v/>
      </c>
      <c r="V146" s="65">
        <f>+IF(U146&lt;5,"BAJO",IF(U146&lt;10,"MEDIO",IF(U146&lt;17,"ALTO","CRITICO")))</f>
        <v/>
      </c>
      <c r="W146" s="87" t="inlineStr">
        <is>
          <t>MITIGAR</t>
        </is>
      </c>
      <c r="X146" s="80" t="inlineStr">
        <is>
          <t>-</t>
        </is>
      </c>
      <c r="Y146" s="80" t="inlineStr">
        <is>
          <t>-</t>
        </is>
      </c>
      <c r="Z146" s="80" t="inlineStr">
        <is>
          <t>-</t>
        </is>
      </c>
    </row>
    <row r="147" hidden="1" ht="41" customHeight="1" s="98">
      <c r="A147" s="57" t="inlineStr">
        <is>
          <t>118-GTI</t>
        </is>
      </c>
      <c r="B147" s="17" t="inlineStr">
        <is>
          <t>SERVIDOR VM ESXI (Sistemas, WS Internos)(VMSREXTERNOS3)</t>
        </is>
      </c>
      <c r="C147" s="17" t="inlineStr">
        <is>
          <t>SVR 192.168.100.242 que contiene virtualizados : Oracle VM Manager</t>
        </is>
      </c>
      <c r="D147" s="64" t="inlineStr">
        <is>
          <t>[HW] Equipamiento informático (hardware)</t>
        </is>
      </c>
      <c r="E147" s="34" t="inlineStr">
        <is>
          <t>[A.23] Manipulación de los equipos</t>
        </is>
      </c>
      <c r="F147" s="34">
        <f>+VLOOKUP(E147,'CATALOGO AMENAZA'!$B$2:$D$46,3,FALSE)</f>
        <v/>
      </c>
      <c r="G147" s="34" t="inlineStr">
        <is>
          <t>X</t>
        </is>
      </c>
      <c r="H147" s="34" t="n"/>
      <c r="I147" s="34" t="inlineStr">
        <is>
          <t>X</t>
        </is>
      </c>
      <c r="J147" s="34" t="n">
        <v>3</v>
      </c>
      <c r="K147" s="34" t="n">
        <v>3</v>
      </c>
      <c r="L147" s="34">
        <f>+J147*K147</f>
        <v/>
      </c>
      <c r="M147" s="34">
        <f>+IF(L147&lt;5,"BAJO",IF(L147&lt;10,"MEDIO",IF(L147&lt;17,"ALTO","CRITICO")))</f>
        <v/>
      </c>
      <c r="N147" s="4" t="inlineStr">
        <is>
          <t>Control de accesos</t>
        </is>
      </c>
      <c r="O147" s="34" t="inlineStr">
        <is>
          <t>PREVENTIVO</t>
        </is>
      </c>
      <c r="P147" s="34" t="inlineStr">
        <is>
          <t>Control Implementado sin evidencia de efectividad (Inefectivo prueba)</t>
        </is>
      </c>
      <c r="Q147" s="52" t="n">
        <v>0.3</v>
      </c>
      <c r="R147" s="4" t="inlineStr">
        <is>
          <t>Usuarios genéricos</t>
        </is>
      </c>
      <c r="S147" s="53">
        <f>+IF(O147="PREVENTIVO",J147*(1-Q147),IF(O147="ADMINISTRACION",J147*(1-Q147),IF(O147="ELIMINACION",J147*(1-Q147),J147)))</f>
        <v/>
      </c>
      <c r="T147" s="53">
        <f>+IF(O147="DETECTIVO",K147*(1-Q147),IF(O147="RECUPERACION",K147*(1-Q147),K147))</f>
        <v/>
      </c>
      <c r="U147" s="54">
        <f>+S147*T147</f>
        <v/>
      </c>
      <c r="V147" s="65">
        <f>+IF(U147&lt;5,"BAJO",IF(U147&lt;10,"MEDIO",IF(U147&lt;17,"ALTO","CRITICO")))</f>
        <v/>
      </c>
      <c r="W147" s="87" t="inlineStr">
        <is>
          <t>MITIGAR</t>
        </is>
      </c>
      <c r="X147" s="80" t="inlineStr">
        <is>
          <t>-</t>
        </is>
      </c>
      <c r="Y147" s="80" t="inlineStr">
        <is>
          <t>-</t>
        </is>
      </c>
      <c r="Z147" s="80" t="inlineStr">
        <is>
          <t>-</t>
        </is>
      </c>
    </row>
    <row r="148" hidden="1" ht="35" customHeight="1" s="98">
      <c r="A148" s="57" t="inlineStr">
        <is>
          <t>119-GTI</t>
        </is>
      </c>
      <c r="B148" s="17" t="inlineStr">
        <is>
          <t>Administrador de Comunicación e Infrestructura</t>
        </is>
      </c>
      <c r="C148" s="17" t="inlineStr">
        <is>
          <t>Funcionarios con el cargo de Administrador de Comunicación e Infraestructura - Consolas Operador Oracle VM - Web Service SERVIPAGOS</t>
        </is>
      </c>
      <c r="D148" s="55" t="inlineStr">
        <is>
          <t>[P] Personal</t>
        </is>
      </c>
      <c r="E148" s="34" t="inlineStr">
        <is>
          <t>[E.28] Indisponibilidad del personal</t>
        </is>
      </c>
      <c r="F148" s="34">
        <f>+VLOOKUP(E148,'CATALOGO AMENAZA'!$B$2:$D$46,3,FALSE)</f>
        <v/>
      </c>
      <c r="G148" s="34" t="n"/>
      <c r="H148" s="34" t="n"/>
      <c r="I148" s="34" t="inlineStr">
        <is>
          <t>X</t>
        </is>
      </c>
      <c r="J148" s="34" t="n">
        <v>2</v>
      </c>
      <c r="K148" s="34" t="n">
        <v>3</v>
      </c>
      <c r="L148" s="34">
        <f>+J148*K148</f>
        <v/>
      </c>
      <c r="M148" s="34">
        <f>+IF(L148&lt;5,"BAJO",IF(L148&lt;10,"MEDIO",IF(L148&lt;17,"ALTO","CRITICO")))</f>
        <v/>
      </c>
      <c r="N148" s="54" t="inlineStr">
        <is>
          <t>Plan de continuidad documentado</t>
        </is>
      </c>
      <c r="O148" s="54" t="inlineStr">
        <is>
          <t>RECUPERACION</t>
        </is>
      </c>
      <c r="P148" s="34" t="inlineStr">
        <is>
          <t>Control Implementado sin evidencia de efectividad (Inefectivo prueba)</t>
        </is>
      </c>
      <c r="Q148" s="52" t="n">
        <v>0.3</v>
      </c>
      <c r="R148" s="34" t="inlineStr">
        <is>
          <t>Dependencia de personal clave</t>
        </is>
      </c>
      <c r="S148" s="53">
        <f>+IF(O148="PREVENTIVO",J148*(1-Q148),IF(O148="ADMINISTRACION",J148*(1-Q148),IF(O148="ELIMINACION",J148*(1-Q148),J148)))</f>
        <v/>
      </c>
      <c r="T148" s="53">
        <f>+IF(O148="DETECTIVO",K148*(1-Q148),IF(O148="RECUPERACION",K148*(1-Q148),K148))</f>
        <v/>
      </c>
      <c r="U148" s="54">
        <f>+S148*T148</f>
        <v/>
      </c>
      <c r="V148" s="65">
        <f>+IF(U148&lt;5,"BAJO",IF(U148&lt;10,"MEDIO",IF(U148&lt;17,"ALTO","CRITICO")))</f>
        <v/>
      </c>
      <c r="W148" s="65" t="inlineStr">
        <is>
          <t>ACEPTABLE</t>
        </is>
      </c>
      <c r="X148" s="80" t="inlineStr">
        <is>
          <t>-</t>
        </is>
      </c>
      <c r="Y148" s="80" t="inlineStr">
        <is>
          <t>-</t>
        </is>
      </c>
      <c r="Z148" s="80" t="inlineStr">
        <is>
          <t>-</t>
        </is>
      </c>
    </row>
    <row r="149" hidden="1" ht="45" customHeight="1" s="98">
      <c r="A149" s="57" t="inlineStr">
        <is>
          <t>120-GTI</t>
        </is>
      </c>
      <c r="B149" s="17" t="inlineStr">
        <is>
          <t>Administrador de Base de Datos</t>
        </is>
      </c>
      <c r="C149" s="17" t="inlineStr">
        <is>
          <t>Funcionarios con el cargo de Administrador de Base de Datos</t>
        </is>
      </c>
      <c r="D149" s="55" t="inlineStr">
        <is>
          <t>[P] Personal</t>
        </is>
      </c>
      <c r="E149" s="34" t="inlineStr">
        <is>
          <t>[E.28] Indisponibilidad del personal</t>
        </is>
      </c>
      <c r="F149" s="34">
        <f>+VLOOKUP(E149,'CATALOGO AMENAZA'!$B$2:$D$46,3,FALSE)</f>
        <v/>
      </c>
      <c r="G149" s="34" t="n"/>
      <c r="H149" s="34" t="n"/>
      <c r="I149" s="34" t="inlineStr">
        <is>
          <t>X</t>
        </is>
      </c>
      <c r="J149" s="34" t="n">
        <v>2</v>
      </c>
      <c r="K149" s="34" t="n">
        <v>3</v>
      </c>
      <c r="L149" s="34">
        <f>+J149*K149</f>
        <v/>
      </c>
      <c r="M149" s="34">
        <f>+IF(L149&lt;5,"BAJO",IF(L149&lt;10,"MEDIO",IF(L149&lt;17,"ALTO","CRITICO")))</f>
        <v/>
      </c>
      <c r="N149" s="54" t="inlineStr">
        <is>
          <t>Plan de continuidad documentado</t>
        </is>
      </c>
      <c r="O149" s="54" t="inlineStr">
        <is>
          <t>RECUPERACION</t>
        </is>
      </c>
      <c r="P149" s="34" t="inlineStr">
        <is>
          <t>Control Implementado sin evidencia de efectividad (Inefectivo prueba)</t>
        </is>
      </c>
      <c r="Q149" s="52" t="n">
        <v>0.3</v>
      </c>
      <c r="R149" s="34" t="inlineStr">
        <is>
          <t>Dependencia de personal clave</t>
        </is>
      </c>
      <c r="S149" s="53">
        <f>+IF(O149="PREVENTIVO",J149*(1-Q149),IF(O149="ADMINISTRACION",J149*(1-Q149),IF(O149="ELIMINACION",J149*(1-Q149),J149)))</f>
        <v/>
      </c>
      <c r="T149" s="53">
        <f>+IF(O149="DETECTIVO",K149*(1-Q149),IF(O149="RECUPERACION",K149*(1-Q149),K149))</f>
        <v/>
      </c>
      <c r="U149" s="54">
        <f>+S149*T149</f>
        <v/>
      </c>
      <c r="V149" s="65">
        <f>+IF(U149&lt;5,"BAJO",IF(U149&lt;10,"MEDIO",IF(U149&lt;17,"ALTO","CRITICO")))</f>
        <v/>
      </c>
      <c r="W149" s="65" t="inlineStr">
        <is>
          <t>ACEPTABLE</t>
        </is>
      </c>
      <c r="X149" s="80" t="inlineStr">
        <is>
          <t>-</t>
        </is>
      </c>
      <c r="Y149" s="80" t="inlineStr">
        <is>
          <t>-</t>
        </is>
      </c>
      <c r="Z149" s="80" t="inlineStr">
        <is>
          <t>-</t>
        </is>
      </c>
    </row>
    <row r="150" hidden="1" ht="45" customHeight="1" s="98">
      <c r="A150" s="57" t="inlineStr">
        <is>
          <t>9-GFI</t>
        </is>
      </c>
      <c r="B150" s="17" t="inlineStr">
        <is>
          <t>Escrituras del Bien inmueble/ Autorizaciones de Gerencia</t>
        </is>
      </c>
      <c r="C150" s="17" t="inlineStr">
        <is>
          <t>Escritura del bien inmueble que se va adjudicar con autorización del Gerente. G</t>
        </is>
      </c>
      <c r="D150" s="55" t="inlineStr">
        <is>
          <t>[D] Datos / Información / datos de configuración</t>
        </is>
      </c>
      <c r="E150" s="34" t="inlineStr">
        <is>
          <t>[E.19] Fugas de información</t>
        </is>
      </c>
      <c r="F150" s="34">
        <f>+VLOOKUP(E150,'CATALOGO AMENAZA'!$B$2:$D$46,3,FALSE)</f>
        <v/>
      </c>
      <c r="G150" s="34" t="inlineStr">
        <is>
          <t>X</t>
        </is>
      </c>
      <c r="H150" s="34" t="n"/>
      <c r="I150" s="34" t="n"/>
      <c r="J150" s="34" t="n">
        <v>3</v>
      </c>
      <c r="K150" s="34" t="n">
        <v>4</v>
      </c>
      <c r="L150" s="34">
        <f>+J150*K150</f>
        <v/>
      </c>
      <c r="M150" s="34">
        <f>+IF(L150&lt;5,"BAJO",IF(L150&lt;10,"MEDIO",IF(L150&lt;17,"ALTO","CRITICO")))</f>
        <v/>
      </c>
      <c r="N150" s="54" t="inlineStr">
        <is>
          <t>Software DLP</t>
        </is>
      </c>
      <c r="O150" s="54" t="inlineStr">
        <is>
          <t>PREVENTIVO</t>
        </is>
      </c>
      <c r="P150" s="34" t="inlineStr">
        <is>
          <t>Control Implementado sin evidencia de efectividad (Inefectivo prueba)</t>
        </is>
      </c>
      <c r="Q150" s="52" t="n">
        <v>0.3</v>
      </c>
      <c r="R150" s="34" t="inlineStr">
        <is>
          <t>Politicas sin restricción para jefaturas</t>
        </is>
      </c>
      <c r="S150" s="53">
        <f>+IF(O150="PREVENTIVO",J150*(1-Q150),IF(O150="ADMINISTRACION",J150*(1-Q150),IF(O150="ELIMINACION",J150*(1-Q150),J150)))</f>
        <v/>
      </c>
      <c r="T150" s="53">
        <f>+IF(O150="DETECTIVO",K150*(1-Q150),IF(O150="RECUPERACION",K150*(1-Q150),K150))</f>
        <v/>
      </c>
      <c r="U150" s="54">
        <f>+S150*T150</f>
        <v/>
      </c>
      <c r="V150" s="65">
        <f>+IF(U150&lt;5,"BAJO",IF(U150&lt;10,"MEDIO",IF(U150&lt;17,"ALTO","CRITICO")))</f>
        <v/>
      </c>
      <c r="W150" s="87" t="inlineStr">
        <is>
          <t>MITIGAR</t>
        </is>
      </c>
      <c r="X150" s="80" t="inlineStr">
        <is>
          <t>-</t>
        </is>
      </c>
      <c r="Y150" s="80" t="inlineStr">
        <is>
          <t>-</t>
        </is>
      </c>
      <c r="Z150" s="80" t="inlineStr">
        <is>
          <t>-</t>
        </is>
      </c>
    </row>
    <row r="151" hidden="1" ht="22.5" customHeight="1" s="98">
      <c r="A151" s="57" t="inlineStr">
        <is>
          <t>9-GFI</t>
        </is>
      </c>
      <c r="B151" s="17" t="inlineStr">
        <is>
          <t>Escrituras del Bien inmueble/ Autorizaciones de Gerencia</t>
        </is>
      </c>
      <c r="C151" s="17" t="inlineStr">
        <is>
          <t>Escritura del bien inmueble que se va adjudicar con autorización del Gerente. G</t>
        </is>
      </c>
      <c r="D151" s="55" t="inlineStr">
        <is>
          <t>[D] Datos / Información / datos de configuración</t>
        </is>
      </c>
      <c r="E151" s="34" t="inlineStr">
        <is>
          <t>[E.18] Destrucción de información</t>
        </is>
      </c>
      <c r="F151" s="34">
        <f>+VLOOKUP(E151,'CATALOGO AMENAZA'!$B$2:$D$46,3,FALSE)</f>
        <v/>
      </c>
      <c r="G151" s="34" t="n"/>
      <c r="H151" s="34" t="n"/>
      <c r="I151" s="34" t="inlineStr">
        <is>
          <t>X</t>
        </is>
      </c>
      <c r="J151" s="34" t="n">
        <v>3</v>
      </c>
      <c r="K151" s="34" t="n">
        <v>3</v>
      </c>
      <c r="L151" s="34">
        <f>+J151*K151</f>
        <v/>
      </c>
      <c r="M151" s="34">
        <f>+IF(L151&lt;5,"BAJO",IF(L151&lt;10,"MEDIO",IF(L151&lt;17,"ALTO","CRITICO")))</f>
        <v/>
      </c>
      <c r="N151" s="54" t="inlineStr">
        <is>
          <t>Respaldo digital de información</t>
        </is>
      </c>
      <c r="O151" s="54" t="inlineStr">
        <is>
          <t>PREVENTIVO</t>
        </is>
      </c>
      <c r="P151" s="34" t="inlineStr">
        <is>
          <t>Control Implementado sin evidencia de efectividad (Inefectivo prueba)</t>
        </is>
      </c>
      <c r="Q151" s="52" t="n">
        <v>0.3</v>
      </c>
      <c r="R151" s="4" t="inlineStr">
        <is>
          <t>Almacenamiento manual en medio extraible</t>
        </is>
      </c>
      <c r="S151" s="53">
        <f>+IF(O151="PREVENTIVO",J151*(1-Q151),IF(O151="ADMINISTRACION",J151*(1-Q151),IF(O151="ELIMINACION",J151*(1-Q151),J151)))</f>
        <v/>
      </c>
      <c r="T151" s="53">
        <f>+IF(O151="DETECTIVO",K151*(1-Q151),IF(O151="RECUPERACION",K151*(1-Q151),K151))</f>
        <v/>
      </c>
      <c r="U151" s="54">
        <f>+S151*T151</f>
        <v/>
      </c>
      <c r="V151" s="65">
        <f>+IF(U151&lt;5,"BAJO",IF(U151&lt;10,"MEDIO",IF(U151&lt;17,"ALTO","CRITICO")))</f>
        <v/>
      </c>
      <c r="W151" s="87" t="inlineStr">
        <is>
          <t>MITIGAR</t>
        </is>
      </c>
      <c r="X151" s="80" t="inlineStr">
        <is>
          <t>-</t>
        </is>
      </c>
      <c r="Y151" s="80" t="inlineStr">
        <is>
          <t>-</t>
        </is>
      </c>
      <c r="Z151" s="80" t="inlineStr">
        <is>
          <t>-</t>
        </is>
      </c>
    </row>
    <row r="152" hidden="1" ht="22.5" customHeight="1" s="98">
      <c r="A152" s="57" t="inlineStr">
        <is>
          <t>10-GFI</t>
        </is>
      </c>
      <c r="B152" s="17" t="inlineStr">
        <is>
          <t>Cheque</t>
        </is>
      </c>
      <c r="C152" s="17" t="inlineStr">
        <is>
          <t>Pagos que se realiza a los proveedores en cheques</t>
        </is>
      </c>
      <c r="D152" s="55" t="inlineStr">
        <is>
          <t>[D] Datos / Información / datos de configuración</t>
        </is>
      </c>
      <c r="E152" s="34" t="inlineStr">
        <is>
          <t>[E.18] Destrucción de información</t>
        </is>
      </c>
      <c r="F152" s="34">
        <f>+VLOOKUP(E152,'CATALOGO AMENAZA'!$B$2:$D$46,3,FALSE)</f>
        <v/>
      </c>
      <c r="G152" s="34" t="n"/>
      <c r="H152" s="34" t="n"/>
      <c r="I152" s="34" t="inlineStr">
        <is>
          <t>X</t>
        </is>
      </c>
      <c r="J152" s="34" t="n">
        <v>3</v>
      </c>
      <c r="K152" s="34" t="n">
        <v>3</v>
      </c>
      <c r="L152" s="34">
        <f>+J152*K152</f>
        <v/>
      </c>
      <c r="M152" s="34">
        <f>+IF(L152&lt;5,"BAJO",IF(L152&lt;10,"MEDIO",IF(L152&lt;17,"ALTO","CRITICO")))</f>
        <v/>
      </c>
      <c r="N152" s="54" t="inlineStr">
        <is>
          <t>Respaldo digital de información</t>
        </is>
      </c>
      <c r="O152" s="54" t="inlineStr">
        <is>
          <t>PREVENTIVO</t>
        </is>
      </c>
      <c r="P152" s="34" t="inlineStr">
        <is>
          <t>Control Implementado sin evidencia de efectividad (Inefectivo prueba)</t>
        </is>
      </c>
      <c r="Q152" s="52" t="n">
        <v>0.3</v>
      </c>
      <c r="R152" s="4" t="inlineStr">
        <is>
          <t>Almacenamiento manual en medio extraible</t>
        </is>
      </c>
      <c r="S152" s="53">
        <f>+IF(O152="PREVENTIVO",J152*(1-Q152),IF(O152="ADMINISTRACION",J152*(1-Q152),IF(O152="ELIMINACION",J152*(1-Q152),J152)))</f>
        <v/>
      </c>
      <c r="T152" s="53">
        <f>+IF(O152="DETECTIVO",K152*(1-Q152),IF(O152="RECUPERACION",K152*(1-Q152),K152))</f>
        <v/>
      </c>
      <c r="U152" s="54">
        <f>+S152*T152</f>
        <v/>
      </c>
      <c r="V152" s="65">
        <f>+IF(U152&lt;5,"BAJO",IF(U152&lt;10,"MEDIO",IF(U152&lt;17,"ALTO","CRITICO")))</f>
        <v/>
      </c>
      <c r="W152" s="87" t="inlineStr">
        <is>
          <t>MITIGAR</t>
        </is>
      </c>
      <c r="X152" s="80" t="inlineStr">
        <is>
          <t>-</t>
        </is>
      </c>
      <c r="Y152" s="80" t="inlineStr">
        <is>
          <t>-</t>
        </is>
      </c>
      <c r="Z152" s="80" t="inlineStr">
        <is>
          <t>-</t>
        </is>
      </c>
    </row>
    <row r="153" hidden="1" ht="41" customHeight="1" s="98">
      <c r="A153" s="57" t="inlineStr">
        <is>
          <t>48-GFI</t>
        </is>
      </c>
      <c r="B153" s="17" t="inlineStr">
        <is>
          <t>Certificado de Depósito a Plazo</t>
        </is>
      </c>
      <c r="C153" s="17" t="inlineStr">
        <is>
          <t>Pre cancelación de inversiones Cancelación de inversiones Renovación de inversiones</t>
        </is>
      </c>
      <c r="D153" s="55" t="inlineStr">
        <is>
          <t>[D] Datos / Información / datos de configuración</t>
        </is>
      </c>
      <c r="E153" s="34" t="inlineStr">
        <is>
          <t>[E.18] Destrucción de información</t>
        </is>
      </c>
      <c r="F153" s="34">
        <f>+VLOOKUP(E153,'CATALOGO AMENAZA'!$B$2:$D$46,3,FALSE)</f>
        <v/>
      </c>
      <c r="G153" s="34" t="n"/>
      <c r="H153" s="34" t="n"/>
      <c r="I153" s="34" t="inlineStr">
        <is>
          <t>X</t>
        </is>
      </c>
      <c r="J153" s="34" t="n">
        <v>3</v>
      </c>
      <c r="K153" s="34" t="n">
        <v>3</v>
      </c>
      <c r="L153" s="34">
        <f>+J153*K153</f>
        <v/>
      </c>
      <c r="M153" s="34">
        <f>+IF(L153&lt;5,"BAJO",IF(L153&lt;10,"MEDIO",IF(L153&lt;17,"ALTO","CRITICO")))</f>
        <v/>
      </c>
      <c r="N153" s="54" t="inlineStr">
        <is>
          <t>Respaldo digital de información</t>
        </is>
      </c>
      <c r="O153" s="54" t="inlineStr">
        <is>
          <t>PREVENTIVO</t>
        </is>
      </c>
      <c r="P153" s="34" t="inlineStr">
        <is>
          <t>Control Implementado sin evidencia de efectividad (Inefectivo prueba)</t>
        </is>
      </c>
      <c r="Q153" s="52" t="n">
        <v>0.3</v>
      </c>
      <c r="R153" s="4" t="inlineStr">
        <is>
          <t>Almacenamiento manual en medio extraible</t>
        </is>
      </c>
      <c r="S153" s="53">
        <f>+IF(O153="PREVENTIVO",J153*(1-Q153),IF(O153="ADMINISTRACION",J153*(1-Q153),IF(O153="ELIMINACION",J153*(1-Q153),J153)))</f>
        <v/>
      </c>
      <c r="T153" s="53">
        <f>+IF(O153="DETECTIVO",K153*(1-Q153),IF(O153="RECUPERACION",K153*(1-Q153),K153))</f>
        <v/>
      </c>
      <c r="U153" s="54">
        <f>+S153*T153</f>
        <v/>
      </c>
      <c r="V153" s="65">
        <f>+IF(U153&lt;5,"BAJO",IF(U153&lt;10,"MEDIO",IF(U153&lt;17,"ALTO","CRITICO")))</f>
        <v/>
      </c>
      <c r="W153" s="87" t="inlineStr">
        <is>
          <t>MITIGAR</t>
        </is>
      </c>
      <c r="X153" s="80" t="inlineStr">
        <is>
          <t>-</t>
        </is>
      </c>
      <c r="Y153" s="80" t="inlineStr">
        <is>
          <t>-</t>
        </is>
      </c>
      <c r="Z153" s="80" t="inlineStr">
        <is>
          <t>-</t>
        </is>
      </c>
    </row>
    <row r="154" hidden="1" ht="33.75" customHeight="1" s="98">
      <c r="A154" s="57" t="inlineStr">
        <is>
          <t>11-GSO</t>
        </is>
      </c>
      <c r="B154" s="17" t="inlineStr">
        <is>
          <t>Sobres sellados con claves de contingencia</t>
        </is>
      </c>
      <c r="C154" s="17" t="inlineStr">
        <is>
          <t>Sobres que contienen las claves de contingencia</t>
        </is>
      </c>
      <c r="D154" s="55" t="inlineStr">
        <is>
          <t>[D] Datos / Información / datos de configuración</t>
        </is>
      </c>
      <c r="E154" s="34" t="inlineStr">
        <is>
          <t>[E.18] Destrucción de información</t>
        </is>
      </c>
      <c r="F154" s="34">
        <f>+VLOOKUP(E154,'CATALOGO AMENAZA'!$B$2:$D$46,3,FALSE)</f>
        <v/>
      </c>
      <c r="G154" s="34" t="n"/>
      <c r="H154" s="34" t="n"/>
      <c r="I154" s="34" t="inlineStr">
        <is>
          <t>X</t>
        </is>
      </c>
      <c r="J154" s="34" t="n">
        <v>2</v>
      </c>
      <c r="K154" s="34" t="n">
        <v>5</v>
      </c>
      <c r="L154" s="34">
        <f>+J154*K154</f>
        <v/>
      </c>
      <c r="M154" s="34">
        <f>+IF(L154&lt;5,"BAJO",IF(L154&lt;10,"MEDIO",IF(L154&lt;17,"ALTO","CRITICO")))</f>
        <v/>
      </c>
      <c r="N154" s="54" t="inlineStr">
        <is>
          <t>Respaldo digital de información</t>
        </is>
      </c>
      <c r="O154" s="54" t="inlineStr">
        <is>
          <t>PREVENTIVO</t>
        </is>
      </c>
      <c r="P154" s="34" t="inlineStr">
        <is>
          <t>Control Implementado sin evidencia de efectividad (Inefectivo prueba)</t>
        </is>
      </c>
      <c r="Q154" s="52" t="n">
        <v>0.3</v>
      </c>
      <c r="R154" s="4" t="inlineStr">
        <is>
          <t>Almacenamiento manual en medio extraible</t>
        </is>
      </c>
      <c r="S154" s="53">
        <f>+IF(O154="PREVENTIVO",J154*(1-Q154),IF(O154="ADMINISTRACION",J154*(1-Q154),IF(O154="ELIMINACION",J154*(1-Q154),J154)))</f>
        <v/>
      </c>
      <c r="T154" s="53">
        <f>+IF(O154="DETECTIVO",K154*(1-Q154),IF(O154="RECUPERACION",K154*(1-Q154),K154))</f>
        <v/>
      </c>
      <c r="U154" s="54">
        <f>+S154*T154</f>
        <v/>
      </c>
      <c r="V154" s="65">
        <f>+IF(U154&lt;5,"BAJO",IF(U154&lt;10,"MEDIO",IF(U154&lt;17,"ALTO","CRITICO")))</f>
        <v/>
      </c>
      <c r="W154" s="87" t="inlineStr">
        <is>
          <t>MITIGAR</t>
        </is>
      </c>
      <c r="X154" s="80" t="inlineStr">
        <is>
          <t>-</t>
        </is>
      </c>
      <c r="Y154" s="80" t="inlineStr">
        <is>
          <t>-</t>
        </is>
      </c>
      <c r="Z154" s="80" t="inlineStr">
        <is>
          <t>-</t>
        </is>
      </c>
    </row>
    <row r="155" hidden="1" ht="30.5" customHeight="1" s="98">
      <c r="A155" s="57" t="inlineStr">
        <is>
          <t>56-GSO</t>
        </is>
      </c>
      <c r="B155" s="17" t="inlineStr">
        <is>
          <t>Formulario activación o desactivación de la auditoria</t>
        </is>
      </c>
      <c r="C155" s="17" t="inlineStr">
        <is>
          <t>Formulario de registro de activación y desactivación, responsables y justificación</t>
        </is>
      </c>
      <c r="D155" s="55" t="inlineStr">
        <is>
          <t>[D] Datos / Información / datos de configuración</t>
        </is>
      </c>
      <c r="E155" s="34" t="inlineStr">
        <is>
          <t>[E.19] Fugas de información</t>
        </is>
      </c>
      <c r="F155" s="34">
        <f>+VLOOKUP(E155,'CATALOGO AMENAZA'!$B$2:$D$46,3,FALSE)</f>
        <v/>
      </c>
      <c r="G155" s="34" t="inlineStr">
        <is>
          <t>X</t>
        </is>
      </c>
      <c r="H155" s="34" t="n"/>
      <c r="I155" s="34" t="n"/>
      <c r="J155" s="34" t="n">
        <v>3</v>
      </c>
      <c r="K155" s="34" t="n">
        <v>2</v>
      </c>
      <c r="L155" s="34">
        <f>+J155*K155</f>
        <v/>
      </c>
      <c r="M155" s="34">
        <f>+IF(L155&lt;5,"BAJO",IF(L155&lt;10,"MEDIO",IF(L155&lt;17,"ALTO","CRITICO")))</f>
        <v/>
      </c>
      <c r="N155" s="54" t="inlineStr">
        <is>
          <t>Software DLP</t>
        </is>
      </c>
      <c r="O155" s="54" t="inlineStr">
        <is>
          <t>PREVENTIVO</t>
        </is>
      </c>
      <c r="P155" s="34" t="inlineStr">
        <is>
          <t>Control Implementado sin evidencia de efectividad (Inefectivo prueba)</t>
        </is>
      </c>
      <c r="Q155" s="52" t="n">
        <v>0.3</v>
      </c>
      <c r="R155" s="34" t="inlineStr">
        <is>
          <t>Politicas sin restricción para jefaturas</t>
        </is>
      </c>
      <c r="S155" s="53">
        <f>+IF(O155="PREVENTIVO",J155*(1-Q155),IF(O155="ADMINISTRACION",J155*(1-Q155),IF(O155="ELIMINACION",J155*(1-Q155),J155)))</f>
        <v/>
      </c>
      <c r="T155" s="53">
        <f>+IF(O155="DETECTIVO",K155*(1-Q155),IF(O155="RECUPERACION",K155*(1-Q155),K155))</f>
        <v/>
      </c>
      <c r="U155" s="54">
        <f>+S155*T155</f>
        <v/>
      </c>
      <c r="V155" s="65">
        <f>+IF(U155&lt;5,"BAJO",IF(U155&lt;10,"MEDIO",IF(U155&lt;17,"ALTO","CRITICO")))</f>
        <v/>
      </c>
      <c r="W155" s="65" t="inlineStr">
        <is>
          <t>ACEPTABLE</t>
        </is>
      </c>
      <c r="X155" s="80" t="inlineStr">
        <is>
          <t>-</t>
        </is>
      </c>
      <c r="Y155" s="80" t="inlineStr">
        <is>
          <t>-</t>
        </is>
      </c>
      <c r="Z155" s="80" t="inlineStr">
        <is>
          <t>-</t>
        </is>
      </c>
    </row>
    <row r="156" hidden="1" ht="61.25" customHeight="1" s="98">
      <c r="A156" s="91" t="inlineStr">
        <is>
          <t>71-GAD</t>
        </is>
      </c>
      <c r="B156" s="17" t="inlineStr">
        <is>
          <t>Contrato</t>
        </is>
      </c>
      <c r="C156" s="17" t="inlineStr">
        <is>
          <t>Contrato receptado por Jurídico Físico o digital con sumilla legalizado por los responsables, y se entrega jurídico el físico y el digital se sube a SARA.</t>
        </is>
      </c>
      <c r="D156" s="55" t="inlineStr">
        <is>
          <t>[D] Datos / Información / datos de configuración</t>
        </is>
      </c>
      <c r="E156" s="34" t="inlineStr">
        <is>
          <t>[A.7] Uso no previsto</t>
        </is>
      </c>
      <c r="F156" s="34">
        <f>+VLOOKUP(E156,'CATALOGO AMENAZA'!$B$2:$D$46,3,FALSE)</f>
        <v/>
      </c>
      <c r="G156" s="34" t="inlineStr">
        <is>
          <t>X</t>
        </is>
      </c>
      <c r="H156" s="34" t="inlineStr">
        <is>
          <t>X</t>
        </is>
      </c>
      <c r="I156" s="34" t="inlineStr">
        <is>
          <t>X</t>
        </is>
      </c>
      <c r="J156" s="34" t="n">
        <v>3</v>
      </c>
      <c r="K156" s="34" t="n">
        <v>3</v>
      </c>
      <c r="L156" s="34">
        <f>+J156*K156</f>
        <v/>
      </c>
      <c r="M156" s="34">
        <f>+IF(L156&lt;5,"BAJO",IF(L156&lt;10,"MEDIO",IF(L156&lt;17,"ALTO","CRITICO")))</f>
        <v/>
      </c>
      <c r="N156" s="34" t="inlineStr">
        <is>
          <t>Sortware DLP /Políticas de uso de información contractual</t>
        </is>
      </c>
      <c r="O156" s="34" t="inlineStr">
        <is>
          <t>PREVENTIVO</t>
        </is>
      </c>
      <c r="P156" s="34" t="inlineStr">
        <is>
          <t>Control Implementado sin evidencia de efectividad (Inefectivo prueba)</t>
        </is>
      </c>
      <c r="Q156" s="52" t="n">
        <v>0.3</v>
      </c>
      <c r="R156" s="4" t="inlineStr">
        <is>
          <t>Documentación sencible sin cifrar</t>
        </is>
      </c>
      <c r="S156" s="53">
        <f>+IF(O156="PREVENTIVO",J156*(1-Q156),IF(O156="ADMINISTRACION",J156*(1-Q156),IF(O156="ELIMINACION",J156*(1-Q156),J156)))</f>
        <v/>
      </c>
      <c r="T156" s="53">
        <f>+IF(O156="DETECTIVO",K156*(1-Q156),IF(O156="RECUPERACION",K156*(1-Q156),K156))</f>
        <v/>
      </c>
      <c r="U156" s="54">
        <f>+S156*T156</f>
        <v/>
      </c>
      <c r="V156" s="65">
        <f>+IF(U156&lt;5,"BAJO",IF(U156&lt;10,"MEDIO",IF(U156&lt;17,"ALTO","CRITICO")))</f>
        <v/>
      </c>
      <c r="W156" s="87" t="inlineStr">
        <is>
          <t>MITIGAR</t>
        </is>
      </c>
      <c r="X156" s="80" t="inlineStr">
        <is>
          <t>-</t>
        </is>
      </c>
      <c r="Y156" s="80" t="inlineStr">
        <is>
          <t>-</t>
        </is>
      </c>
      <c r="Z156" s="80" t="inlineStr">
        <is>
          <t>-</t>
        </is>
      </c>
    </row>
    <row r="157" hidden="1" ht="61.25" customHeight="1" s="98">
      <c r="A157" s="91" t="inlineStr">
        <is>
          <t>71-GAD</t>
        </is>
      </c>
      <c r="B157" s="17" t="inlineStr">
        <is>
          <t>Contrato</t>
        </is>
      </c>
      <c r="C157" s="17" t="inlineStr">
        <is>
          <t>Contrato receptado por Jurídico Físico o digital con sumilla legalizado por los responsables, y se entrega jurídico el físico y el digital se sube a SARA.</t>
        </is>
      </c>
      <c r="D157" s="55" t="inlineStr">
        <is>
          <t>[D] Datos / Información / datos de configuración</t>
        </is>
      </c>
      <c r="E157" s="34" t="inlineStr">
        <is>
          <t>[E.18] Destrucción de información</t>
        </is>
      </c>
      <c r="F157" s="34">
        <f>+VLOOKUP(E157,'CATALOGO AMENAZA'!$B$2:$D$46,3,FALSE)</f>
        <v/>
      </c>
      <c r="G157" s="34" t="n"/>
      <c r="H157" s="34" t="n"/>
      <c r="I157" s="34" t="inlineStr">
        <is>
          <t>X</t>
        </is>
      </c>
      <c r="J157" s="34" t="n">
        <v>2</v>
      </c>
      <c r="K157" s="34" t="n">
        <v>4</v>
      </c>
      <c r="L157" s="34">
        <f>+J157*K157</f>
        <v/>
      </c>
      <c r="M157" s="34">
        <f>+IF(L157&lt;5,"BAJO",IF(L157&lt;10,"MEDIO",IF(L157&lt;17,"ALTO","CRITICO")))</f>
        <v/>
      </c>
      <c r="N157" s="54" t="inlineStr">
        <is>
          <t>Respaldo digital de información</t>
        </is>
      </c>
      <c r="O157" s="54" t="inlineStr">
        <is>
          <t>PREVENTIVO</t>
        </is>
      </c>
      <c r="P157" s="34" t="inlineStr">
        <is>
          <t>Control Implementado sin evidencia de efectividad (Inefectivo prueba)</t>
        </is>
      </c>
      <c r="Q157" s="52" t="n">
        <v>0.3</v>
      </c>
      <c r="R157" s="34" t="inlineStr">
        <is>
          <t>-</t>
        </is>
      </c>
      <c r="S157" s="53">
        <f>+IF(O157="PREVENTIVO",J157*(1-Q157),IF(O157="ADMINISTRACION",J157*(1-Q157),IF(O157="ELIMINACION",J157*(1-Q157),J157)))</f>
        <v/>
      </c>
      <c r="T157" s="53">
        <f>+IF(O157="DETECTIVO",K157*(1-Q157),IF(O157="RECUPERACION",K157*(1-Q157),K157))</f>
        <v/>
      </c>
      <c r="U157" s="54">
        <f>+S157*T157</f>
        <v/>
      </c>
      <c r="V157" s="65">
        <f>+IF(U157&lt;5,"BAJO",IF(U157&lt;10,"MEDIO",IF(U157&lt;17,"ALTO","CRITICO")))</f>
        <v/>
      </c>
      <c r="W157" s="87" t="inlineStr">
        <is>
          <t>MITIGAR</t>
        </is>
      </c>
      <c r="X157" s="80" t="inlineStr">
        <is>
          <t>-</t>
        </is>
      </c>
      <c r="Y157" s="80" t="inlineStr">
        <is>
          <t>-</t>
        </is>
      </c>
      <c r="Z157" s="80" t="inlineStr">
        <is>
          <t>-</t>
        </is>
      </c>
    </row>
    <row r="158" hidden="1" ht="30.5" customHeight="1" s="98">
      <c r="A158" s="91" t="inlineStr">
        <is>
          <t>23-GCO</t>
        </is>
      </c>
      <c r="B158" s="17" t="inlineStr">
        <is>
          <t>Cartera transferida</t>
        </is>
      </c>
      <c r="C158" s="17" t="inlineStr">
        <is>
          <t>Archivo de registro que cuenta con el detalle de la cartera a transferir</t>
        </is>
      </c>
      <c r="D158" s="55" t="inlineStr">
        <is>
          <t>[D] Datos / Información / datos de configuración</t>
        </is>
      </c>
      <c r="E158" s="34" t="inlineStr">
        <is>
          <t>[E.19] Fugas de información</t>
        </is>
      </c>
      <c r="F158" s="34">
        <f>+VLOOKUP(E158,'CATALOGO AMENAZA'!$B$2:$D$46,3,FALSE)</f>
        <v/>
      </c>
      <c r="G158" s="34" t="inlineStr">
        <is>
          <t>X</t>
        </is>
      </c>
      <c r="H158" s="34" t="n"/>
      <c r="I158" s="34" t="n"/>
      <c r="J158" s="34" t="n">
        <v>3</v>
      </c>
      <c r="K158" s="34" t="n">
        <v>4</v>
      </c>
      <c r="L158" s="34">
        <f>+J158*K158</f>
        <v/>
      </c>
      <c r="M158" s="34">
        <f>+IF(L158&lt;5,"BAJO",IF(L158&lt;10,"MEDIO",IF(L158&lt;17,"ALTO","CRITICO")))</f>
        <v/>
      </c>
      <c r="N158" s="54" t="inlineStr">
        <is>
          <t>Software DLP</t>
        </is>
      </c>
      <c r="O158" s="54" t="inlineStr">
        <is>
          <t>PREVENTIVO</t>
        </is>
      </c>
      <c r="P158" s="34" t="inlineStr">
        <is>
          <t>Control Implementado sin evidencia de efectividad (Inefectivo prueba)</t>
        </is>
      </c>
      <c r="Q158" s="52" t="n">
        <v>0.3</v>
      </c>
      <c r="R158" s="34" t="inlineStr">
        <is>
          <t>Politicas sin restricción para jefaturas</t>
        </is>
      </c>
      <c r="S158" s="53">
        <f>+IF(O158="PREVENTIVO",J158*(1-Q158),IF(O158="ADMINISTRACION",J158*(1-Q158),IF(O158="ELIMINACION",J158*(1-Q158),J158)))</f>
        <v/>
      </c>
      <c r="T158" s="53">
        <f>+IF(O158="DETECTIVO",K158*(1-Q158),IF(O158="RECUPERACION",K158*(1-Q158),K158))</f>
        <v/>
      </c>
      <c r="U158" s="54">
        <f>+S158*T158</f>
        <v/>
      </c>
      <c r="V158" s="65">
        <f>+IF(U158&lt;5,"BAJO",IF(U158&lt;10,"MEDIO",IF(U158&lt;17,"ALTO","CRITICO")))</f>
        <v/>
      </c>
      <c r="W158" s="87" t="inlineStr">
        <is>
          <t>MITIGAR</t>
        </is>
      </c>
      <c r="X158" s="80" t="inlineStr">
        <is>
          <t>-</t>
        </is>
      </c>
      <c r="Y158" s="80" t="inlineStr">
        <is>
          <t>-</t>
        </is>
      </c>
      <c r="Z158" s="80" t="inlineStr">
        <is>
          <t>-</t>
        </is>
      </c>
    </row>
    <row r="159" hidden="1" ht="30.5" customHeight="1" s="98">
      <c r="A159" s="91" t="inlineStr">
        <is>
          <t>23-GCO</t>
        </is>
      </c>
      <c r="B159" s="17" t="inlineStr">
        <is>
          <t>Cartera transferida</t>
        </is>
      </c>
      <c r="C159" s="17" t="inlineStr">
        <is>
          <t>Archivo de registro que cuenta con el detalle de la cartera a transferir</t>
        </is>
      </c>
      <c r="D159" s="55" t="inlineStr">
        <is>
          <t>[D] Datos / Información / datos de configuración</t>
        </is>
      </c>
      <c r="E159" s="34" t="inlineStr">
        <is>
          <t>[E.18] Destrucción de información</t>
        </is>
      </c>
      <c r="F159" s="34">
        <f>+VLOOKUP(E159,'CATALOGO AMENAZA'!$B$2:$D$46,3,FALSE)</f>
        <v/>
      </c>
      <c r="G159" s="34" t="n"/>
      <c r="H159" s="34" t="n"/>
      <c r="I159" s="34" t="inlineStr">
        <is>
          <t>X</t>
        </is>
      </c>
      <c r="J159" s="34" t="n">
        <v>2</v>
      </c>
      <c r="K159" s="34" t="n">
        <v>2</v>
      </c>
      <c r="L159" s="34">
        <f>+J159*K159</f>
        <v/>
      </c>
      <c r="M159" s="34">
        <f>+IF(L159&lt;5,"BAJO",IF(L159&lt;10,"MEDIO",IF(L159&lt;17,"ALTO","CRITICO")))</f>
        <v/>
      </c>
      <c r="N159" s="54" t="inlineStr">
        <is>
          <t>Respaldo digital de información</t>
        </is>
      </c>
      <c r="O159" s="54" t="inlineStr">
        <is>
          <t>PREVENTIVO</t>
        </is>
      </c>
      <c r="P159" s="34" t="inlineStr">
        <is>
          <t>Control Implementado sin evidencia de efectividad (Inefectivo prueba)</t>
        </is>
      </c>
      <c r="Q159" s="52" t="n">
        <v>0.3</v>
      </c>
      <c r="R159" s="34" t="inlineStr">
        <is>
          <t>Almacenamiento sin prueba de efectividad</t>
        </is>
      </c>
      <c r="S159" s="53">
        <f>+IF(O159="PREVENTIVO",J159*(1-Q159),IF(O159="ADMINISTRACION",J159*(1-Q159),IF(O159="ELIMINACION",J159*(1-Q159),J159)))</f>
        <v/>
      </c>
      <c r="T159" s="53">
        <f>+IF(O159="DETECTIVO",K159*(1-Q159),IF(O159="RECUPERACION",K159*(1-Q159),K159))</f>
        <v/>
      </c>
      <c r="U159" s="54">
        <f>+S159*T159</f>
        <v/>
      </c>
      <c r="V159" s="65">
        <f>+IF(U159&lt;5,"BAJO",IF(U159&lt;10,"MEDIO",IF(U159&lt;17,"ALTO","CRITICO")))</f>
        <v/>
      </c>
      <c r="W159" s="65" t="inlineStr">
        <is>
          <t>ACEPTABLE</t>
        </is>
      </c>
      <c r="X159" s="80" t="inlineStr">
        <is>
          <t>-</t>
        </is>
      </c>
      <c r="Y159" s="80" t="inlineStr">
        <is>
          <t>-</t>
        </is>
      </c>
      <c r="Z159" s="80" t="inlineStr">
        <is>
          <t>-</t>
        </is>
      </c>
    </row>
    <row r="160" hidden="1" ht="41" customHeight="1" s="98">
      <c r="A160" s="91" t="inlineStr">
        <is>
          <t>28-GCO</t>
        </is>
      </c>
      <c r="B160" s="17" t="inlineStr">
        <is>
          <t>Minuta de levantamiento de hipoteca o prenda</t>
        </is>
      </c>
      <c r="C160" s="17" t="inlineStr">
        <is>
          <t>Escritura de hipoteca que realiza el socio y se recepta el físico</t>
        </is>
      </c>
      <c r="D160" s="55" t="inlineStr">
        <is>
          <t>[D] Datos / Información / datos de configuración</t>
        </is>
      </c>
      <c r="E160" s="34" t="inlineStr">
        <is>
          <t>[A.7] Uso no previsto</t>
        </is>
      </c>
      <c r="F160" s="34">
        <f>+VLOOKUP(E160,'CATALOGO AMENAZA'!$B$2:$D$46,3,FALSE)</f>
        <v/>
      </c>
      <c r="G160" s="34" t="inlineStr">
        <is>
          <t>X</t>
        </is>
      </c>
      <c r="H160" s="34" t="inlineStr">
        <is>
          <t>X</t>
        </is>
      </c>
      <c r="I160" s="34" t="inlineStr">
        <is>
          <t>X</t>
        </is>
      </c>
      <c r="J160" s="34" t="n">
        <v>3</v>
      </c>
      <c r="K160" s="34" t="n">
        <v>3</v>
      </c>
      <c r="L160" s="34">
        <f>+J160*K160</f>
        <v/>
      </c>
      <c r="M160" s="34">
        <f>+IF(L160&lt;5,"BAJO",IF(L160&lt;10,"MEDIO",IF(L160&lt;17,"ALTO","CRITICO")))</f>
        <v/>
      </c>
      <c r="N160" s="34" t="inlineStr">
        <is>
          <t>Sortware DLP /Políticas de uso de información contractual</t>
        </is>
      </c>
      <c r="O160" s="34" t="inlineStr">
        <is>
          <t>PREVENTIVO</t>
        </is>
      </c>
      <c r="P160" s="34" t="inlineStr">
        <is>
          <t>Control Implementado sin evidencia de efectividad (Inefectivo prueba)</t>
        </is>
      </c>
      <c r="Q160" s="52" t="n">
        <v>0.3</v>
      </c>
      <c r="R160" s="4" t="inlineStr">
        <is>
          <t>Documentación sencible sin cifrar</t>
        </is>
      </c>
      <c r="S160" s="53">
        <f>+IF(O160="PREVENTIVO",J160*(1-Q160),IF(O160="ADMINISTRACION",J160*(1-Q160),IF(O160="ELIMINACION",J160*(1-Q160),J160)))</f>
        <v/>
      </c>
      <c r="T160" s="53">
        <f>+IF(O160="DETECTIVO",K160*(1-Q160),IF(O160="RECUPERACION",K160*(1-Q160),K160))</f>
        <v/>
      </c>
      <c r="U160" s="54">
        <f>+S160*T160</f>
        <v/>
      </c>
      <c r="V160" s="65">
        <f>+IF(U160&lt;5,"BAJO",IF(U160&lt;10,"MEDIO",IF(U160&lt;17,"ALTO","CRITICO")))</f>
        <v/>
      </c>
      <c r="W160" s="87" t="inlineStr">
        <is>
          <t>MITIGAR</t>
        </is>
      </c>
      <c r="X160" s="80" t="inlineStr">
        <is>
          <t>-</t>
        </is>
      </c>
      <c r="Y160" s="80" t="inlineStr">
        <is>
          <t>-</t>
        </is>
      </c>
      <c r="Z160" s="80" t="inlineStr">
        <is>
          <t>-</t>
        </is>
      </c>
    </row>
    <row r="161" hidden="1" ht="30.5" customHeight="1" s="98">
      <c r="A161" s="91" t="inlineStr">
        <is>
          <t>28-GCO</t>
        </is>
      </c>
      <c r="B161" s="17" t="inlineStr">
        <is>
          <t>Minuta de levantamiento de hipoteca o prenda</t>
        </is>
      </c>
      <c r="C161" s="17" t="inlineStr">
        <is>
          <t>Escritura de hipoteca que realiza el socio y se recepta el físico</t>
        </is>
      </c>
      <c r="D161" s="55" t="inlineStr">
        <is>
          <t>[D] Datos / Información / datos de configuración</t>
        </is>
      </c>
      <c r="E161" s="34" t="inlineStr">
        <is>
          <t>[E.18] Destrucción de información</t>
        </is>
      </c>
      <c r="F161" s="34">
        <f>+VLOOKUP(E161,'CATALOGO AMENAZA'!$B$2:$D$46,3,FALSE)</f>
        <v/>
      </c>
      <c r="G161" s="34" t="n"/>
      <c r="H161" s="34" t="n"/>
      <c r="I161" s="34" t="inlineStr">
        <is>
          <t>X</t>
        </is>
      </c>
      <c r="J161" s="34" t="n">
        <v>2</v>
      </c>
      <c r="K161" s="34" t="n">
        <v>3</v>
      </c>
      <c r="L161" s="34">
        <f>+J161*K161</f>
        <v/>
      </c>
      <c r="M161" s="34">
        <f>+IF(L161&lt;5,"BAJO",IF(L161&lt;10,"MEDIO",IF(L161&lt;17,"ALTO","CRITICO")))</f>
        <v/>
      </c>
      <c r="N161" s="54" t="inlineStr">
        <is>
          <t>Respaldo digital de información</t>
        </is>
      </c>
      <c r="O161" s="54" t="inlineStr">
        <is>
          <t>PREVENTIVO</t>
        </is>
      </c>
      <c r="P161" s="34" t="inlineStr">
        <is>
          <t>Control Implementado sin evidencia de efectividad (Inefectivo prueba)</t>
        </is>
      </c>
      <c r="Q161" s="52" t="n">
        <v>0.3</v>
      </c>
      <c r="R161" s="34" t="inlineStr">
        <is>
          <t>Almacenamiento sin prueba de efectividad</t>
        </is>
      </c>
      <c r="S161" s="53">
        <f>+IF(O161="PREVENTIVO",J161*(1-Q161),IF(O161="ADMINISTRACION",J161*(1-Q161),IF(O161="ELIMINACION",J161*(1-Q161),J161)))</f>
        <v/>
      </c>
      <c r="T161" s="53">
        <f>+IF(O161="DETECTIVO",K161*(1-Q161),IF(O161="RECUPERACION",K161*(1-Q161),K161))</f>
        <v/>
      </c>
      <c r="U161" s="54">
        <f>+S161*T161</f>
        <v/>
      </c>
      <c r="V161" s="65">
        <f>+IF(U161&lt;5,"BAJO",IF(U161&lt;10,"MEDIO",IF(U161&lt;17,"ALTO","CRITICO")))</f>
        <v/>
      </c>
      <c r="W161" s="65" t="inlineStr">
        <is>
          <t>ACEPTABLE</t>
        </is>
      </c>
      <c r="X161" s="80" t="inlineStr">
        <is>
          <t>-</t>
        </is>
      </c>
      <c r="Y161" s="80" t="inlineStr">
        <is>
          <t>-</t>
        </is>
      </c>
      <c r="Z161" s="80" t="inlineStr">
        <is>
          <t>-</t>
        </is>
      </c>
    </row>
    <row r="162" hidden="1" ht="41" customHeight="1" s="98">
      <c r="A162" s="91" t="inlineStr">
        <is>
          <t>32-GCO</t>
        </is>
      </c>
      <c r="B162" s="17" t="inlineStr">
        <is>
          <t>Convenio de compra de cartera</t>
        </is>
      </c>
      <c r="C162" s="17" t="inlineStr">
        <is>
          <t>Convenio de compra de cartera aprobado por GG y certificado por el CAD</t>
        </is>
      </c>
      <c r="D162" s="55" t="inlineStr">
        <is>
          <t>[D] Datos / Información / datos de configuración</t>
        </is>
      </c>
      <c r="E162" s="34" t="inlineStr">
        <is>
          <t>[A.7] Uso no previsto</t>
        </is>
      </c>
      <c r="F162" s="34">
        <f>+VLOOKUP(E162,'CATALOGO AMENAZA'!$B$2:$D$46,3,FALSE)</f>
        <v/>
      </c>
      <c r="G162" s="34" t="inlineStr">
        <is>
          <t>X</t>
        </is>
      </c>
      <c r="H162" s="34" t="inlineStr">
        <is>
          <t>X</t>
        </is>
      </c>
      <c r="I162" s="34" t="inlineStr">
        <is>
          <t>X</t>
        </is>
      </c>
      <c r="J162" s="34" t="n">
        <v>3</v>
      </c>
      <c r="K162" s="34" t="n">
        <v>3</v>
      </c>
      <c r="L162" s="34">
        <f>+J162*K162</f>
        <v/>
      </c>
      <c r="M162" s="34">
        <f>+IF(L162&lt;5,"BAJO",IF(L162&lt;10,"MEDIO",IF(L162&lt;17,"ALTO","CRITICO")))</f>
        <v/>
      </c>
      <c r="N162" s="34" t="inlineStr">
        <is>
          <t>Sortware DLP /Políticas de uso de información contractual</t>
        </is>
      </c>
      <c r="O162" s="34" t="inlineStr">
        <is>
          <t>PREVENTIVO</t>
        </is>
      </c>
      <c r="P162" s="34" t="inlineStr">
        <is>
          <t>Control Implementado sin evidencia de efectividad (Inefectivo prueba)</t>
        </is>
      </c>
      <c r="Q162" s="52" t="n">
        <v>0.3</v>
      </c>
      <c r="R162" s="4" t="inlineStr">
        <is>
          <t>Documentación sencible sin cifrar</t>
        </is>
      </c>
      <c r="S162" s="53">
        <f>+IF(O162="PREVENTIVO",J162*(1-Q162),IF(O162="ADMINISTRACION",J162*(1-Q162),IF(O162="ELIMINACION",J162*(1-Q162),J162)))</f>
        <v/>
      </c>
      <c r="T162" s="53">
        <f>+IF(O162="DETECTIVO",K162*(1-Q162),IF(O162="RECUPERACION",K162*(1-Q162),K162))</f>
        <v/>
      </c>
      <c r="U162" s="54">
        <f>+S162*T162</f>
        <v/>
      </c>
      <c r="V162" s="65">
        <f>+IF(U162&lt;5,"BAJO",IF(U162&lt;10,"MEDIO",IF(U162&lt;17,"ALTO","CRITICO")))</f>
        <v/>
      </c>
      <c r="W162" s="87" t="inlineStr">
        <is>
          <t>MITIGAR</t>
        </is>
      </c>
      <c r="X162" s="80" t="inlineStr">
        <is>
          <t>-</t>
        </is>
      </c>
      <c r="Y162" s="80" t="inlineStr">
        <is>
          <t>-</t>
        </is>
      </c>
      <c r="Z162" s="80" t="inlineStr">
        <is>
          <t>-</t>
        </is>
      </c>
    </row>
    <row r="163" hidden="1" ht="30.5" customHeight="1" s="98">
      <c r="A163" s="91" t="inlineStr">
        <is>
          <t>32-GCO</t>
        </is>
      </c>
      <c r="B163" s="17" t="inlineStr">
        <is>
          <t>Convenio de compra de cartera</t>
        </is>
      </c>
      <c r="C163" s="17" t="inlineStr">
        <is>
          <t>Convenio de compra de cartera aprobado por GG y certificado por el CAD</t>
        </is>
      </c>
      <c r="D163" s="55" t="inlineStr">
        <is>
          <t>[D] Datos / Información / datos de configuración</t>
        </is>
      </c>
      <c r="E163" s="34" t="inlineStr">
        <is>
          <t>[E.18] Destrucción de información</t>
        </is>
      </c>
      <c r="F163" s="34">
        <f>+VLOOKUP(E163,'CATALOGO AMENAZA'!$B$2:$D$46,3,FALSE)</f>
        <v/>
      </c>
      <c r="G163" s="34" t="n"/>
      <c r="H163" s="34" t="n"/>
      <c r="I163" s="34" t="inlineStr">
        <is>
          <t>X</t>
        </is>
      </c>
      <c r="J163" s="34" t="n">
        <v>2</v>
      </c>
      <c r="K163" s="34" t="n">
        <v>3</v>
      </c>
      <c r="L163" s="34">
        <f>+J163*K163</f>
        <v/>
      </c>
      <c r="M163" s="34">
        <f>+IF(L163&lt;5,"BAJO",IF(L163&lt;10,"MEDIO",IF(L163&lt;17,"ALTO","CRITICO")))</f>
        <v/>
      </c>
      <c r="N163" s="54" t="inlineStr">
        <is>
          <t>Respaldo digital de información</t>
        </is>
      </c>
      <c r="O163" s="54" t="inlineStr">
        <is>
          <t>PREVENTIVO</t>
        </is>
      </c>
      <c r="P163" s="34" t="inlineStr">
        <is>
          <t>Control Implementado sin evidencia de efectividad (Inefectivo prueba)</t>
        </is>
      </c>
      <c r="Q163" s="52" t="n">
        <v>0.3</v>
      </c>
      <c r="R163" s="34" t="inlineStr">
        <is>
          <t>Almacenamiento sin prueba de efectividad</t>
        </is>
      </c>
      <c r="S163" s="53">
        <f>+IF(O163="PREVENTIVO",J163*(1-Q163),IF(O163="ADMINISTRACION",J163*(1-Q163),IF(O163="ELIMINACION",J163*(1-Q163),J163)))</f>
        <v/>
      </c>
      <c r="T163" s="53">
        <f>+IF(O163="DETECTIVO",K163*(1-Q163),IF(O163="RECUPERACION",K163*(1-Q163),K163))</f>
        <v/>
      </c>
      <c r="U163" s="54">
        <f>+S163*T163</f>
        <v/>
      </c>
      <c r="V163" s="65">
        <f>+IF(U163&lt;5,"BAJO",IF(U163&lt;10,"MEDIO",IF(U163&lt;17,"ALTO","CRITICO")))</f>
        <v/>
      </c>
      <c r="W163" s="65" t="inlineStr">
        <is>
          <t>ACEPTABLE</t>
        </is>
      </c>
      <c r="X163" s="80" t="inlineStr">
        <is>
          <t>-</t>
        </is>
      </c>
      <c r="Y163" s="80" t="inlineStr">
        <is>
          <t>-</t>
        </is>
      </c>
      <c r="Z163" s="80" t="inlineStr">
        <is>
          <t>-</t>
        </is>
      </c>
    </row>
    <row r="164" hidden="1" ht="30.5" customHeight="1" s="98">
      <c r="A164" s="91" t="inlineStr">
        <is>
          <t>39-GCO</t>
        </is>
      </c>
      <c r="B164" s="17" t="inlineStr">
        <is>
          <t>Expedientes físicos</t>
        </is>
      </c>
      <c r="C164" s="17" t="inlineStr">
        <is>
          <t xml:space="preserve">Documentación física resultante del proceso de compra de cartera </t>
        </is>
      </c>
      <c r="D164" s="55" t="inlineStr">
        <is>
          <t>[D] Datos / Información / datos de configuración</t>
        </is>
      </c>
      <c r="E164" s="34" t="inlineStr">
        <is>
          <t>[E.19] Fugas de información</t>
        </is>
      </c>
      <c r="F164" s="34">
        <f>+VLOOKUP(E164,'CATALOGO AMENAZA'!$B$2:$D$46,3,FALSE)</f>
        <v/>
      </c>
      <c r="G164" s="34" t="inlineStr">
        <is>
          <t>X</t>
        </is>
      </c>
      <c r="H164" s="34" t="n"/>
      <c r="I164" s="34" t="n"/>
      <c r="J164" s="34" t="n">
        <v>3</v>
      </c>
      <c r="K164" s="34" t="n">
        <v>3</v>
      </c>
      <c r="L164" s="34">
        <f>+J164*K164</f>
        <v/>
      </c>
      <c r="M164" s="34">
        <f>+IF(L164&lt;5,"BAJO",IF(L164&lt;10,"MEDIO",IF(L164&lt;17,"ALTO","CRITICO")))</f>
        <v/>
      </c>
      <c r="N164" s="34" t="inlineStr">
        <is>
          <t>Simulacros</t>
        </is>
      </c>
      <c r="O164" s="54" t="inlineStr">
        <is>
          <t>PREVENTIVO</t>
        </is>
      </c>
      <c r="P164" s="34" t="inlineStr">
        <is>
          <t>Control implementado formalizado y probado</t>
        </is>
      </c>
      <c r="Q164" s="50" t="n">
        <v>0.8</v>
      </c>
      <c r="R164" s="34" t="inlineStr">
        <is>
          <t>-</t>
        </is>
      </c>
      <c r="S164" s="53">
        <f>+IF(O164="PREVENTIVO",J164*(1-Q164),IF(O164="ADMINISTRACION",J164*(1-Q164),IF(O164="ELIMINACION",J164*(1-Q164),J164)))</f>
        <v/>
      </c>
      <c r="T164" s="53">
        <f>+IF(O164="DETECTIVO",K164*(1-Q164),IF(O164="RECUPERACION",K164*(1-Q164),K164))</f>
        <v/>
      </c>
      <c r="U164" s="54">
        <f>+S164*T164</f>
        <v/>
      </c>
      <c r="V164" s="65">
        <f>+IF(U164&lt;5,"BAJO",IF(U164&lt;10,"MEDIO",IF(U164&lt;17,"ALTO","CRITICO")))</f>
        <v/>
      </c>
      <c r="W164" s="65" t="inlineStr">
        <is>
          <t>ACEPTABLE</t>
        </is>
      </c>
      <c r="X164" s="80" t="inlineStr">
        <is>
          <t>-</t>
        </is>
      </c>
      <c r="Y164" s="80" t="inlineStr">
        <is>
          <t>-</t>
        </is>
      </c>
      <c r="Z164" s="80" t="inlineStr">
        <is>
          <t>-</t>
        </is>
      </c>
    </row>
    <row r="165" hidden="1" ht="30.5" customHeight="1" s="98">
      <c r="A165" s="91" t="inlineStr">
        <is>
          <t>39-GCO</t>
        </is>
      </c>
      <c r="B165" s="17" t="inlineStr">
        <is>
          <t>Expedientes físicos</t>
        </is>
      </c>
      <c r="C165" s="17" t="inlineStr">
        <is>
          <t xml:space="preserve">Documentación física resultante del proceso de compra de cartera </t>
        </is>
      </c>
      <c r="D165" s="55" t="inlineStr">
        <is>
          <t>[D] Datos / Información / datos de configuración</t>
        </is>
      </c>
      <c r="E165" s="34" t="inlineStr">
        <is>
          <t>[E.18] Destrucción de información</t>
        </is>
      </c>
      <c r="F165" s="34">
        <f>+VLOOKUP(E165,'CATALOGO AMENAZA'!$B$2:$D$46,3,FALSE)</f>
        <v/>
      </c>
      <c r="G165" s="34" t="n"/>
      <c r="H165" s="34" t="n"/>
      <c r="I165" s="34" t="inlineStr">
        <is>
          <t>X</t>
        </is>
      </c>
      <c r="J165" s="34" t="n">
        <v>2</v>
      </c>
      <c r="K165" s="34" t="n">
        <v>4</v>
      </c>
      <c r="L165" s="34">
        <f>+J165*K165</f>
        <v/>
      </c>
      <c r="M165" s="34">
        <f>+IF(L165&lt;5,"BAJO",IF(L165&lt;10,"MEDIO",IF(L165&lt;17,"ALTO","CRITICO")))</f>
        <v/>
      </c>
      <c r="N165" s="54" t="inlineStr">
        <is>
          <t>Respaldo digital de información</t>
        </is>
      </c>
      <c r="O165" s="54" t="inlineStr">
        <is>
          <t>PREVENTIVO</t>
        </is>
      </c>
      <c r="P165" s="34" t="inlineStr">
        <is>
          <t>Control Implementado sin evidencia de efectividad (Inefectivo prueba)</t>
        </is>
      </c>
      <c r="Q165" s="52" t="n">
        <v>0.3</v>
      </c>
      <c r="R165" s="34" t="inlineStr">
        <is>
          <t>Almacenamiento sin prueba de efectividad</t>
        </is>
      </c>
      <c r="S165" s="53">
        <f>+IF(O165="PREVENTIVO",J165*(1-Q165),IF(O165="ADMINISTRACION",J165*(1-Q165),IF(O165="ELIMINACION",J165*(1-Q165),J165)))</f>
        <v/>
      </c>
      <c r="T165" s="53">
        <f>+IF(O165="DETECTIVO",K165*(1-Q165),IF(O165="RECUPERACION",K165*(1-Q165),K165))</f>
        <v/>
      </c>
      <c r="U165" s="54">
        <f>+S165*T165</f>
        <v/>
      </c>
      <c r="V165" s="65">
        <f>+IF(U165&lt;5,"BAJO",IF(U165&lt;10,"MEDIO",IF(U165&lt;17,"ALTO","CRITICO")))</f>
        <v/>
      </c>
      <c r="W165" s="87" t="inlineStr">
        <is>
          <t>MITIGAR</t>
        </is>
      </c>
      <c r="X165" s="80" t="inlineStr">
        <is>
          <t>-</t>
        </is>
      </c>
      <c r="Y165" s="80" t="inlineStr">
        <is>
          <t>-</t>
        </is>
      </c>
      <c r="Z165" s="80" t="inlineStr">
        <is>
          <t>-</t>
        </is>
      </c>
    </row>
    <row r="166" hidden="1" ht="41" customHeight="1" s="98">
      <c r="A166" s="91" t="inlineStr">
        <is>
          <t>40-GCO</t>
        </is>
      </c>
      <c r="B166" s="17" t="inlineStr">
        <is>
          <t>Expedientes digitales</t>
        </is>
      </c>
      <c r="C166" s="17" t="inlineStr">
        <is>
          <t xml:space="preserve">Documentación digital resultante del proceso de compra de cartera </t>
        </is>
      </c>
      <c r="D166" s="55" t="inlineStr">
        <is>
          <t>[D] Datos / Información / datos de configuración</t>
        </is>
      </c>
      <c r="E166" s="34" t="inlineStr">
        <is>
          <t>[A.7] Uso no previsto</t>
        </is>
      </c>
      <c r="F166" s="34">
        <f>+VLOOKUP(E166,'CATALOGO AMENAZA'!$B$2:$D$46,3,FALSE)</f>
        <v/>
      </c>
      <c r="G166" s="34" t="inlineStr">
        <is>
          <t>X</t>
        </is>
      </c>
      <c r="H166" s="34" t="inlineStr">
        <is>
          <t>X</t>
        </is>
      </c>
      <c r="I166" s="34" t="inlineStr">
        <is>
          <t>X</t>
        </is>
      </c>
      <c r="J166" s="34" t="n">
        <v>2</v>
      </c>
      <c r="K166" s="34" t="n">
        <v>4</v>
      </c>
      <c r="L166" s="34">
        <f>+J166*K166</f>
        <v/>
      </c>
      <c r="M166" s="34">
        <f>+IF(L166&lt;5,"BAJO",IF(L166&lt;10,"MEDIO",IF(L166&lt;17,"ALTO","CRITICO")))</f>
        <v/>
      </c>
      <c r="N166" s="34" t="inlineStr">
        <is>
          <t>Sortware DLP /Políticas de uso de información contractual</t>
        </is>
      </c>
      <c r="O166" s="34" t="inlineStr">
        <is>
          <t>PREVENTIVO</t>
        </is>
      </c>
      <c r="P166" s="34" t="inlineStr">
        <is>
          <t>Control Implementado sin evidencia de efectividad (Inefectivo prueba)</t>
        </is>
      </c>
      <c r="Q166" s="52" t="n">
        <v>0.3</v>
      </c>
      <c r="R166" s="4" t="inlineStr">
        <is>
          <t>Documentación sencible sin cifrar</t>
        </is>
      </c>
      <c r="S166" s="53">
        <f>+IF(O166="PREVENTIVO",J166*(1-Q166),IF(O166="ADMINISTRACION",J166*(1-Q166),IF(O166="ELIMINACION",J166*(1-Q166),J166)))</f>
        <v/>
      </c>
      <c r="T166" s="53">
        <f>+IF(O166="DETECTIVO",K166*(1-Q166),IF(O166="RECUPERACION",K166*(1-Q166),K166))</f>
        <v/>
      </c>
      <c r="U166" s="54">
        <f>+S166*T166</f>
        <v/>
      </c>
      <c r="V166" s="65">
        <f>+IF(U166&lt;5,"BAJO",IF(U166&lt;10,"MEDIO",IF(U166&lt;17,"ALTO","CRITICO")))</f>
        <v/>
      </c>
      <c r="W166" s="87" t="inlineStr">
        <is>
          <t>MITIGAR</t>
        </is>
      </c>
      <c r="X166" s="80" t="inlineStr">
        <is>
          <t>-</t>
        </is>
      </c>
      <c r="Y166" s="80" t="inlineStr">
        <is>
          <t>-</t>
        </is>
      </c>
      <c r="Z166" s="80" t="inlineStr">
        <is>
          <t>-</t>
        </is>
      </c>
    </row>
    <row r="167" hidden="1" ht="30.5" customHeight="1" s="98">
      <c r="A167" s="91" t="inlineStr">
        <is>
          <t>40-GCO</t>
        </is>
      </c>
      <c r="B167" s="17" t="inlineStr">
        <is>
          <t>Expedientes digitales</t>
        </is>
      </c>
      <c r="C167" s="17" t="inlineStr">
        <is>
          <t xml:space="preserve">Documentación digital resultante del proceso de compra de cartera </t>
        </is>
      </c>
      <c r="D167" s="55" t="inlineStr">
        <is>
          <t>[D] Datos / Información / datos de configuración</t>
        </is>
      </c>
      <c r="E167" s="34" t="inlineStr">
        <is>
          <t>[E.18] Destrucción de información</t>
        </is>
      </c>
      <c r="F167" s="34">
        <f>+VLOOKUP(E167,'CATALOGO AMENAZA'!$B$2:$D$46,3,FALSE)</f>
        <v/>
      </c>
      <c r="G167" s="34" t="n"/>
      <c r="H167" s="34" t="n"/>
      <c r="I167" s="34" t="inlineStr">
        <is>
          <t>X</t>
        </is>
      </c>
      <c r="J167" s="34" t="n">
        <v>2</v>
      </c>
      <c r="K167" s="34" t="n">
        <v>4</v>
      </c>
      <c r="L167" s="34">
        <f>+J167*K167</f>
        <v/>
      </c>
      <c r="M167" s="34">
        <f>+IF(L167&lt;5,"BAJO",IF(L167&lt;10,"MEDIO",IF(L167&lt;17,"ALTO","CRITICO")))</f>
        <v/>
      </c>
      <c r="N167" s="54" t="inlineStr">
        <is>
          <t>Respaldo digital de información</t>
        </is>
      </c>
      <c r="O167" s="54" t="inlineStr">
        <is>
          <t>PREVENTIVO</t>
        </is>
      </c>
      <c r="P167" s="34" t="inlineStr">
        <is>
          <t>Control Implementado sin evidencia de efectividad (Inefectivo prueba)</t>
        </is>
      </c>
      <c r="Q167" s="52" t="n">
        <v>0.3</v>
      </c>
      <c r="R167" s="34" t="inlineStr">
        <is>
          <t>Almacenamiento sin prueba de efectividad</t>
        </is>
      </c>
      <c r="S167" s="53">
        <f>+IF(O167="PREVENTIVO",J167*(1-Q167),IF(O167="ADMINISTRACION",J167*(1-Q167),IF(O167="ELIMINACION",J167*(1-Q167),J167)))</f>
        <v/>
      </c>
      <c r="T167" s="53">
        <f>+IF(O167="DETECTIVO",K167*(1-Q167),IF(O167="RECUPERACION",K167*(1-Q167),K167))</f>
        <v/>
      </c>
      <c r="U167" s="54">
        <f>+S167*T167</f>
        <v/>
      </c>
      <c r="V167" s="65">
        <f>+IF(U167&lt;5,"BAJO",IF(U167&lt;10,"MEDIO",IF(U167&lt;17,"ALTO","CRITICO")))</f>
        <v/>
      </c>
      <c r="W167" s="87" t="inlineStr">
        <is>
          <t>MITIGAR</t>
        </is>
      </c>
      <c r="X167" s="80" t="inlineStr">
        <is>
          <t>-</t>
        </is>
      </c>
      <c r="Y167" s="80" t="inlineStr">
        <is>
          <t>-</t>
        </is>
      </c>
      <c r="Z167" s="80" t="inlineStr">
        <is>
          <t>-</t>
        </is>
      </c>
    </row>
    <row r="168" hidden="1" ht="41" customHeight="1" s="98">
      <c r="A168" s="91" t="inlineStr">
        <is>
          <t>42-GCO</t>
        </is>
      </c>
      <c r="B168" s="17" t="inlineStr">
        <is>
          <t>Pagarés endosados</t>
        </is>
      </c>
      <c r="C168" s="17" t="inlineStr">
        <is>
          <t>Garantías de pagarés recibidas por el proveedor</t>
        </is>
      </c>
      <c r="D168" s="55" t="inlineStr">
        <is>
          <t>[D] Datos / Información / datos de configuración</t>
        </is>
      </c>
      <c r="E168" s="34" t="inlineStr">
        <is>
          <t>[A.7] Uso no previsto</t>
        </is>
      </c>
      <c r="F168" s="34">
        <f>+VLOOKUP(E168,'CATALOGO AMENAZA'!$B$2:$D$46,3,FALSE)</f>
        <v/>
      </c>
      <c r="G168" s="34" t="inlineStr">
        <is>
          <t>X</t>
        </is>
      </c>
      <c r="H168" s="34" t="inlineStr">
        <is>
          <t>X</t>
        </is>
      </c>
      <c r="I168" s="34" t="inlineStr">
        <is>
          <t>X</t>
        </is>
      </c>
      <c r="J168" s="34" t="n">
        <v>3</v>
      </c>
      <c r="K168" s="34" t="n">
        <v>2</v>
      </c>
      <c r="L168" s="34">
        <f>+J168*K168</f>
        <v/>
      </c>
      <c r="M168" s="34">
        <f>+IF(L168&lt;5,"BAJO",IF(L168&lt;10,"MEDIO",IF(L168&lt;17,"ALTO","CRITICO")))</f>
        <v/>
      </c>
      <c r="N168" s="34" t="inlineStr">
        <is>
          <t>Sortware DLP /Políticas de uso de información contractual</t>
        </is>
      </c>
      <c r="O168" s="34" t="inlineStr">
        <is>
          <t>PREVENTIVO</t>
        </is>
      </c>
      <c r="P168" s="34" t="inlineStr">
        <is>
          <t>Control Implementado sin evidencia de efectividad (Inefectivo prueba)</t>
        </is>
      </c>
      <c r="Q168" s="52" t="n">
        <v>0.3</v>
      </c>
      <c r="R168" s="4" t="inlineStr">
        <is>
          <t>Documentación sencible sin cifrar</t>
        </is>
      </c>
      <c r="S168" s="53">
        <f>+IF(O168="PREVENTIVO",J168*(1-Q168),IF(O168="ADMINISTRACION",J168*(1-Q168),IF(O168="ELIMINACION",J168*(1-Q168),J168)))</f>
        <v/>
      </c>
      <c r="T168" s="53">
        <f>+IF(O168="DETECTIVO",K168*(1-Q168),IF(O168="RECUPERACION",K168*(1-Q168),K168))</f>
        <v/>
      </c>
      <c r="U168" s="54">
        <f>+S168*T168</f>
        <v/>
      </c>
      <c r="V168" s="65">
        <f>+IF(U168&lt;5,"BAJO",IF(U168&lt;10,"MEDIO",IF(U168&lt;17,"ALTO","CRITICO")))</f>
        <v/>
      </c>
      <c r="W168" s="65" t="inlineStr">
        <is>
          <t>ACEPTABLE</t>
        </is>
      </c>
      <c r="X168" s="80" t="inlineStr">
        <is>
          <t>-</t>
        </is>
      </c>
      <c r="Y168" s="80" t="inlineStr">
        <is>
          <t>-</t>
        </is>
      </c>
      <c r="Z168" s="80" t="inlineStr">
        <is>
          <t>-</t>
        </is>
      </c>
    </row>
    <row r="169" hidden="1" ht="30.5" customHeight="1" s="98">
      <c r="A169" s="91" t="inlineStr">
        <is>
          <t>42-GCO</t>
        </is>
      </c>
      <c r="B169" s="17" t="inlineStr">
        <is>
          <t>Pagarés endosados</t>
        </is>
      </c>
      <c r="C169" s="17" t="inlineStr">
        <is>
          <t>Garantías de pagarés recibidas por el proveedor</t>
        </is>
      </c>
      <c r="D169" s="55" t="inlineStr">
        <is>
          <t>[D] Datos / Información / datos de configuración</t>
        </is>
      </c>
      <c r="E169" s="34" t="inlineStr">
        <is>
          <t>[E.18] Destrucción de información</t>
        </is>
      </c>
      <c r="F169" s="34">
        <f>+VLOOKUP(E169,'CATALOGO AMENAZA'!$B$2:$D$46,3,FALSE)</f>
        <v/>
      </c>
      <c r="G169" s="34" t="n"/>
      <c r="H169" s="34" t="n"/>
      <c r="I169" s="34" t="inlineStr">
        <is>
          <t>X</t>
        </is>
      </c>
      <c r="J169" s="34" t="n">
        <v>2</v>
      </c>
      <c r="K169" s="34" t="n">
        <v>3</v>
      </c>
      <c r="L169" s="34">
        <f>+J169*K169</f>
        <v/>
      </c>
      <c r="M169" s="34">
        <f>+IF(L169&lt;5,"BAJO",IF(L169&lt;10,"MEDIO",IF(L169&lt;17,"ALTO","CRITICO")))</f>
        <v/>
      </c>
      <c r="N169" s="54" t="inlineStr">
        <is>
          <t>Respaldo digital de información</t>
        </is>
      </c>
      <c r="O169" s="54" t="inlineStr">
        <is>
          <t>PREVENTIVO</t>
        </is>
      </c>
      <c r="P169" s="34" t="inlineStr">
        <is>
          <t>Control Implementado sin evidencia de efectividad (Inefectivo prueba)</t>
        </is>
      </c>
      <c r="Q169" s="52" t="n">
        <v>0.3</v>
      </c>
      <c r="R169" s="34" t="inlineStr">
        <is>
          <t>Almacenamiento sin prueba de efectividad</t>
        </is>
      </c>
      <c r="S169" s="53">
        <f>+IF(O169="PREVENTIVO",J169*(1-Q169),IF(O169="ADMINISTRACION",J169*(1-Q169),IF(O169="ELIMINACION",J169*(1-Q169),J169)))</f>
        <v/>
      </c>
      <c r="T169" s="53">
        <f>+IF(O169="DETECTIVO",K169*(1-Q169),IF(O169="RECUPERACION",K169*(1-Q169),K169))</f>
        <v/>
      </c>
      <c r="U169" s="54">
        <f>+S169*T169</f>
        <v/>
      </c>
      <c r="V169" s="65">
        <f>+IF(U169&lt;5,"BAJO",IF(U169&lt;10,"MEDIO",IF(U169&lt;17,"ALTO","CRITICO")))</f>
        <v/>
      </c>
      <c r="W169" s="65" t="inlineStr">
        <is>
          <t>ACEPTABLE</t>
        </is>
      </c>
      <c r="X169" s="80" t="inlineStr">
        <is>
          <t>-</t>
        </is>
      </c>
      <c r="Y169" s="80" t="inlineStr">
        <is>
          <t>-</t>
        </is>
      </c>
      <c r="Z169" s="80" t="inlineStr">
        <is>
          <t>-</t>
        </is>
      </c>
    </row>
    <row r="170" hidden="1" ht="61.25" customHeight="1" s="98">
      <c r="A170" s="91" t="inlineStr">
        <is>
          <t>44-GCO</t>
        </is>
      </c>
      <c r="B170" s="17" t="inlineStr">
        <is>
          <t>Pólizas de seguro endosadas</t>
        </is>
      </c>
      <c r="C170" s="17" t="inlineStr">
        <is>
          <t>Documentos de pólizas enviadas a Tesorería,   así como los pagares endosados hipotecas y pólizas de seguro para el archivo bajo custodio</t>
        </is>
      </c>
      <c r="D170" s="55" t="inlineStr">
        <is>
          <t>[D] Datos / Información / datos de configuración</t>
        </is>
      </c>
      <c r="E170" s="34" t="inlineStr">
        <is>
          <t>[A.7] Uso no previsto</t>
        </is>
      </c>
      <c r="F170" s="34">
        <f>+VLOOKUP(E170,'CATALOGO AMENAZA'!$B$2:$D$46,3,FALSE)</f>
        <v/>
      </c>
      <c r="G170" s="34" t="inlineStr">
        <is>
          <t>X</t>
        </is>
      </c>
      <c r="H170" s="34" t="inlineStr">
        <is>
          <t>X</t>
        </is>
      </c>
      <c r="I170" s="34" t="inlineStr">
        <is>
          <t>X</t>
        </is>
      </c>
      <c r="J170" s="34" t="n">
        <v>2</v>
      </c>
      <c r="K170" s="34" t="n">
        <v>2</v>
      </c>
      <c r="L170" s="34">
        <f>+J170*K170</f>
        <v/>
      </c>
      <c r="M170" s="34">
        <f>+IF(L170&lt;5,"BAJO",IF(L170&lt;10,"MEDIO",IF(L170&lt;17,"ALTO","CRITICO")))</f>
        <v/>
      </c>
      <c r="N170" s="34" t="inlineStr">
        <is>
          <t>Sortware DLP /Políticas de uso de información contractual</t>
        </is>
      </c>
      <c r="O170" s="34" t="inlineStr">
        <is>
          <t>PREVENTIVO</t>
        </is>
      </c>
      <c r="P170" s="34" t="inlineStr">
        <is>
          <t>Control Implementado sin evidencia de efectividad (Inefectivo prueba)</t>
        </is>
      </c>
      <c r="Q170" s="52" t="n">
        <v>0.3</v>
      </c>
      <c r="R170" s="4" t="inlineStr">
        <is>
          <t>Documentación sencible sin cifrar</t>
        </is>
      </c>
      <c r="S170" s="53">
        <f>+IF(O170="PREVENTIVO",J170*(1-Q170),IF(O170="ADMINISTRACION",J170*(1-Q170),IF(O170="ELIMINACION",J170*(1-Q170),J170)))</f>
        <v/>
      </c>
      <c r="T170" s="53">
        <f>+IF(O170="DETECTIVO",K170*(1-Q170),IF(O170="RECUPERACION",K170*(1-Q170),K170))</f>
        <v/>
      </c>
      <c r="U170" s="54">
        <f>+S170*T170</f>
        <v/>
      </c>
      <c r="V170" s="65">
        <f>+IF(U170&lt;5,"BAJO",IF(U170&lt;10,"MEDIO",IF(U170&lt;17,"ALTO","CRITICO")))</f>
        <v/>
      </c>
      <c r="W170" s="65" t="inlineStr">
        <is>
          <t>ACEPTABLE</t>
        </is>
      </c>
      <c r="X170" s="80" t="inlineStr">
        <is>
          <t>-</t>
        </is>
      </c>
      <c r="Y170" s="80" t="inlineStr">
        <is>
          <t>-</t>
        </is>
      </c>
      <c r="Z170" s="80" t="inlineStr">
        <is>
          <t>-</t>
        </is>
      </c>
    </row>
    <row r="171" hidden="1" ht="61.25" customHeight="1" s="98">
      <c r="A171" s="91" t="inlineStr">
        <is>
          <t>44-GCO</t>
        </is>
      </c>
      <c r="B171" s="17" t="inlineStr">
        <is>
          <t>Pólizas de seguro endosadas</t>
        </is>
      </c>
      <c r="C171" s="17" t="inlineStr">
        <is>
          <t>Documentos de pólizas enviadas a Tesorería,   así como los pagares endosados hipotecas y pólizas de seguro para el archivo bajo custodio</t>
        </is>
      </c>
      <c r="D171" s="55" t="inlineStr">
        <is>
          <t>[D] Datos / Información / datos de configuración</t>
        </is>
      </c>
      <c r="E171" s="34" t="inlineStr">
        <is>
          <t>[E.18] Destrucción de información</t>
        </is>
      </c>
      <c r="F171" s="34">
        <f>+VLOOKUP(E171,'CATALOGO AMENAZA'!$B$2:$D$46,3,FALSE)</f>
        <v/>
      </c>
      <c r="G171" s="34" t="n"/>
      <c r="H171" s="34" t="n"/>
      <c r="I171" s="34" t="inlineStr">
        <is>
          <t>X</t>
        </is>
      </c>
      <c r="J171" s="34" t="n">
        <v>2</v>
      </c>
      <c r="K171" s="34" t="n">
        <v>3</v>
      </c>
      <c r="L171" s="34">
        <f>+J171*K171</f>
        <v/>
      </c>
      <c r="M171" s="34">
        <f>+IF(L171&lt;5,"BAJO",IF(L171&lt;10,"MEDIO",IF(L171&lt;17,"ALTO","CRITICO")))</f>
        <v/>
      </c>
      <c r="N171" s="54" t="inlineStr">
        <is>
          <t>Respaldo digital de información</t>
        </is>
      </c>
      <c r="O171" s="54" t="inlineStr">
        <is>
          <t>PREVENTIVO</t>
        </is>
      </c>
      <c r="P171" s="34" t="inlineStr">
        <is>
          <t>Control Implementado sin evidencia de efectividad (Inefectivo prueba)</t>
        </is>
      </c>
      <c r="Q171" s="52" t="n">
        <v>0.3</v>
      </c>
      <c r="R171" s="34" t="inlineStr">
        <is>
          <t>Almacenamiento sin prueba de efectividad</t>
        </is>
      </c>
      <c r="S171" s="53">
        <f>+IF(O171="PREVENTIVO",J171*(1-Q171),IF(O171="ADMINISTRACION",J171*(1-Q171),IF(O171="ELIMINACION",J171*(1-Q171),J171)))</f>
        <v/>
      </c>
      <c r="T171" s="53">
        <f>+IF(O171="DETECTIVO",K171*(1-Q171),IF(O171="RECUPERACION",K171*(1-Q171),K171))</f>
        <v/>
      </c>
      <c r="U171" s="54">
        <f>+S171*T171</f>
        <v/>
      </c>
      <c r="V171" s="65">
        <f>+IF(U171&lt;5,"BAJO",IF(U171&lt;10,"MEDIO",IF(U171&lt;17,"ALTO","CRITICO")))</f>
        <v/>
      </c>
      <c r="W171" s="65" t="inlineStr">
        <is>
          <t>ACEPTABLE</t>
        </is>
      </c>
      <c r="X171" s="80" t="inlineStr">
        <is>
          <t>-</t>
        </is>
      </c>
      <c r="Y171" s="80" t="inlineStr">
        <is>
          <t>-</t>
        </is>
      </c>
      <c r="Z171" s="80" t="inlineStr">
        <is>
          <t>-</t>
        </is>
      </c>
    </row>
    <row r="172" hidden="1" ht="20.5" customHeight="1" s="98">
      <c r="A172" s="91" t="inlineStr">
        <is>
          <t>45-GCO</t>
        </is>
      </c>
      <c r="B172" s="17" t="inlineStr">
        <is>
          <t>Pagaré</t>
        </is>
      </c>
      <c r="C172" s="17" t="inlineStr">
        <is>
          <t>Pagaré otorgado por el proveedor</t>
        </is>
      </c>
      <c r="D172" s="55" t="inlineStr">
        <is>
          <t>[D] Datos / Información / datos de configuración</t>
        </is>
      </c>
      <c r="E172" s="34" t="inlineStr">
        <is>
          <t>[E.19] Fugas de información</t>
        </is>
      </c>
      <c r="F172" s="34">
        <f>+VLOOKUP(E172,'CATALOGO AMENAZA'!$B$2:$D$46,3,FALSE)</f>
        <v/>
      </c>
      <c r="G172" s="34" t="inlineStr">
        <is>
          <t>X</t>
        </is>
      </c>
      <c r="H172" s="34" t="n"/>
      <c r="I172" s="34" t="n"/>
      <c r="J172" s="34" t="n">
        <v>2</v>
      </c>
      <c r="K172" s="34" t="n">
        <v>3</v>
      </c>
      <c r="L172" s="34">
        <f>+J172*K172</f>
        <v/>
      </c>
      <c r="M172" s="34">
        <f>+IF(L172&lt;5,"BAJO",IF(L172&lt;10,"MEDIO",IF(L172&lt;17,"ALTO","CRITICO")))</f>
        <v/>
      </c>
      <c r="N172" s="34" t="inlineStr">
        <is>
          <t>Simulacros</t>
        </is>
      </c>
      <c r="O172" s="54" t="inlineStr">
        <is>
          <t>PREVENTIVO</t>
        </is>
      </c>
      <c r="P172" s="34" t="inlineStr">
        <is>
          <t>Control implementado formalizado y probado</t>
        </is>
      </c>
      <c r="Q172" s="50" t="n">
        <v>0.8</v>
      </c>
      <c r="R172" s="34" t="inlineStr">
        <is>
          <t>-</t>
        </is>
      </c>
      <c r="S172" s="53">
        <f>+IF(O172="PREVENTIVO",J172*(1-Q172),IF(O172="ADMINISTRACION",J172*(1-Q172),IF(O172="ELIMINACION",J172*(1-Q172),J172)))</f>
        <v/>
      </c>
      <c r="T172" s="53">
        <f>+IF(O172="DETECTIVO",K172*(1-Q172),IF(O172="RECUPERACION",K172*(1-Q172),K172))</f>
        <v/>
      </c>
      <c r="U172" s="54">
        <f>+S172*T172</f>
        <v/>
      </c>
      <c r="V172" s="65">
        <f>+IF(U172&lt;5,"BAJO",IF(U172&lt;10,"MEDIO",IF(U172&lt;17,"ALTO","CRITICO")))</f>
        <v/>
      </c>
      <c r="W172" s="65" t="inlineStr">
        <is>
          <t>ACEPTABLE</t>
        </is>
      </c>
      <c r="X172" s="80" t="inlineStr">
        <is>
          <t>-</t>
        </is>
      </c>
      <c r="Y172" s="80" t="inlineStr">
        <is>
          <t>-</t>
        </is>
      </c>
      <c r="Z172" s="80" t="inlineStr">
        <is>
          <t>-</t>
        </is>
      </c>
    </row>
    <row r="173" hidden="1" ht="30.5" customHeight="1" s="98">
      <c r="A173" s="91" t="inlineStr">
        <is>
          <t>45-GCO</t>
        </is>
      </c>
      <c r="B173" s="17" t="inlineStr">
        <is>
          <t>Pagaré</t>
        </is>
      </c>
      <c r="C173" s="17" t="inlineStr">
        <is>
          <t>Pagaré otorgado por el proveedor</t>
        </is>
      </c>
      <c r="D173" s="55" t="inlineStr">
        <is>
          <t>[D] Datos / Información / datos de configuración</t>
        </is>
      </c>
      <c r="E173" s="34" t="inlineStr">
        <is>
          <t>[E.18] Destrucción de información</t>
        </is>
      </c>
      <c r="F173" s="34">
        <f>+VLOOKUP(E173,'CATALOGO AMENAZA'!$B$2:$D$46,3,FALSE)</f>
        <v/>
      </c>
      <c r="G173" s="34" t="n"/>
      <c r="H173" s="34" t="n"/>
      <c r="I173" s="34" t="inlineStr">
        <is>
          <t>X</t>
        </is>
      </c>
      <c r="J173" s="34" t="n">
        <v>2</v>
      </c>
      <c r="K173" s="34" t="n">
        <v>3</v>
      </c>
      <c r="L173" s="34">
        <f>+J173*K173</f>
        <v/>
      </c>
      <c r="M173" s="34">
        <f>+IF(L173&lt;5,"BAJO",IF(L173&lt;10,"MEDIO",IF(L173&lt;17,"ALTO","CRITICO")))</f>
        <v/>
      </c>
      <c r="N173" s="54" t="inlineStr">
        <is>
          <t>Respaldo digital de información</t>
        </is>
      </c>
      <c r="O173" s="54" t="inlineStr">
        <is>
          <t>PREVENTIVO</t>
        </is>
      </c>
      <c r="P173" s="34" t="inlineStr">
        <is>
          <t>Control Implementado sin evidencia de efectividad (Inefectivo prueba)</t>
        </is>
      </c>
      <c r="Q173" s="52" t="n">
        <v>0.3</v>
      </c>
      <c r="R173" s="34" t="inlineStr">
        <is>
          <t>Almacenamiento sin prueba de efectividad</t>
        </is>
      </c>
      <c r="S173" s="53">
        <f>+IF(O173="PREVENTIVO",J173*(1-Q173),IF(O173="ADMINISTRACION",J173*(1-Q173),IF(O173="ELIMINACION",J173*(1-Q173),J173)))</f>
        <v/>
      </c>
      <c r="T173" s="53">
        <f>+IF(O173="DETECTIVO",K173*(1-Q173),IF(O173="RECUPERACION",K173*(1-Q173),K173))</f>
        <v/>
      </c>
      <c r="U173" s="54">
        <f>+S173*T173</f>
        <v/>
      </c>
      <c r="V173" s="65">
        <f>+IF(U173&lt;5,"BAJO",IF(U173&lt;10,"MEDIO",IF(U173&lt;17,"ALTO","CRITICO")))</f>
        <v/>
      </c>
      <c r="W173" s="65" t="inlineStr">
        <is>
          <t>ACEPTABLE</t>
        </is>
      </c>
      <c r="X173" s="80" t="inlineStr">
        <is>
          <t>-</t>
        </is>
      </c>
      <c r="Y173" s="80" t="inlineStr">
        <is>
          <t>-</t>
        </is>
      </c>
      <c r="Z173" s="80" t="inlineStr">
        <is>
          <t>-</t>
        </is>
      </c>
    </row>
    <row r="174" hidden="1" ht="41" customHeight="1" s="98">
      <c r="A174" s="91" t="inlineStr">
        <is>
          <t>46-GCO</t>
        </is>
      </c>
      <c r="B174" s="17" t="inlineStr">
        <is>
          <t>Póliza de seguro vehicular</t>
        </is>
      </c>
      <c r="C174" s="17" t="inlineStr">
        <is>
          <t>Póliza de seguro vehicular de las operaciones canceladas</t>
        </is>
      </c>
      <c r="D174" s="55" t="inlineStr">
        <is>
          <t>[D] Datos / Información / datos de configuración</t>
        </is>
      </c>
      <c r="E174" s="34" t="inlineStr">
        <is>
          <t>[A.7] Uso no previsto</t>
        </is>
      </c>
      <c r="F174" s="34">
        <f>+VLOOKUP(E174,'CATALOGO AMENAZA'!$B$2:$D$46,3,FALSE)</f>
        <v/>
      </c>
      <c r="G174" s="34" t="inlineStr">
        <is>
          <t>X</t>
        </is>
      </c>
      <c r="H174" s="34" t="inlineStr">
        <is>
          <t>X</t>
        </is>
      </c>
      <c r="I174" s="34" t="inlineStr">
        <is>
          <t>X</t>
        </is>
      </c>
      <c r="J174" s="34" t="n">
        <v>2</v>
      </c>
      <c r="K174" s="34" t="n">
        <v>2</v>
      </c>
      <c r="L174" s="34">
        <f>+J174*K174</f>
        <v/>
      </c>
      <c r="M174" s="34">
        <f>+IF(L174&lt;5,"BAJO",IF(L174&lt;10,"MEDIO",IF(L174&lt;17,"ALTO","CRITICO")))</f>
        <v/>
      </c>
      <c r="N174" s="34" t="inlineStr">
        <is>
          <t>Sortware DLP /Políticas de uso de información contractual</t>
        </is>
      </c>
      <c r="O174" s="34" t="inlineStr">
        <is>
          <t>PREVENTIVO</t>
        </is>
      </c>
      <c r="P174" s="34" t="inlineStr">
        <is>
          <t>Control Implementado sin evidencia de efectividad (Inefectivo prueba)</t>
        </is>
      </c>
      <c r="Q174" s="52" t="n">
        <v>0.3</v>
      </c>
      <c r="R174" s="4" t="inlineStr">
        <is>
          <t>Documentación sencible sin cifrar</t>
        </is>
      </c>
      <c r="S174" s="53">
        <f>+IF(O174="PREVENTIVO",J174*(1-Q174),IF(O174="ADMINISTRACION",J174*(1-Q174),IF(O174="ELIMINACION",J174*(1-Q174),J174)))</f>
        <v/>
      </c>
      <c r="T174" s="53">
        <f>+IF(O174="DETECTIVO",K174*(1-Q174),IF(O174="RECUPERACION",K174*(1-Q174),K174))</f>
        <v/>
      </c>
      <c r="U174" s="54">
        <f>+S174*T174</f>
        <v/>
      </c>
      <c r="V174" s="65">
        <f>+IF(U174&lt;5,"BAJO",IF(U174&lt;10,"MEDIO",IF(U174&lt;17,"ALTO","CRITICO")))</f>
        <v/>
      </c>
      <c r="W174" s="65" t="inlineStr">
        <is>
          <t>ACEPTABLE</t>
        </is>
      </c>
      <c r="X174" s="80" t="inlineStr">
        <is>
          <t>-</t>
        </is>
      </c>
      <c r="Y174" s="80" t="inlineStr">
        <is>
          <t>-</t>
        </is>
      </c>
      <c r="Z174" s="80" t="inlineStr">
        <is>
          <t>-</t>
        </is>
      </c>
    </row>
    <row r="175" hidden="1" ht="30.5" customHeight="1" s="98">
      <c r="A175" s="91" t="inlineStr">
        <is>
          <t>46-GCO</t>
        </is>
      </c>
      <c r="B175" s="17" t="inlineStr">
        <is>
          <t>Póliza de seguro vehicular</t>
        </is>
      </c>
      <c r="C175" s="17" t="inlineStr">
        <is>
          <t>Póliza de seguro vehicular de las operaciones canceladas</t>
        </is>
      </c>
      <c r="D175" s="55" t="inlineStr">
        <is>
          <t>[D] Datos / Información / datos de configuración</t>
        </is>
      </c>
      <c r="E175" s="34" t="inlineStr">
        <is>
          <t>[E.18] Destrucción de información</t>
        </is>
      </c>
      <c r="F175" s="34">
        <f>+VLOOKUP(E175,'CATALOGO AMENAZA'!$B$2:$D$46,3,FALSE)</f>
        <v/>
      </c>
      <c r="G175" s="34" t="n"/>
      <c r="H175" s="34" t="n"/>
      <c r="I175" s="34" t="inlineStr">
        <is>
          <t>X</t>
        </is>
      </c>
      <c r="J175" s="34" t="n">
        <v>2</v>
      </c>
      <c r="K175" s="34" t="n">
        <v>2</v>
      </c>
      <c r="L175" s="34">
        <f>+J175*K175</f>
        <v/>
      </c>
      <c r="M175" s="34">
        <f>+IF(L175&lt;5,"BAJO",IF(L175&lt;10,"MEDIO",IF(L175&lt;17,"ALTO","CRITICO")))</f>
        <v/>
      </c>
      <c r="N175" s="54" t="inlineStr">
        <is>
          <t>Respaldo digital de información</t>
        </is>
      </c>
      <c r="O175" s="54" t="inlineStr">
        <is>
          <t>PREVENTIVO</t>
        </is>
      </c>
      <c r="P175" s="34" t="inlineStr">
        <is>
          <t>Control Implementado sin evidencia de efectividad (Inefectivo prueba)</t>
        </is>
      </c>
      <c r="Q175" s="52" t="n">
        <v>0.3</v>
      </c>
      <c r="R175" s="34" t="inlineStr">
        <is>
          <t>Almacenamiento sin prueba de efectividad</t>
        </is>
      </c>
      <c r="S175" s="53">
        <f>+IF(O175="PREVENTIVO",J175*(1-Q175),IF(O175="ADMINISTRACION",J175*(1-Q175),IF(O175="ELIMINACION",J175*(1-Q175),J175)))</f>
        <v/>
      </c>
      <c r="T175" s="53">
        <f>+IF(O175="DETECTIVO",K175*(1-Q175),IF(O175="RECUPERACION",K175*(1-Q175),K175))</f>
        <v/>
      </c>
      <c r="U175" s="54">
        <f>+S175*T175</f>
        <v/>
      </c>
      <c r="V175" s="65">
        <f>+IF(U175&lt;5,"BAJO",IF(U175&lt;10,"MEDIO",IF(U175&lt;17,"ALTO","CRITICO")))</f>
        <v/>
      </c>
      <c r="W175" s="65" t="inlineStr">
        <is>
          <t>ACEPTABLE</t>
        </is>
      </c>
      <c r="X175" s="80" t="inlineStr">
        <is>
          <t>-</t>
        </is>
      </c>
      <c r="Y175" s="80" t="inlineStr">
        <is>
          <t>-</t>
        </is>
      </c>
      <c r="Z175" s="80" t="inlineStr">
        <is>
          <t>-</t>
        </is>
      </c>
    </row>
    <row r="176" hidden="1" ht="41" customHeight="1" s="98">
      <c r="A176" s="91" t="inlineStr">
        <is>
          <t>52-GCO</t>
        </is>
      </c>
      <c r="B176" s="17" t="inlineStr">
        <is>
          <t>Operaciones de crédito vendidas</t>
        </is>
      </c>
      <c r="C176" s="17" t="inlineStr">
        <is>
          <t>Reporte de cartera a venderse de acuerdo con los requerimientos del proveedor</t>
        </is>
      </c>
      <c r="D176" s="55" t="inlineStr">
        <is>
          <t>[D] Datos / Información / datos de configuración</t>
        </is>
      </c>
      <c r="E176" s="34" t="inlineStr">
        <is>
          <t>[E.19] Fugas de información</t>
        </is>
      </c>
      <c r="F176" s="34">
        <f>+VLOOKUP(E176,'CATALOGO AMENAZA'!$B$2:$D$46,3,FALSE)</f>
        <v/>
      </c>
      <c r="G176" s="34" t="inlineStr">
        <is>
          <t>X</t>
        </is>
      </c>
      <c r="H176" s="34" t="n"/>
      <c r="I176" s="34" t="n"/>
      <c r="J176" s="34" t="n">
        <v>3</v>
      </c>
      <c r="K176" s="34" t="n">
        <v>4</v>
      </c>
      <c r="L176" s="34">
        <f>+J176*K176</f>
        <v/>
      </c>
      <c r="M176" s="34">
        <f>+IF(L176&lt;5,"BAJO",IF(L176&lt;10,"MEDIO",IF(L176&lt;17,"ALTO","CRITICO")))</f>
        <v/>
      </c>
      <c r="N176" s="54" t="inlineStr">
        <is>
          <t>Software DLP</t>
        </is>
      </c>
      <c r="O176" s="54" t="inlineStr">
        <is>
          <t>PREVENTIVO</t>
        </is>
      </c>
      <c r="P176" s="34" t="inlineStr">
        <is>
          <t>Control Implementado sin evidencia de efectividad (Inefectivo prueba)</t>
        </is>
      </c>
      <c r="Q176" s="52" t="n">
        <v>0.3</v>
      </c>
      <c r="R176" s="34" t="inlineStr">
        <is>
          <t>Politicas sin restricción para jefaturas</t>
        </is>
      </c>
      <c r="S176" s="53">
        <f>+IF(O176="PREVENTIVO",J176*(1-Q176),IF(O176="ADMINISTRACION",J176*(1-Q176),IF(O176="ELIMINACION",J176*(1-Q176),J176)))</f>
        <v/>
      </c>
      <c r="T176" s="53">
        <f>+IF(O176="DETECTIVO",K176*(1-Q176),IF(O176="RECUPERACION",K176*(1-Q176),K176))</f>
        <v/>
      </c>
      <c r="U176" s="54">
        <f>+S176*T176</f>
        <v/>
      </c>
      <c r="V176" s="65">
        <f>+IF(U176&lt;5,"BAJO",IF(U176&lt;10,"MEDIO",IF(U176&lt;17,"ALTO","CRITICO")))</f>
        <v/>
      </c>
      <c r="W176" s="87" t="inlineStr">
        <is>
          <t>MITIGAR</t>
        </is>
      </c>
      <c r="X176" s="80" t="inlineStr">
        <is>
          <t>-</t>
        </is>
      </c>
      <c r="Y176" s="80" t="inlineStr">
        <is>
          <t>-</t>
        </is>
      </c>
      <c r="Z176" s="80" t="inlineStr">
        <is>
          <t>-</t>
        </is>
      </c>
    </row>
    <row r="177" hidden="1" ht="41" customHeight="1" s="98">
      <c r="A177" s="91" t="inlineStr">
        <is>
          <t>52-GCO</t>
        </is>
      </c>
      <c r="B177" s="17" t="inlineStr">
        <is>
          <t>Operaciones de crédito vendidas</t>
        </is>
      </c>
      <c r="C177" s="17" t="inlineStr">
        <is>
          <t>Reporte de cartera a venderse de acuerdo con los requerimientos del proveedor</t>
        </is>
      </c>
      <c r="D177" s="55" t="inlineStr">
        <is>
          <t>[D] Datos / Información / datos de configuración</t>
        </is>
      </c>
      <c r="E177" s="34" t="inlineStr">
        <is>
          <t>[E.18] Destrucción de información</t>
        </is>
      </c>
      <c r="F177" s="34">
        <f>+VLOOKUP(E177,'CATALOGO AMENAZA'!$B$2:$D$46,3,FALSE)</f>
        <v/>
      </c>
      <c r="G177" s="34" t="n"/>
      <c r="H177" s="34" t="n"/>
      <c r="I177" s="34" t="inlineStr">
        <is>
          <t>X</t>
        </is>
      </c>
      <c r="J177" s="34" t="n">
        <v>2</v>
      </c>
      <c r="K177" s="34" t="n">
        <v>2</v>
      </c>
      <c r="L177" s="34">
        <f>+J177*K177</f>
        <v/>
      </c>
      <c r="M177" s="34">
        <f>+IF(L177&lt;5,"BAJO",IF(L177&lt;10,"MEDIO",IF(L177&lt;17,"ALTO","CRITICO")))</f>
        <v/>
      </c>
      <c r="N177" s="54" t="inlineStr">
        <is>
          <t>Respaldo digital de información</t>
        </is>
      </c>
      <c r="O177" s="54" t="inlineStr">
        <is>
          <t>PREVENTIVO</t>
        </is>
      </c>
      <c r="P177" s="34" t="inlineStr">
        <is>
          <t>Control Implementado sin evidencia de efectividad (Inefectivo prueba)</t>
        </is>
      </c>
      <c r="Q177" s="52" t="n">
        <v>0.3</v>
      </c>
      <c r="R177" s="34" t="inlineStr">
        <is>
          <t>Almacenamiento sin prueba de efectividad</t>
        </is>
      </c>
      <c r="S177" s="53">
        <f>+IF(O177="PREVENTIVO",J177*(1-Q177),IF(O177="ADMINISTRACION",J177*(1-Q177),IF(O177="ELIMINACION",J177*(1-Q177),J177)))</f>
        <v/>
      </c>
      <c r="T177" s="53">
        <f>+IF(O177="DETECTIVO",K177*(1-Q177),IF(O177="RECUPERACION",K177*(1-Q177),K177))</f>
        <v/>
      </c>
      <c r="U177" s="54">
        <f>+S177*T177</f>
        <v/>
      </c>
      <c r="V177" s="65">
        <f>+IF(U177&lt;5,"BAJO",IF(U177&lt;10,"MEDIO",IF(U177&lt;17,"ALTO","CRITICO")))</f>
        <v/>
      </c>
      <c r="W177" s="65" t="inlineStr">
        <is>
          <t>ACEPTABLE</t>
        </is>
      </c>
      <c r="X177" s="80" t="inlineStr">
        <is>
          <t>-</t>
        </is>
      </c>
      <c r="Y177" s="80" t="inlineStr">
        <is>
          <t>-</t>
        </is>
      </c>
      <c r="Z177" s="80" t="inlineStr">
        <is>
          <t>-</t>
        </is>
      </c>
    </row>
    <row r="178" hidden="1" ht="30.5" customHeight="1" s="98">
      <c r="A178" s="91" t="inlineStr">
        <is>
          <t>30-GNE</t>
        </is>
      </c>
      <c r="B178" s="17" t="inlineStr">
        <is>
          <t>Grabaciones Sistema Issabel</t>
        </is>
      </c>
      <c r="C178" s="17" t="inlineStr">
        <is>
          <t>Archivos de sonido donde se evidencia la gestión de la campaña</t>
        </is>
      </c>
      <c r="D178" s="55" t="inlineStr">
        <is>
          <t>[D] Datos / Información / datos de configuración</t>
        </is>
      </c>
      <c r="E178" s="34" t="inlineStr">
        <is>
          <t>[E.19] Fugas de información</t>
        </is>
      </c>
      <c r="F178" s="34">
        <f>+VLOOKUP(E178,'CATALOGO AMENAZA'!$B$2:$D$46,3,FALSE)</f>
        <v/>
      </c>
      <c r="G178" s="34" t="inlineStr">
        <is>
          <t>X</t>
        </is>
      </c>
      <c r="H178" s="34" t="n"/>
      <c r="I178" s="34" t="n"/>
      <c r="J178" s="34" t="n">
        <v>3</v>
      </c>
      <c r="K178" s="34" t="n">
        <v>2</v>
      </c>
      <c r="L178" s="34">
        <f>+J178*K178</f>
        <v/>
      </c>
      <c r="M178" s="34">
        <f>+IF(L178&lt;5,"BAJO",IF(L178&lt;10,"MEDIO",IF(L178&lt;17,"ALTO","CRITICO")))</f>
        <v/>
      </c>
      <c r="N178" s="54" t="inlineStr">
        <is>
          <t>Software DLP</t>
        </is>
      </c>
      <c r="O178" s="54" t="inlineStr">
        <is>
          <t>PREVENTIVO</t>
        </is>
      </c>
      <c r="P178" s="34" t="inlineStr">
        <is>
          <t>Control Implementado sin evidencia de efectividad (Inefectivo prueba)</t>
        </is>
      </c>
      <c r="Q178" s="52" t="n">
        <v>0.3</v>
      </c>
      <c r="R178" s="34" t="inlineStr">
        <is>
          <t>Politicas sin restricción para jefaturas</t>
        </is>
      </c>
      <c r="S178" s="53">
        <f>+IF(O178="PREVENTIVO",J178*(1-Q178),IF(O178="ADMINISTRACION",J178*(1-Q178),IF(O178="ELIMINACION",J178*(1-Q178),J178)))</f>
        <v/>
      </c>
      <c r="T178" s="53">
        <f>+IF(O178="DETECTIVO",K178*(1-Q178),IF(O178="RECUPERACION",K178*(1-Q178),K178))</f>
        <v/>
      </c>
      <c r="U178" s="54">
        <f>+S178*T178</f>
        <v/>
      </c>
      <c r="V178" s="65">
        <f>+IF(U178&lt;5,"BAJO",IF(U178&lt;10,"MEDIO",IF(U178&lt;17,"ALTO","CRITICO")))</f>
        <v/>
      </c>
      <c r="W178" s="65" t="inlineStr">
        <is>
          <t>ACEPTABLE</t>
        </is>
      </c>
      <c r="X178" s="80" t="inlineStr">
        <is>
          <t>-</t>
        </is>
      </c>
      <c r="Y178" s="80" t="inlineStr">
        <is>
          <t>-</t>
        </is>
      </c>
      <c r="Z178" s="80" t="inlineStr">
        <is>
          <t>-</t>
        </is>
      </c>
    </row>
    <row r="179" hidden="1" ht="30.5" customHeight="1" s="98">
      <c r="A179" s="91" t="inlineStr">
        <is>
          <t>30-GNE</t>
        </is>
      </c>
      <c r="B179" s="17" t="inlineStr">
        <is>
          <t>Grabaciones Sistema Issabel</t>
        </is>
      </c>
      <c r="C179" s="17" t="inlineStr">
        <is>
          <t>Archivos de sonido donde se evidencia la gestión de la campaña</t>
        </is>
      </c>
      <c r="D179" s="55" t="inlineStr">
        <is>
          <t>[D] Datos / Información / datos de configuración</t>
        </is>
      </c>
      <c r="E179" s="34" t="inlineStr">
        <is>
          <t>[E.18] Destrucción de información</t>
        </is>
      </c>
      <c r="F179" s="34">
        <f>+VLOOKUP(E179,'CATALOGO AMENAZA'!$B$2:$D$46,3,FALSE)</f>
        <v/>
      </c>
      <c r="G179" s="34" t="n"/>
      <c r="H179" s="34" t="n"/>
      <c r="I179" s="34" t="inlineStr">
        <is>
          <t>X</t>
        </is>
      </c>
      <c r="J179" s="34" t="n">
        <v>2</v>
      </c>
      <c r="K179" s="34" t="n">
        <v>3</v>
      </c>
      <c r="L179" s="34">
        <f>+J179*K179</f>
        <v/>
      </c>
      <c r="M179" s="34">
        <f>+IF(L179&lt;5,"BAJO",IF(L179&lt;10,"MEDIO",IF(L179&lt;17,"ALTO","CRITICO")))</f>
        <v/>
      </c>
      <c r="N179" s="54" t="inlineStr">
        <is>
          <t>Respaldo digital de información</t>
        </is>
      </c>
      <c r="O179" s="54" t="inlineStr">
        <is>
          <t>PREVENTIVO</t>
        </is>
      </c>
      <c r="P179" s="34" t="inlineStr">
        <is>
          <t>Control Implementado sin evidencia de efectividad (Inefectivo prueba)</t>
        </is>
      </c>
      <c r="Q179" s="52" t="n">
        <v>0.3</v>
      </c>
      <c r="R179" s="34" t="inlineStr">
        <is>
          <t>Almacenamiento sin prueba de efectividad</t>
        </is>
      </c>
      <c r="S179" s="53">
        <f>+IF(O179="PREVENTIVO",J179*(1-Q179),IF(O179="ADMINISTRACION",J179*(1-Q179),IF(O179="ELIMINACION",J179*(1-Q179),J179)))</f>
        <v/>
      </c>
      <c r="T179" s="53">
        <f>+IF(O179="DETECTIVO",K179*(1-Q179),IF(O179="RECUPERACION",K179*(1-Q179),K179))</f>
        <v/>
      </c>
      <c r="U179" s="54">
        <f>+S179*T179</f>
        <v/>
      </c>
      <c r="V179" s="65">
        <f>+IF(U179&lt;5,"BAJO",IF(U179&lt;10,"MEDIO",IF(U179&lt;17,"ALTO","CRITICO")))</f>
        <v/>
      </c>
      <c r="W179" s="65" t="inlineStr">
        <is>
          <t>ACEPTABLE</t>
        </is>
      </c>
      <c r="X179" s="80" t="inlineStr">
        <is>
          <t>-</t>
        </is>
      </c>
      <c r="Y179" s="80" t="inlineStr">
        <is>
          <t>-</t>
        </is>
      </c>
      <c r="Z179" s="80" t="inlineStr">
        <is>
          <t>-</t>
        </is>
      </c>
    </row>
    <row r="180" hidden="1" ht="30.5" customHeight="1" s="98">
      <c r="A180" s="91" t="inlineStr">
        <is>
          <t>32-GNE</t>
        </is>
      </c>
      <c r="B180" s="17" t="inlineStr">
        <is>
          <t>Grabaciones Sistema Issabel</t>
        </is>
      </c>
      <c r="C180" s="17" t="inlineStr">
        <is>
          <t>Archivos de sonido donde se evidencia la gestión de la campaña</t>
        </is>
      </c>
      <c r="D180" s="55" t="inlineStr">
        <is>
          <t>[D] Datos / Información / datos de configuración</t>
        </is>
      </c>
      <c r="E180" s="34" t="inlineStr">
        <is>
          <t>[E.19] Fugas de información</t>
        </is>
      </c>
      <c r="F180" s="34">
        <f>+VLOOKUP(E180,'CATALOGO AMENAZA'!$B$2:$D$46,3,FALSE)</f>
        <v/>
      </c>
      <c r="G180" s="34" t="inlineStr">
        <is>
          <t>X</t>
        </is>
      </c>
      <c r="H180" s="34" t="n"/>
      <c r="I180" s="34" t="n"/>
      <c r="J180" s="34" t="n">
        <v>3</v>
      </c>
      <c r="K180" s="34" t="n">
        <v>2</v>
      </c>
      <c r="L180" s="34">
        <f>+J180*K180</f>
        <v/>
      </c>
      <c r="M180" s="34">
        <f>+IF(L180&lt;5,"BAJO",IF(L180&lt;10,"MEDIO",IF(L180&lt;17,"ALTO","CRITICO")))</f>
        <v/>
      </c>
      <c r="N180" s="54" t="inlineStr">
        <is>
          <t>Software DLP</t>
        </is>
      </c>
      <c r="O180" s="54" t="inlineStr">
        <is>
          <t>PREVENTIVO</t>
        </is>
      </c>
      <c r="P180" s="34" t="inlineStr">
        <is>
          <t>Control Implementado sin evidencia de efectividad (Inefectivo prueba)</t>
        </is>
      </c>
      <c r="Q180" s="52" t="n">
        <v>0.3</v>
      </c>
      <c r="R180" s="34" t="inlineStr">
        <is>
          <t>Politicas sin restricción para jefaturas</t>
        </is>
      </c>
      <c r="S180" s="53">
        <f>+IF(O180="PREVENTIVO",J180*(1-Q180),IF(O180="ADMINISTRACION",J180*(1-Q180),IF(O180="ELIMINACION",J180*(1-Q180),J180)))</f>
        <v/>
      </c>
      <c r="T180" s="53">
        <f>+IF(O180="DETECTIVO",K180*(1-Q180),IF(O180="RECUPERACION",K180*(1-Q180),K180))</f>
        <v/>
      </c>
      <c r="U180" s="54">
        <f>+S180*T180</f>
        <v/>
      </c>
      <c r="V180" s="65">
        <f>+IF(U180&lt;5,"BAJO",IF(U180&lt;10,"MEDIO",IF(U180&lt;17,"ALTO","CRITICO")))</f>
        <v/>
      </c>
      <c r="W180" s="65" t="inlineStr">
        <is>
          <t>ACEPTABLE</t>
        </is>
      </c>
      <c r="X180" s="80" t="inlineStr">
        <is>
          <t>-</t>
        </is>
      </c>
      <c r="Y180" s="80" t="inlineStr">
        <is>
          <t>-</t>
        </is>
      </c>
      <c r="Z180" s="80" t="inlineStr">
        <is>
          <t>-</t>
        </is>
      </c>
    </row>
    <row r="181" hidden="1" ht="30.5" customHeight="1" s="98">
      <c r="A181" s="91" t="inlineStr">
        <is>
          <t>32-GNE</t>
        </is>
      </c>
      <c r="B181" s="17" t="inlineStr">
        <is>
          <t>Grabaciones Sistema Issabel</t>
        </is>
      </c>
      <c r="C181" s="17" t="inlineStr">
        <is>
          <t>Archivos de sonido donde se evidencia la gestión de la campaña</t>
        </is>
      </c>
      <c r="D181" s="55" t="inlineStr">
        <is>
          <t>[D] Datos / Información / datos de configuración</t>
        </is>
      </c>
      <c r="E181" s="34" t="inlineStr">
        <is>
          <t>[E.18] Destrucción de información</t>
        </is>
      </c>
      <c r="F181" s="34">
        <f>+VLOOKUP(E181,'CATALOGO AMENAZA'!$B$2:$D$46,3,FALSE)</f>
        <v/>
      </c>
      <c r="G181" s="34" t="n"/>
      <c r="H181" s="34" t="n"/>
      <c r="I181" s="34" t="inlineStr">
        <is>
          <t>X</t>
        </is>
      </c>
      <c r="J181" s="34" t="n">
        <v>2</v>
      </c>
      <c r="K181" s="34" t="n">
        <v>3</v>
      </c>
      <c r="L181" s="34">
        <f>+J181*K181</f>
        <v/>
      </c>
      <c r="M181" s="34">
        <f>+IF(L181&lt;5,"BAJO",IF(L181&lt;10,"MEDIO",IF(L181&lt;17,"ALTO","CRITICO")))</f>
        <v/>
      </c>
      <c r="N181" s="54" t="inlineStr">
        <is>
          <t>Respaldo digital de información</t>
        </is>
      </c>
      <c r="O181" s="54" t="inlineStr">
        <is>
          <t>PREVENTIVO</t>
        </is>
      </c>
      <c r="P181" s="34" t="inlineStr">
        <is>
          <t>Control Implementado sin evidencia de efectividad (Inefectivo prueba)</t>
        </is>
      </c>
      <c r="Q181" s="52" t="n">
        <v>0.3</v>
      </c>
      <c r="R181" s="34" t="inlineStr">
        <is>
          <t>Almacenamiento sin prueba de efectividad</t>
        </is>
      </c>
      <c r="S181" s="53">
        <f>+IF(O181="PREVENTIVO",J181*(1-Q181),IF(O181="ADMINISTRACION",J181*(1-Q181),IF(O181="ELIMINACION",J181*(1-Q181),J181)))</f>
        <v/>
      </c>
      <c r="T181" s="53">
        <f>+IF(O181="DETECTIVO",K181*(1-Q181),IF(O181="RECUPERACION",K181*(1-Q181),K181))</f>
        <v/>
      </c>
      <c r="U181" s="54">
        <f>+S181*T181</f>
        <v/>
      </c>
      <c r="V181" s="65">
        <f>+IF(U181&lt;5,"BAJO",IF(U181&lt;10,"MEDIO",IF(U181&lt;17,"ALTO","CRITICO")))</f>
        <v/>
      </c>
      <c r="W181" s="65" t="inlineStr">
        <is>
          <t>ACEPTABLE</t>
        </is>
      </c>
      <c r="X181" s="80" t="inlineStr">
        <is>
          <t>-</t>
        </is>
      </c>
      <c r="Y181" s="80" t="inlineStr">
        <is>
          <t>-</t>
        </is>
      </c>
      <c r="Z181" s="80" t="inlineStr">
        <is>
          <t>-</t>
        </is>
      </c>
    </row>
    <row r="182" hidden="1" ht="30.5" customHeight="1" s="98">
      <c r="A182" s="91" t="inlineStr">
        <is>
          <t>37-GNE</t>
        </is>
      </c>
      <c r="B182" s="17" t="inlineStr">
        <is>
          <t>Grabaciones sistema Issabel</t>
        </is>
      </c>
      <c r="C182" s="17" t="inlineStr">
        <is>
          <t>Audio de la llamada realizada por el gestor telefónica</t>
        </is>
      </c>
      <c r="D182" s="55" t="inlineStr">
        <is>
          <t>[D] Datos / Información / datos de configuración</t>
        </is>
      </c>
      <c r="E182" s="34" t="inlineStr">
        <is>
          <t>[E.19] Fugas de información</t>
        </is>
      </c>
      <c r="F182" s="34">
        <f>+VLOOKUP(E182,'CATALOGO AMENAZA'!$B$2:$D$46,3,FALSE)</f>
        <v/>
      </c>
      <c r="G182" s="34" t="inlineStr">
        <is>
          <t>X</t>
        </is>
      </c>
      <c r="H182" s="34" t="n"/>
      <c r="I182" s="34" t="n"/>
      <c r="J182" s="34" t="n">
        <v>3</v>
      </c>
      <c r="K182" s="34" t="n">
        <v>2</v>
      </c>
      <c r="L182" s="34">
        <f>+J182*K182</f>
        <v/>
      </c>
      <c r="M182" s="34">
        <f>+IF(L182&lt;5,"BAJO",IF(L182&lt;10,"MEDIO",IF(L182&lt;17,"ALTO","CRITICO")))</f>
        <v/>
      </c>
      <c r="N182" s="54" t="inlineStr">
        <is>
          <t>Software DLP</t>
        </is>
      </c>
      <c r="O182" s="54" t="inlineStr">
        <is>
          <t>PREVENTIVO</t>
        </is>
      </c>
      <c r="P182" s="34" t="inlineStr">
        <is>
          <t>Control Implementado sin evidencia de efectividad (Inefectivo prueba)</t>
        </is>
      </c>
      <c r="Q182" s="52" t="n">
        <v>0.3</v>
      </c>
      <c r="R182" s="34" t="inlineStr">
        <is>
          <t>Politicas sin restricción para jefaturas</t>
        </is>
      </c>
      <c r="S182" s="53">
        <f>+IF(O182="PREVENTIVO",J182*(1-Q182),IF(O182="ADMINISTRACION",J182*(1-Q182),IF(O182="ELIMINACION",J182*(1-Q182),J182)))</f>
        <v/>
      </c>
      <c r="T182" s="53">
        <f>+IF(O182="DETECTIVO",K182*(1-Q182),IF(O182="RECUPERACION",K182*(1-Q182),K182))</f>
        <v/>
      </c>
      <c r="U182" s="54">
        <f>+S182*T182</f>
        <v/>
      </c>
      <c r="V182" s="65">
        <f>+IF(U182&lt;5,"BAJO",IF(U182&lt;10,"MEDIO",IF(U182&lt;17,"ALTO","CRITICO")))</f>
        <v/>
      </c>
      <c r="W182" s="65" t="inlineStr">
        <is>
          <t>ACEPTABLE</t>
        </is>
      </c>
      <c r="X182" s="80" t="inlineStr">
        <is>
          <t>-</t>
        </is>
      </c>
      <c r="Y182" s="80" t="inlineStr">
        <is>
          <t>-</t>
        </is>
      </c>
      <c r="Z182" s="80" t="inlineStr">
        <is>
          <t>-</t>
        </is>
      </c>
    </row>
    <row r="183" hidden="1" ht="30.5" customHeight="1" s="98">
      <c r="A183" s="91" t="inlineStr">
        <is>
          <t>37-GNE</t>
        </is>
      </c>
      <c r="B183" s="17" t="inlineStr">
        <is>
          <t>Grabaciones sistema Issabel</t>
        </is>
      </c>
      <c r="C183" s="17" t="inlineStr">
        <is>
          <t>Audio de la llamada realizada por el gestor telefónica</t>
        </is>
      </c>
      <c r="D183" s="55" t="inlineStr">
        <is>
          <t>[D] Datos / Información / datos de configuración</t>
        </is>
      </c>
      <c r="E183" s="34" t="inlineStr">
        <is>
          <t>[E.18] Destrucción de información</t>
        </is>
      </c>
      <c r="F183" s="34">
        <f>+VLOOKUP(E183,'CATALOGO AMENAZA'!$B$2:$D$46,3,FALSE)</f>
        <v/>
      </c>
      <c r="G183" s="34" t="n"/>
      <c r="H183" s="34" t="n"/>
      <c r="I183" s="34" t="inlineStr">
        <is>
          <t>X</t>
        </is>
      </c>
      <c r="J183" s="34" t="n">
        <v>2</v>
      </c>
      <c r="K183" s="34" t="n">
        <v>3</v>
      </c>
      <c r="L183" s="34">
        <f>+J183*K183</f>
        <v/>
      </c>
      <c r="M183" s="34">
        <f>+IF(L183&lt;5,"BAJO",IF(L183&lt;10,"MEDIO",IF(L183&lt;17,"ALTO","CRITICO")))</f>
        <v/>
      </c>
      <c r="N183" s="54" t="inlineStr">
        <is>
          <t>Respaldo digital de información</t>
        </is>
      </c>
      <c r="O183" s="54" t="inlineStr">
        <is>
          <t>PREVENTIVO</t>
        </is>
      </c>
      <c r="P183" s="34" t="inlineStr">
        <is>
          <t>Control Implementado sin evidencia de efectividad (Inefectivo prueba)</t>
        </is>
      </c>
      <c r="Q183" s="52" t="n">
        <v>0.3</v>
      </c>
      <c r="R183" s="34" t="inlineStr">
        <is>
          <t>Almacenamiento sin prueba de efectividad</t>
        </is>
      </c>
      <c r="S183" s="53">
        <f>+IF(O183="PREVENTIVO",J183*(1-Q183),IF(O183="ADMINISTRACION",J183*(1-Q183),IF(O183="ELIMINACION",J183*(1-Q183),J183)))</f>
        <v/>
      </c>
      <c r="T183" s="53">
        <f>+IF(O183="DETECTIVO",K183*(1-Q183),IF(O183="RECUPERACION",K183*(1-Q183),K183))</f>
        <v/>
      </c>
      <c r="U183" s="54">
        <f>+S183*T183</f>
        <v/>
      </c>
      <c r="V183" s="65">
        <f>+IF(U183&lt;5,"BAJO",IF(U183&lt;10,"MEDIO",IF(U183&lt;17,"ALTO","CRITICO")))</f>
        <v/>
      </c>
      <c r="W183" s="65" t="inlineStr">
        <is>
          <t>ACEPTABLE</t>
        </is>
      </c>
      <c r="X183" s="80" t="inlineStr">
        <is>
          <t>-</t>
        </is>
      </c>
      <c r="Y183" s="80" t="inlineStr">
        <is>
          <t>-</t>
        </is>
      </c>
      <c r="Z183" s="80" t="inlineStr">
        <is>
          <t>-</t>
        </is>
      </c>
    </row>
    <row r="184" hidden="1" ht="30.5" customHeight="1" s="98">
      <c r="A184" s="91" t="inlineStr">
        <is>
          <t>40-GNE</t>
        </is>
      </c>
      <c r="B184" s="17" t="inlineStr">
        <is>
          <t>Grabaciones sistema Issabel</t>
        </is>
      </c>
      <c r="C184" s="17" t="inlineStr">
        <is>
          <t>Audio de la llamada realizada por el gestor telefónico</t>
        </is>
      </c>
      <c r="D184" s="55" t="inlineStr">
        <is>
          <t>[D] Datos / Información / datos de configuración</t>
        </is>
      </c>
      <c r="E184" s="34" t="inlineStr">
        <is>
          <t>[E.19] Fugas de información</t>
        </is>
      </c>
      <c r="F184" s="34">
        <f>+VLOOKUP(E184,'CATALOGO AMENAZA'!$B$2:$D$46,3,FALSE)</f>
        <v/>
      </c>
      <c r="G184" s="34" t="inlineStr">
        <is>
          <t>X</t>
        </is>
      </c>
      <c r="H184" s="34" t="n"/>
      <c r="I184" s="34" t="n"/>
      <c r="J184" s="34" t="n">
        <v>3</v>
      </c>
      <c r="K184" s="34" t="n">
        <v>2</v>
      </c>
      <c r="L184" s="34">
        <f>+J184*K184</f>
        <v/>
      </c>
      <c r="M184" s="34">
        <f>+IF(L184&lt;5,"BAJO",IF(L184&lt;10,"MEDIO",IF(L184&lt;17,"ALTO","CRITICO")))</f>
        <v/>
      </c>
      <c r="N184" s="54" t="inlineStr">
        <is>
          <t>Software DLP</t>
        </is>
      </c>
      <c r="O184" s="54" t="inlineStr">
        <is>
          <t>PREVENTIVO</t>
        </is>
      </c>
      <c r="P184" s="34" t="inlineStr">
        <is>
          <t>Control Implementado sin evidencia de efectividad (Inefectivo prueba)</t>
        </is>
      </c>
      <c r="Q184" s="52" t="n">
        <v>0.3</v>
      </c>
      <c r="R184" s="34" t="inlineStr">
        <is>
          <t>Politicas sin restricción para jefaturas</t>
        </is>
      </c>
      <c r="S184" s="53">
        <f>+IF(O184="PREVENTIVO",J184*(1-Q184),IF(O184="ADMINISTRACION",J184*(1-Q184),IF(O184="ELIMINACION",J184*(1-Q184),J184)))</f>
        <v/>
      </c>
      <c r="T184" s="53">
        <f>+IF(O184="DETECTIVO",K184*(1-Q184),IF(O184="RECUPERACION",K184*(1-Q184),K184))</f>
        <v/>
      </c>
      <c r="U184" s="54">
        <f>+S184*T184</f>
        <v/>
      </c>
      <c r="V184" s="65">
        <f>+IF(U184&lt;5,"BAJO",IF(U184&lt;10,"MEDIO",IF(U184&lt;17,"ALTO","CRITICO")))</f>
        <v/>
      </c>
      <c r="W184" s="65" t="inlineStr">
        <is>
          <t>ACEPTABLE</t>
        </is>
      </c>
      <c r="X184" s="80" t="inlineStr">
        <is>
          <t>-</t>
        </is>
      </c>
      <c r="Y184" s="80" t="inlineStr">
        <is>
          <t>-</t>
        </is>
      </c>
      <c r="Z184" s="80" t="inlineStr">
        <is>
          <t>-</t>
        </is>
      </c>
    </row>
    <row r="185" hidden="1" ht="30.5" customHeight="1" s="98">
      <c r="A185" s="91" t="inlineStr">
        <is>
          <t>40-GNE</t>
        </is>
      </c>
      <c r="B185" s="17" t="inlineStr">
        <is>
          <t>Grabaciones sistema Issabel</t>
        </is>
      </c>
      <c r="C185" s="17" t="inlineStr">
        <is>
          <t>Audio de la llamada realizada por el gestor telefónico</t>
        </is>
      </c>
      <c r="D185" s="55" t="inlineStr">
        <is>
          <t>[D] Datos / Información / datos de configuración</t>
        </is>
      </c>
      <c r="E185" s="34" t="inlineStr">
        <is>
          <t>[E.18] Destrucción de información</t>
        </is>
      </c>
      <c r="F185" s="34">
        <f>+VLOOKUP(E185,'CATALOGO AMENAZA'!$B$2:$D$46,3,FALSE)</f>
        <v/>
      </c>
      <c r="G185" s="34" t="n"/>
      <c r="H185" s="34" t="n"/>
      <c r="I185" s="34" t="inlineStr">
        <is>
          <t>X</t>
        </is>
      </c>
      <c r="J185" s="34" t="n">
        <v>2</v>
      </c>
      <c r="K185" s="34" t="n">
        <v>3</v>
      </c>
      <c r="L185" s="34">
        <f>+J185*K185</f>
        <v/>
      </c>
      <c r="M185" s="34">
        <f>+IF(L185&lt;5,"BAJO",IF(L185&lt;10,"MEDIO",IF(L185&lt;17,"ALTO","CRITICO")))</f>
        <v/>
      </c>
      <c r="N185" s="54" t="inlineStr">
        <is>
          <t>Respaldo digital de información</t>
        </is>
      </c>
      <c r="O185" s="54" t="inlineStr">
        <is>
          <t>PREVENTIVO</t>
        </is>
      </c>
      <c r="P185" s="34" t="inlineStr">
        <is>
          <t>Control Implementado sin evidencia de efectividad (Inefectivo prueba)</t>
        </is>
      </c>
      <c r="Q185" s="52" t="n">
        <v>0.3</v>
      </c>
      <c r="R185" s="34" t="inlineStr">
        <is>
          <t>Almacenamiento sin prueba de efectividad</t>
        </is>
      </c>
      <c r="S185" s="53">
        <f>+IF(O185="PREVENTIVO",J185*(1-Q185),IF(O185="ADMINISTRACION",J185*(1-Q185),IF(O185="ELIMINACION",J185*(1-Q185),J185)))</f>
        <v/>
      </c>
      <c r="T185" s="53">
        <f>+IF(O185="DETECTIVO",K185*(1-Q185),IF(O185="RECUPERACION",K185*(1-Q185),K185))</f>
        <v/>
      </c>
      <c r="U185" s="54">
        <f>+S185*T185</f>
        <v/>
      </c>
      <c r="V185" s="65">
        <f>+IF(U185&lt;5,"BAJO",IF(U185&lt;10,"MEDIO",IF(U185&lt;17,"ALTO","CRITICO")))</f>
        <v/>
      </c>
      <c r="W185" s="65" t="inlineStr">
        <is>
          <t>ACEPTABLE</t>
        </is>
      </c>
      <c r="X185" s="80" t="inlineStr">
        <is>
          <t>-</t>
        </is>
      </c>
      <c r="Y185" s="80" t="inlineStr">
        <is>
          <t>-</t>
        </is>
      </c>
      <c r="Z185" s="80" t="inlineStr">
        <is>
          <t>-</t>
        </is>
      </c>
    </row>
    <row r="186" ht="51" customHeight="1" s="98">
      <c r="A186" s="91" t="inlineStr">
        <is>
          <t>43-GNE</t>
        </is>
      </c>
      <c r="B186" s="17" t="inlineStr">
        <is>
          <t>Reportes del módulo de
Cooperativa Virtual</t>
        </is>
      </c>
      <c r="C186" s="17" t="inlineStr">
        <is>
          <t>Reporte de clientes validados y registrados</t>
        </is>
      </c>
      <c r="D186" s="55" t="inlineStr">
        <is>
          <t>[D] Datos / Información / datos de configuración</t>
        </is>
      </c>
      <c r="E186" s="34" t="inlineStr">
        <is>
          <t>[A.7] Uso no previsto</t>
        </is>
      </c>
      <c r="F186" s="34">
        <f>+VLOOKUP(E186,'CATALOGO AMENAZA'!$B$2:$D$46,3,FALSE)</f>
        <v/>
      </c>
      <c r="G186" s="34" t="inlineStr">
        <is>
          <t>X</t>
        </is>
      </c>
      <c r="H186" s="34" t="inlineStr">
        <is>
          <t>X</t>
        </is>
      </c>
      <c r="I186" s="34" t="inlineStr">
        <is>
          <t>X</t>
        </is>
      </c>
      <c r="J186" s="34" t="n">
        <v>4</v>
      </c>
      <c r="K186" s="34" t="n">
        <v>4</v>
      </c>
      <c r="L186" s="34">
        <f>+J186*K186</f>
        <v/>
      </c>
      <c r="M186" s="34">
        <f>+IF(L186&lt;5,"BAJO",IF(L186&lt;10,"MEDIO",IF(L186&lt;17,"ALTO","CRITICO")))</f>
        <v/>
      </c>
      <c r="N186" s="34" t="inlineStr">
        <is>
          <t>Sortware DLP /Políticas de uso de información contractual</t>
        </is>
      </c>
      <c r="O186" s="34" t="inlineStr">
        <is>
          <t>PREVENTIVO</t>
        </is>
      </c>
      <c r="P186" s="34" t="inlineStr">
        <is>
          <t>Control Implementado sin evidencia de efectividad (Inefectivo prueba)</t>
        </is>
      </c>
      <c r="Q186" s="52" t="n">
        <v>0.3</v>
      </c>
      <c r="R186" s="4" t="inlineStr">
        <is>
          <t>Documentación sensible sin cifrar</t>
        </is>
      </c>
      <c r="S186" s="53">
        <f>+IF(O186="PREVENTIVO",J186*(1-Q186),IF(O186="ADMINISTRACION",J186*(1-Q186),IF(O186="ELIMINACION",J186*(1-Q186),J186)))</f>
        <v/>
      </c>
      <c r="T186" s="53">
        <f>+IF(O186="DETECTIVO",K186*(1-Q186),IF(O186="RECUPERACION",K186*(1-Q186),K186))</f>
        <v/>
      </c>
      <c r="U186" s="54">
        <f>+S186*T186</f>
        <v/>
      </c>
      <c r="V186" s="65">
        <f>+IF(U186&lt;5,"BAJO",IF(U186&lt;10,"MEDIO",IF(U186&lt;17,"ALTO","CRITICO")))</f>
        <v/>
      </c>
      <c r="W186" s="65" t="inlineStr">
        <is>
          <t>MITIGAR</t>
        </is>
      </c>
      <c r="X186" s="34" t="inlineStr">
        <is>
          <t>REQUIERE TRATAMIENTO</t>
        </is>
      </c>
      <c r="Y186" s="34" t="inlineStr">
        <is>
          <t>PA-SI-006</t>
        </is>
      </c>
      <c r="Z186" s="34" t="inlineStr">
        <is>
          <t>Fortalecer las políticas de prevención de fuga de información (DLP) para mejorar la protección de datos sensibles.</t>
        </is>
      </c>
    </row>
    <row r="187" hidden="1" ht="30.5" customHeight="1" s="98">
      <c r="A187" s="91" t="inlineStr">
        <is>
          <t>43-GNE</t>
        </is>
      </c>
      <c r="B187" s="17" t="inlineStr">
        <is>
          <t>Reportes del módulo de
Cooperativa Virtual</t>
        </is>
      </c>
      <c r="C187" s="17" t="inlineStr">
        <is>
          <t>Reporte de clientes validados y registrados</t>
        </is>
      </c>
      <c r="D187" s="55" t="inlineStr">
        <is>
          <t>[D] Datos / Información / datos de configuración</t>
        </is>
      </c>
      <c r="E187" s="34" t="inlineStr">
        <is>
          <t>[E.18] Destrucción de información</t>
        </is>
      </c>
      <c r="F187" s="34">
        <f>+VLOOKUP(E187,'CATALOGO AMENAZA'!$B$2:$D$46,3,FALSE)</f>
        <v/>
      </c>
      <c r="G187" s="34" t="n"/>
      <c r="H187" s="34" t="n"/>
      <c r="I187" s="34" t="inlineStr">
        <is>
          <t>X</t>
        </is>
      </c>
      <c r="J187" s="34" t="n">
        <v>2</v>
      </c>
      <c r="K187" s="34" t="n">
        <v>3</v>
      </c>
      <c r="L187" s="34">
        <f>+J187*K187</f>
        <v/>
      </c>
      <c r="M187" s="34">
        <f>+IF(L187&lt;5,"BAJO",IF(L187&lt;10,"MEDIO",IF(L187&lt;17,"ALTO","CRITICO")))</f>
        <v/>
      </c>
      <c r="N187" s="54" t="inlineStr">
        <is>
          <t>Respaldo digital de información</t>
        </is>
      </c>
      <c r="O187" s="54" t="inlineStr">
        <is>
          <t>PREVENTIVO</t>
        </is>
      </c>
      <c r="P187" s="34" t="inlineStr">
        <is>
          <t>Control Implementado sin evidencia de efectividad (Inefectivo prueba)</t>
        </is>
      </c>
      <c r="Q187" s="52" t="n">
        <v>0.3</v>
      </c>
      <c r="R187" s="34" t="inlineStr">
        <is>
          <t>Almacenamiento sin prueba de efectividad</t>
        </is>
      </c>
      <c r="S187" s="53">
        <f>+IF(O187="PREVENTIVO",J187*(1-Q187),IF(O187="ADMINISTRACION",J187*(1-Q187),IF(O187="ELIMINACION",J187*(1-Q187),J187)))</f>
        <v/>
      </c>
      <c r="T187" s="53">
        <f>+IF(O187="DETECTIVO",K187*(1-Q187),IF(O187="RECUPERACION",K187*(1-Q187),K187))</f>
        <v/>
      </c>
      <c r="U187" s="54">
        <f>+S187*T187</f>
        <v/>
      </c>
      <c r="V187" s="65">
        <f>+IF(U187&lt;5,"BAJO",IF(U187&lt;10,"MEDIO",IF(U187&lt;17,"ALTO","CRITICO")))</f>
        <v/>
      </c>
      <c r="W187" s="65" t="inlineStr">
        <is>
          <t>ACEPTABLE</t>
        </is>
      </c>
      <c r="X187" s="80" t="inlineStr">
        <is>
          <t>-</t>
        </is>
      </c>
      <c r="Y187" s="80" t="inlineStr">
        <is>
          <t>-</t>
        </is>
      </c>
      <c r="Z187" s="80" t="inlineStr">
        <is>
          <t>-</t>
        </is>
      </c>
    </row>
    <row r="188" hidden="1" ht="30.5" customHeight="1" s="98">
      <c r="A188" s="91" t="inlineStr">
        <is>
          <t>44-GNE</t>
        </is>
      </c>
      <c r="B188" s="17" t="inlineStr">
        <is>
          <t>Grabaciones sistema Issabel</t>
        </is>
      </c>
      <c r="C188" s="17" t="inlineStr">
        <is>
          <t>Audio de la llamada realizada por el gestor telefónico</t>
        </is>
      </c>
      <c r="D188" s="55" t="inlineStr">
        <is>
          <t>[D] Datos / Información / datos de configuración</t>
        </is>
      </c>
      <c r="E188" s="34" t="inlineStr">
        <is>
          <t>[E.19] Fugas de información</t>
        </is>
      </c>
      <c r="F188" s="34">
        <f>+VLOOKUP(E188,'CATALOGO AMENAZA'!$B$2:$D$46,3,FALSE)</f>
        <v/>
      </c>
      <c r="G188" s="34" t="inlineStr">
        <is>
          <t>X</t>
        </is>
      </c>
      <c r="H188" s="34" t="n"/>
      <c r="I188" s="34" t="n"/>
      <c r="J188" s="34" t="n">
        <v>3</v>
      </c>
      <c r="K188" s="34" t="n">
        <v>2</v>
      </c>
      <c r="L188" s="34">
        <f>+J188*K188</f>
        <v/>
      </c>
      <c r="M188" s="34">
        <f>+IF(L188&lt;5,"BAJO",IF(L188&lt;10,"MEDIO",IF(L188&lt;17,"ALTO","CRITICO")))</f>
        <v/>
      </c>
      <c r="N188" s="54" t="inlineStr">
        <is>
          <t>Software DLP</t>
        </is>
      </c>
      <c r="O188" s="54" t="inlineStr">
        <is>
          <t>PREVENTIVO</t>
        </is>
      </c>
      <c r="P188" s="34" t="inlineStr">
        <is>
          <t>Control Implementado sin evidencia de efectividad (Inefectivo prueba)</t>
        </is>
      </c>
      <c r="Q188" s="52" t="n">
        <v>0.3</v>
      </c>
      <c r="R188" s="34" t="inlineStr">
        <is>
          <t>Politicas sin restricción para jefaturas</t>
        </is>
      </c>
      <c r="S188" s="53">
        <f>+IF(O188="PREVENTIVO",J188*(1-Q188),IF(O188="ADMINISTRACION",J188*(1-Q188),IF(O188="ELIMINACION",J188*(1-Q188),J188)))</f>
        <v/>
      </c>
      <c r="T188" s="53">
        <f>+IF(O188="DETECTIVO",K188*(1-Q188),IF(O188="RECUPERACION",K188*(1-Q188),K188))</f>
        <v/>
      </c>
      <c r="U188" s="54">
        <f>+S188*T188</f>
        <v/>
      </c>
      <c r="V188" s="65">
        <f>+IF(U188&lt;5,"BAJO",IF(U188&lt;10,"MEDIO",IF(U188&lt;17,"ALTO","CRITICO")))</f>
        <v/>
      </c>
      <c r="W188" s="65" t="inlineStr">
        <is>
          <t>ACEPTABLE</t>
        </is>
      </c>
      <c r="X188" s="80" t="inlineStr">
        <is>
          <t>-</t>
        </is>
      </c>
      <c r="Y188" s="80" t="inlineStr">
        <is>
          <t>-</t>
        </is>
      </c>
      <c r="Z188" s="80" t="inlineStr">
        <is>
          <t>-</t>
        </is>
      </c>
    </row>
    <row r="189" hidden="1" ht="30.5" customHeight="1" s="98">
      <c r="A189" s="91" t="inlineStr">
        <is>
          <t>46-GNE</t>
        </is>
      </c>
      <c r="B189" s="17" t="inlineStr">
        <is>
          <t>Equipos de computación de Analista de Contact Center</t>
        </is>
      </c>
      <c r="C189" s="17" t="inlineStr">
        <is>
          <t>Equipos de computación donde se realiza la gestión del área</t>
        </is>
      </c>
      <c r="D189" s="64" t="inlineStr">
        <is>
          <t>[HW] Equipamiento informático (hardware)</t>
        </is>
      </c>
      <c r="E189" s="34" t="inlineStr">
        <is>
          <t>[E.25] Pérdida de equipos</t>
        </is>
      </c>
      <c r="F189" s="34" t="inlineStr">
        <is>
          <t xml:space="preserve">
[C] confidencialidad 
[D] disponibilidad</t>
        </is>
      </c>
      <c r="G189" s="34" t="inlineStr">
        <is>
          <t>X</t>
        </is>
      </c>
      <c r="H189" s="34" t="n"/>
      <c r="I189" s="34" t="inlineStr">
        <is>
          <t>X</t>
        </is>
      </c>
      <c r="J189" s="34" t="n">
        <v>1</v>
      </c>
      <c r="K189" s="34" t="n">
        <v>3</v>
      </c>
      <c r="L189" s="34">
        <f>+J189*K189</f>
        <v/>
      </c>
      <c r="M189" s="34">
        <f>+IF(L189&lt;5,"BAJO",IF(L189&lt;10,"MEDIO",IF(L189&lt;17,"ALTO","CRITICO")))</f>
        <v/>
      </c>
      <c r="N189" s="54" t="inlineStr">
        <is>
          <t>Respaldo digital de información</t>
        </is>
      </c>
      <c r="O189" s="54" t="inlineStr">
        <is>
          <t>PREVENTIVO</t>
        </is>
      </c>
      <c r="P189" s="34" t="inlineStr">
        <is>
          <t>Control Implementado sin evidencia de efectividad (Inefectivo prueba)</t>
        </is>
      </c>
      <c r="Q189" s="52" t="n">
        <v>0.3</v>
      </c>
      <c r="R189" s="34" t="inlineStr">
        <is>
          <t>Almacenamiento sin prueba de efectividad</t>
        </is>
      </c>
      <c r="S189" s="53">
        <f>+IF(O189="PREVENTIVO",J189*(1-Q189),IF(O189="ADMINISTRACION",J189*(1-Q189),IF(O189="ELIMINACION",J189*(1-Q189),J189)))</f>
        <v/>
      </c>
      <c r="T189" s="53">
        <f>+IF(O189="DETECTIVO",K189*(1-Q189),IF(O189="RECUPERACION",K189*(1-Q189),K189))</f>
        <v/>
      </c>
      <c r="U189" s="54">
        <f>+S189*T189</f>
        <v/>
      </c>
      <c r="V189" s="65">
        <f>+IF(U189&lt;5,"BAJO",IF(U189&lt;10,"MEDIO",IF(U189&lt;17,"ALTO","CRITICO")))</f>
        <v/>
      </c>
      <c r="W189" s="65" t="inlineStr">
        <is>
          <t>ACEPTABLE</t>
        </is>
      </c>
      <c r="X189" s="80" t="inlineStr">
        <is>
          <t>-</t>
        </is>
      </c>
      <c r="Y189" s="80" t="inlineStr">
        <is>
          <t>-</t>
        </is>
      </c>
      <c r="Z189" s="80" t="inlineStr">
        <is>
          <t>-</t>
        </is>
      </c>
    </row>
    <row r="190" hidden="1" ht="41" customHeight="1" s="98">
      <c r="A190" s="91" t="inlineStr">
        <is>
          <t>46-GNE</t>
        </is>
      </c>
      <c r="B190" s="17" t="inlineStr">
        <is>
          <t>Equipos de computación de Analista de Contact Center</t>
        </is>
      </c>
      <c r="C190" s="17" t="inlineStr">
        <is>
          <t>Equipos de computación donde se realiza la gestión del área</t>
        </is>
      </c>
      <c r="D190" s="64" t="inlineStr">
        <is>
          <t>[HW] Equipamiento informático (hardware)</t>
        </is>
      </c>
      <c r="E190" s="34" t="inlineStr">
        <is>
          <t>[A.7] Uso no previsto</t>
        </is>
      </c>
      <c r="F190" s="34">
        <f>+VLOOKUP(E190,'CATALOGO AMENAZA'!$B$2:$D$46,3,FALSE)</f>
        <v/>
      </c>
      <c r="G190" s="34" t="inlineStr">
        <is>
          <t>X</t>
        </is>
      </c>
      <c r="H190" s="34" t="inlineStr">
        <is>
          <t>X</t>
        </is>
      </c>
      <c r="I190" s="34" t="inlineStr">
        <is>
          <t>X</t>
        </is>
      </c>
      <c r="J190" s="34" t="n">
        <v>3</v>
      </c>
      <c r="K190" s="34" t="n">
        <v>3</v>
      </c>
      <c r="L190" s="34">
        <f>+J190*K190</f>
        <v/>
      </c>
      <c r="M190" s="34">
        <f>+IF(L190&lt;5,"BAJO",IF(L190&lt;10,"MEDIO",IF(L190&lt;17,"ALTO","CRITICO")))</f>
        <v/>
      </c>
      <c r="N190" s="34" t="inlineStr">
        <is>
          <t>Sortware DLP /Políticas de uso de información contractual</t>
        </is>
      </c>
      <c r="O190" s="34" t="inlineStr">
        <is>
          <t>PREVENTIVO</t>
        </is>
      </c>
      <c r="P190" s="34" t="inlineStr">
        <is>
          <t>Control Implementado sin evidencia de efectividad (Inefectivo prueba)</t>
        </is>
      </c>
      <c r="Q190" s="52" t="n">
        <v>0.3</v>
      </c>
      <c r="R190" s="4" t="inlineStr">
        <is>
          <t>Documentación sencible sin cifrar</t>
        </is>
      </c>
      <c r="S190" s="53">
        <f>+IF(O190="PREVENTIVO",J190*(1-Q190),IF(O190="ADMINISTRACION",J190*(1-Q190),IF(O190="ELIMINACION",J190*(1-Q190),J190)))</f>
        <v/>
      </c>
      <c r="T190" s="53">
        <f>+IF(O190="DETECTIVO",K190*(1-Q190),IF(O190="RECUPERACION",K190*(1-Q190),K190))</f>
        <v/>
      </c>
      <c r="U190" s="54">
        <f>+S190*T190</f>
        <v/>
      </c>
      <c r="V190" s="65">
        <f>+IF(U190&lt;5,"BAJO",IF(U190&lt;10,"MEDIO",IF(U190&lt;17,"ALTO","CRITICO")))</f>
        <v/>
      </c>
      <c r="W190" s="87" t="inlineStr">
        <is>
          <t>MITIGAR</t>
        </is>
      </c>
      <c r="X190" s="80" t="inlineStr">
        <is>
          <t>-</t>
        </is>
      </c>
      <c r="Y190" s="80" t="inlineStr">
        <is>
          <t>-</t>
        </is>
      </c>
      <c r="Z190" s="80" t="inlineStr">
        <is>
          <t>-</t>
        </is>
      </c>
    </row>
    <row r="191" hidden="1" ht="30.5" customHeight="1" s="98">
      <c r="A191" s="91" t="inlineStr">
        <is>
          <t>44-GNE</t>
        </is>
      </c>
      <c r="B191" s="17" t="inlineStr">
        <is>
          <t>Grabaciones sistema Issabel</t>
        </is>
      </c>
      <c r="C191" s="17" t="inlineStr">
        <is>
          <t>Audio de la llamada realizada por el gestor telefónico</t>
        </is>
      </c>
      <c r="D191" s="55" t="inlineStr">
        <is>
          <t>[D] Datos / Información / datos de configuración</t>
        </is>
      </c>
      <c r="E191" s="34" t="inlineStr">
        <is>
          <t>[E.18] Destrucción de información</t>
        </is>
      </c>
      <c r="F191" s="34">
        <f>+VLOOKUP(E191,'CATALOGO AMENAZA'!$B$2:$D$46,3,FALSE)</f>
        <v/>
      </c>
      <c r="G191" s="34" t="n"/>
      <c r="H191" s="34" t="n"/>
      <c r="I191" s="34" t="inlineStr">
        <is>
          <t>X</t>
        </is>
      </c>
      <c r="J191" s="34" t="n">
        <v>2</v>
      </c>
      <c r="K191" s="34" t="n">
        <v>2</v>
      </c>
      <c r="L191" s="34">
        <f>+J191*K191</f>
        <v/>
      </c>
      <c r="M191" s="34">
        <f>+IF(L191&lt;5,"BAJO",IF(L191&lt;10,"MEDIO",IF(L191&lt;17,"ALTO","CRITICO")))</f>
        <v/>
      </c>
      <c r="N191" s="54" t="inlineStr">
        <is>
          <t>Respaldo digital de información</t>
        </is>
      </c>
      <c r="O191" s="54" t="inlineStr">
        <is>
          <t>PREVENTIVO</t>
        </is>
      </c>
      <c r="P191" s="34" t="inlineStr">
        <is>
          <t>Control Implementado sin evidencia de efectividad (Inefectivo prueba)</t>
        </is>
      </c>
      <c r="Q191" s="52" t="n">
        <v>0.3</v>
      </c>
      <c r="R191" s="34" t="inlineStr">
        <is>
          <t>Almacenamiento sin prueba de efectividad</t>
        </is>
      </c>
      <c r="S191" s="53">
        <f>+IF(O191="PREVENTIVO",J191*(1-Q191),IF(O191="ADMINISTRACION",J191*(1-Q191),IF(O191="ELIMINACION",J191*(1-Q191),J191)))</f>
        <v/>
      </c>
      <c r="T191" s="53">
        <f>+IF(O191="DETECTIVO",K191*(1-Q191),IF(O191="RECUPERACION",K191*(1-Q191),K191))</f>
        <v/>
      </c>
      <c r="U191" s="54">
        <f>+S191*T191</f>
        <v/>
      </c>
      <c r="V191" s="65">
        <f>+IF(U191&lt;5,"BAJO",IF(U191&lt;10,"MEDIO",IF(U191&lt;17,"ALTO","CRITICO")))</f>
        <v/>
      </c>
      <c r="W191" s="65" t="inlineStr">
        <is>
          <t>ACEPTABLE</t>
        </is>
      </c>
      <c r="X191" s="80" t="inlineStr">
        <is>
          <t>-</t>
        </is>
      </c>
      <c r="Y191" s="80" t="inlineStr">
        <is>
          <t>-</t>
        </is>
      </c>
      <c r="Z191" s="80" t="inlineStr">
        <is>
          <t>-</t>
        </is>
      </c>
    </row>
    <row r="192" hidden="1" ht="51" customHeight="1" s="98">
      <c r="A192" s="91" t="inlineStr">
        <is>
          <t>58-GOP</t>
        </is>
      </c>
      <c r="B192" s="17" t="inlineStr">
        <is>
          <t>Cheques / Depósito</t>
        </is>
      </c>
      <c r="C192" s="17" t="inlineStr">
        <is>
          <t>Documento contable de valor que utiliza una persona para retirar dinero de la cuenta de quien lo emite</t>
        </is>
      </c>
      <c r="D192" s="55" t="inlineStr">
        <is>
          <t>[D] Datos / Información / datos de configuración</t>
        </is>
      </c>
      <c r="E192" s="34" t="inlineStr">
        <is>
          <t>[A.7] Uso no previsto</t>
        </is>
      </c>
      <c r="F192" s="34">
        <f>+VLOOKUP(E192,'CATALOGO AMENAZA'!$B$2:$D$46,3,FALSE)</f>
        <v/>
      </c>
      <c r="G192" s="34" t="inlineStr">
        <is>
          <t>X</t>
        </is>
      </c>
      <c r="H192" s="34" t="inlineStr">
        <is>
          <t>X</t>
        </is>
      </c>
      <c r="I192" s="34" t="inlineStr">
        <is>
          <t>X</t>
        </is>
      </c>
      <c r="J192" s="34" t="n">
        <v>3</v>
      </c>
      <c r="K192" s="34" t="n">
        <v>3</v>
      </c>
      <c r="L192" s="34">
        <f>+J192*K192</f>
        <v/>
      </c>
      <c r="M192" s="34">
        <f>+IF(L192&lt;5,"BAJO",IF(L192&lt;10,"MEDIO",IF(L192&lt;17,"ALTO","CRITICO")))</f>
        <v/>
      </c>
      <c r="N192" s="34" t="inlineStr">
        <is>
          <t>Sortware DLP /Políticas de uso de información contractual</t>
        </is>
      </c>
      <c r="O192" s="34" t="inlineStr">
        <is>
          <t>PREVENTIVO</t>
        </is>
      </c>
      <c r="P192" s="34" t="inlineStr">
        <is>
          <t>Control Implementado sin evidencia de efectividad (Inefectivo prueba)</t>
        </is>
      </c>
      <c r="Q192" s="52" t="n">
        <v>0.3</v>
      </c>
      <c r="R192" s="4" t="inlineStr">
        <is>
          <t>Documentación sencible sin cifrar</t>
        </is>
      </c>
      <c r="S192" s="53">
        <f>+IF(O192="PREVENTIVO",J192*(1-Q192),IF(O192="ADMINISTRACION",J192*(1-Q192),IF(O192="ELIMINACION",J192*(1-Q192),J192)))</f>
        <v/>
      </c>
      <c r="T192" s="53">
        <f>+IF(O192="DETECTIVO",K192*(1-Q192),IF(O192="RECUPERACION",K192*(1-Q192),K192))</f>
        <v/>
      </c>
      <c r="U192" s="54">
        <f>+S192*T192</f>
        <v/>
      </c>
      <c r="V192" s="65">
        <f>+IF(U192&lt;5,"BAJO",IF(U192&lt;10,"MEDIO",IF(U192&lt;17,"ALTO","CRITICO")))</f>
        <v/>
      </c>
      <c r="W192" s="87" t="inlineStr">
        <is>
          <t>MITIGAR</t>
        </is>
      </c>
      <c r="X192" s="80" t="inlineStr">
        <is>
          <t>-</t>
        </is>
      </c>
      <c r="Y192" s="80" t="inlineStr">
        <is>
          <t>-</t>
        </is>
      </c>
      <c r="Z192" s="80" t="inlineStr">
        <is>
          <t>-</t>
        </is>
      </c>
    </row>
    <row r="193" hidden="1" ht="51" customHeight="1" s="98">
      <c r="A193" s="91" t="inlineStr">
        <is>
          <t>58-GOP</t>
        </is>
      </c>
      <c r="B193" s="17" t="inlineStr">
        <is>
          <t>Cheques / Depósito</t>
        </is>
      </c>
      <c r="C193" s="17" t="inlineStr">
        <is>
          <t>Documento contable de valor que utiliza una persona para retirar dinero de la cuenta de quien lo emite</t>
        </is>
      </c>
      <c r="D193" s="55" t="inlineStr">
        <is>
          <t>[D] Datos / Información / datos de configuración</t>
        </is>
      </c>
      <c r="E193" s="34" t="inlineStr">
        <is>
          <t>[E.18] Destrucción de información</t>
        </is>
      </c>
      <c r="F193" s="34">
        <f>+VLOOKUP(E193,'CATALOGO AMENAZA'!$B$2:$D$46,3,FALSE)</f>
        <v/>
      </c>
      <c r="G193" s="34" t="n"/>
      <c r="H193" s="34" t="n"/>
      <c r="I193" s="34" t="inlineStr">
        <is>
          <t>X</t>
        </is>
      </c>
      <c r="J193" s="34" t="n">
        <v>2</v>
      </c>
      <c r="K193" s="34" t="n">
        <v>2</v>
      </c>
      <c r="L193" s="34">
        <f>+J193*K193</f>
        <v/>
      </c>
      <c r="M193" s="34">
        <f>+IF(L193&lt;5,"BAJO",IF(L193&lt;10,"MEDIO",IF(L193&lt;17,"ALTO","CRITICO")))</f>
        <v/>
      </c>
      <c r="N193" s="54" t="inlineStr">
        <is>
          <t>Respaldo digital de información</t>
        </is>
      </c>
      <c r="O193" s="54" t="inlineStr">
        <is>
          <t>PREVENTIVO</t>
        </is>
      </c>
      <c r="P193" s="34" t="inlineStr">
        <is>
          <t>Control Implementado sin evidencia de efectividad (Inefectivo prueba)</t>
        </is>
      </c>
      <c r="Q193" s="52" t="n">
        <v>0.3</v>
      </c>
      <c r="R193" s="34" t="inlineStr">
        <is>
          <t>Almacenamiento sin prueba de efectividad</t>
        </is>
      </c>
      <c r="S193" s="53">
        <f>+IF(O193="PREVENTIVO",J193*(1-Q193),IF(O193="ADMINISTRACION",J193*(1-Q193),IF(O193="ELIMINACION",J193*(1-Q193),J193)))</f>
        <v/>
      </c>
      <c r="T193" s="53">
        <f>+IF(O193="DETECTIVO",K193*(1-Q193),IF(O193="RECUPERACION",K193*(1-Q193),K193))</f>
        <v/>
      </c>
      <c r="U193" s="54">
        <f>+S193*T193</f>
        <v/>
      </c>
      <c r="V193" s="65">
        <f>+IF(U193&lt;5,"BAJO",IF(U193&lt;10,"MEDIO",IF(U193&lt;17,"ALTO","CRITICO")))</f>
        <v/>
      </c>
      <c r="W193" s="65" t="inlineStr">
        <is>
          <t>ACEPTABLE</t>
        </is>
      </c>
      <c r="X193" s="80" t="inlineStr">
        <is>
          <t>-</t>
        </is>
      </c>
      <c r="Y193" s="80" t="inlineStr">
        <is>
          <t>-</t>
        </is>
      </c>
      <c r="Z193" s="80" t="inlineStr">
        <is>
          <t>-</t>
        </is>
      </c>
    </row>
    <row r="194" hidden="1" ht="51" customHeight="1" s="98">
      <c r="A194" s="91" t="inlineStr">
        <is>
          <t>67-GOP</t>
        </is>
      </c>
      <c r="B194" s="17" t="inlineStr">
        <is>
          <t>Comprobante de ingreso y egreso de caja</t>
        </is>
      </c>
      <c r="C194" s="17" t="inlineStr">
        <is>
          <t>Registro de ingreso y egreso que se imprime después de la recaudación con información del servicio y valor</t>
        </is>
      </c>
      <c r="D194" s="55" t="inlineStr">
        <is>
          <t>[D] Datos / Información / datos de configuración</t>
        </is>
      </c>
      <c r="E194" s="34" t="inlineStr">
        <is>
          <t>[A.7] Uso no previsto</t>
        </is>
      </c>
      <c r="F194" s="34">
        <f>+VLOOKUP(E194,'CATALOGO AMENAZA'!$B$2:$D$46,3,FALSE)</f>
        <v/>
      </c>
      <c r="G194" s="34" t="inlineStr">
        <is>
          <t>X</t>
        </is>
      </c>
      <c r="H194" s="34" t="inlineStr">
        <is>
          <t>X</t>
        </is>
      </c>
      <c r="I194" s="34" t="inlineStr">
        <is>
          <t>X</t>
        </is>
      </c>
      <c r="J194" s="34" t="n">
        <v>3</v>
      </c>
      <c r="K194" s="34" t="n">
        <v>3</v>
      </c>
      <c r="L194" s="34">
        <f>+J194*K194</f>
        <v/>
      </c>
      <c r="M194" s="34">
        <f>+IF(L194&lt;5,"BAJO",IF(L194&lt;10,"MEDIO",IF(L194&lt;17,"ALTO","CRITICO")))</f>
        <v/>
      </c>
      <c r="N194" s="34" t="inlineStr">
        <is>
          <t>Sortware DLP /Políticas de uso de información contractual</t>
        </is>
      </c>
      <c r="O194" s="34" t="inlineStr">
        <is>
          <t>PREVENTIVO</t>
        </is>
      </c>
      <c r="P194" s="34" t="inlineStr">
        <is>
          <t>Control Implementado sin evidencia de efectividad (Inefectivo prueba)</t>
        </is>
      </c>
      <c r="Q194" s="52" t="n">
        <v>0.3</v>
      </c>
      <c r="R194" s="4" t="inlineStr">
        <is>
          <t>Documentación sencible sin cifrar</t>
        </is>
      </c>
      <c r="S194" s="53">
        <f>+IF(O194="PREVENTIVO",J194*(1-Q194),IF(O194="ADMINISTRACION",J194*(1-Q194),IF(O194="ELIMINACION",J194*(1-Q194),J194)))</f>
        <v/>
      </c>
      <c r="T194" s="53">
        <f>+IF(O194="DETECTIVO",K194*(1-Q194),IF(O194="RECUPERACION",K194*(1-Q194),K194))</f>
        <v/>
      </c>
      <c r="U194" s="54">
        <f>+S194*T194</f>
        <v/>
      </c>
      <c r="V194" s="65">
        <f>+IF(U194&lt;5,"BAJO",IF(U194&lt;10,"MEDIO",IF(U194&lt;17,"ALTO","CRITICO")))</f>
        <v/>
      </c>
      <c r="W194" s="87" t="inlineStr">
        <is>
          <t>MITIGAR</t>
        </is>
      </c>
      <c r="X194" s="80" t="inlineStr">
        <is>
          <t>-</t>
        </is>
      </c>
      <c r="Y194" s="80" t="inlineStr">
        <is>
          <t>-</t>
        </is>
      </c>
      <c r="Z194" s="80" t="inlineStr">
        <is>
          <t>-</t>
        </is>
      </c>
    </row>
    <row r="195" hidden="1" ht="51" customHeight="1" s="98">
      <c r="A195" s="91" t="inlineStr">
        <is>
          <t>67-GOP</t>
        </is>
      </c>
      <c r="B195" s="17" t="inlineStr">
        <is>
          <t>Comprobante de ingreso y egreso de caja</t>
        </is>
      </c>
      <c r="C195" s="17" t="inlineStr">
        <is>
          <t>Registro de ingreso y egreso que se imprime después de la recaudación con información del servicio y valor</t>
        </is>
      </c>
      <c r="D195" s="55" t="inlineStr">
        <is>
          <t>[D] Datos / Información / datos de configuración</t>
        </is>
      </c>
      <c r="E195" s="34" t="inlineStr">
        <is>
          <t>[E.18] Destrucción de información</t>
        </is>
      </c>
      <c r="F195" s="34">
        <f>+VLOOKUP(E195,'CATALOGO AMENAZA'!$B$2:$D$46,3,FALSE)</f>
        <v/>
      </c>
      <c r="G195" s="34" t="n"/>
      <c r="H195" s="34" t="n"/>
      <c r="I195" s="34" t="inlineStr">
        <is>
          <t>X</t>
        </is>
      </c>
      <c r="J195" s="34" t="n">
        <v>2</v>
      </c>
      <c r="K195" s="34" t="n">
        <v>2</v>
      </c>
      <c r="L195" s="34">
        <f>+J195*K195</f>
        <v/>
      </c>
      <c r="M195" s="34">
        <f>+IF(L195&lt;5,"BAJO",IF(L195&lt;10,"MEDIO",IF(L195&lt;17,"ALTO","CRITICO")))</f>
        <v/>
      </c>
      <c r="N195" s="54" t="inlineStr">
        <is>
          <t>Respaldo digital de información</t>
        </is>
      </c>
      <c r="O195" s="54" t="inlineStr">
        <is>
          <t>PREVENTIVO</t>
        </is>
      </c>
      <c r="P195" s="34" t="inlineStr">
        <is>
          <t>Control Implementado sin evidencia de efectividad (Inefectivo prueba)</t>
        </is>
      </c>
      <c r="Q195" s="52" t="n">
        <v>0.3</v>
      </c>
      <c r="R195" s="34" t="inlineStr">
        <is>
          <t>Almacenamiento sin prueba de efectividad</t>
        </is>
      </c>
      <c r="S195" s="53">
        <f>+IF(O195="PREVENTIVO",J195*(1-Q195),IF(O195="ADMINISTRACION",J195*(1-Q195),IF(O195="ELIMINACION",J195*(1-Q195),J195)))</f>
        <v/>
      </c>
      <c r="T195" s="53">
        <f>+IF(O195="DETECTIVO",K195*(1-Q195),IF(O195="RECUPERACION",K195*(1-Q195),K195))</f>
        <v/>
      </c>
      <c r="U195" s="54">
        <f>+S195*T195</f>
        <v/>
      </c>
      <c r="V195" s="65">
        <f>+IF(U195&lt;5,"BAJO",IF(U195&lt;10,"MEDIO",IF(U195&lt;17,"ALTO","CRITICO")))</f>
        <v/>
      </c>
      <c r="W195" s="65" t="inlineStr">
        <is>
          <t>ACEPTABLE</t>
        </is>
      </c>
      <c r="X195" s="80" t="inlineStr">
        <is>
          <t>-</t>
        </is>
      </c>
      <c r="Y195" s="80" t="inlineStr">
        <is>
          <t>-</t>
        </is>
      </c>
      <c r="Z195" s="80" t="inlineStr">
        <is>
          <t>-</t>
        </is>
      </c>
    </row>
    <row r="196" hidden="1" ht="41" customHeight="1" s="98">
      <c r="A196" s="91" t="inlineStr">
        <is>
          <t>75-GOP</t>
        </is>
      </c>
      <c r="B196" s="17" t="inlineStr">
        <is>
          <t>Cheques</t>
        </is>
      </c>
      <c r="C196" s="17" t="inlineStr">
        <is>
          <t>Cheque</t>
        </is>
      </c>
      <c r="D196" s="55" t="inlineStr">
        <is>
          <t>[D] Datos / Información / datos de configuración</t>
        </is>
      </c>
      <c r="E196" s="34" t="inlineStr">
        <is>
          <t>[A.7] Uso no previsto</t>
        </is>
      </c>
      <c r="F196" s="34">
        <f>+VLOOKUP(E196,'CATALOGO AMENAZA'!$B$2:$D$46,3,FALSE)</f>
        <v/>
      </c>
      <c r="G196" s="34" t="inlineStr">
        <is>
          <t>X</t>
        </is>
      </c>
      <c r="H196" s="34" t="inlineStr">
        <is>
          <t>X</t>
        </is>
      </c>
      <c r="I196" s="34" t="inlineStr">
        <is>
          <t>X</t>
        </is>
      </c>
      <c r="J196" s="34" t="n">
        <v>3</v>
      </c>
      <c r="K196" s="34" t="n">
        <v>3</v>
      </c>
      <c r="L196" s="34">
        <f>+J196*K196</f>
        <v/>
      </c>
      <c r="M196" s="34">
        <f>+IF(L196&lt;5,"BAJO",IF(L196&lt;10,"MEDIO",IF(L196&lt;17,"ALTO","CRITICO")))</f>
        <v/>
      </c>
      <c r="N196" s="34" t="inlineStr">
        <is>
          <t>Sortware DLP /Políticas de uso de información contractual</t>
        </is>
      </c>
      <c r="O196" s="34" t="inlineStr">
        <is>
          <t>PREVENTIVO</t>
        </is>
      </c>
      <c r="P196" s="34" t="inlineStr">
        <is>
          <t>Control Implementado sin evidencia de efectividad (Inefectivo prueba)</t>
        </is>
      </c>
      <c r="Q196" s="52" t="n">
        <v>0.3</v>
      </c>
      <c r="R196" s="4" t="inlineStr">
        <is>
          <t>Documentación sencible sin cifrar</t>
        </is>
      </c>
      <c r="S196" s="53">
        <f>+IF(O196="PREVENTIVO",J196*(1-Q196),IF(O196="ADMINISTRACION",J196*(1-Q196),IF(O196="ELIMINACION",J196*(1-Q196),J196)))</f>
        <v/>
      </c>
      <c r="T196" s="53">
        <f>+IF(O196="DETECTIVO",K196*(1-Q196),IF(O196="RECUPERACION",K196*(1-Q196),K196))</f>
        <v/>
      </c>
      <c r="U196" s="54">
        <f>+S196*T196</f>
        <v/>
      </c>
      <c r="V196" s="65">
        <f>+IF(U196&lt;5,"BAJO",IF(U196&lt;10,"MEDIO",IF(U196&lt;17,"ALTO","CRITICO")))</f>
        <v/>
      </c>
      <c r="W196" s="87" t="inlineStr">
        <is>
          <t>MITIGAR</t>
        </is>
      </c>
      <c r="X196" s="80" t="inlineStr">
        <is>
          <t>-</t>
        </is>
      </c>
      <c r="Y196" s="80" t="inlineStr">
        <is>
          <t>-</t>
        </is>
      </c>
      <c r="Z196" s="80" t="inlineStr">
        <is>
          <t>-</t>
        </is>
      </c>
    </row>
    <row r="197" hidden="1" ht="30.5" customHeight="1" s="98">
      <c r="A197" s="91" t="inlineStr">
        <is>
          <t>75-GOP</t>
        </is>
      </c>
      <c r="B197" s="17" t="inlineStr">
        <is>
          <t>Cheques</t>
        </is>
      </c>
      <c r="C197" s="17" t="inlineStr">
        <is>
          <t>Cheque</t>
        </is>
      </c>
      <c r="D197" s="55" t="inlineStr">
        <is>
          <t>[D] Datos / Información / datos de configuración</t>
        </is>
      </c>
      <c r="E197" s="34" t="inlineStr">
        <is>
          <t>[E.18] Destrucción de información</t>
        </is>
      </c>
      <c r="F197" s="34">
        <f>+VLOOKUP(E197,'CATALOGO AMENAZA'!$B$2:$D$46,3,FALSE)</f>
        <v/>
      </c>
      <c r="G197" s="34" t="n"/>
      <c r="H197" s="34" t="n"/>
      <c r="I197" s="34" t="inlineStr">
        <is>
          <t>X</t>
        </is>
      </c>
      <c r="J197" s="34" t="n">
        <v>2</v>
      </c>
      <c r="K197" s="34" t="n">
        <v>2</v>
      </c>
      <c r="L197" s="34">
        <f>+J197*K197</f>
        <v/>
      </c>
      <c r="M197" s="34">
        <f>+IF(L197&lt;5,"BAJO",IF(L197&lt;10,"MEDIO",IF(L197&lt;17,"ALTO","CRITICO")))</f>
        <v/>
      </c>
      <c r="N197" s="54" t="inlineStr">
        <is>
          <t>Respaldo digital de información</t>
        </is>
      </c>
      <c r="O197" s="54" t="inlineStr">
        <is>
          <t>PREVENTIVO</t>
        </is>
      </c>
      <c r="P197" s="34" t="inlineStr">
        <is>
          <t>Control Implementado sin evidencia de efectividad (Inefectivo prueba)</t>
        </is>
      </c>
      <c r="Q197" s="52" t="n">
        <v>0.3</v>
      </c>
      <c r="R197" s="34" t="inlineStr">
        <is>
          <t>Almacenamiento sin prueba de efectividad</t>
        </is>
      </c>
      <c r="S197" s="53">
        <f>+IF(O197="PREVENTIVO",J197*(1-Q197),IF(O197="ADMINISTRACION",J197*(1-Q197),IF(O197="ELIMINACION",J197*(1-Q197),J197)))</f>
        <v/>
      </c>
      <c r="T197" s="53">
        <f>+IF(O197="DETECTIVO",K197*(1-Q197),IF(O197="RECUPERACION",K197*(1-Q197),K197))</f>
        <v/>
      </c>
      <c r="U197" s="54">
        <f>+S197*T197</f>
        <v/>
      </c>
      <c r="V197" s="65">
        <f>+IF(U197&lt;5,"BAJO",IF(U197&lt;10,"MEDIO",IF(U197&lt;17,"ALTO","CRITICO")))</f>
        <v/>
      </c>
      <c r="W197" s="65" t="inlineStr">
        <is>
          <t>ACEPTABLE</t>
        </is>
      </c>
      <c r="X197" s="80" t="inlineStr">
        <is>
          <t>-</t>
        </is>
      </c>
      <c r="Y197" s="80" t="inlineStr">
        <is>
          <t>-</t>
        </is>
      </c>
      <c r="Z197" s="80" t="inlineStr">
        <is>
          <t>-</t>
        </is>
      </c>
    </row>
    <row r="198" hidden="1" ht="51" customHeight="1" s="98">
      <c r="A198" s="91" t="inlineStr">
        <is>
          <t>86-GOP</t>
        </is>
      </c>
      <c r="B198" s="17" t="inlineStr">
        <is>
          <t>Cheques / Retiro</t>
        </is>
      </c>
      <c r="C198" s="17" t="inlineStr">
        <is>
          <t xml:space="preserve"> Documento contable que entrega el supervisor operativo al socio luego de la autorización del retiro por las áreas correspondientes</t>
        </is>
      </c>
      <c r="D198" s="55" t="inlineStr">
        <is>
          <t>[D] Datos / Información / datos de configuración</t>
        </is>
      </c>
      <c r="E198" s="34" t="inlineStr">
        <is>
          <t>[A.7] Uso no previsto</t>
        </is>
      </c>
      <c r="F198" s="34">
        <f>+VLOOKUP(E198,'CATALOGO AMENAZA'!$B$2:$D$46,3,FALSE)</f>
        <v/>
      </c>
      <c r="G198" s="34" t="inlineStr">
        <is>
          <t>X</t>
        </is>
      </c>
      <c r="H198" s="34" t="inlineStr">
        <is>
          <t>X</t>
        </is>
      </c>
      <c r="I198" s="34" t="inlineStr">
        <is>
          <t>X</t>
        </is>
      </c>
      <c r="J198" s="34" t="n">
        <v>3</v>
      </c>
      <c r="K198" s="34" t="n">
        <v>2</v>
      </c>
      <c r="L198" s="34">
        <f>+J198*K198</f>
        <v/>
      </c>
      <c r="M198" s="34">
        <f>+IF(L198&lt;5,"BAJO",IF(L198&lt;10,"MEDIO",IF(L198&lt;17,"ALTO","CRITICO")))</f>
        <v/>
      </c>
      <c r="N198" s="34" t="inlineStr">
        <is>
          <t>Sortware DLP /Políticas de uso de información contractual</t>
        </is>
      </c>
      <c r="O198" s="34" t="inlineStr">
        <is>
          <t>PREVENTIVO</t>
        </is>
      </c>
      <c r="P198" s="34" t="inlineStr">
        <is>
          <t>Control Implementado sin evidencia de efectividad (Inefectivo prueba)</t>
        </is>
      </c>
      <c r="Q198" s="52" t="n">
        <v>0.3</v>
      </c>
      <c r="R198" s="4" t="inlineStr">
        <is>
          <t>Documentación sencible sin cifrar</t>
        </is>
      </c>
      <c r="S198" s="53">
        <f>+IF(O198="PREVENTIVO",J198*(1-Q198),IF(O198="ADMINISTRACION",J198*(1-Q198),IF(O198="ELIMINACION",J198*(1-Q198),J198)))</f>
        <v/>
      </c>
      <c r="T198" s="53">
        <f>+IF(O198="DETECTIVO",K198*(1-Q198),IF(O198="RECUPERACION",K198*(1-Q198),K198))</f>
        <v/>
      </c>
      <c r="U198" s="54">
        <f>+S198*T198</f>
        <v/>
      </c>
      <c r="V198" s="65">
        <f>+IF(U198&lt;5,"BAJO",IF(U198&lt;10,"MEDIO",IF(U198&lt;17,"ALTO","CRITICO")))</f>
        <v/>
      </c>
      <c r="W198" s="65" t="inlineStr">
        <is>
          <t>ACEPTABLE</t>
        </is>
      </c>
      <c r="X198" s="80" t="inlineStr">
        <is>
          <t>-</t>
        </is>
      </c>
      <c r="Y198" s="80" t="inlineStr">
        <is>
          <t>-</t>
        </is>
      </c>
      <c r="Z198" s="80" t="inlineStr">
        <is>
          <t>-</t>
        </is>
      </c>
    </row>
    <row r="199" hidden="1" ht="30.5" customHeight="1" s="98">
      <c r="A199" s="91" t="inlineStr">
        <is>
          <t xml:space="preserve">19-GRE </t>
        </is>
      </c>
      <c r="B199" s="17" t="inlineStr">
        <is>
          <t>Equipos de computación del Jefe de Cobranza</t>
        </is>
      </c>
      <c r="C199" s="17" t="inlineStr">
        <is>
          <t>Equipos de computación donde se realiza la gestión del área</t>
        </is>
      </c>
      <c r="D199" s="64" t="inlineStr">
        <is>
          <t>[HW] Equipamiento informático (hardware)</t>
        </is>
      </c>
      <c r="E199" s="34" t="inlineStr">
        <is>
          <t>[E.25] Pérdida de equipos</t>
        </is>
      </c>
      <c r="F199" s="34" t="inlineStr">
        <is>
          <t xml:space="preserve">
[C] confidencialidad 
[D] disponibilidad</t>
        </is>
      </c>
      <c r="G199" s="34" t="inlineStr">
        <is>
          <t>X</t>
        </is>
      </c>
      <c r="H199" s="34" t="n"/>
      <c r="I199" s="34" t="inlineStr">
        <is>
          <t>X</t>
        </is>
      </c>
      <c r="J199" s="34" t="n">
        <v>1</v>
      </c>
      <c r="K199" s="34" t="n">
        <v>3</v>
      </c>
      <c r="L199" s="34">
        <f>+J199*K199</f>
        <v/>
      </c>
      <c r="M199" s="34">
        <f>+IF(L199&lt;5,"BAJO",IF(L199&lt;10,"MEDIO",IF(L199&lt;17,"ALTO","CRITICO")))</f>
        <v/>
      </c>
      <c r="N199" s="54" t="inlineStr">
        <is>
          <t>Respaldo digital de información</t>
        </is>
      </c>
      <c r="O199" s="54" t="inlineStr">
        <is>
          <t>PREVENTIVO</t>
        </is>
      </c>
      <c r="P199" s="34" t="inlineStr">
        <is>
          <t>Control Implementado sin evidencia de efectividad (Inefectivo prueba)</t>
        </is>
      </c>
      <c r="Q199" s="52" t="n">
        <v>0.3</v>
      </c>
      <c r="R199" s="34" t="inlineStr">
        <is>
          <t>Almacenamiento sin prueba de efectividad</t>
        </is>
      </c>
      <c r="S199" s="53">
        <f>+IF(O199="PREVENTIVO",J199*(1-Q199),IF(O199="ADMINISTRACION",J199*(1-Q199),IF(O199="ELIMINACION",J199*(1-Q199),J199)))</f>
        <v/>
      </c>
      <c r="T199" s="53">
        <f>+IF(O199="DETECTIVO",K199*(1-Q199),IF(O199="RECUPERACION",K199*(1-Q199),K199))</f>
        <v/>
      </c>
      <c r="U199" s="54">
        <f>+S199*T199</f>
        <v/>
      </c>
      <c r="V199" s="65">
        <f>+IF(U199&lt;5,"BAJO",IF(U199&lt;10,"MEDIO",IF(U199&lt;17,"ALTO","CRITICO")))</f>
        <v/>
      </c>
      <c r="W199" s="65" t="inlineStr">
        <is>
          <t>ACEPTABLE</t>
        </is>
      </c>
      <c r="X199" s="80" t="inlineStr">
        <is>
          <t>-</t>
        </is>
      </c>
      <c r="Y199" s="80" t="inlineStr">
        <is>
          <t>-</t>
        </is>
      </c>
      <c r="Z199" s="80" t="inlineStr">
        <is>
          <t>-</t>
        </is>
      </c>
    </row>
    <row r="200" hidden="1" ht="41" customHeight="1" s="98">
      <c r="A200" s="91" t="inlineStr">
        <is>
          <t xml:space="preserve">19-GRE </t>
        </is>
      </c>
      <c r="B200" s="17" t="inlineStr">
        <is>
          <t>Equipos de computación del Jefe de Cobranza</t>
        </is>
      </c>
      <c r="C200" s="17" t="inlineStr">
        <is>
          <t>Equipos de computación donde se realiza la gestión del área</t>
        </is>
      </c>
      <c r="D200" s="64" t="inlineStr">
        <is>
          <t>[HW] Equipamiento informático (hardware)</t>
        </is>
      </c>
      <c r="E200" s="34" t="inlineStr">
        <is>
          <t>[A.7] Uso no previsto</t>
        </is>
      </c>
      <c r="F200" s="34">
        <f>+VLOOKUP(E200,'CATALOGO AMENAZA'!$B$2:$D$46,3,FALSE)</f>
        <v/>
      </c>
      <c r="G200" s="34" t="inlineStr">
        <is>
          <t>X</t>
        </is>
      </c>
      <c r="H200" s="34" t="inlineStr">
        <is>
          <t>X</t>
        </is>
      </c>
      <c r="I200" s="34" t="inlineStr">
        <is>
          <t>X</t>
        </is>
      </c>
      <c r="J200" s="34" t="n">
        <v>3</v>
      </c>
      <c r="K200" s="34" t="n">
        <v>3</v>
      </c>
      <c r="L200" s="34">
        <f>+J200*K200</f>
        <v/>
      </c>
      <c r="M200" s="34">
        <f>+IF(L200&lt;5,"BAJO",IF(L200&lt;10,"MEDIO",IF(L200&lt;17,"ALTO","CRITICO")))</f>
        <v/>
      </c>
      <c r="N200" s="34" t="inlineStr">
        <is>
          <t>Sortware DLP /Políticas de uso de información contractual</t>
        </is>
      </c>
      <c r="O200" s="34" t="inlineStr">
        <is>
          <t>PREVENTIVO</t>
        </is>
      </c>
      <c r="P200" s="34" t="inlineStr">
        <is>
          <t>Control Implementado sin evidencia de efectividad (Inefectivo prueba)</t>
        </is>
      </c>
      <c r="Q200" s="52" t="n">
        <v>0.3</v>
      </c>
      <c r="R200" s="4" t="inlineStr">
        <is>
          <t>Documentación sencible sin cifrar</t>
        </is>
      </c>
      <c r="S200" s="53">
        <f>+IF(O200="PREVENTIVO",J200*(1-Q200),IF(O200="ADMINISTRACION",J200*(1-Q200),IF(O200="ELIMINACION",J200*(1-Q200),J200)))</f>
        <v/>
      </c>
      <c r="T200" s="53">
        <f>+IF(O200="DETECTIVO",K200*(1-Q200),IF(O200="RECUPERACION",K200*(1-Q200),K200))</f>
        <v/>
      </c>
      <c r="U200" s="54">
        <f>+S200*T200</f>
        <v/>
      </c>
      <c r="V200" s="65">
        <f>+IF(U200&lt;5,"BAJO",IF(U200&lt;10,"MEDIO",IF(U200&lt;17,"ALTO","CRITICO")))</f>
        <v/>
      </c>
      <c r="W200" s="87" t="inlineStr">
        <is>
          <t>MITIGAR</t>
        </is>
      </c>
      <c r="X200" s="80" t="inlineStr">
        <is>
          <t>-</t>
        </is>
      </c>
      <c r="Y200" s="80" t="inlineStr">
        <is>
          <t>-</t>
        </is>
      </c>
      <c r="Z200" s="80" t="inlineStr">
        <is>
          <t>-</t>
        </is>
      </c>
    </row>
    <row r="201" hidden="1" ht="51" customHeight="1" s="98">
      <c r="A201" s="91" t="inlineStr">
        <is>
          <t>86-GOP</t>
        </is>
      </c>
      <c r="B201" s="17" t="inlineStr">
        <is>
          <t>Cheques / Retiro</t>
        </is>
      </c>
      <c r="C201" s="17" t="inlineStr">
        <is>
          <t xml:space="preserve"> Documento contable que entrega el supervisor operativo al socio luego de la autorización del retiro por las áreas correspondientes</t>
        </is>
      </c>
      <c r="D201" s="55" t="inlineStr">
        <is>
          <t>[D] Datos / Información / datos de configuración</t>
        </is>
      </c>
      <c r="E201" s="34" t="inlineStr">
        <is>
          <t>[E.18] Destrucción de información</t>
        </is>
      </c>
      <c r="F201" s="34">
        <f>+VLOOKUP(E201,'CATALOGO AMENAZA'!$B$2:$D$46,3,FALSE)</f>
        <v/>
      </c>
      <c r="G201" s="34" t="n"/>
      <c r="H201" s="34" t="n"/>
      <c r="I201" s="34" t="inlineStr">
        <is>
          <t>X</t>
        </is>
      </c>
      <c r="J201" s="34" t="n">
        <v>2</v>
      </c>
      <c r="K201" s="34" t="n">
        <v>2</v>
      </c>
      <c r="L201" s="34">
        <f>+J201*K201</f>
        <v/>
      </c>
      <c r="M201" s="34">
        <f>+IF(L201&lt;5,"BAJO",IF(L201&lt;10,"MEDIO",IF(L201&lt;17,"ALTO","CRITICO")))</f>
        <v/>
      </c>
      <c r="N201" s="54" t="inlineStr">
        <is>
          <t>Respaldo digital de información</t>
        </is>
      </c>
      <c r="O201" s="54" t="inlineStr">
        <is>
          <t>PREVENTIVO</t>
        </is>
      </c>
      <c r="P201" s="34" t="inlineStr">
        <is>
          <t>Control Implementado sin evidencia de efectividad (Inefectivo prueba)</t>
        </is>
      </c>
      <c r="Q201" s="52" t="n">
        <v>0.3</v>
      </c>
      <c r="R201" s="34" t="inlineStr">
        <is>
          <t>Almacenamiento sin prueba de efectividad</t>
        </is>
      </c>
      <c r="S201" s="53">
        <f>+IF(O201="PREVENTIVO",J201*(1-Q201),IF(O201="ADMINISTRACION",J201*(1-Q201),IF(O201="ELIMINACION",J201*(1-Q201),J201)))</f>
        <v/>
      </c>
      <c r="T201" s="53">
        <f>+IF(O201="DETECTIVO",K201*(1-Q201),IF(O201="RECUPERACION",K201*(1-Q201),K201))</f>
        <v/>
      </c>
      <c r="U201" s="54">
        <f>+S201*T201</f>
        <v/>
      </c>
      <c r="V201" s="65">
        <f>+IF(U201&lt;5,"BAJO",IF(U201&lt;10,"MEDIO",IF(U201&lt;17,"ALTO","CRITICO")))</f>
        <v/>
      </c>
      <c r="W201" s="65" t="inlineStr">
        <is>
          <t>ACEPTABLE</t>
        </is>
      </c>
      <c r="X201" s="80" t="inlineStr">
        <is>
          <t>-</t>
        </is>
      </c>
      <c r="Y201" s="80" t="inlineStr">
        <is>
          <t>-</t>
        </is>
      </c>
      <c r="Z201" s="80" t="inlineStr">
        <is>
          <t>-</t>
        </is>
      </c>
    </row>
    <row r="202" hidden="1" ht="51" customHeight="1" s="98">
      <c r="A202" s="91" t="inlineStr">
        <is>
          <t xml:space="preserve">23-GRE </t>
        </is>
      </c>
      <c r="B202" s="17" t="inlineStr">
        <is>
          <t>Documentos para el inicio de tramites judiciales</t>
        </is>
      </c>
      <c r="C202" s="17" t="inlineStr">
        <is>
          <t>Pagaré, escritura de hipoteca, tabla de amortización, liquidación actualizada, tabla de pagos actualizada</t>
        </is>
      </c>
      <c r="D202" s="55" t="inlineStr">
        <is>
          <t>[D] Datos / Información / datos de configuración</t>
        </is>
      </c>
      <c r="E202" s="34" t="inlineStr">
        <is>
          <t>[A.7] Uso no previsto</t>
        </is>
      </c>
      <c r="F202" s="34">
        <f>+VLOOKUP(E202,'CATALOGO AMENAZA'!$B$2:$D$46,3,FALSE)</f>
        <v/>
      </c>
      <c r="G202" s="34" t="inlineStr">
        <is>
          <t>X</t>
        </is>
      </c>
      <c r="H202" s="34" t="inlineStr">
        <is>
          <t>X</t>
        </is>
      </c>
      <c r="I202" s="34" t="inlineStr">
        <is>
          <t>X</t>
        </is>
      </c>
      <c r="J202" s="34" t="n">
        <v>3</v>
      </c>
      <c r="K202" s="34" t="n">
        <v>3</v>
      </c>
      <c r="L202" s="34">
        <f>+J202*K202</f>
        <v/>
      </c>
      <c r="M202" s="34">
        <f>+IF(L202&lt;5,"BAJO",IF(L202&lt;10,"MEDIO",IF(L202&lt;17,"ALTO","CRITICO")))</f>
        <v/>
      </c>
      <c r="N202" s="34" t="inlineStr">
        <is>
          <t>Sortware DLP /Políticas de uso de información contractual</t>
        </is>
      </c>
      <c r="O202" s="34" t="inlineStr">
        <is>
          <t>PREVENTIVO</t>
        </is>
      </c>
      <c r="P202" s="34" t="inlineStr">
        <is>
          <t>Control Implementado sin evidencia de efectividad (Inefectivo prueba)</t>
        </is>
      </c>
      <c r="Q202" s="52" t="n">
        <v>0.3</v>
      </c>
      <c r="R202" s="4" t="inlineStr">
        <is>
          <t>Documentación sencible sin cifrar</t>
        </is>
      </c>
      <c r="S202" s="53">
        <f>+IF(O202="PREVENTIVO",J202*(1-Q202),IF(O202="ADMINISTRACION",J202*(1-Q202),IF(O202="ELIMINACION",J202*(1-Q202),J202)))</f>
        <v/>
      </c>
      <c r="T202" s="53">
        <f>+IF(O202="DETECTIVO",K202*(1-Q202),IF(O202="RECUPERACION",K202*(1-Q202),K202))</f>
        <v/>
      </c>
      <c r="U202" s="54">
        <f>+S202*T202</f>
        <v/>
      </c>
      <c r="V202" s="65">
        <f>+IF(U202&lt;5,"BAJO",IF(U202&lt;10,"MEDIO",IF(U202&lt;17,"ALTO","CRITICO")))</f>
        <v/>
      </c>
      <c r="W202" s="87" t="inlineStr">
        <is>
          <t>MITIGAR</t>
        </is>
      </c>
      <c r="X202" s="80" t="inlineStr">
        <is>
          <t>-</t>
        </is>
      </c>
      <c r="Y202" s="80" t="inlineStr">
        <is>
          <t>-</t>
        </is>
      </c>
      <c r="Z202" s="80" t="inlineStr">
        <is>
          <t>-</t>
        </is>
      </c>
    </row>
    <row r="203" hidden="1" ht="51" customHeight="1" s="98">
      <c r="A203" s="91" t="inlineStr">
        <is>
          <t xml:space="preserve">23-GRE </t>
        </is>
      </c>
      <c r="B203" s="17" t="inlineStr">
        <is>
          <t>Documentos para el inicio de tramites judiciales</t>
        </is>
      </c>
      <c r="C203" s="17" t="inlineStr">
        <is>
          <t>Pagaré, escritura de hipoteca, tabla de amortización, liquidación actualizada, tabla de pagos actualizada</t>
        </is>
      </c>
      <c r="D203" s="55" t="inlineStr">
        <is>
          <t>[D] Datos / Información / datos de configuración</t>
        </is>
      </c>
      <c r="E203" s="34" t="inlineStr">
        <is>
          <t>[E.19] Fugas de información</t>
        </is>
      </c>
      <c r="F203" s="34">
        <f>+VLOOKUP(E203,'CATALOGO AMENAZA'!$B$2:$D$46,3,FALSE)</f>
        <v/>
      </c>
      <c r="G203" s="34" t="inlineStr">
        <is>
          <t>X</t>
        </is>
      </c>
      <c r="H203" s="34" t="n"/>
      <c r="I203" s="34" t="n"/>
      <c r="J203" s="34" t="n">
        <v>2</v>
      </c>
      <c r="K203" s="34" t="n">
        <v>3</v>
      </c>
      <c r="L203" s="34">
        <f>+J203*K203</f>
        <v/>
      </c>
      <c r="M203" s="34">
        <f>+IF(L203&lt;5,"BAJO",IF(L203&lt;10,"MEDIO",IF(L203&lt;17,"ALTO","CRITICO")))</f>
        <v/>
      </c>
      <c r="N203" s="54" t="inlineStr">
        <is>
          <t>Software DLP</t>
        </is>
      </c>
      <c r="O203" s="54" t="inlineStr">
        <is>
          <t>PREVENTIVO</t>
        </is>
      </c>
      <c r="P203" s="34" t="inlineStr">
        <is>
          <t>Control Implementado sin evidencia de efectividad (Inefectivo prueba)</t>
        </is>
      </c>
      <c r="Q203" s="52" t="n">
        <v>0.3</v>
      </c>
      <c r="R203" s="34" t="inlineStr">
        <is>
          <t>Politicas sin restricción para jefaturas</t>
        </is>
      </c>
      <c r="S203" s="53">
        <f>+IF(O203="PREVENTIVO",J203*(1-Q203),IF(O203="ADMINISTRACION",J203*(1-Q203),IF(O203="ELIMINACION",J203*(1-Q203),J203)))</f>
        <v/>
      </c>
      <c r="T203" s="53">
        <f>+IF(O203="DETECTIVO",K203*(1-Q203),IF(O203="RECUPERACION",K203*(1-Q203),K203))</f>
        <v/>
      </c>
      <c r="U203" s="54">
        <f>+S203*T203</f>
        <v/>
      </c>
      <c r="V203" s="65">
        <f>+IF(U203&lt;5,"BAJO",IF(U203&lt;10,"MEDIO",IF(U203&lt;17,"ALTO","CRITICO")))</f>
        <v/>
      </c>
      <c r="W203" s="65" t="inlineStr">
        <is>
          <t>ACEPTABLE</t>
        </is>
      </c>
      <c r="X203" s="80" t="inlineStr">
        <is>
          <t>-</t>
        </is>
      </c>
      <c r="Y203" s="80" t="inlineStr">
        <is>
          <t>-</t>
        </is>
      </c>
      <c r="Z203" s="80" t="inlineStr">
        <is>
          <t>-</t>
        </is>
      </c>
    </row>
    <row r="204" hidden="1" ht="81.5" customHeight="1" s="98">
      <c r="A204" s="91" t="inlineStr">
        <is>
          <t xml:space="preserve">26-GRE </t>
        </is>
      </c>
      <c r="B204" s="17" t="inlineStr">
        <is>
          <t>Documentos habilitantes para la demanda</t>
        </is>
      </c>
      <c r="C204" s="17" t="inlineStr">
        <is>
          <t>Documentos entregados al abogado externo Anexo de asignación de cartera abogados externos/Acta entrega recepción de documentos/Documentos para el inicio de tramites judiciales</t>
        </is>
      </c>
      <c r="D204" s="55" t="inlineStr">
        <is>
          <t>[D] Datos / Información / datos de configuración</t>
        </is>
      </c>
      <c r="E204" s="34" t="inlineStr">
        <is>
          <t>[A.7] Uso no previsto</t>
        </is>
      </c>
      <c r="F204" s="34">
        <f>+VLOOKUP(E204,'CATALOGO AMENAZA'!$B$2:$D$46,3,FALSE)</f>
        <v/>
      </c>
      <c r="G204" s="34" t="inlineStr">
        <is>
          <t>X</t>
        </is>
      </c>
      <c r="H204" s="34" t="inlineStr">
        <is>
          <t>X</t>
        </is>
      </c>
      <c r="I204" s="34" t="inlineStr">
        <is>
          <t>X</t>
        </is>
      </c>
      <c r="J204" s="34" t="n">
        <v>3</v>
      </c>
      <c r="K204" s="34" t="n">
        <v>3</v>
      </c>
      <c r="L204" s="34">
        <f>+J204*K204</f>
        <v/>
      </c>
      <c r="M204" s="34">
        <f>+IF(L204&lt;5,"BAJO",IF(L204&lt;10,"MEDIO",IF(L204&lt;17,"ALTO","CRITICO")))</f>
        <v/>
      </c>
      <c r="N204" s="34" t="inlineStr">
        <is>
          <t>Sortware DLP /Políticas de uso de información contractual</t>
        </is>
      </c>
      <c r="O204" s="34" t="inlineStr">
        <is>
          <t>PREVENTIVO</t>
        </is>
      </c>
      <c r="P204" s="34" t="inlineStr">
        <is>
          <t>Control Implementado sin evidencia de efectividad (Inefectivo prueba)</t>
        </is>
      </c>
      <c r="Q204" s="52" t="n">
        <v>0.3</v>
      </c>
      <c r="R204" s="4" t="inlineStr">
        <is>
          <t>Documentación sencible sin cifrar</t>
        </is>
      </c>
      <c r="S204" s="53">
        <f>+IF(O204="PREVENTIVO",J204*(1-Q204),IF(O204="ADMINISTRACION",J204*(1-Q204),IF(O204="ELIMINACION",J204*(1-Q204),J204)))</f>
        <v/>
      </c>
      <c r="T204" s="53">
        <f>+IF(O204="DETECTIVO",K204*(1-Q204),IF(O204="RECUPERACION",K204*(1-Q204),K204))</f>
        <v/>
      </c>
      <c r="U204" s="54">
        <f>+S204*T204</f>
        <v/>
      </c>
      <c r="V204" s="65">
        <f>+IF(U204&lt;5,"BAJO",IF(U204&lt;10,"MEDIO",IF(U204&lt;17,"ALTO","CRITICO")))</f>
        <v/>
      </c>
      <c r="W204" s="87" t="inlineStr">
        <is>
          <t>MITIGAR</t>
        </is>
      </c>
      <c r="X204" s="80" t="inlineStr">
        <is>
          <t>-</t>
        </is>
      </c>
      <c r="Y204" s="80" t="inlineStr">
        <is>
          <t>-</t>
        </is>
      </c>
      <c r="Z204" s="80" t="inlineStr">
        <is>
          <t>-</t>
        </is>
      </c>
    </row>
    <row r="205" hidden="1" ht="81.5" customHeight="1" s="98">
      <c r="A205" s="91" t="inlineStr">
        <is>
          <t xml:space="preserve">26-GRE </t>
        </is>
      </c>
      <c r="B205" s="17" t="inlineStr">
        <is>
          <t>Documentos habilitantes para la demanda</t>
        </is>
      </c>
      <c r="C205" s="17" t="inlineStr">
        <is>
          <t>Documentos entregados al abogado externo Anexo de asignación de cartera abogados externos/Acta entrega recepción de documentos/Documentos para el inicio de tramites judiciales</t>
        </is>
      </c>
      <c r="D205" s="55" t="inlineStr">
        <is>
          <t>[D] Datos / Información / datos de configuración</t>
        </is>
      </c>
      <c r="E205" s="34" t="inlineStr">
        <is>
          <t>[E.19] Fugas de información</t>
        </is>
      </c>
      <c r="F205" s="34">
        <f>+VLOOKUP(E205,'CATALOGO AMENAZA'!$B$2:$D$46,3,FALSE)</f>
        <v/>
      </c>
      <c r="G205" s="34" t="inlineStr">
        <is>
          <t>X</t>
        </is>
      </c>
      <c r="H205" s="34" t="n"/>
      <c r="I205" s="34" t="n"/>
      <c r="J205" s="34" t="n">
        <v>2</v>
      </c>
      <c r="K205" s="34" t="n">
        <v>3</v>
      </c>
      <c r="L205" s="34">
        <f>+J205*K205</f>
        <v/>
      </c>
      <c r="M205" s="34">
        <f>+IF(L205&lt;5,"BAJO",IF(L205&lt;10,"MEDIO",IF(L205&lt;17,"ALTO","CRITICO")))</f>
        <v/>
      </c>
      <c r="N205" s="54" t="inlineStr">
        <is>
          <t>Software DLP</t>
        </is>
      </c>
      <c r="O205" s="54" t="inlineStr">
        <is>
          <t>PREVENTIVO</t>
        </is>
      </c>
      <c r="P205" s="34" t="inlineStr">
        <is>
          <t>Control Implementado sin evidencia de efectividad (Inefectivo prueba)</t>
        </is>
      </c>
      <c r="Q205" s="52" t="n">
        <v>0.3</v>
      </c>
      <c r="R205" s="34" t="inlineStr">
        <is>
          <t>Politicas sin restricción para jefaturas</t>
        </is>
      </c>
      <c r="S205" s="53">
        <f>+IF(O205="PREVENTIVO",J205*(1-Q205),IF(O205="ADMINISTRACION",J205*(1-Q205),IF(O205="ELIMINACION",J205*(1-Q205),J205)))</f>
        <v/>
      </c>
      <c r="T205" s="53">
        <f>+IF(O205="DETECTIVO",K205*(1-Q205),IF(O205="RECUPERACION",K205*(1-Q205),K205))</f>
        <v/>
      </c>
      <c r="U205" s="54">
        <f>+S205*T205</f>
        <v/>
      </c>
      <c r="V205" s="65">
        <f>+IF(U205&lt;5,"BAJO",IF(U205&lt;10,"MEDIO",IF(U205&lt;17,"ALTO","CRITICO")))</f>
        <v/>
      </c>
      <c r="W205" s="65" t="inlineStr">
        <is>
          <t>ACEPTABLE</t>
        </is>
      </c>
      <c r="X205" s="80" t="inlineStr">
        <is>
          <t>-</t>
        </is>
      </c>
      <c r="Y205" s="80" t="inlineStr">
        <is>
          <t>-</t>
        </is>
      </c>
      <c r="Z205" s="80" t="inlineStr">
        <is>
          <t>-</t>
        </is>
      </c>
    </row>
    <row r="206" hidden="1" ht="30.5" customHeight="1" s="98">
      <c r="A206" s="91" t="inlineStr">
        <is>
          <t xml:space="preserve">27-GRE </t>
        </is>
      </c>
      <c r="B206" s="17" t="inlineStr">
        <is>
          <t>Registro de cartera asignada a abogados externos</t>
        </is>
      </c>
      <c r="C206" s="17" t="inlineStr">
        <is>
          <t>Registro de cartera asignada obtenida del sistema FIT</t>
        </is>
      </c>
      <c r="D206" s="55" t="inlineStr">
        <is>
          <t>[D] Datos / Información / datos de configuración</t>
        </is>
      </c>
      <c r="E206" s="34" t="inlineStr">
        <is>
          <t>[E.18] Destrucción de información</t>
        </is>
      </c>
      <c r="F206" s="34">
        <f>+VLOOKUP(E206,'CATALOGO AMENAZA'!$B$2:$D$46,3,FALSE)</f>
        <v/>
      </c>
      <c r="G206" s="34" t="n"/>
      <c r="H206" s="34" t="n"/>
      <c r="I206" s="34" t="inlineStr">
        <is>
          <t>X</t>
        </is>
      </c>
      <c r="J206" s="34" t="n">
        <v>2</v>
      </c>
      <c r="K206" s="34" t="n">
        <v>4</v>
      </c>
      <c r="L206" s="34">
        <f>+J206*K206</f>
        <v/>
      </c>
      <c r="M206" s="34">
        <f>+IF(L206&lt;5,"BAJO",IF(L206&lt;10,"MEDIO",IF(L206&lt;17,"ALTO","CRITICO")))</f>
        <v/>
      </c>
      <c r="N206" s="54" t="inlineStr">
        <is>
          <t>Respaldo digital de información</t>
        </is>
      </c>
      <c r="O206" s="54" t="inlineStr">
        <is>
          <t>PREVENTIVO</t>
        </is>
      </c>
      <c r="P206" s="34" t="inlineStr">
        <is>
          <t>Control Implementado sin evidencia de efectividad (Inefectivo prueba)</t>
        </is>
      </c>
      <c r="Q206" s="52" t="n">
        <v>0.3</v>
      </c>
      <c r="R206" s="34" t="inlineStr">
        <is>
          <t>Almacenamiento sin prueba de efectividad</t>
        </is>
      </c>
      <c r="S206" s="53">
        <f>+IF(O206="PREVENTIVO",J206*(1-Q206),IF(O206="ADMINISTRACION",J206*(1-Q206),IF(O206="ELIMINACION",J206*(1-Q206),J206)))</f>
        <v/>
      </c>
      <c r="T206" s="53">
        <f>+IF(O206="DETECTIVO",K206*(1-Q206),IF(O206="RECUPERACION",K206*(1-Q206),K206))</f>
        <v/>
      </c>
      <c r="U206" s="54">
        <f>+S206*T206</f>
        <v/>
      </c>
      <c r="V206" s="65">
        <f>+IF(U206&lt;5,"BAJO",IF(U206&lt;10,"MEDIO",IF(U206&lt;17,"ALTO","CRITICO")))</f>
        <v/>
      </c>
      <c r="W206" s="87" t="inlineStr">
        <is>
          <t>MITIGAR</t>
        </is>
      </c>
      <c r="X206" s="80" t="inlineStr">
        <is>
          <t>-</t>
        </is>
      </c>
      <c r="Y206" s="80" t="inlineStr">
        <is>
          <t>-</t>
        </is>
      </c>
      <c r="Z206" s="80" t="inlineStr">
        <is>
          <t>-</t>
        </is>
      </c>
    </row>
    <row r="207" hidden="1" ht="30.5" customHeight="1" s="98">
      <c r="A207" s="91" t="inlineStr">
        <is>
          <t xml:space="preserve">27-GRE </t>
        </is>
      </c>
      <c r="B207" s="17" t="inlineStr">
        <is>
          <t>Registro de cartera asignada a abogados externos</t>
        </is>
      </c>
      <c r="C207" s="17" t="inlineStr">
        <is>
          <t>Registro de cartera asignada obtenida del sistema FIT</t>
        </is>
      </c>
      <c r="D207" s="55" t="inlineStr">
        <is>
          <t>[D] Datos / Información / datos de configuración</t>
        </is>
      </c>
      <c r="E207" s="34" t="inlineStr">
        <is>
          <t>[E.19] Fugas de información</t>
        </is>
      </c>
      <c r="F207" s="34">
        <f>+VLOOKUP(E207,'CATALOGO AMENAZA'!$B$2:$D$46,3,FALSE)</f>
        <v/>
      </c>
      <c r="G207" s="34" t="inlineStr">
        <is>
          <t>X</t>
        </is>
      </c>
      <c r="H207" s="34" t="n"/>
      <c r="I207" s="34" t="n"/>
      <c r="J207" s="34" t="n">
        <v>3</v>
      </c>
      <c r="K207" s="34" t="n">
        <v>4</v>
      </c>
      <c r="L207" s="34">
        <f>+J207*K207</f>
        <v/>
      </c>
      <c r="M207" s="34">
        <f>+IF(L207&lt;5,"BAJO",IF(L207&lt;10,"MEDIO",IF(L207&lt;17,"ALTO","CRITICO")))</f>
        <v/>
      </c>
      <c r="N207" s="54" t="inlineStr">
        <is>
          <t>Software DLP</t>
        </is>
      </c>
      <c r="O207" s="54" t="inlineStr">
        <is>
          <t>PREVENTIVO</t>
        </is>
      </c>
      <c r="P207" s="34" t="inlineStr">
        <is>
          <t>Control Implementado sin evidencia de efectividad (Inefectivo prueba)</t>
        </is>
      </c>
      <c r="Q207" s="52" t="n">
        <v>0.3</v>
      </c>
      <c r="R207" s="34" t="inlineStr">
        <is>
          <t>Politicas sin restricción para jefaturas</t>
        </is>
      </c>
      <c r="S207" s="53">
        <f>+IF(O207="PREVENTIVO",J207*(1-Q207),IF(O207="ADMINISTRACION",J207*(1-Q207),IF(O207="ELIMINACION",J207*(1-Q207),J207)))</f>
        <v/>
      </c>
      <c r="T207" s="53">
        <f>+IF(O207="DETECTIVO",K207*(1-Q207),IF(O207="RECUPERACION",K207*(1-Q207),K207))</f>
        <v/>
      </c>
      <c r="U207" s="54">
        <f>+S207*T207</f>
        <v/>
      </c>
      <c r="V207" s="65">
        <f>+IF(U207&lt;5,"BAJO",IF(U207&lt;10,"MEDIO",IF(U207&lt;17,"ALTO","CRITICO")))</f>
        <v/>
      </c>
      <c r="W207" s="87" t="inlineStr">
        <is>
          <t>MITIGAR</t>
        </is>
      </c>
      <c r="X207" s="80" t="inlineStr">
        <is>
          <t>-</t>
        </is>
      </c>
      <c r="Y207" s="80" t="inlineStr">
        <is>
          <t>-</t>
        </is>
      </c>
      <c r="Z207" s="80" t="inlineStr">
        <is>
          <t>-</t>
        </is>
      </c>
    </row>
    <row r="208" hidden="1" ht="30.5" customHeight="1" s="98">
      <c r="A208" s="91" t="inlineStr">
        <is>
          <t xml:space="preserve">30-GRE </t>
        </is>
      </c>
      <c r="B208" s="17" t="inlineStr">
        <is>
          <t>Escritura de adjudicación del bien</t>
        </is>
      </c>
      <c r="C208" s="17" t="inlineStr">
        <is>
          <t>Escritura del bien correctamente legalizada</t>
        </is>
      </c>
      <c r="D208" s="55" t="inlineStr">
        <is>
          <t>[D] Datos / Información / datos de configuración</t>
        </is>
      </c>
      <c r="E208" s="34" t="inlineStr">
        <is>
          <t>[E.18] Destrucción de información</t>
        </is>
      </c>
      <c r="F208" s="34">
        <f>+VLOOKUP(E208,'CATALOGO AMENAZA'!$B$2:$D$46,3,FALSE)</f>
        <v/>
      </c>
      <c r="G208" s="34" t="n"/>
      <c r="H208" s="34" t="n"/>
      <c r="I208" s="34" t="inlineStr">
        <is>
          <t>X</t>
        </is>
      </c>
      <c r="J208" s="34" t="n">
        <v>2</v>
      </c>
      <c r="K208" s="34" t="n">
        <v>3</v>
      </c>
      <c r="L208" s="34">
        <f>+J208*K208</f>
        <v/>
      </c>
      <c r="M208" s="34">
        <f>+IF(L208&lt;5,"BAJO",IF(L208&lt;10,"MEDIO",IF(L208&lt;17,"ALTO","CRITICO")))</f>
        <v/>
      </c>
      <c r="N208" s="54" t="inlineStr">
        <is>
          <t>Respaldo digital de información</t>
        </is>
      </c>
      <c r="O208" s="54" t="inlineStr">
        <is>
          <t>PREVENTIVO</t>
        </is>
      </c>
      <c r="P208" s="34" t="inlineStr">
        <is>
          <t>Control Implementado sin evidencia de efectividad (Inefectivo prueba)</t>
        </is>
      </c>
      <c r="Q208" s="52" t="n">
        <v>0.3</v>
      </c>
      <c r="R208" s="34" t="inlineStr">
        <is>
          <t>Almacenamiento sin prueba de efectividad</t>
        </is>
      </c>
      <c r="S208" s="53">
        <f>+IF(O208="PREVENTIVO",J208*(1-Q208),IF(O208="ADMINISTRACION",J208*(1-Q208),IF(O208="ELIMINACION",J208*(1-Q208),J208)))</f>
        <v/>
      </c>
      <c r="T208" s="53">
        <f>+IF(O208="DETECTIVO",K208*(1-Q208),IF(O208="RECUPERACION",K208*(1-Q208),K208))</f>
        <v/>
      </c>
      <c r="U208" s="54">
        <f>+S208*T208</f>
        <v/>
      </c>
      <c r="V208" s="65">
        <f>+IF(U208&lt;5,"BAJO",IF(U208&lt;10,"MEDIO",IF(U208&lt;17,"ALTO","CRITICO")))</f>
        <v/>
      </c>
      <c r="W208" s="65" t="inlineStr">
        <is>
          <t>ACEPTABLE</t>
        </is>
      </c>
      <c r="X208" s="80" t="inlineStr">
        <is>
          <t>-</t>
        </is>
      </c>
      <c r="Y208" s="80" t="inlineStr">
        <is>
          <t>-</t>
        </is>
      </c>
      <c r="Z208" s="80" t="inlineStr">
        <is>
          <t>-</t>
        </is>
      </c>
    </row>
    <row r="209" hidden="1" ht="30.5" customHeight="1" s="98">
      <c r="A209" s="91" t="inlineStr">
        <is>
          <t xml:space="preserve">38-GRE </t>
        </is>
      </c>
      <c r="B209" s="17" t="inlineStr">
        <is>
          <t>Equipos de computación del Gerente Jurídico</t>
        </is>
      </c>
      <c r="C209" s="17" t="inlineStr">
        <is>
          <t>Equipos de computación donde se realiza la gestión del área</t>
        </is>
      </c>
      <c r="D209" s="64" t="inlineStr">
        <is>
          <t>[HW] Equipamiento informático (hardware)</t>
        </is>
      </c>
      <c r="E209" s="34" t="inlineStr">
        <is>
          <t>[E.25] Pérdida de equipos</t>
        </is>
      </c>
      <c r="F209" s="34" t="inlineStr">
        <is>
          <t xml:space="preserve">
[C] confidencialidad 
[D] disponibilidad</t>
        </is>
      </c>
      <c r="G209" s="34" t="inlineStr">
        <is>
          <t>X</t>
        </is>
      </c>
      <c r="H209" s="34" t="n"/>
      <c r="I209" s="34" t="inlineStr">
        <is>
          <t>X</t>
        </is>
      </c>
      <c r="J209" s="34" t="n">
        <v>1</v>
      </c>
      <c r="K209" s="34" t="n">
        <v>3</v>
      </c>
      <c r="L209" s="34">
        <f>+J209*K209</f>
        <v/>
      </c>
      <c r="M209" s="34">
        <f>+IF(L209&lt;5,"BAJO",IF(L209&lt;10,"MEDIO",IF(L209&lt;17,"ALTO","CRITICO")))</f>
        <v/>
      </c>
      <c r="N209" s="54" t="inlineStr">
        <is>
          <t>Respaldo digital de información</t>
        </is>
      </c>
      <c r="O209" s="54" t="inlineStr">
        <is>
          <t>PREVENTIVO</t>
        </is>
      </c>
      <c r="P209" s="34" t="inlineStr">
        <is>
          <t>Control Implementado sin evidencia de efectividad (Inefectivo prueba)</t>
        </is>
      </c>
      <c r="Q209" s="52" t="n">
        <v>0.3</v>
      </c>
      <c r="R209" s="34" t="inlineStr">
        <is>
          <t>Almacenamiento sin prueba de efectividad</t>
        </is>
      </c>
      <c r="S209" s="53">
        <f>+IF(O209="PREVENTIVO",J209*(1-Q209),IF(O209="ADMINISTRACION",J209*(1-Q209),IF(O209="ELIMINACION",J209*(1-Q209),J209)))</f>
        <v/>
      </c>
      <c r="T209" s="53">
        <f>+IF(O209="DETECTIVO",K209*(1-Q209),IF(O209="RECUPERACION",K209*(1-Q209),K209))</f>
        <v/>
      </c>
      <c r="U209" s="54">
        <f>+S209*T209</f>
        <v/>
      </c>
      <c r="V209" s="65">
        <f>+IF(U209&lt;5,"BAJO",IF(U209&lt;10,"MEDIO",IF(U209&lt;17,"ALTO","CRITICO")))</f>
        <v/>
      </c>
      <c r="W209" s="65" t="inlineStr">
        <is>
          <t>ACEPTABLE</t>
        </is>
      </c>
      <c r="X209" s="80" t="inlineStr">
        <is>
          <t>-</t>
        </is>
      </c>
      <c r="Y209" s="80" t="inlineStr">
        <is>
          <t>-</t>
        </is>
      </c>
      <c r="Z209" s="80" t="inlineStr">
        <is>
          <t>-</t>
        </is>
      </c>
    </row>
    <row r="210" hidden="1" ht="41" customHeight="1" s="98">
      <c r="A210" s="91" t="inlineStr">
        <is>
          <t xml:space="preserve">38-GRE </t>
        </is>
      </c>
      <c r="B210" s="17" t="inlineStr">
        <is>
          <t>Equipos de computación del Gerente Jurídico</t>
        </is>
      </c>
      <c r="C210" s="17" t="inlineStr">
        <is>
          <t>Equipos de computación donde se realiza la gestión del área</t>
        </is>
      </c>
      <c r="D210" s="64" t="inlineStr">
        <is>
          <t>[HW] Equipamiento informático (hardware)</t>
        </is>
      </c>
      <c r="E210" s="34" t="inlineStr">
        <is>
          <t>[A.7] Uso no previsto</t>
        </is>
      </c>
      <c r="F210" s="34">
        <f>+VLOOKUP(E210,'CATALOGO AMENAZA'!$B$2:$D$46,3,FALSE)</f>
        <v/>
      </c>
      <c r="G210" s="34" t="inlineStr">
        <is>
          <t>X</t>
        </is>
      </c>
      <c r="H210" s="34" t="inlineStr">
        <is>
          <t>X</t>
        </is>
      </c>
      <c r="I210" s="34" t="inlineStr">
        <is>
          <t>X</t>
        </is>
      </c>
      <c r="J210" s="34" t="n">
        <v>3</v>
      </c>
      <c r="K210" s="34" t="n">
        <v>3</v>
      </c>
      <c r="L210" s="34">
        <f>+J210*K210</f>
        <v/>
      </c>
      <c r="M210" s="34">
        <f>+IF(L210&lt;5,"BAJO",IF(L210&lt;10,"MEDIO",IF(L210&lt;17,"ALTO","CRITICO")))</f>
        <v/>
      </c>
      <c r="N210" s="34" t="inlineStr">
        <is>
          <t>Sortware DLP /Políticas de uso de información contractual</t>
        </is>
      </c>
      <c r="O210" s="34" t="inlineStr">
        <is>
          <t>PREVENTIVO</t>
        </is>
      </c>
      <c r="P210" s="34" t="inlineStr">
        <is>
          <t>Control Implementado sin evidencia de efectividad (Inefectivo prueba)</t>
        </is>
      </c>
      <c r="Q210" s="52" t="n">
        <v>0.3</v>
      </c>
      <c r="R210" s="4" t="inlineStr">
        <is>
          <t>Documentación sencible sin cifrar</t>
        </is>
      </c>
      <c r="S210" s="53">
        <f>+IF(O210="PREVENTIVO",J210*(1-Q210),IF(O210="ADMINISTRACION",J210*(1-Q210),IF(O210="ELIMINACION",J210*(1-Q210),J210)))</f>
        <v/>
      </c>
      <c r="T210" s="53">
        <f>+IF(O210="DETECTIVO",K210*(1-Q210),IF(O210="RECUPERACION",K210*(1-Q210),K210))</f>
        <v/>
      </c>
      <c r="U210" s="54">
        <f>+S210*T210</f>
        <v/>
      </c>
      <c r="V210" s="65">
        <f>+IF(U210&lt;5,"BAJO",IF(U210&lt;10,"MEDIO",IF(U210&lt;17,"ALTO","CRITICO")))</f>
        <v/>
      </c>
      <c r="W210" s="87" t="inlineStr">
        <is>
          <t>MITIGAR</t>
        </is>
      </c>
      <c r="X210" s="80" t="inlineStr">
        <is>
          <t>-</t>
        </is>
      </c>
      <c r="Y210" s="80" t="inlineStr">
        <is>
          <t>-</t>
        </is>
      </c>
      <c r="Z210" s="80" t="inlineStr">
        <is>
          <t>-</t>
        </is>
      </c>
    </row>
    <row r="211" hidden="1" ht="41" customHeight="1" s="98">
      <c r="A211" s="20" t="inlineStr">
        <is>
          <t xml:space="preserve">30-GRE </t>
        </is>
      </c>
      <c r="B211" s="45" t="inlineStr">
        <is>
          <t>Escritura de adjudicación del bien</t>
        </is>
      </c>
      <c r="C211" s="45" t="inlineStr">
        <is>
          <t>Escritura del bien correctamente legalizada</t>
        </is>
      </c>
      <c r="D211" s="58" t="inlineStr">
        <is>
          <t>[D] Datos / Información / datos de configuración</t>
        </is>
      </c>
      <c r="E211" s="32" t="inlineStr">
        <is>
          <t>[A.7] Uso no previsto</t>
        </is>
      </c>
      <c r="F211" s="32">
        <f>+VLOOKUP(E211,'CATALOGO AMENAZA'!$B$2:$D$46,3,FALSE)</f>
        <v/>
      </c>
      <c r="G211" s="34" t="inlineStr">
        <is>
          <t>X</t>
        </is>
      </c>
      <c r="H211" s="34" t="inlineStr">
        <is>
          <t>X</t>
        </is>
      </c>
      <c r="I211" s="34" t="inlineStr">
        <is>
          <t>X</t>
        </is>
      </c>
      <c r="J211" s="32" t="n">
        <v>3</v>
      </c>
      <c r="K211" s="32" t="n">
        <v>3</v>
      </c>
      <c r="L211" s="32">
        <f>+J211*K211</f>
        <v/>
      </c>
      <c r="M211" s="32">
        <f>+IF(L211&lt;5,"BAJO",IF(L211&lt;10,"MEDIO",IF(L211&lt;17,"ALTO","CRITICO")))</f>
        <v/>
      </c>
      <c r="N211" s="32" t="inlineStr">
        <is>
          <t>Sortware DLP /Políticas de uso de información contractual</t>
        </is>
      </c>
      <c r="O211" s="32" t="inlineStr">
        <is>
          <t>PREVENTIVO</t>
        </is>
      </c>
      <c r="P211" s="32" t="inlineStr">
        <is>
          <t>Control Implementado sin evidencia de efectividad (Inefectivo prueba)</t>
        </is>
      </c>
      <c r="Q211" s="59" t="n">
        <v>0.3</v>
      </c>
      <c r="R211" s="51" t="inlineStr">
        <is>
          <t>Documentación sencible sin cifrar</t>
        </is>
      </c>
      <c r="S211" s="60">
        <f>+IF(O211="PREVENTIVO",J211*(1-Q211),IF(O211="ADMINISTRACION",J211*(1-Q211),IF(O211="ELIMINACION",J211*(1-Q211),J211)))</f>
        <v/>
      </c>
      <c r="T211" s="60">
        <f>+IF(P211="PREVENTIVO",K211*(1-R211),IF(P211="ADMINISTRACION",K211*(1-R211),IF(P211="ELIMINACION",K211*(1-R211),K211)))</f>
        <v/>
      </c>
      <c r="U211" s="60">
        <f>+IF(Q211="PREVENTIVO",L211*(1-S211),IF(Q211="ADMINISTRACION",L211*(1-S211),IF(Q211="ELIMINACION",L211*(1-S211),L211)))</f>
        <v/>
      </c>
      <c r="V211" s="66">
        <f>+IF(R211="PREVENTIVO",M211*(1-T211),IF(R211="ADMINISTRACION",M211*(1-T211),IF(R211="ELIMINACION",M211*(1-T211),M211)))</f>
        <v/>
      </c>
      <c r="W211" s="87" t="inlineStr">
        <is>
          <t>MITIGAR</t>
        </is>
      </c>
      <c r="X211" s="80" t="inlineStr">
        <is>
          <t>-</t>
        </is>
      </c>
      <c r="Y211" s="80" t="inlineStr">
        <is>
          <t>-</t>
        </is>
      </c>
      <c r="Z211" s="80" t="inlineStr">
        <is>
          <t>-</t>
        </is>
      </c>
    </row>
  </sheetData>
  <pageMargins left="0.7" right="0.7" top="0.75" bottom="0.75" header="0.3" footer="0.3"/>
  <pageSetup orientation="portrait" paperSize="66" scale="77" fitToHeight="0"/>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7"/>
  <sheetViews>
    <sheetView workbookViewId="0">
      <selection activeCell="M13" sqref="M13"/>
    </sheetView>
  </sheetViews>
  <sheetFormatPr baseColWidth="10" defaultRowHeight="11"/>
  <cols>
    <col width="14.75" customWidth="1" style="98" min="1" max="1"/>
    <col width="46.75" customWidth="1" style="16" min="2" max="2"/>
    <col width="40.25" bestFit="1" customWidth="1" style="16" min="3" max="3"/>
    <col width="10" bestFit="1" customWidth="1" style="98" min="4" max="4"/>
  </cols>
  <sheetData>
    <row r="1" ht="20.5" customHeight="1" s="98">
      <c r="A1" s="83" t="inlineStr">
        <is>
          <t>PLAN DE ACCION</t>
        </is>
      </c>
      <c r="B1" s="84" t="inlineStr">
        <is>
          <t>DESCIPCION PLAN DE ACCIÓN</t>
        </is>
      </c>
      <c r="C1" s="81" t="inlineStr">
        <is>
          <t>RESPONSABLE</t>
        </is>
      </c>
      <c r="D1" s="86" t="inlineStr">
        <is>
          <t>PLAZO</t>
        </is>
      </c>
    </row>
    <row r="2" ht="20.5" customHeight="1" s="98">
      <c r="A2" s="82" t="inlineStr">
        <is>
          <t>PA-SI-001</t>
        </is>
      </c>
      <c r="B2" s="82" t="inlineStr">
        <is>
          <t>Identificar una herramienta que permitan realizar un análisis de LOGS</t>
        </is>
      </c>
      <c r="C2" s="82" t="inlineStr">
        <is>
          <t>JEFE DE SEGURIDAD DE LA INFORMACION</t>
        </is>
      </c>
      <c r="D2" s="85" t="inlineStr">
        <is>
          <t>8 MESES</t>
        </is>
      </c>
    </row>
    <row r="3" ht="20.5" customHeight="1" s="98">
      <c r="A3" s="82" t="inlineStr">
        <is>
          <t>PA-SI-002</t>
        </is>
      </c>
      <c r="B3" s="82" t="inlineStr">
        <is>
          <t>Fortalecer mecanismos de protección contra ataques DoS/DDoS</t>
        </is>
      </c>
      <c r="C3" s="82" t="inlineStr">
        <is>
          <t>JEFE DE SEGURIDAD DE LA INFORMACION</t>
        </is>
      </c>
      <c r="D3" s="85" t="inlineStr">
        <is>
          <t>3 MESES</t>
        </is>
      </c>
    </row>
    <row r="4" ht="20.5" customHeight="1" s="98">
      <c r="A4" s="82" t="inlineStr">
        <is>
          <t>PA-SI-003</t>
        </is>
      </c>
      <c r="B4" s="82" t="inlineStr">
        <is>
          <t>Determinar accesos restringidos para la consola administrativa</t>
        </is>
      </c>
      <c r="C4" s="82" t="inlineStr">
        <is>
          <t>JEFE DE SEGURIDAD DE LA INFORMACION</t>
        </is>
      </c>
      <c r="D4" s="85" t="inlineStr">
        <is>
          <t>3 MESES</t>
        </is>
      </c>
    </row>
    <row r="5" ht="24" customHeight="1" s="98">
      <c r="A5" s="82" t="inlineStr">
        <is>
          <t>PA-SI-004</t>
        </is>
      </c>
      <c r="B5" s="82" t="inlineStr">
        <is>
          <t>Aplicar política de expiración de contraseñas VPN.</t>
        </is>
      </c>
      <c r="C5" s="82" t="inlineStr">
        <is>
          <t>JEFE DE SEGURIDAD DE LA INFORMACION</t>
        </is>
      </c>
      <c r="D5" s="85" t="inlineStr">
        <is>
          <t>6 MESES</t>
        </is>
      </c>
    </row>
    <row r="6" ht="20.5" customHeight="1" s="98">
      <c r="A6" s="82" t="inlineStr">
        <is>
          <t>PA-SI-005</t>
        </is>
      </c>
      <c r="B6" s="82" t="inlineStr">
        <is>
          <t>Fortalecer el monitoreo proactivo de recursos (CPU, RAM, almacenamiento).</t>
        </is>
      </c>
      <c r="C6" s="82" t="inlineStr">
        <is>
          <t>JEFE DE SEGURIDAD DE LA INFORMACION</t>
        </is>
      </c>
      <c r="D6" s="85" t="inlineStr">
        <is>
          <t>6 MESES</t>
        </is>
      </c>
    </row>
    <row r="7" ht="30.5" customHeight="1" s="98">
      <c r="A7" s="82" t="inlineStr">
        <is>
          <t>PA-SI-006</t>
        </is>
      </c>
      <c r="B7" s="82" t="inlineStr">
        <is>
          <t>Fortalecer las políticas de prevención de fuga de información (DLP) para mejorar la protección de datos sensibles.</t>
        </is>
      </c>
      <c r="C7" s="82" t="inlineStr">
        <is>
          <t>JEFE DE SEGURIDAD DE LA INFORMACION</t>
        </is>
      </c>
      <c r="D7" s="85" t="inlineStr">
        <is>
          <t>8 MESES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68"/>
  <sheetViews>
    <sheetView zoomScale="138" workbookViewId="0">
      <selection activeCell="A74" sqref="A74"/>
    </sheetView>
  </sheetViews>
  <sheetFormatPr baseColWidth="10" defaultRowHeight="11"/>
  <cols>
    <col width="64" bestFit="1" customWidth="1" style="98" min="1" max="1"/>
    <col width="12.5" customWidth="1" style="98" min="2" max="2"/>
    <col width="6.25" bestFit="1" customWidth="1" style="98" min="3" max="3"/>
    <col width="7.25" bestFit="1" customWidth="1" style="98" min="4" max="4"/>
    <col width="13.25" bestFit="1" customWidth="1" style="98" min="5" max="6"/>
    <col width="68.25" bestFit="1" customWidth="1" style="98" min="7" max="22"/>
    <col width="13.25" bestFit="1" customWidth="1" style="98" min="23" max="23"/>
  </cols>
  <sheetData>
    <row r="1">
      <c r="A1" s="67" t="inlineStr">
        <is>
          <t>Etiquetas de fila</t>
        </is>
      </c>
      <c r="B1" t="inlineStr">
        <is>
          <t>Cuenta de CRITICIDAD</t>
        </is>
      </c>
    </row>
    <row r="2">
      <c r="A2" s="68" t="inlineStr">
        <is>
          <t>ALTA</t>
        </is>
      </c>
      <c r="B2" t="n">
        <v>68</v>
      </c>
    </row>
    <row r="3">
      <c r="A3" s="68" t="inlineStr">
        <is>
          <t>BAJA</t>
        </is>
      </c>
      <c r="B3" t="n">
        <v>639</v>
      </c>
    </row>
    <row r="4">
      <c r="A4" s="68" t="inlineStr">
        <is>
          <t>MEDIA</t>
        </is>
      </c>
      <c r="B4" t="n">
        <v>697</v>
      </c>
    </row>
    <row r="5">
      <c r="A5" s="68" t="inlineStr">
        <is>
          <t>Total general</t>
        </is>
      </c>
      <c r="B5" t="n">
        <v>1404</v>
      </c>
    </row>
    <row r="9">
      <c r="A9" s="67" t="inlineStr">
        <is>
          <t>EVENTO DE AMENAZA</t>
        </is>
      </c>
      <c r="B9" t="inlineStr">
        <is>
          <t>(Todas)</t>
        </is>
      </c>
    </row>
    <row r="11">
      <c r="A11" s="67" t="inlineStr">
        <is>
          <t>TIPO DE ACTIVO MAGGERIT</t>
        </is>
      </c>
      <c r="B11" t="inlineStr">
        <is>
          <t>Cuenta de EVENTO DE AMENAZA</t>
        </is>
      </c>
    </row>
    <row r="12">
      <c r="A12" t="inlineStr">
        <is>
          <t>[D] Datos / Información / datos de configuración</t>
        </is>
      </c>
      <c r="B12" t="n">
        <v>59</v>
      </c>
    </row>
    <row r="13">
      <c r="A13" t="inlineStr">
        <is>
          <t>[HW] Equipamiento informático (hardware)</t>
        </is>
      </c>
      <c r="B13" t="n">
        <v>103</v>
      </c>
    </row>
    <row r="14">
      <c r="A14" t="inlineStr">
        <is>
          <t>[Media] Soportes de información</t>
        </is>
      </c>
      <c r="B14" t="n">
        <v>4</v>
      </c>
    </row>
    <row r="15">
      <c r="A15" t="inlineStr">
        <is>
          <t>[P] Personal</t>
        </is>
      </c>
      <c r="B15" t="n">
        <v>4</v>
      </c>
    </row>
    <row r="16">
      <c r="A16" t="inlineStr">
        <is>
          <t>[S] Servicios</t>
        </is>
      </c>
      <c r="B16" t="n">
        <v>10</v>
      </c>
    </row>
    <row r="17">
      <c r="A17" t="inlineStr">
        <is>
          <t>[SW] Software - Aplicaciones informáticas</t>
        </is>
      </c>
      <c r="B17" t="n">
        <v>29</v>
      </c>
    </row>
    <row r="18">
      <c r="A18" t="inlineStr">
        <is>
          <t>Total general</t>
        </is>
      </c>
      <c r="B18" t="n">
        <v>209</v>
      </c>
    </row>
    <row r="22">
      <c r="A22" s="67" t="inlineStr">
        <is>
          <t>Cuenta de EVENTO DE AMENAZA</t>
        </is>
      </c>
      <c r="B22" s="67" t="inlineStr">
        <is>
          <t>Etiquetas de columna</t>
        </is>
      </c>
    </row>
    <row r="23">
      <c r="A23" s="67" t="inlineStr">
        <is>
          <t>NIVELES DE RIESGO HINNERENTE</t>
        </is>
      </c>
      <c r="B23" t="inlineStr">
        <is>
          <t>ALTO</t>
        </is>
      </c>
      <c r="C23" t="inlineStr">
        <is>
          <t>BAJO</t>
        </is>
      </c>
      <c r="D23" t="inlineStr">
        <is>
          <t>CRITICO</t>
        </is>
      </c>
      <c r="E23" t="inlineStr">
        <is>
          <t>MEDIO</t>
        </is>
      </c>
      <c r="F23" t="inlineStr">
        <is>
          <t>Total general</t>
        </is>
      </c>
    </row>
    <row r="24">
      <c r="A24" s="68" t="inlineStr">
        <is>
          <t>[D] Datos / Información / datos de configuración</t>
        </is>
      </c>
      <c r="B24" s="73" t="n">
        <v>7</v>
      </c>
      <c r="C24" s="71" t="n">
        <v>11</v>
      </c>
      <c r="D24" s="70" t="n"/>
      <c r="E24" s="72" t="n">
        <v>41</v>
      </c>
      <c r="F24" t="n">
        <v>59</v>
      </c>
    </row>
    <row r="25">
      <c r="A25" s="68" t="inlineStr">
        <is>
          <t>[HW] Equipamiento informático (hardware)</t>
        </is>
      </c>
      <c r="B25" s="73" t="n">
        <v>21</v>
      </c>
      <c r="C25" s="71" t="n">
        <v>3</v>
      </c>
      <c r="D25" s="70" t="n">
        <v>1</v>
      </c>
      <c r="E25" s="72" t="n">
        <v>78</v>
      </c>
      <c r="F25" t="n">
        <v>103</v>
      </c>
    </row>
    <row r="26">
      <c r="A26" s="68" t="inlineStr">
        <is>
          <t>[Media] Soportes de información</t>
        </is>
      </c>
      <c r="B26" s="73" t="n"/>
      <c r="C26" s="71" t="n">
        <v>1</v>
      </c>
      <c r="D26" s="70" t="n"/>
      <c r="E26" s="72" t="n">
        <v>3</v>
      </c>
      <c r="F26" t="n">
        <v>4</v>
      </c>
    </row>
    <row r="27">
      <c r="A27" s="68" t="inlineStr">
        <is>
          <t>[P] Personal</t>
        </is>
      </c>
      <c r="B27" s="73" t="n"/>
      <c r="C27" s="71" t="n"/>
      <c r="D27" s="70" t="n"/>
      <c r="E27" s="72" t="n">
        <v>4</v>
      </c>
      <c r="F27" t="n">
        <v>4</v>
      </c>
    </row>
    <row r="28">
      <c r="A28" s="68" t="inlineStr">
        <is>
          <t>[S] Servicios</t>
        </is>
      </c>
      <c r="B28" s="73" t="n">
        <v>1</v>
      </c>
      <c r="C28" s="71" t="n"/>
      <c r="D28" s="70" t="n"/>
      <c r="E28" s="72" t="n">
        <v>9</v>
      </c>
      <c r="F28" t="n">
        <v>10</v>
      </c>
    </row>
    <row r="29">
      <c r="A29" s="68" t="inlineStr">
        <is>
          <t>[SW] Software - Aplicaciones informáticas</t>
        </is>
      </c>
      <c r="B29" s="73" t="n">
        <v>4</v>
      </c>
      <c r="C29" s="71" t="n">
        <v>10</v>
      </c>
      <c r="D29" s="70" t="n">
        <v>2</v>
      </c>
      <c r="E29" s="72" t="n">
        <v>13</v>
      </c>
      <c r="F29" t="n">
        <v>29</v>
      </c>
    </row>
    <row r="30">
      <c r="A30" s="68" t="inlineStr">
        <is>
          <t>Total general</t>
        </is>
      </c>
      <c r="B30" t="n">
        <v>33</v>
      </c>
      <c r="C30" t="n">
        <v>25</v>
      </c>
      <c r="D30" t="n">
        <v>3</v>
      </c>
      <c r="E30" t="n">
        <v>148</v>
      </c>
      <c r="F30" t="n">
        <v>209</v>
      </c>
    </row>
    <row r="32">
      <c r="A32" s="67" t="inlineStr">
        <is>
          <t>NIVELES DE RIESGO HINNERENTE</t>
        </is>
      </c>
      <c r="B32" t="inlineStr">
        <is>
          <t>Cuenta de DETERMINACION RIESGO ACUMULADO O INHERENTE</t>
        </is>
      </c>
    </row>
    <row r="33">
      <c r="A33" s="68" t="inlineStr">
        <is>
          <t>ALTO</t>
        </is>
      </c>
      <c r="B33" t="n">
        <v>33</v>
      </c>
    </row>
    <row r="34">
      <c r="A34" s="68" t="inlineStr">
        <is>
          <t>BAJO</t>
        </is>
      </c>
      <c r="B34" t="n">
        <v>25</v>
      </c>
    </row>
    <row r="35">
      <c r="A35" s="68" t="inlineStr">
        <is>
          <t>CRITICO</t>
        </is>
      </c>
      <c r="B35" t="n">
        <v>3</v>
      </c>
    </row>
    <row r="36">
      <c r="A36" s="68" t="inlineStr">
        <is>
          <t>MEDIO</t>
        </is>
      </c>
      <c r="B36" t="n">
        <v>148</v>
      </c>
    </row>
    <row r="37">
      <c r="A37" s="68" t="inlineStr">
        <is>
          <t>Total general</t>
        </is>
      </c>
      <c r="B37" t="n">
        <v>209</v>
      </c>
    </row>
    <row r="42">
      <c r="A42" s="67" t="inlineStr">
        <is>
          <t>Cuenta de EVENTO DE AMENAZA</t>
        </is>
      </c>
      <c r="B42" s="67" t="inlineStr">
        <is>
          <t>Etiquetas de columna</t>
        </is>
      </c>
    </row>
    <row r="43">
      <c r="A43" s="67" t="inlineStr">
        <is>
          <t>NIVELES DE RIESGO RESIDUAL</t>
        </is>
      </c>
      <c r="B43" t="inlineStr">
        <is>
          <t>ALTO</t>
        </is>
      </c>
      <c r="C43" t="inlineStr">
        <is>
          <t>BAJO</t>
        </is>
      </c>
      <c r="D43" t="inlineStr">
        <is>
          <t>MEDIO</t>
        </is>
      </c>
      <c r="E43" t="inlineStr">
        <is>
          <t>Total general</t>
        </is>
      </c>
    </row>
    <row r="44">
      <c r="A44" s="68" t="inlineStr">
        <is>
          <t>[D] Datos / Información / datos de configuración</t>
        </is>
      </c>
      <c r="B44" s="73" t="n">
        <v>1</v>
      </c>
      <c r="C44" s="71" t="n">
        <v>34</v>
      </c>
      <c r="D44" s="72" t="n">
        <v>24</v>
      </c>
      <c r="E44" t="n">
        <v>59</v>
      </c>
    </row>
    <row r="45">
      <c r="A45" s="68" t="inlineStr">
        <is>
          <t>[HW] Equipamiento informático (hardware)</t>
        </is>
      </c>
      <c r="B45" s="73" t="n">
        <v>7</v>
      </c>
      <c r="C45" s="71" t="n">
        <v>28</v>
      </c>
      <c r="D45" s="72" t="n">
        <v>68</v>
      </c>
      <c r="E45" t="n">
        <v>103</v>
      </c>
    </row>
    <row r="46">
      <c r="A46" s="68" t="inlineStr">
        <is>
          <t>[Media] Soportes de información</t>
        </is>
      </c>
      <c r="B46" s="73" t="n"/>
      <c r="C46" s="71" t="n">
        <v>1</v>
      </c>
      <c r="D46" s="72" t="n">
        <v>3</v>
      </c>
      <c r="E46" t="n">
        <v>4</v>
      </c>
    </row>
    <row r="47">
      <c r="A47" s="68" t="inlineStr">
        <is>
          <t>[P] Personal</t>
        </is>
      </c>
      <c r="B47" s="73" t="n"/>
      <c r="C47" s="71" t="n">
        <v>4</v>
      </c>
      <c r="D47" s="72" t="n"/>
      <c r="E47" t="n">
        <v>4</v>
      </c>
    </row>
    <row r="48">
      <c r="A48" s="68" t="inlineStr">
        <is>
          <t>[S] Servicios</t>
        </is>
      </c>
      <c r="B48" s="73" t="n"/>
      <c r="C48" s="71" t="n">
        <v>5</v>
      </c>
      <c r="D48" s="72" t="n">
        <v>5</v>
      </c>
      <c r="E48" t="n">
        <v>10</v>
      </c>
    </row>
    <row r="49">
      <c r="A49" s="68" t="inlineStr">
        <is>
          <t>[SW] Software - Aplicaciones informáticas</t>
        </is>
      </c>
      <c r="B49" s="73" t="n">
        <v>1</v>
      </c>
      <c r="C49" s="71" t="n">
        <v>17</v>
      </c>
      <c r="D49" s="72" t="n">
        <v>11</v>
      </c>
      <c r="E49" t="n">
        <v>29</v>
      </c>
    </row>
    <row r="50">
      <c r="A50" s="68" t="inlineStr">
        <is>
          <t>Total general</t>
        </is>
      </c>
      <c r="B50" t="n">
        <v>9</v>
      </c>
      <c r="C50" t="n">
        <v>89</v>
      </c>
      <c r="D50" t="n">
        <v>111</v>
      </c>
      <c r="E50" t="n">
        <v>209</v>
      </c>
    </row>
    <row r="52">
      <c r="A52" s="67" t="inlineStr">
        <is>
          <t>NIVELES DE RIESGO HINNERENTE</t>
        </is>
      </c>
      <c r="B52" t="inlineStr">
        <is>
          <t>Cuenta de DETERMINACION RIESGO RESIDUAL</t>
        </is>
      </c>
    </row>
    <row r="53">
      <c r="A53" s="68" t="inlineStr">
        <is>
          <t>ALTO</t>
        </is>
      </c>
      <c r="B53" t="n">
        <v>9</v>
      </c>
    </row>
    <row r="54">
      <c r="A54" s="68" t="inlineStr">
        <is>
          <t>BAJO</t>
        </is>
      </c>
      <c r="B54" t="n">
        <v>89</v>
      </c>
    </row>
    <row r="55">
      <c r="A55" s="68" t="inlineStr">
        <is>
          <t>MEDIO</t>
        </is>
      </c>
      <c r="B55" t="n">
        <v>111</v>
      </c>
    </row>
    <row r="56">
      <c r="A56" s="68" t="inlineStr">
        <is>
          <t>Total general</t>
        </is>
      </c>
      <c r="B56" t="n">
        <v>209</v>
      </c>
    </row>
    <row r="60">
      <c r="A60" s="67" t="inlineStr">
        <is>
          <t>Efectividad de los controles</t>
        </is>
      </c>
      <c r="B60" t="inlineStr">
        <is>
          <t>Número de controles</t>
        </is>
      </c>
    </row>
    <row r="61">
      <c r="A61" s="74" t="n">
        <v>0.3</v>
      </c>
      <c r="B61" t="n">
        <v>186</v>
      </c>
    </row>
    <row r="62">
      <c r="A62" s="69" t="inlineStr">
        <is>
          <t>Control Implementado sin evidencia de efectividad (Inefectivo prueba)</t>
        </is>
      </c>
      <c r="B62" t="n">
        <v>186</v>
      </c>
    </row>
    <row r="63">
      <c r="A63" s="74" t="n">
        <v>0.4</v>
      </c>
      <c r="B63" t="n">
        <v>20</v>
      </c>
    </row>
    <row r="64">
      <c r="A64" s="69" t="inlineStr">
        <is>
          <t>Control Implementado sin evidencia de efectividad (Inefectivo prueba)</t>
        </is>
      </c>
      <c r="B64" t="n">
        <v>20</v>
      </c>
    </row>
    <row r="65">
      <c r="A65" s="74" t="n">
        <v>0.8</v>
      </c>
      <c r="B65" t="n">
        <v>3</v>
      </c>
    </row>
    <row r="66">
      <c r="A66" s="69" t="inlineStr">
        <is>
          <t>Control implementado formalizado y probado</t>
        </is>
      </c>
      <c r="B66" t="n">
        <v>2</v>
      </c>
    </row>
    <row r="67">
      <c r="A67" s="69" t="inlineStr">
        <is>
          <t>Control Implementado sin evidencia de efectividad (Inefectivo prueba)</t>
        </is>
      </c>
      <c r="B67" t="n">
        <v>1</v>
      </c>
    </row>
    <row r="68">
      <c r="A68" s="74" t="inlineStr">
        <is>
          <t>Total general</t>
        </is>
      </c>
      <c r="B68" t="n">
        <v>209</v>
      </c>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52"/>
  <sheetViews>
    <sheetView workbookViewId="0">
      <selection activeCell="A1" sqref="A1:B1"/>
    </sheetView>
  </sheetViews>
  <sheetFormatPr baseColWidth="10" defaultRowHeight="11"/>
  <cols>
    <col width="65.25" bestFit="1" customWidth="1" style="98" min="2" max="2"/>
  </cols>
  <sheetData>
    <row r="1">
      <c r="A1" s="92" t="n"/>
      <c r="B1" s="93" t="n"/>
    </row>
    <row r="2">
      <c r="A2" s="94" t="inlineStr">
        <is>
          <t>Código</t>
        </is>
      </c>
      <c r="B2" s="94" t="inlineStr">
        <is>
          <t>Descripción</t>
        </is>
      </c>
    </row>
    <row r="3">
      <c r="A3" s="13" t="inlineStr">
        <is>
          <t>V1</t>
        </is>
      </c>
      <c r="B3" s="10" t="inlineStr">
        <is>
          <t>Implementación ineficaz de políticas de seguridad de la información</t>
        </is>
      </c>
    </row>
    <row r="4">
      <c r="A4" s="13" t="inlineStr">
        <is>
          <t>V2</t>
        </is>
      </c>
      <c r="B4" s="10" t="inlineStr">
        <is>
          <t>Documentos y archivos sin cifrar</t>
        </is>
      </c>
    </row>
    <row r="5">
      <c r="A5" s="13" t="inlineStr">
        <is>
          <t>V3</t>
        </is>
      </c>
      <c r="B5" s="10" t="inlineStr">
        <is>
          <t>Componentes vulnerables y fuera de soporte</t>
        </is>
      </c>
    </row>
    <row r="6">
      <c r="A6" s="13" t="inlineStr">
        <is>
          <t>V4</t>
        </is>
      </c>
      <c r="B6" s="10" t="inlineStr">
        <is>
          <t>Diseño inseguro del sistema</t>
        </is>
      </c>
    </row>
    <row r="7">
      <c r="A7" s="13" t="inlineStr">
        <is>
          <t>V5</t>
        </is>
      </c>
      <c r="B7" s="10" t="inlineStr">
        <is>
          <t>Fallos criptográficos</t>
        </is>
      </c>
    </row>
    <row r="8">
      <c r="A8" s="13" t="inlineStr">
        <is>
          <t>V6</t>
        </is>
      </c>
      <c r="B8" s="36" t="inlineStr">
        <is>
          <t>Ausencia de componentes de respaldo</t>
        </is>
      </c>
    </row>
    <row r="9">
      <c r="A9" s="13" t="inlineStr">
        <is>
          <t>V7</t>
        </is>
      </c>
      <c r="B9" s="10" t="inlineStr">
        <is>
          <t>Configuración incorrecta de software o hardware</t>
        </is>
      </c>
    </row>
    <row r="10">
      <c r="A10" s="13" t="inlineStr">
        <is>
          <t>V8</t>
        </is>
      </c>
      <c r="B10" s="36" t="inlineStr">
        <is>
          <t>Falta de prácticas de seguridad de la información</t>
        </is>
      </c>
    </row>
    <row r="11">
      <c r="A11" s="13" t="inlineStr">
        <is>
          <t>V9</t>
        </is>
      </c>
      <c r="B11" s="10" t="inlineStr">
        <is>
          <t xml:space="preserve"> Software no actualizado con parches de seguridad</t>
        </is>
      </c>
    </row>
    <row r="12">
      <c r="A12" s="13" t="inlineStr">
        <is>
          <t>V10</t>
        </is>
      </c>
      <c r="B12" s="10" t="inlineStr">
        <is>
          <t xml:space="preserve"> Controles de acceso mal implementados</t>
        </is>
      </c>
    </row>
    <row r="13">
      <c r="A13" s="13" t="inlineStr">
        <is>
          <t>V11</t>
        </is>
      </c>
      <c r="B13" s="36" t="inlineStr">
        <is>
          <t xml:space="preserve"> Uso de contraseñas débiles o compartidas</t>
        </is>
      </c>
    </row>
    <row r="14">
      <c r="A14" s="13" t="inlineStr">
        <is>
          <t>V12</t>
        </is>
      </c>
      <c r="B14" s="36" t="inlineStr">
        <is>
          <t xml:space="preserve"> Sistemas sin autenticación multifactor</t>
        </is>
      </c>
    </row>
    <row r="15">
      <c r="A15" s="13" t="inlineStr">
        <is>
          <t>V13</t>
        </is>
      </c>
      <c r="B15" s="10" t="inlineStr">
        <is>
          <t xml:space="preserve"> Falta de segmentación de red</t>
        </is>
      </c>
    </row>
    <row r="16">
      <c r="A16" s="13" t="inlineStr">
        <is>
          <t>V14</t>
        </is>
      </c>
      <c r="B16" s="10" t="inlineStr">
        <is>
          <t xml:space="preserve"> Permisos excesivos otorgados a usuarios</t>
        </is>
      </c>
    </row>
    <row r="17">
      <c r="A17" s="13" t="inlineStr">
        <is>
          <t>V15</t>
        </is>
      </c>
      <c r="B17" s="10" t="inlineStr">
        <is>
          <t xml:space="preserve"> Registros de auditoría insuficientes o no revisados</t>
        </is>
      </c>
    </row>
    <row r="18">
      <c r="A18" s="13" t="inlineStr">
        <is>
          <t>V16</t>
        </is>
      </c>
      <c r="B18" s="10" t="inlineStr">
        <is>
          <t xml:space="preserve"> Políticas de respaldo inexistentes o ineficaces</t>
        </is>
      </c>
    </row>
    <row r="19">
      <c r="A19" s="13" t="inlineStr">
        <is>
          <t>V17</t>
        </is>
      </c>
      <c r="B19" s="36" t="inlineStr">
        <is>
          <t xml:space="preserve"> Procesos de recuperación no probados</t>
        </is>
      </c>
    </row>
    <row r="20">
      <c r="A20" s="13" t="inlineStr">
        <is>
          <t>V18</t>
        </is>
      </c>
      <c r="B20" s="36" t="inlineStr">
        <is>
          <t xml:space="preserve"> Redacción ambigua o incompleta de procedimientos</t>
        </is>
      </c>
    </row>
    <row r="21">
      <c r="A21" s="13" t="inlineStr">
        <is>
          <t>V19</t>
        </is>
      </c>
      <c r="B21" s="10" t="inlineStr">
        <is>
          <t xml:space="preserve"> Incumplimiento de requisitos legales o regulatorios</t>
        </is>
      </c>
    </row>
    <row r="22">
      <c r="A22" s="13" t="inlineStr">
        <is>
          <t>V20</t>
        </is>
      </c>
      <c r="B22" s="10" t="inlineStr">
        <is>
          <t xml:space="preserve"> Falta de monitoreo en tiempo real de eventos críticos</t>
        </is>
      </c>
    </row>
    <row r="23">
      <c r="A23" s="13" t="inlineStr">
        <is>
          <t>V21</t>
        </is>
      </c>
      <c r="B23" s="10" t="inlineStr">
        <is>
          <t xml:space="preserve"> Dispositivos sin protección física adecuada</t>
        </is>
      </c>
    </row>
    <row r="24">
      <c r="A24" s="13" t="inlineStr">
        <is>
          <t>V22</t>
        </is>
      </c>
      <c r="B24" s="10" t="inlineStr">
        <is>
          <t xml:space="preserve"> Aplicaciones con vulnerabilidades conocidas</t>
        </is>
      </c>
    </row>
    <row r="25">
      <c r="A25" s="13" t="inlineStr">
        <is>
          <t>V23</t>
        </is>
      </c>
      <c r="B25" s="36" t="inlineStr">
        <is>
          <t xml:space="preserve"> Procesos manuales propensos a errores</t>
        </is>
      </c>
    </row>
    <row r="26">
      <c r="A26" s="13" t="inlineStr">
        <is>
          <t>V24</t>
        </is>
      </c>
      <c r="B26" s="10" t="inlineStr">
        <is>
          <t xml:space="preserve"> Integración insegura con servicios de terceros</t>
        </is>
      </c>
    </row>
    <row r="27">
      <c r="A27" s="13" t="inlineStr">
        <is>
          <t>V25</t>
        </is>
      </c>
      <c r="B27" s="10" t="inlineStr">
        <is>
          <t xml:space="preserve"> Datos sensibles almacenados sin protección adecuada</t>
        </is>
      </c>
    </row>
    <row r="28">
      <c r="A28" s="13" t="inlineStr">
        <is>
          <t>V26</t>
        </is>
      </c>
      <c r="B28" s="10" t="inlineStr">
        <is>
          <t xml:space="preserve"> Puertos y servicios innecesarios abiertos</t>
        </is>
      </c>
    </row>
    <row r="29">
      <c r="A29" s="13" t="inlineStr">
        <is>
          <t>V27</t>
        </is>
      </c>
      <c r="B29" s="10" t="inlineStr">
        <is>
          <t xml:space="preserve"> Inexistencia de controles de acceso físico</t>
        </is>
      </c>
    </row>
    <row r="30">
      <c r="A30" s="13" t="inlineStr">
        <is>
          <t>V28</t>
        </is>
      </c>
      <c r="B30" s="36" t="inlineStr">
        <is>
          <t xml:space="preserve"> Dispositivos portátiles sin cifrado ni políticas de control</t>
        </is>
      </c>
    </row>
    <row r="31">
      <c r="A31" s="13" t="inlineStr">
        <is>
          <t>V29</t>
        </is>
      </c>
      <c r="B31" s="36" t="inlineStr">
        <is>
          <t xml:space="preserve"> Falta de gestión de activos documentada</t>
        </is>
      </c>
    </row>
    <row r="32">
      <c r="A32" s="13" t="inlineStr">
        <is>
          <t>V30</t>
        </is>
      </c>
      <c r="B32" s="10" t="inlineStr">
        <is>
          <t xml:space="preserve"> Contratos con proveedores sin cláusulas de seguridad</t>
        </is>
      </c>
    </row>
    <row r="33">
      <c r="A33" s="13" t="inlineStr">
        <is>
          <t>V31</t>
        </is>
      </c>
      <c r="B33" s="10" t="inlineStr">
        <is>
          <t xml:space="preserve"> Empleados sin capacitación en seguridad</t>
        </is>
      </c>
    </row>
    <row r="34">
      <c r="A34" s="13" t="inlineStr">
        <is>
          <t>V32</t>
        </is>
      </c>
      <c r="B34" s="10" t="inlineStr">
        <is>
          <t xml:space="preserve"> Pruebas de seguridad no realizadas antes del paso a producción</t>
        </is>
      </c>
    </row>
    <row r="35">
      <c r="A35" s="13" t="inlineStr">
        <is>
          <t>V33</t>
        </is>
      </c>
      <c r="B35" s="10" t="inlineStr">
        <is>
          <t xml:space="preserve"> Acceso privilegiado no controlado</t>
        </is>
      </c>
    </row>
    <row r="36">
      <c r="A36" s="13" t="inlineStr">
        <is>
          <t>V34</t>
        </is>
      </c>
      <c r="B36" s="10" t="inlineStr">
        <is>
          <t xml:space="preserve"> Dependencia excesiva de un solo proveedor o recurso</t>
        </is>
      </c>
    </row>
    <row r="37">
      <c r="A37" s="13" t="inlineStr">
        <is>
          <t>V35</t>
        </is>
      </c>
      <c r="B37" s="10" t="inlineStr">
        <is>
          <t xml:space="preserve"> Código fuente sin revisión o control de versiones</t>
        </is>
      </c>
    </row>
    <row r="38">
      <c r="A38" s="13" t="inlineStr">
        <is>
          <t>V36</t>
        </is>
      </c>
      <c r="B38" s="10" t="inlineStr">
        <is>
          <t xml:space="preserve"> Infraestructura sin alta disponibilidad</t>
        </is>
      </c>
    </row>
    <row r="39">
      <c r="A39" s="13" t="inlineStr">
        <is>
          <t>V37</t>
        </is>
      </c>
      <c r="B39" s="10" t="inlineStr">
        <is>
          <t xml:space="preserve"> Exposición de interfaces administrativas a internet</t>
        </is>
      </c>
    </row>
    <row r="40">
      <c r="A40" s="13" t="inlineStr">
        <is>
          <t>V38</t>
        </is>
      </c>
      <c r="B40" s="10" t="inlineStr">
        <is>
          <t xml:space="preserve"> Falta de mecanismos de detección de intrusos</t>
        </is>
      </c>
    </row>
    <row r="41">
      <c r="A41" s="13" t="inlineStr">
        <is>
          <t>V39</t>
        </is>
      </c>
      <c r="B41" s="10" t="inlineStr">
        <is>
          <t xml:space="preserve"> Incapacidad para identificar y gestionar incidentes</t>
        </is>
      </c>
    </row>
    <row r="42">
      <c r="A42" s="13" t="inlineStr">
        <is>
          <t>V40</t>
        </is>
      </c>
      <c r="B42" s="10" t="inlineStr">
        <is>
          <t xml:space="preserve"> Respuestas a incidentes no documentadas ni evaluadas</t>
        </is>
      </c>
    </row>
    <row r="43">
      <c r="A43" s="13" t="inlineStr">
        <is>
          <t>V41</t>
        </is>
      </c>
      <c r="B43" s="10" t="inlineStr">
        <is>
          <t xml:space="preserve"> Políticas de seguridad obsoletas o no aplicadas</t>
        </is>
      </c>
    </row>
    <row r="44">
      <c r="A44" s="13" t="inlineStr">
        <is>
          <t>V42</t>
        </is>
      </c>
      <c r="B44" s="10" t="inlineStr">
        <is>
          <t xml:space="preserve"> Ausencia de evaluación periódica de riesgos</t>
        </is>
      </c>
    </row>
    <row r="45">
      <c r="A45" s="13" t="inlineStr">
        <is>
          <t>V43</t>
        </is>
      </c>
      <c r="B45" s="10" t="inlineStr">
        <is>
          <t xml:space="preserve"> Fallas en la cadena de suministro de TIC</t>
        </is>
      </c>
    </row>
    <row r="46">
      <c r="A46" s="13" t="inlineStr">
        <is>
          <t>V44</t>
        </is>
      </c>
      <c r="B46" s="10" t="inlineStr">
        <is>
          <t xml:space="preserve"> Uso de dispositivos personales sin control</t>
        </is>
      </c>
    </row>
    <row r="47">
      <c r="A47" s="13" t="inlineStr">
        <is>
          <t>V45</t>
        </is>
      </c>
      <c r="B47" s="10" t="inlineStr">
        <is>
          <t xml:space="preserve"> Ausencia de segregación de funciones críticas</t>
        </is>
      </c>
    </row>
    <row r="48">
      <c r="A48" s="13" t="inlineStr">
        <is>
          <t>V46</t>
        </is>
      </c>
      <c r="B48" s="10" t="inlineStr">
        <is>
          <t xml:space="preserve"> Contraseñas almacenadas en texto plano</t>
        </is>
      </c>
    </row>
    <row r="49">
      <c r="A49" s="13" t="inlineStr">
        <is>
          <t>V47</t>
        </is>
      </c>
      <c r="B49" s="36" t="inlineStr">
        <is>
          <t xml:space="preserve"> Falta de prácticas de seguridad de la información</t>
        </is>
      </c>
    </row>
    <row r="50">
      <c r="A50" s="35" t="inlineStr">
        <is>
          <t>V48</t>
        </is>
      </c>
      <c r="B50" s="10" t="inlineStr">
        <is>
          <t>Falta de revisión y aprobación formal de manuales y procedimeintos</t>
        </is>
      </c>
    </row>
    <row r="51">
      <c r="A51" s="35" t="inlineStr">
        <is>
          <t>V49</t>
        </is>
      </c>
      <c r="B51" s="37" t="inlineStr">
        <is>
          <t>Instalación física sin protexión</t>
        </is>
      </c>
    </row>
    <row r="52">
      <c r="A52" s="35" t="inlineStr">
        <is>
          <t>V50</t>
        </is>
      </c>
      <c r="B52" s="37" t="inlineStr">
        <is>
          <t>Dependiencia de un solo usuario/empleado administrador</t>
        </is>
      </c>
    </row>
  </sheetData>
  <mergeCells count="1">
    <mergeCell ref="A1:B1"/>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N46"/>
  <sheetViews>
    <sheetView topLeftCell="A3" workbookViewId="0">
      <selection activeCell="C21" sqref="C21"/>
    </sheetView>
  </sheetViews>
  <sheetFormatPr baseColWidth="10" defaultColWidth="11.5" defaultRowHeight="11"/>
  <cols>
    <col width="21.75" customWidth="1" style="16" min="1" max="1"/>
    <col width="42.25" customWidth="1" style="38" min="2" max="2"/>
    <col width="105.5" customWidth="1" style="16" min="3" max="3"/>
    <col width="19.5" bestFit="1" customWidth="1" style="38" min="4" max="4"/>
    <col width="7.75" customWidth="1" style="16" min="5" max="5"/>
    <col width="5" customWidth="1" style="16" min="6" max="6"/>
    <col width="7.25" customWidth="1" style="16" min="7" max="7"/>
    <col width="8.75" customWidth="1" style="16" min="8" max="8"/>
    <col width="8.5" customWidth="1" style="16" min="9" max="9"/>
    <col width="7.75" customWidth="1" style="16" min="10" max="10"/>
    <col width="8.5" customWidth="1" style="16" min="11" max="11"/>
    <col width="7.25" customWidth="1" style="16" min="12" max="12"/>
    <col width="6.5" customWidth="1" style="16" min="13" max="14"/>
    <col width="11.5" customWidth="1" style="16" min="15" max="15"/>
    <col width="11.5" customWidth="1" style="16" min="16" max="16384"/>
  </cols>
  <sheetData>
    <row r="1">
      <c r="A1" s="17" t="n"/>
      <c r="B1" s="34" t="n"/>
      <c r="C1" s="17" t="n"/>
      <c r="D1" s="34" t="n"/>
      <c r="E1" s="99" t="inlineStr">
        <is>
          <t>TIPOS DE ACTIVOS</t>
        </is>
      </c>
      <c r="F1" s="90" t="n"/>
      <c r="G1" s="90" t="n"/>
      <c r="H1" s="90" t="n"/>
      <c r="I1" s="90" t="n"/>
      <c r="J1" s="90" t="n"/>
      <c r="K1" s="90" t="n"/>
      <c r="L1" s="90" t="n"/>
      <c r="M1" s="90" t="n"/>
      <c r="N1" s="91" t="n"/>
    </row>
    <row r="2" ht="101" customHeight="1" s="98">
      <c r="A2" s="44" t="inlineStr">
        <is>
          <t>TIPOS DE AMENAZA</t>
        </is>
      </c>
      <c r="B2" s="43" t="inlineStr">
        <is>
          <t>AMENAZA</t>
        </is>
      </c>
      <c r="C2" s="43" t="inlineStr">
        <is>
          <t>DESCRIPCION</t>
        </is>
      </c>
      <c r="D2" s="43" t="inlineStr">
        <is>
          <t>DIMENSIONES</t>
        </is>
      </c>
      <c r="E2" s="42" t="inlineStr">
        <is>
          <t>[D] Datos / Información / datos de configuración</t>
        </is>
      </c>
      <c r="F2" s="42" t="inlineStr">
        <is>
          <t>[K] Claves criptográficas</t>
        </is>
      </c>
      <c r="G2" s="42" t="inlineStr">
        <is>
          <t>[S] Servicios</t>
        </is>
      </c>
      <c r="H2" s="42" t="inlineStr">
        <is>
          <t>[SW] Software - Aplicaciones informáticas</t>
        </is>
      </c>
      <c r="I2" s="42" t="inlineStr">
        <is>
          <t>[HW] Equipamiento informático (hardware)</t>
        </is>
      </c>
      <c r="J2" s="42" t="inlineStr">
        <is>
          <t>[COM] Redes de comunicaciones</t>
        </is>
      </c>
      <c r="K2" s="42" t="inlineStr">
        <is>
          <t>[Media] Soportes de información</t>
        </is>
      </c>
      <c r="L2" s="42" t="inlineStr">
        <is>
          <t>[AUX] equipamiento auxiliar</t>
        </is>
      </c>
      <c r="M2" s="42" t="inlineStr">
        <is>
          <t>[L] Instalaciones</t>
        </is>
      </c>
      <c r="N2" s="42" t="inlineStr">
        <is>
          <t>[P] Personal</t>
        </is>
      </c>
    </row>
    <row r="3" ht="12" customHeight="1" s="98">
      <c r="A3" s="47" t="inlineStr">
        <is>
          <t>[N] Desastres naturales</t>
        </is>
      </c>
      <c r="B3" s="34" t="inlineStr">
        <is>
          <t>[N.1] Fuego</t>
        </is>
      </c>
      <c r="C3" s="17" t="inlineStr">
        <is>
          <t>incendios: posibilidad de que el fuego acabe con recursos del sistema.</t>
        </is>
      </c>
      <c r="D3" s="34" t="inlineStr">
        <is>
          <t>[D] disponibilidad</t>
        </is>
      </c>
      <c r="E3" s="34" t="n"/>
      <c r="F3" s="34" t="n"/>
      <c r="G3" s="34" t="n"/>
      <c r="H3" s="34" t="n"/>
      <c r="I3" s="34" t="inlineStr">
        <is>
          <t>X</t>
        </is>
      </c>
      <c r="J3" s="34" t="n"/>
      <c r="K3" s="34" t="inlineStr">
        <is>
          <t>X</t>
        </is>
      </c>
      <c r="L3" s="34" t="inlineStr">
        <is>
          <t>X</t>
        </is>
      </c>
      <c r="M3" s="34" t="inlineStr">
        <is>
          <t>X</t>
        </is>
      </c>
      <c r="N3" s="34" t="n"/>
    </row>
    <row r="4" ht="12" customHeight="1" s="98">
      <c r="A4" s="47" t="inlineStr">
        <is>
          <t>[N] Desastres naturales</t>
        </is>
      </c>
      <c r="B4" s="34" t="inlineStr">
        <is>
          <t>[N.2] Daños por agua</t>
        </is>
      </c>
      <c r="C4" s="17" t="inlineStr">
        <is>
          <t>inundaciones: posibilidad de que el agua acabe con recursos del sistema.</t>
        </is>
      </c>
      <c r="D4" s="34" t="inlineStr">
        <is>
          <t>[D] disponibilidad</t>
        </is>
      </c>
      <c r="E4" s="34" t="n"/>
      <c r="F4" s="34" t="n"/>
      <c r="G4" s="34" t="n"/>
      <c r="H4" s="34" t="n"/>
      <c r="I4" s="34" t="inlineStr">
        <is>
          <t>X</t>
        </is>
      </c>
      <c r="J4" s="34" t="n"/>
      <c r="K4" s="34" t="inlineStr">
        <is>
          <t>X</t>
        </is>
      </c>
      <c r="L4" s="34" t="inlineStr">
        <is>
          <t>X</t>
        </is>
      </c>
      <c r="M4" s="34" t="inlineStr">
        <is>
          <t>X</t>
        </is>
      </c>
      <c r="N4" s="34" t="n"/>
    </row>
    <row r="5" ht="41" customHeight="1" s="98">
      <c r="A5" s="47" t="inlineStr">
        <is>
          <t>[N] Desastres naturales</t>
        </is>
      </c>
      <c r="B5" s="34" t="inlineStr">
        <is>
          <t>[N.*] Desastres naturales</t>
        </is>
      </c>
      <c r="C5" s="17" t="inlineStr">
        <is>
          <t>otros incidentes que se producen sin intervención humana: rayo, tormenta eléctrica, terremoto, ciclones, avalancha, corrimiento de tierras, ... Se excluyen desastres específicos tales como incendios (ver [N.1]) e inundaciones (ver [N.2]). Se excluye al personal por cuanto se ha previsto una amenaza específica [E.31] para cubrir la indisponibilidad involuntaria del personal sin entrar en sus causas.</t>
        </is>
      </c>
      <c r="D5" s="34" t="inlineStr">
        <is>
          <t>[D] disponibilidad</t>
        </is>
      </c>
      <c r="E5" s="34" t="n"/>
      <c r="F5" s="34" t="n"/>
      <c r="G5" s="34" t="n"/>
      <c r="H5" s="34" t="n"/>
      <c r="I5" s="34" t="inlineStr">
        <is>
          <t>X</t>
        </is>
      </c>
      <c r="J5" s="34" t="n"/>
      <c r="K5" s="34" t="inlineStr">
        <is>
          <t>X</t>
        </is>
      </c>
      <c r="L5" s="34" t="inlineStr">
        <is>
          <t>X</t>
        </is>
      </c>
      <c r="M5" s="34" t="inlineStr">
        <is>
          <t>X</t>
        </is>
      </c>
      <c r="N5" s="34" t="n"/>
    </row>
    <row r="6" hidden="1" ht="41" customHeight="1" s="98">
      <c r="A6" s="48" t="inlineStr">
        <is>
          <t>[E] Errores y fallos no intencionados</t>
        </is>
      </c>
      <c r="B6" s="34" t="inlineStr">
        <is>
          <t>[E.1] Errores de los usuarios</t>
        </is>
      </c>
      <c r="C6" s="17" t="inlineStr">
        <is>
          <t>equivocaciones de las personas cuando usan los servicios, datos, etc.</t>
        </is>
      </c>
      <c r="D6" s="34" t="inlineStr">
        <is>
          <t>[I] integridad 
[C] confidencialidad 
[D] disponibilidad</t>
        </is>
      </c>
      <c r="E6" s="34" t="inlineStr">
        <is>
          <t>X</t>
        </is>
      </c>
      <c r="F6" s="34" t="inlineStr">
        <is>
          <t>X</t>
        </is>
      </c>
      <c r="G6" s="34" t="inlineStr">
        <is>
          <t>X</t>
        </is>
      </c>
      <c r="H6" s="34" t="inlineStr">
        <is>
          <t>X</t>
        </is>
      </c>
      <c r="I6" s="34" t="n"/>
      <c r="J6" s="34" t="n"/>
      <c r="K6" s="34" t="inlineStr">
        <is>
          <t>X</t>
        </is>
      </c>
      <c r="L6" s="34" t="n"/>
      <c r="M6" s="34" t="n"/>
      <c r="N6" s="34" t="n"/>
    </row>
    <row r="7" ht="30.5" customHeight="1" s="98">
      <c r="A7" s="48" t="inlineStr">
        <is>
          <t>[E] Errores y fallos no intencionados</t>
        </is>
      </c>
      <c r="B7" s="34" t="inlineStr">
        <is>
          <t>[E.2] Errores del administrador</t>
        </is>
      </c>
      <c r="C7" s="17" t="inlineStr">
        <is>
          <t>equivocaciones de personas con responsabilidades de instalación y operación</t>
        </is>
      </c>
      <c r="D7" s="34" t="inlineStr">
        <is>
          <t>[I] integridad 
[C] confidencialidad 
[D] disponibilidad</t>
        </is>
      </c>
      <c r="E7" s="34" t="inlineStr">
        <is>
          <t>X</t>
        </is>
      </c>
      <c r="F7" s="34" t="inlineStr">
        <is>
          <t>X</t>
        </is>
      </c>
      <c r="G7" s="34" t="inlineStr">
        <is>
          <t>X</t>
        </is>
      </c>
      <c r="H7" s="34" t="inlineStr">
        <is>
          <t>X</t>
        </is>
      </c>
      <c r="I7" s="34" t="inlineStr">
        <is>
          <t>X</t>
        </is>
      </c>
      <c r="J7" s="34" t="inlineStr">
        <is>
          <t>X</t>
        </is>
      </c>
      <c r="K7" s="34" t="inlineStr">
        <is>
          <t>X</t>
        </is>
      </c>
      <c r="L7" s="34" t="n"/>
      <c r="M7" s="34" t="n"/>
      <c r="N7" s="34" t="n"/>
    </row>
    <row r="8" hidden="1" ht="20.5" customHeight="1" s="98">
      <c r="A8" s="48" t="inlineStr">
        <is>
          <t>[E] Errores y fallos no intencionados</t>
        </is>
      </c>
      <c r="B8" s="34" t="inlineStr">
        <is>
          <t>[E.3] Errores de monitorización (log)</t>
        </is>
      </c>
      <c r="C8" s="17" t="inlineStr">
        <is>
          <t>inadecuado registro de actividades: falta de registros, registros incompletos, registros incorrectamente fechados, registros incorrectamente atribuidos, …</t>
        </is>
      </c>
      <c r="D8" s="34" t="inlineStr">
        <is>
          <t>[I] integridad (trazabilidad)</t>
        </is>
      </c>
      <c r="E8" s="34" t="inlineStr">
        <is>
          <t>X</t>
        </is>
      </c>
      <c r="F8" s="34" t="n"/>
      <c r="G8" s="34" t="n"/>
      <c r="H8" s="34" t="n"/>
      <c r="I8" s="34" t="n"/>
      <c r="J8" s="34" t="n"/>
      <c r="K8" s="34" t="n"/>
      <c r="L8" s="34" t="n"/>
      <c r="M8" s="34" t="n"/>
      <c r="N8" s="34" t="n"/>
    </row>
    <row r="9" hidden="1" ht="20.5" customHeight="1" s="98">
      <c r="A9" s="48" t="inlineStr">
        <is>
          <t>[E] Errores y fallos no intencionados</t>
        </is>
      </c>
      <c r="B9" s="34" t="inlineStr">
        <is>
          <t>[E.4] Errores de configuración</t>
        </is>
      </c>
      <c r="C9" s="17" t="inlineStr">
        <is>
          <t>introducción de datos de configuración erróneos. Prácticamente todos los activos dependen de su configuración y ésta de la diligencia del administrador: privilegios de acceso, flujos de actividades, registro de actividad, encaminamiento, etc.</t>
        </is>
      </c>
      <c r="D9" s="34" t="inlineStr">
        <is>
          <t>[I] integridad</t>
        </is>
      </c>
      <c r="E9" s="34" t="inlineStr">
        <is>
          <t>X</t>
        </is>
      </c>
      <c r="F9" s="34" t="n"/>
      <c r="G9" s="34" t="n"/>
      <c r="H9" s="34" t="n"/>
      <c r="I9" s="34" t="n"/>
      <c r="J9" s="34" t="n"/>
      <c r="K9" s="34" t="n"/>
      <c r="L9" s="34" t="n"/>
      <c r="M9" s="34" t="n"/>
      <c r="N9" s="34" t="n"/>
    </row>
    <row r="10" hidden="1" ht="20.5" customHeight="1" s="98">
      <c r="A10" s="48" t="inlineStr">
        <is>
          <t>[E] Errores y fallos no intencionados</t>
        </is>
      </c>
      <c r="B10" s="34" t="inlineStr">
        <is>
          <t>[E.7] Deficiencias en la organización</t>
        </is>
      </c>
      <c r="C10" s="17" t="inlineStr">
        <is>
          <t>cuando no está claro quién tiene que hacer exactamente qué y cuándo, incluyendo tomar medidas sobre los activos o informar a la jerarquía de gestión. Acciones descoordinadas, errores por omisión, etc.</t>
        </is>
      </c>
      <c r="D10" s="34" t="inlineStr">
        <is>
          <t>[D] disponibilidad</t>
        </is>
      </c>
      <c r="E10" s="34" t="n"/>
      <c r="F10" s="34" t="n"/>
      <c r="G10" s="34" t="n"/>
      <c r="H10" s="34" t="n"/>
      <c r="I10" s="34" t="n"/>
      <c r="J10" s="34" t="n"/>
      <c r="K10" s="34" t="n"/>
      <c r="L10" s="34" t="n"/>
      <c r="M10" s="34" t="n"/>
      <c r="N10" s="34" t="inlineStr">
        <is>
          <t>X</t>
        </is>
      </c>
    </row>
    <row r="11" hidden="1" ht="30.5" customHeight="1" s="98">
      <c r="A11" s="48" t="inlineStr">
        <is>
          <t>[E] Errores y fallos no intencionados</t>
        </is>
      </c>
      <c r="B11" s="34" t="inlineStr">
        <is>
          <t>[E.8] Difusión de software dañino</t>
        </is>
      </c>
      <c r="C11" s="17" t="inlineStr">
        <is>
          <t>propagación inocente de virus, espías (spyware), gusanos, troyanos, bombas lógicas, etc.</t>
        </is>
      </c>
      <c r="D11" s="34" t="inlineStr">
        <is>
          <t>[I] integridad 
[C] confidencialidad 
[D] disponibilidad</t>
        </is>
      </c>
      <c r="E11" s="34" t="n"/>
      <c r="F11" s="34" t="n"/>
      <c r="G11" s="34" t="n"/>
      <c r="H11" s="34" t="inlineStr">
        <is>
          <t>X</t>
        </is>
      </c>
      <c r="I11" s="34" t="n"/>
      <c r="J11" s="34" t="n"/>
      <c r="K11" s="34" t="n"/>
      <c r="L11" s="34" t="n"/>
      <c r="M11" s="34" t="n"/>
      <c r="N11" s="34" t="n"/>
    </row>
    <row r="12" hidden="1" ht="41" customHeight="1" s="98">
      <c r="A12" s="48" t="inlineStr">
        <is>
          <t>[E] Errores y fallos no intencionados</t>
        </is>
      </c>
      <c r="B12" s="34" t="inlineStr">
        <is>
          <t>[E.9] Errores de [re-]encaminamiento</t>
        </is>
      </c>
      <c r="C12" s="17" t="inlineStr">
        <is>
          <t>envío de información a través de un sistema o una red usando, accidentalmente, una ruta incorrecta que lleve la información a donde o por donde no es debido; puede tratarse de mensajes entre personas, entre procesos o entre unos y otros. Es particularmente destacable el caso de que el error de encaminamiento suponga un error de entrega, acabando la información en manos de quien no se espera.</t>
        </is>
      </c>
      <c r="D12" s="34" t="inlineStr">
        <is>
          <t>[C] confidencialidad</t>
        </is>
      </c>
      <c r="E12" s="34" t="n"/>
      <c r="F12" s="34" t="n"/>
      <c r="G12" s="34" t="inlineStr">
        <is>
          <t>X</t>
        </is>
      </c>
      <c r="H12" s="34" t="inlineStr">
        <is>
          <t>X</t>
        </is>
      </c>
      <c r="I12" s="34" t="n"/>
      <c r="J12" s="34" t="inlineStr">
        <is>
          <t>X</t>
        </is>
      </c>
      <c r="K12" s="34" t="n"/>
      <c r="L12" s="34" t="n"/>
      <c r="M12" s="34" t="n"/>
      <c r="N12" s="34" t="n"/>
    </row>
    <row r="13" hidden="1" ht="20.5" customHeight="1" s="98">
      <c r="A13" s="48" t="inlineStr">
        <is>
          <t>[E] Errores y fallos no intencionados</t>
        </is>
      </c>
      <c r="B13" s="34" t="inlineStr">
        <is>
          <t>[E.10] Errores de secuencia</t>
        </is>
      </c>
      <c r="C13" s="17" t="inlineStr">
        <is>
          <t>alteración accidental del orden de los mensajes transmitidos.</t>
        </is>
      </c>
      <c r="D13" s="34" t="inlineStr">
        <is>
          <t>[I] integridad</t>
        </is>
      </c>
      <c r="E13" s="34" t="n"/>
      <c r="F13" s="34" t="n"/>
      <c r="G13" s="34" t="inlineStr">
        <is>
          <t>X</t>
        </is>
      </c>
      <c r="H13" s="34" t="inlineStr">
        <is>
          <t>X</t>
        </is>
      </c>
      <c r="I13" s="34" t="n"/>
      <c r="J13" s="34" t="inlineStr">
        <is>
          <t>X</t>
        </is>
      </c>
      <c r="K13" s="34" t="n"/>
      <c r="L13" s="34" t="n"/>
      <c r="M13" s="34" t="n"/>
      <c r="N13" s="34" t="n"/>
    </row>
    <row r="14" hidden="1" ht="20.5" customHeight="1" s="98">
      <c r="A14" s="48" t="inlineStr">
        <is>
          <t>[E] Errores y fallos no intencionados</t>
        </is>
      </c>
      <c r="B14" s="34" t="inlineStr">
        <is>
          <t>[E.15] Alteración accidental de la información</t>
        </is>
      </c>
      <c r="C14" s="17" t="inlineStr">
        <is>
          <t>alteración accidental de la información. Esta amenaza sólo se identifica sobre datos en general, pues cuando la información está en algún soporte informático, hay amenazas específicas.</t>
        </is>
      </c>
      <c r="D14" s="34" t="inlineStr">
        <is>
          <t>[I] integridad</t>
        </is>
      </c>
      <c r="E14" s="34" t="inlineStr">
        <is>
          <t>X</t>
        </is>
      </c>
      <c r="F14" s="34" t="inlineStr">
        <is>
          <t>X</t>
        </is>
      </c>
      <c r="G14" s="34" t="inlineStr">
        <is>
          <t>X</t>
        </is>
      </c>
      <c r="H14" s="34" t="inlineStr">
        <is>
          <t>X</t>
        </is>
      </c>
      <c r="I14" s="34" t="n"/>
      <c r="J14" s="34" t="inlineStr">
        <is>
          <t>X</t>
        </is>
      </c>
      <c r="K14" s="34" t="inlineStr">
        <is>
          <t>X</t>
        </is>
      </c>
      <c r="L14" s="34" t="n"/>
      <c r="M14" s="34" t="inlineStr">
        <is>
          <t>X</t>
        </is>
      </c>
      <c r="N14" s="34" t="n"/>
    </row>
    <row r="15" hidden="1" ht="20.5" customHeight="1" s="98">
      <c r="A15" s="48" t="inlineStr">
        <is>
          <t>[E] Errores y fallos no intencionados</t>
        </is>
      </c>
      <c r="B15" s="34" t="inlineStr">
        <is>
          <t>[E.18] Destrucción de información</t>
        </is>
      </c>
      <c r="C15" s="17" t="inlineStr">
        <is>
          <t>pérdida accidental de información. Esta amenaza sólo se identifica sobre datos en general, pues cuando la información está en algún soporte informático, hay amenazas específicas.</t>
        </is>
      </c>
      <c r="D15" s="34" t="inlineStr">
        <is>
          <t>[D] disponibilidad</t>
        </is>
      </c>
      <c r="E15" s="34" t="inlineStr">
        <is>
          <t>X</t>
        </is>
      </c>
      <c r="F15" s="34" t="inlineStr">
        <is>
          <t>X</t>
        </is>
      </c>
      <c r="G15" s="34" t="inlineStr">
        <is>
          <t>X</t>
        </is>
      </c>
      <c r="H15" s="34" t="inlineStr">
        <is>
          <t>X</t>
        </is>
      </c>
      <c r="I15" s="34" t="n"/>
      <c r="J15" s="34" t="inlineStr">
        <is>
          <t>X</t>
        </is>
      </c>
      <c r="K15" s="34" t="inlineStr">
        <is>
          <t>X</t>
        </is>
      </c>
      <c r="L15" s="34" t="n"/>
      <c r="M15" s="34" t="inlineStr">
        <is>
          <t>X</t>
        </is>
      </c>
      <c r="N15" s="34" t="n"/>
    </row>
    <row r="16" hidden="1" ht="20.5" customHeight="1" s="98">
      <c r="A16" s="48" t="inlineStr">
        <is>
          <t>[E] Errores y fallos no intencionados</t>
        </is>
      </c>
      <c r="B16" s="34" t="inlineStr">
        <is>
          <t>[E.19] Fugas de información</t>
        </is>
      </c>
      <c r="C16" s="17" t="inlineStr">
        <is>
          <t>revelación por indiscreción. Incontinencia verbal, medios electrónicos, soporte papel, etc.</t>
        </is>
      </c>
      <c r="D16" s="34" t="inlineStr">
        <is>
          <t>[C] confidencialidad</t>
        </is>
      </c>
      <c r="E16" s="34" t="inlineStr">
        <is>
          <t>X</t>
        </is>
      </c>
      <c r="F16" s="34" t="inlineStr">
        <is>
          <t>X</t>
        </is>
      </c>
      <c r="G16" s="34" t="inlineStr">
        <is>
          <t>X</t>
        </is>
      </c>
      <c r="H16" s="34" t="inlineStr">
        <is>
          <t>X</t>
        </is>
      </c>
      <c r="I16" s="34" t="n"/>
      <c r="J16" s="34" t="inlineStr">
        <is>
          <t>X</t>
        </is>
      </c>
      <c r="K16" s="34" t="inlineStr">
        <is>
          <t>X</t>
        </is>
      </c>
      <c r="L16" s="34" t="n"/>
      <c r="M16" s="34" t="inlineStr">
        <is>
          <t>X</t>
        </is>
      </c>
      <c r="N16" s="34" t="inlineStr">
        <is>
          <t>X</t>
        </is>
      </c>
    </row>
    <row r="17" hidden="1" ht="30.5" customHeight="1" s="98">
      <c r="A17" s="48" t="inlineStr">
        <is>
          <t>[E] Errores y fallos no intencionados</t>
        </is>
      </c>
      <c r="B17" s="34" t="inlineStr">
        <is>
          <t>[E.20] Vulnerabilidades de los programas (software)</t>
        </is>
      </c>
      <c r="C17" s="17" t="inlineStr">
        <is>
          <t>defectos en el código que dan pie a una operación defectuosa sin intención por parte del usuario pero con consecuencias sobre la integridad de los datos o la capacidad misma de operar.</t>
        </is>
      </c>
      <c r="D17" s="34" t="inlineStr">
        <is>
          <t>[I] integridad 
[C] confidencialidad 
[D] disponibilidad</t>
        </is>
      </c>
      <c r="E17" s="34" t="n"/>
      <c r="F17" s="34" t="n"/>
      <c r="G17" s="34" t="n"/>
      <c r="H17" s="34" t="inlineStr">
        <is>
          <t>X</t>
        </is>
      </c>
      <c r="I17" s="34" t="n"/>
      <c r="J17" s="34" t="n"/>
      <c r="K17" s="34" t="n"/>
      <c r="L17" s="34" t="n"/>
      <c r="M17" s="34" t="n"/>
      <c r="N17" s="34" t="n"/>
    </row>
    <row r="18" hidden="1" ht="20.5" customHeight="1" s="98">
      <c r="A18" s="48" t="inlineStr">
        <is>
          <t>[E] Errores y fallos no intencionados</t>
        </is>
      </c>
      <c r="B18" s="34" t="inlineStr">
        <is>
          <t>[E.21] Errores de mantenimiento / actualización de programas (software)</t>
        </is>
      </c>
      <c r="C18" s="17" t="inlineStr">
        <is>
          <t>defectos en los procedimientos o controles de actualización del código que permiten que sigan utilizándose programas con defectos conocidos y reparados por el fabricante.</t>
        </is>
      </c>
      <c r="D18" s="34" t="inlineStr">
        <is>
          <t>[I] integridad 
[D] disponibilidad</t>
        </is>
      </c>
      <c r="E18" s="34" t="n"/>
      <c r="F18" s="34" t="n"/>
      <c r="G18" s="34" t="n"/>
      <c r="H18" s="34" t="inlineStr">
        <is>
          <t>X</t>
        </is>
      </c>
      <c r="I18" s="34" t="n"/>
      <c r="J18" s="34" t="n"/>
      <c r="K18" s="34" t="n"/>
      <c r="L18" s="34" t="n"/>
      <c r="M18" s="34" t="n"/>
      <c r="N18" s="34" t="n"/>
    </row>
    <row r="19" ht="20.5" customHeight="1" s="98">
      <c r="A19" s="48" t="inlineStr">
        <is>
          <t>[E] Errores y fallos no intencionados</t>
        </is>
      </c>
      <c r="B19" s="34" t="inlineStr">
        <is>
          <t>[E.23] Errores de mantenimiento / actualización de equipos (hardware)</t>
        </is>
      </c>
      <c r="C19" s="17" t="inlineStr">
        <is>
          <t>defectos en los procedimientos o controles de actualización de los equipos que permiten que sigan utilizándose más allá del tiempo nominal de uso.</t>
        </is>
      </c>
      <c r="D19" s="34" t="inlineStr">
        <is>
          <t>[D] disponibilidad</t>
        </is>
      </c>
      <c r="E19" s="34" t="n"/>
      <c r="F19" s="34" t="n"/>
      <c r="G19" s="34" t="n"/>
      <c r="H19" s="34" t="n"/>
      <c r="I19" s="34" t="inlineStr">
        <is>
          <t>X</t>
        </is>
      </c>
      <c r="J19" s="34" t="n"/>
      <c r="K19" s="34" t="inlineStr">
        <is>
          <t>X</t>
        </is>
      </c>
      <c r="L19" s="34" t="inlineStr">
        <is>
          <t>X</t>
        </is>
      </c>
      <c r="M19" s="34" t="n"/>
      <c r="N19" s="34" t="n"/>
    </row>
    <row r="20" ht="20.5" customHeight="1" s="98">
      <c r="A20" s="48" t="inlineStr">
        <is>
          <t>[E] Errores y fallos no intencionados</t>
        </is>
      </c>
      <c r="B20" s="34" t="inlineStr">
        <is>
          <t>[E.24] Caída del sistema por agotamiento de recursos</t>
        </is>
      </c>
      <c r="C20" s="17" t="inlineStr">
        <is>
          <t>la carencia de recursos suficientes provoca la caída del sistema cuando la carga de trabajo es desmesurada.</t>
        </is>
      </c>
      <c r="D20" s="34" t="inlineStr">
        <is>
          <t>[D] disponibilidad</t>
        </is>
      </c>
      <c r="E20" s="34" t="n"/>
      <c r="F20" s="34" t="n"/>
      <c r="G20" s="34" t="inlineStr">
        <is>
          <t>X</t>
        </is>
      </c>
      <c r="H20" s="34" t="n"/>
      <c r="I20" s="34" t="inlineStr">
        <is>
          <t>X</t>
        </is>
      </c>
      <c r="J20" s="34" t="inlineStr">
        <is>
          <t>X</t>
        </is>
      </c>
      <c r="K20" s="34" t="n"/>
      <c r="L20" s="34" t="n"/>
      <c r="M20" s="34" t="n"/>
      <c r="N20" s="34" t="n"/>
    </row>
    <row r="21" ht="30.5" customHeight="1" s="98">
      <c r="A21" s="48" t="inlineStr">
        <is>
          <t>[E] Errores y fallos no intencionados</t>
        </is>
      </c>
      <c r="B21" s="34" t="inlineStr">
        <is>
          <t>[E.25] Pérdida de equipos</t>
        </is>
      </c>
      <c r="C21" s="17" t="inlineStr">
        <is>
          <t>la pérdida de equipos provoca directamente la carencia de un medio para prestar los servicios, es decir una indisponibilidad. Se puede perder todo tipo de equipamiento, siendo la pérdida de equipos y soportes de información los más habituales. En el caso de equipos que hospedan datos, además se puede sufrir una fuga de información.</t>
        </is>
      </c>
      <c r="D21" s="34" t="inlineStr">
        <is>
          <t xml:space="preserve">
[C] confidencialidad 
[D] disponibilidad</t>
        </is>
      </c>
      <c r="E21" s="34" t="n"/>
      <c r="F21" s="34" t="n"/>
      <c r="G21" s="34" t="n"/>
      <c r="H21" s="34" t="n"/>
      <c r="I21" s="34" t="inlineStr">
        <is>
          <t>X</t>
        </is>
      </c>
      <c r="J21" s="34" t="n"/>
      <c r="K21" s="34" t="inlineStr">
        <is>
          <t>X</t>
        </is>
      </c>
      <c r="L21" s="34" t="inlineStr">
        <is>
          <t>X</t>
        </is>
      </c>
      <c r="M21" s="34" t="n"/>
      <c r="N21" s="34" t="n"/>
    </row>
    <row r="22" hidden="1" ht="20.5" customHeight="1" s="98">
      <c r="A22" s="48" t="inlineStr">
        <is>
          <t>[E] Errores y fallos no intencionados</t>
        </is>
      </c>
      <c r="B22" s="34" t="inlineStr">
        <is>
          <t>[E.28] Indisponibilidad del personal</t>
        </is>
      </c>
      <c r="C22" s="17" t="inlineStr">
        <is>
          <t>ausencia accidental del puesto de trabajo: enfermedad, alteraciones del orden público, guerra bacteriológica, …</t>
        </is>
      </c>
      <c r="D22" s="34" t="inlineStr">
        <is>
          <t>[D] disponibilidad</t>
        </is>
      </c>
      <c r="E22" s="34" t="n"/>
      <c r="F22" s="34" t="n"/>
      <c r="G22" s="34" t="n"/>
      <c r="H22" s="34" t="n"/>
      <c r="I22" s="34" t="n"/>
      <c r="J22" s="34" t="n"/>
      <c r="K22" s="34" t="n"/>
      <c r="L22" s="34" t="n"/>
      <c r="M22" s="34" t="n"/>
      <c r="N22" s="34" t="inlineStr">
        <is>
          <t>X</t>
        </is>
      </c>
    </row>
    <row r="23" hidden="1" ht="20.5" customHeight="1" s="98">
      <c r="A23" s="49" t="inlineStr">
        <is>
          <t>[A] Ataques intencionados</t>
        </is>
      </c>
      <c r="B23" s="34" t="inlineStr">
        <is>
          <t>[A.3] Manipulación de los registros de actividad (log)</t>
        </is>
      </c>
      <c r="C23" s="17" t="n"/>
      <c r="D23" s="34" t="inlineStr">
        <is>
          <t>[I] integridad (trazabilidad)</t>
        </is>
      </c>
      <c r="E23" s="34" t="inlineStr">
        <is>
          <t>X</t>
        </is>
      </c>
      <c r="F23" s="34" t="n"/>
      <c r="G23" s="34" t="n"/>
      <c r="H23" s="34" t="n"/>
      <c r="I23" s="34" t="n"/>
      <c r="J23" s="34" t="n"/>
      <c r="K23" s="34" t="n"/>
      <c r="L23" s="34" t="n"/>
      <c r="M23" s="34" t="n"/>
      <c r="N23" s="34" t="n"/>
    </row>
    <row r="24" hidden="1" ht="30.5" customHeight="1" s="98">
      <c r="A24" s="49" t="inlineStr">
        <is>
          <t>[A] Ataques intencionados</t>
        </is>
      </c>
      <c r="B24" s="34" t="inlineStr">
        <is>
          <t>[A.4] Manipulación de la configuración</t>
        </is>
      </c>
      <c r="C24" s="17" t="inlineStr">
        <is>
          <t>prácticamente todos los activos dependen de su configuración y ésta de la diligencia del administrador: privilegios de acceso, flujos de actividades, registro de actividad, encaminamiento, etc.</t>
        </is>
      </c>
      <c r="D24" s="34" t="inlineStr">
        <is>
          <t>[I] integridad 
[C] confidencialidad 
[A] Autenticidad</t>
        </is>
      </c>
      <c r="E24" s="34" t="inlineStr">
        <is>
          <t>X</t>
        </is>
      </c>
      <c r="F24" s="34" t="n"/>
      <c r="G24" s="34" t="n"/>
      <c r="H24" s="34" t="n"/>
      <c r="I24" s="34" t="n"/>
      <c r="J24" s="34" t="n"/>
      <c r="K24" s="34" t="n"/>
      <c r="L24" s="34" t="n"/>
      <c r="M24" s="34" t="n"/>
      <c r="N24" s="34" t="n"/>
    </row>
    <row r="25" hidden="1" ht="30.5" customHeight="1" s="98">
      <c r="A25" s="49" t="inlineStr">
        <is>
          <t>[A] Ataques intencionados</t>
        </is>
      </c>
      <c r="B25" s="34" t="inlineStr">
        <is>
          <t>[A.5] Suplantación de la identidad del usuario</t>
        </is>
      </c>
      <c r="C25" s="17" t="inlineStr">
        <is>
          <t>cuando un atacante consigue hacerse pasar por un usuario autorizado, disfruta de los privilegios de este para sus fines propios. Esta amenaza puede ser perpetrada por personal interno, por personas ajenas a la Organización o por personal contratado temporalmente.</t>
        </is>
      </c>
      <c r="D25" s="34" t="inlineStr">
        <is>
          <t>[I] integridad 
[C] confidencialidad 
[A] Autenticidad</t>
        </is>
      </c>
      <c r="E25" s="34" t="inlineStr">
        <is>
          <t>X</t>
        </is>
      </c>
      <c r="F25" s="34" t="inlineStr">
        <is>
          <t>X</t>
        </is>
      </c>
      <c r="G25" s="34" t="inlineStr">
        <is>
          <t>X</t>
        </is>
      </c>
      <c r="H25" s="34" t="inlineStr">
        <is>
          <t>X</t>
        </is>
      </c>
      <c r="I25" s="34" t="n"/>
      <c r="J25" s="34" t="inlineStr">
        <is>
          <t>X</t>
        </is>
      </c>
      <c r="K25" s="34" t="n"/>
      <c r="L25" s="34" t="n"/>
      <c r="M25" s="34" t="n"/>
      <c r="N25" s="34" t="n"/>
    </row>
    <row r="26" ht="30.5" customHeight="1" s="98">
      <c r="A26" s="49" t="inlineStr">
        <is>
          <t>[A] Ataques intencionados</t>
        </is>
      </c>
      <c r="B26" s="34" t="inlineStr">
        <is>
          <t>[A.6] Abuso de privilegios de acceso</t>
        </is>
      </c>
      <c r="C26" s="17" t="inlineStr">
        <is>
          <t>cada usuario disfruta de un nivel de privilegios para un determinado propósito; cuando un usuario abusa de su nivel de privilegios para realizar tareas que no son de su competencia, hay problemas.</t>
        </is>
      </c>
      <c r="D26" s="34" t="inlineStr">
        <is>
          <t>[I] integridad 
[C] confidencialidad 
[D] disponibilidad</t>
        </is>
      </c>
      <c r="E26" s="34" t="inlineStr">
        <is>
          <t>X</t>
        </is>
      </c>
      <c r="F26" s="34" t="inlineStr">
        <is>
          <t>X</t>
        </is>
      </c>
      <c r="G26" s="34" t="inlineStr">
        <is>
          <t>X</t>
        </is>
      </c>
      <c r="H26" s="34" t="inlineStr">
        <is>
          <t>X</t>
        </is>
      </c>
      <c r="I26" s="34" t="inlineStr">
        <is>
          <t>X</t>
        </is>
      </c>
      <c r="J26" s="34" t="inlineStr">
        <is>
          <t>X</t>
        </is>
      </c>
      <c r="K26" s="34" t="n"/>
      <c r="L26" s="34" t="n"/>
      <c r="M26" s="34" t="n"/>
      <c r="N26" s="34" t="n"/>
    </row>
    <row r="27" ht="30.5" customHeight="1" s="98">
      <c r="A27" s="49" t="inlineStr">
        <is>
          <t>[A] Ataques intencionados</t>
        </is>
      </c>
      <c r="B27" s="34" t="inlineStr">
        <is>
          <t>[A.7] Uso no previsto</t>
        </is>
      </c>
      <c r="C27" s="17" t="inlineStr">
        <is>
          <t>utilización de los recursos del sistema para fines no previstos, típicamente de interés personal: juegos, consultas personales en Internet, bases de datos personales, programas personales, almacenamiento de datos personales, etc.</t>
        </is>
      </c>
      <c r="D27" s="34" t="inlineStr">
        <is>
          <t>[I] integridad 
[C] confidencialidad 
[D] disponibilidad</t>
        </is>
      </c>
      <c r="E27" s="34" t="inlineStr">
        <is>
          <t>X</t>
        </is>
      </c>
      <c r="F27" s="34" t="n"/>
      <c r="G27" s="34" t="n"/>
      <c r="H27" s="34" t="inlineStr">
        <is>
          <t>X</t>
        </is>
      </c>
      <c r="I27" s="34" t="inlineStr">
        <is>
          <t>X</t>
        </is>
      </c>
      <c r="J27" s="34" t="inlineStr">
        <is>
          <t>X</t>
        </is>
      </c>
      <c r="K27" s="34" t="inlineStr">
        <is>
          <t>X</t>
        </is>
      </c>
      <c r="L27" s="34" t="inlineStr">
        <is>
          <t>X</t>
        </is>
      </c>
      <c r="M27" s="34" t="inlineStr">
        <is>
          <t>X</t>
        </is>
      </c>
      <c r="N27" s="34" t="n"/>
    </row>
    <row r="28" hidden="1" ht="30.5" customHeight="1" s="98">
      <c r="A28" s="49" t="inlineStr">
        <is>
          <t>[A] Ataques intencionados</t>
        </is>
      </c>
      <c r="B28" s="34" t="inlineStr">
        <is>
          <t>[A.8] Difusión de software dañino</t>
        </is>
      </c>
      <c r="C28" s="17" t="inlineStr">
        <is>
          <t>propagación intencionada de virus, espías (spyware), gusanos, troyanos, bombas lógicas, etc.</t>
        </is>
      </c>
      <c r="D28" s="34" t="inlineStr">
        <is>
          <t>[I] integridad 
[C] confidencialidad 
[D] disponibilidad</t>
        </is>
      </c>
      <c r="E28" s="34" t="n"/>
      <c r="F28" s="34" t="n"/>
      <c r="G28" s="34" t="n"/>
      <c r="H28" s="34" t="inlineStr">
        <is>
          <t>X</t>
        </is>
      </c>
      <c r="I28" s="34" t="n"/>
      <c r="J28" s="34" t="n"/>
      <c r="K28" s="34" t="n"/>
      <c r="L28" s="34" t="n"/>
      <c r="M28" s="34" t="n"/>
      <c r="N28" s="34" t="n"/>
    </row>
    <row r="29" hidden="1" ht="51" customHeight="1" s="98">
      <c r="A29" s="49" t="inlineStr">
        <is>
          <t>[A] Ataques intencionados</t>
        </is>
      </c>
      <c r="B29" s="34" t="inlineStr">
        <is>
          <t>[A.9] [Re-]encaminamiento de mensajes</t>
        </is>
      </c>
      <c r="C29" s="17" t="inlineStr">
        <is>
          <t>envío de información a un destino incorrecto a través de un sistema o una red, que llevan la información a donde o por donde no es debido; puede tratarse de mensajes entre personas, entre procesos o entre unos y otros. Un atacante puede forzar un mensaje para circular a través de un nodo determinado de la red donde puede ser interceptado. Es particularmente destacable el caso de que el ataque de encaminamiento lleve a una entrega fraudulenta, acabando la información en manos de quien no debe.</t>
        </is>
      </c>
      <c r="D29" s="34" t="inlineStr">
        <is>
          <t>[C] confidencialidad</t>
        </is>
      </c>
      <c r="E29" s="34" t="n"/>
      <c r="F29" s="34" t="n"/>
      <c r="G29" s="34" t="inlineStr">
        <is>
          <t>X</t>
        </is>
      </c>
      <c r="H29" s="34" t="inlineStr">
        <is>
          <t>X</t>
        </is>
      </c>
      <c r="I29" s="34" t="n"/>
      <c r="J29" s="34" t="inlineStr">
        <is>
          <t>X</t>
        </is>
      </c>
      <c r="K29" s="34" t="n"/>
      <c r="L29" s="34" t="n"/>
      <c r="M29" s="34" t="n"/>
      <c r="N29" s="34" t="n"/>
    </row>
    <row r="30" hidden="1" ht="20.5" customHeight="1" s="98">
      <c r="A30" s="49" t="inlineStr">
        <is>
          <t>[A] Ataques intencionados</t>
        </is>
      </c>
      <c r="B30" s="34" t="inlineStr">
        <is>
          <t>[A.10] Alteración de secuencia</t>
        </is>
      </c>
      <c r="C30" s="17" t="inlineStr">
        <is>
          <t>alteración del orden de los mensajes transmitidos. Con ánimo de que el nuevo orden altere el significado del conjunto de mensajes, perjudicando a la integridad de los datos afectados.</t>
        </is>
      </c>
      <c r="D30" s="34" t="inlineStr">
        <is>
          <t>[I] integridad (trazabilidad)</t>
        </is>
      </c>
      <c r="E30" s="34" t="n"/>
      <c r="F30" s="34" t="n"/>
      <c r="G30" s="34" t="inlineStr">
        <is>
          <t>X</t>
        </is>
      </c>
      <c r="H30" s="34" t="inlineStr">
        <is>
          <t>X</t>
        </is>
      </c>
      <c r="I30" s="34" t="n"/>
      <c r="J30" s="34" t="inlineStr">
        <is>
          <t>X</t>
        </is>
      </c>
      <c r="K30" s="34" t="n"/>
      <c r="L30" s="34" t="n"/>
      <c r="M30" s="34" t="n"/>
      <c r="N30" s="34" t="n"/>
    </row>
    <row r="31" ht="20.5" customHeight="1" s="98">
      <c r="A31" s="49" t="inlineStr">
        <is>
          <t>[A] Ataques intencionados</t>
        </is>
      </c>
      <c r="B31" s="34" t="inlineStr">
        <is>
          <t>[A.11] Acceso no autorizado</t>
        </is>
      </c>
      <c r="C31" s="17" t="inlineStr">
        <is>
          <t>el atacante consigue acceder a los recursos del sistema sin tener autorización para ello, típicamente aprovechando un fallo del sistema de identificación y autorización.</t>
        </is>
      </c>
      <c r="D31" s="34" t="inlineStr">
        <is>
          <t>[I] integridad 
[C] confidencialidad</t>
        </is>
      </c>
      <c r="E31" s="34" t="inlineStr">
        <is>
          <t>X</t>
        </is>
      </c>
      <c r="F31" s="34" t="inlineStr">
        <is>
          <t>X</t>
        </is>
      </c>
      <c r="G31" s="34" t="inlineStr">
        <is>
          <t>X</t>
        </is>
      </c>
      <c r="H31" s="34" t="inlineStr">
        <is>
          <t>X</t>
        </is>
      </c>
      <c r="I31" s="34" t="inlineStr">
        <is>
          <t>X</t>
        </is>
      </c>
      <c r="J31" s="34" t="inlineStr">
        <is>
          <t>X</t>
        </is>
      </c>
      <c r="K31" s="34" t="inlineStr">
        <is>
          <t>X</t>
        </is>
      </c>
      <c r="L31" s="34" t="inlineStr">
        <is>
          <t>X</t>
        </is>
      </c>
      <c r="M31" s="34" t="inlineStr">
        <is>
          <t>X</t>
        </is>
      </c>
      <c r="N31" s="34" t="n"/>
    </row>
    <row r="32" hidden="1" ht="30.5" customHeight="1" s="98">
      <c r="A32" s="49" t="inlineStr">
        <is>
          <t>[A] Ataques intencionados</t>
        </is>
      </c>
      <c r="B32" s="34" t="inlineStr">
        <is>
          <t>[A.12] Análisis de tráfico</t>
        </is>
      </c>
      <c r="C32" s="17" t="inlineStr">
        <is>
          <t>el atacante, sin necesidad de entrar a analizar el contenido de las comunicaciones, es capaz de extraer conclusiones a partir del análisis del origen, destino, volumen y frecuencia de los intercambios. A veces se denomina “monitorización de tráfico”.</t>
        </is>
      </c>
      <c r="D32" s="34" t="inlineStr">
        <is>
          <t>[C] confidencialidad</t>
        </is>
      </c>
      <c r="E32" s="34" t="n"/>
      <c r="F32" s="34" t="n"/>
      <c r="G32" s="34" t="n"/>
      <c r="H32" s="34" t="n"/>
      <c r="I32" s="34" t="n"/>
      <c r="J32" s="34" t="inlineStr">
        <is>
          <t>X</t>
        </is>
      </c>
      <c r="K32" s="34" t="n"/>
      <c r="L32" s="34" t="n"/>
      <c r="M32" s="34" t="n"/>
      <c r="N32" s="34" t="n"/>
    </row>
    <row r="33" hidden="1" ht="30.5" customHeight="1" s="98">
      <c r="A33" s="49" t="inlineStr">
        <is>
          <t>[A] Ataques intencionados</t>
        </is>
      </c>
      <c r="B33" s="34" t="inlineStr">
        <is>
          <t>[A.13] Repudio</t>
        </is>
      </c>
      <c r="C33" s="17" t="inlineStr">
        <is>
          <t>negación a posteriori de actuaciones o compromisos adquiridos en el pasado. Repudio de origen: negación de ser el remitente u origen de un mensaje o comunicación. Repudio de recepción: negación de haber recibido un mensaje o comunicación. Repudio de entrega: negación de haber recibido un mensaje para su entrega a otro.</t>
        </is>
      </c>
      <c r="D33" s="34" t="inlineStr">
        <is>
          <t>[I] integridad (trazabilidad)</t>
        </is>
      </c>
      <c r="E33" s="34" t="inlineStr">
        <is>
          <t>X</t>
        </is>
      </c>
      <c r="F33" s="34" t="n"/>
      <c r="G33" s="34" t="inlineStr">
        <is>
          <t>X</t>
        </is>
      </c>
      <c r="H33" s="34" t="n"/>
      <c r="I33" s="34" t="n"/>
      <c r="J33" s="34" t="n"/>
      <c r="K33" s="34" t="n"/>
      <c r="L33" s="34" t="n"/>
      <c r="M33" s="34" t="n"/>
      <c r="N33" s="34" t="n"/>
    </row>
    <row r="34" hidden="1" ht="20.5" customHeight="1" s="98">
      <c r="A34" s="49" t="inlineStr">
        <is>
          <t>[A] Ataques intencionados</t>
        </is>
      </c>
      <c r="B34" s="34" t="inlineStr">
        <is>
          <t>[A.14] Interceptación de información (escucha)</t>
        </is>
      </c>
      <c r="C34" s="17" t="inlineStr">
        <is>
          <t>el atacante llega a tener acceso a información que no le corresponde, sin que la información en sí misma se vea alterada.</t>
        </is>
      </c>
      <c r="D34" s="34" t="inlineStr">
        <is>
          <t>[C] confidencialidad</t>
        </is>
      </c>
      <c r="E34" s="34" t="n"/>
      <c r="F34" s="34" t="n"/>
      <c r="G34" s="34" t="n"/>
      <c r="H34" s="34" t="n"/>
      <c r="I34" s="34" t="n"/>
      <c r="J34" s="34" t="inlineStr">
        <is>
          <t>X</t>
        </is>
      </c>
      <c r="K34" s="34" t="n"/>
      <c r="L34" s="34" t="n"/>
      <c r="M34" s="34" t="n"/>
      <c r="N34" s="34" t="n"/>
    </row>
    <row r="35" hidden="1" ht="20.5" customHeight="1" s="98">
      <c r="A35" s="49" t="inlineStr">
        <is>
          <t>[A] Ataques intencionados</t>
        </is>
      </c>
      <c r="B35" s="34" t="inlineStr">
        <is>
          <t>[A.15] Modificación deliberada de la información</t>
        </is>
      </c>
      <c r="C35" s="17" t="inlineStr">
        <is>
          <t>alteración intencional de la información, con ánimo de obtener un beneficio o causar un perjuicio.</t>
        </is>
      </c>
      <c r="D35" s="34" t="inlineStr">
        <is>
          <t>[I] integridad</t>
        </is>
      </c>
      <c r="E35" s="34" t="inlineStr">
        <is>
          <t>X</t>
        </is>
      </c>
      <c r="F35" s="34" t="inlineStr">
        <is>
          <t>X</t>
        </is>
      </c>
      <c r="G35" s="34" t="inlineStr">
        <is>
          <t>X</t>
        </is>
      </c>
      <c r="H35" s="34" t="inlineStr">
        <is>
          <t>X</t>
        </is>
      </c>
      <c r="I35" s="34" t="n"/>
      <c r="J35" s="34" t="inlineStr">
        <is>
          <t>X</t>
        </is>
      </c>
      <c r="K35" s="34" t="inlineStr">
        <is>
          <t>X</t>
        </is>
      </c>
      <c r="L35" s="34" t="n"/>
      <c r="M35" s="34" t="inlineStr">
        <is>
          <t>X</t>
        </is>
      </c>
      <c r="N35" s="34" t="n"/>
    </row>
    <row r="36" hidden="1" ht="20.5" customHeight="1" s="98">
      <c r="A36" s="49" t="inlineStr">
        <is>
          <t>[A] Ataques intencionados</t>
        </is>
      </c>
      <c r="B36" s="34" t="inlineStr">
        <is>
          <t>[A.18] Destrucción de información</t>
        </is>
      </c>
      <c r="C36" s="17" t="inlineStr">
        <is>
          <t>eliminación intencional de información, con ánimo de obtener un beneficio o causar un perjuicio.</t>
        </is>
      </c>
      <c r="D36" s="34" t="inlineStr">
        <is>
          <t>[D] disponibilidad</t>
        </is>
      </c>
      <c r="E36" s="34" t="inlineStr">
        <is>
          <t>X</t>
        </is>
      </c>
      <c r="F36" s="34" t="inlineStr">
        <is>
          <t>X</t>
        </is>
      </c>
      <c r="G36" s="34" t="inlineStr">
        <is>
          <t>X</t>
        </is>
      </c>
      <c r="H36" s="34" t="inlineStr">
        <is>
          <t>X</t>
        </is>
      </c>
      <c r="I36" s="34" t="n"/>
      <c r="J36" s="34" t="n"/>
      <c r="K36" s="34" t="inlineStr">
        <is>
          <t>X</t>
        </is>
      </c>
      <c r="L36" s="34" t="n"/>
      <c r="M36" s="34" t="inlineStr">
        <is>
          <t>X</t>
        </is>
      </c>
      <c r="N36" s="34" t="n"/>
    </row>
    <row r="37" hidden="1" ht="20.5" customHeight="1" s="98">
      <c r="A37" s="49" t="inlineStr">
        <is>
          <t>[A] Ataques intencionados</t>
        </is>
      </c>
      <c r="B37" s="34" t="inlineStr">
        <is>
          <t>[A.19] Divulgación de información</t>
        </is>
      </c>
      <c r="C37" s="17" t="inlineStr">
        <is>
          <t>revelación de información.</t>
        </is>
      </c>
      <c r="D37" s="34" t="inlineStr">
        <is>
          <t>[C] confidencialidad</t>
        </is>
      </c>
      <c r="E37" s="34" t="inlineStr">
        <is>
          <t>X</t>
        </is>
      </c>
      <c r="F37" s="34" t="inlineStr">
        <is>
          <t>X</t>
        </is>
      </c>
      <c r="G37" s="34" t="inlineStr">
        <is>
          <t>X</t>
        </is>
      </c>
      <c r="H37" s="34" t="inlineStr">
        <is>
          <t>X</t>
        </is>
      </c>
      <c r="I37" s="34" t="n"/>
      <c r="J37" s="34" t="inlineStr">
        <is>
          <t>X</t>
        </is>
      </c>
      <c r="K37" s="34" t="inlineStr">
        <is>
          <t>X</t>
        </is>
      </c>
      <c r="L37" s="34" t="n"/>
      <c r="M37" s="34" t="inlineStr">
        <is>
          <t>X</t>
        </is>
      </c>
      <c r="N37" s="34" t="n"/>
    </row>
    <row r="38" hidden="1" ht="30.5" customHeight="1" s="98">
      <c r="A38" s="49" t="inlineStr">
        <is>
          <t>[A] Ataques intencionados</t>
        </is>
      </c>
      <c r="B38" s="34" t="inlineStr">
        <is>
          <t>[A.22] Manipulación de programas</t>
        </is>
      </c>
      <c r="C38" s="17" t="inlineStr">
        <is>
          <t>alteración intencionada del funcionamiento de los programas, persiguiendo un beneficio indirecto cuando una persona autorizada lo utiliza.</t>
        </is>
      </c>
      <c r="D38" s="34" t="inlineStr">
        <is>
          <t>[I] integridad 
[C] confidencialidad 
[D] disponibilidad</t>
        </is>
      </c>
      <c r="E38" s="34" t="n"/>
      <c r="F38" s="34" t="n"/>
      <c r="G38" s="34" t="n"/>
      <c r="H38" s="34" t="inlineStr">
        <is>
          <t>X</t>
        </is>
      </c>
      <c r="I38" s="34" t="n"/>
      <c r="J38" s="34" t="n"/>
      <c r="K38" s="34" t="n"/>
      <c r="L38" s="34" t="n"/>
      <c r="M38" s="34" t="n"/>
      <c r="N38" s="34" t="n"/>
    </row>
    <row r="39" ht="20.5" customHeight="1" s="98">
      <c r="A39" s="49" t="inlineStr">
        <is>
          <t>[A] Ataques intencionados</t>
        </is>
      </c>
      <c r="B39" s="34" t="inlineStr">
        <is>
          <t>[A.23] Manipulación de los equipos</t>
        </is>
      </c>
      <c r="C39" s="17" t="inlineStr">
        <is>
          <t>alteración intencionada del funcionamiento de los programas, persiguiendo un beneficio indirecto cuando una persona autorizada lo utiliza.</t>
        </is>
      </c>
      <c r="D39" s="34" t="inlineStr">
        <is>
          <t>[C] confidencialidad 
[D] disponibilidad</t>
        </is>
      </c>
      <c r="E39" s="34" t="n"/>
      <c r="F39" s="34" t="n"/>
      <c r="G39" s="34" t="n"/>
      <c r="H39" s="34" t="n"/>
      <c r="I39" s="34" t="inlineStr">
        <is>
          <t>X</t>
        </is>
      </c>
      <c r="J39" s="34" t="n"/>
      <c r="K39" s="34" t="inlineStr">
        <is>
          <t>X</t>
        </is>
      </c>
      <c r="L39" s="34" t="inlineStr">
        <is>
          <t>X</t>
        </is>
      </c>
      <c r="M39" s="34" t="n"/>
      <c r="N39" s="34" t="n"/>
    </row>
    <row r="40" ht="20.5" customHeight="1" s="98">
      <c r="A40" s="49" t="inlineStr">
        <is>
          <t>[A] Ataques intencionados</t>
        </is>
      </c>
      <c r="B40" s="34" t="inlineStr">
        <is>
          <t>[A.24] Denegación de servicio</t>
        </is>
      </c>
      <c r="C40" s="17" t="inlineStr">
        <is>
          <t>la carencia de recursos suficientes provoca la caída del sistema cuando la carga de trabajo es desmesurada.</t>
        </is>
      </c>
      <c r="D40" s="34" t="inlineStr">
        <is>
          <t>[D] disponibilidad</t>
        </is>
      </c>
      <c r="E40" s="34" t="n"/>
      <c r="F40" s="34" t="n"/>
      <c r="G40" s="34" t="inlineStr">
        <is>
          <t>X</t>
        </is>
      </c>
      <c r="H40" s="34" t="n"/>
      <c r="I40" s="34" t="inlineStr">
        <is>
          <t>X</t>
        </is>
      </c>
      <c r="J40" s="34" t="inlineStr">
        <is>
          <t>X</t>
        </is>
      </c>
      <c r="K40" s="34" t="n"/>
      <c r="L40" s="34" t="n"/>
      <c r="M40" s="34" t="n"/>
      <c r="N40" s="34" t="n"/>
    </row>
    <row r="41" hidden="1" ht="51" customHeight="1" s="98">
      <c r="A41" s="49" t="inlineStr">
        <is>
          <t>[A] Ataques intencionados</t>
        </is>
      </c>
      <c r="B41" s="34" t="inlineStr">
        <is>
          <t>[A.25] Robo</t>
        </is>
      </c>
      <c r="C41" s="17" t="inlineStr">
        <is>
          <t>la sustracción de equipamiento provoca directamente la carencia de un medio para prestar los servicios, es decir una indisponibilidad. El robo puede afectar a todo tipo de equipamiento, siendo el robo de equipos y el robo de soportes de información los más habituales. El robo puede realizarlo personal interno, personas ajenas a la Organización o personas contratadas de forma temporal, lo que establece diferentes grados de facilidad para acceder al objeto sustraído y diferentes consecuencias. En el caso de equipos que hospedan datos, además se puede sufrir una fuga de información.</t>
        </is>
      </c>
      <c r="D41" s="34" t="inlineStr">
        <is>
          <t>[C] confidencialidad 
[D] disponibilidad</t>
        </is>
      </c>
      <c r="E41" s="34" t="n"/>
      <c r="F41" s="34" t="n"/>
      <c r="G41" s="34" t="n"/>
      <c r="H41" s="34" t="inlineStr">
        <is>
          <t>X</t>
        </is>
      </c>
      <c r="I41" s="34" t="n"/>
      <c r="J41" s="34" t="n"/>
      <c r="K41" s="34" t="inlineStr">
        <is>
          <t>X</t>
        </is>
      </c>
      <c r="L41" s="34" t="inlineStr">
        <is>
          <t>X</t>
        </is>
      </c>
      <c r="M41" s="34" t="n"/>
      <c r="N41" s="34" t="n"/>
    </row>
    <row r="42" ht="20.5" customHeight="1" s="98">
      <c r="A42" s="49" t="inlineStr">
        <is>
          <t>[A] Ataques intencionados</t>
        </is>
      </c>
      <c r="B42" s="34" t="inlineStr">
        <is>
          <t>[A.26] Ataque destructivo</t>
        </is>
      </c>
      <c r="C42" s="17" t="inlineStr">
        <is>
          <t>vandalismo, terrorismo, acción militar, ... Esta amenaza puede ser perpetrada por personal interno, por personas ajenas a la Organización o por personas contratadas de forma temporal.</t>
        </is>
      </c>
      <c r="D42" s="34" t="inlineStr">
        <is>
          <t>[D] disponibilidad</t>
        </is>
      </c>
      <c r="E42" s="34" t="n"/>
      <c r="F42" s="34" t="n"/>
      <c r="G42" s="34" t="n"/>
      <c r="H42" s="34" t="n"/>
      <c r="I42" s="34" t="inlineStr">
        <is>
          <t>X</t>
        </is>
      </c>
      <c r="J42" s="34" t="n"/>
      <c r="K42" s="34" t="inlineStr">
        <is>
          <t>X</t>
        </is>
      </c>
      <c r="L42" s="34" t="inlineStr">
        <is>
          <t>X</t>
        </is>
      </c>
      <c r="M42" s="34" t="inlineStr">
        <is>
          <t>X</t>
        </is>
      </c>
      <c r="N42" s="34" t="n"/>
    </row>
    <row r="43" hidden="1" ht="20.5" customHeight="1" s="98">
      <c r="A43" s="49" t="inlineStr">
        <is>
          <t>[A] Ataques intencionados</t>
        </is>
      </c>
      <c r="B43" s="34" t="inlineStr">
        <is>
          <t>[A.27] Ocupación enemiga</t>
        </is>
      </c>
      <c r="C43" s="17" t="inlineStr">
        <is>
          <t>cuando los locales han sido invadidos y se carece de control sobre los propios medios de trabajo.</t>
        </is>
      </c>
      <c r="D43" s="34" t="inlineStr">
        <is>
          <t>[C] confidencialidad 
[D] disponibilidad</t>
        </is>
      </c>
      <c r="E43" s="34" t="n"/>
      <c r="F43" s="34" t="n"/>
      <c r="G43" s="34" t="n"/>
      <c r="H43" s="34" t="n"/>
      <c r="I43" s="34" t="n"/>
      <c r="J43" s="34" t="n"/>
      <c r="K43" s="34" t="n"/>
      <c r="L43" s="34" t="n"/>
      <c r="M43" s="34" t="inlineStr">
        <is>
          <t>X</t>
        </is>
      </c>
      <c r="N43" s="34" t="n"/>
    </row>
    <row r="44" hidden="1" ht="20.5" customHeight="1" s="98">
      <c r="A44" s="49" t="inlineStr">
        <is>
          <t>[A] Ataques intencionados</t>
        </is>
      </c>
      <c r="B44" s="34" t="inlineStr">
        <is>
          <t>[A.28] Indisponibilidad del personal</t>
        </is>
      </c>
      <c r="C44" s="17" t="inlineStr">
        <is>
          <t>ausencia deliberada del puesto de trabajo: como huelgas, absentismo laboral, bajas no justificadas, bloqueo de los accesos, …</t>
        </is>
      </c>
      <c r="D44" s="34" t="inlineStr">
        <is>
          <t>[D] disponibilidad</t>
        </is>
      </c>
      <c r="E44" s="34" t="n"/>
      <c r="F44" s="34" t="n"/>
      <c r="G44" s="34" t="n"/>
      <c r="H44" s="34" t="n"/>
      <c r="I44" s="34" t="n"/>
      <c r="J44" s="34" t="n"/>
      <c r="K44" s="34" t="n"/>
      <c r="L44" s="34" t="n"/>
      <c r="M44" s="34" t="n"/>
      <c r="N44" s="34" t="inlineStr">
        <is>
          <t>X</t>
        </is>
      </c>
    </row>
    <row r="45" hidden="1" ht="30.5" customHeight="1" s="98">
      <c r="A45" s="49" t="inlineStr">
        <is>
          <t>[A] Ataques intencionados</t>
        </is>
      </c>
      <c r="B45" s="34" t="inlineStr">
        <is>
          <t>[A.29] Extorsión</t>
        </is>
      </c>
      <c r="C45" s="17" t="inlineStr">
        <is>
          <t>presión que, mediante amenazas, se ejerce sobre alguien para obligarle a obrar en determinado sentido.</t>
        </is>
      </c>
      <c r="D45" s="34" t="inlineStr">
        <is>
          <t>[I] integridad 
[C] confidencialidad 
[D] disponibilidad</t>
        </is>
      </c>
      <c r="E45" s="34" t="n"/>
      <c r="F45" s="34" t="n"/>
      <c r="G45" s="34" t="n"/>
      <c r="H45" s="34" t="n"/>
      <c r="I45" s="34" t="n"/>
      <c r="J45" s="34" t="n"/>
      <c r="K45" s="34" t="n"/>
      <c r="L45" s="34" t="n"/>
      <c r="M45" s="34" t="n"/>
      <c r="N45" s="34" t="inlineStr">
        <is>
          <t>X</t>
        </is>
      </c>
    </row>
    <row r="46" hidden="1" ht="30.5" customHeight="1" s="98">
      <c r="A46" s="49" t="inlineStr">
        <is>
          <t>[A] Ataques intencionados</t>
        </is>
      </c>
      <c r="B46" s="34" t="inlineStr">
        <is>
          <t>[A.30] Ingeniería social (picaresca)</t>
        </is>
      </c>
      <c r="C46" s="17" t="inlineStr">
        <is>
          <t>abuso de la buena fe de las personas para que realicen actividades que interesan a un tercero.</t>
        </is>
      </c>
      <c r="D46" s="34" t="inlineStr">
        <is>
          <t>[I] integridad 
[C] confidencialidad 
[D] disponibilidad</t>
        </is>
      </c>
      <c r="E46" s="34" t="n"/>
      <c r="F46" s="34" t="n"/>
      <c r="G46" s="34" t="n"/>
      <c r="H46" s="34" t="n"/>
      <c r="I46" s="34" t="n"/>
      <c r="J46" s="34" t="n"/>
      <c r="K46" s="34" t="n"/>
      <c r="L46" s="34" t="n"/>
      <c r="M46" s="34" t="n"/>
      <c r="N46" s="34" t="inlineStr">
        <is>
          <t>X</t>
        </is>
      </c>
    </row>
  </sheetData>
  <autoFilter ref="A2:N46">
    <filterColumn colId="8" hiddenButton="0" showButton="1">
      <customFilters>
        <customFilter val=" " operator="notEqual"/>
      </customFilters>
    </filterColumn>
  </autoFilter>
  <mergeCells count="1">
    <mergeCell ref="E1:N1"/>
  </mergeCells>
  <conditionalFormatting sqref="E3:N46">
    <cfRule type="cellIs" priority="1" operator="equal" dxfId="3">
      <formula>"X"</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11"/>
  <sheetViews>
    <sheetView zoomScale="130" zoomScaleNormal="130" workbookViewId="0">
      <selection activeCell="A2" sqref="A2"/>
    </sheetView>
  </sheetViews>
  <sheetFormatPr baseColWidth="10" defaultRowHeight="11"/>
  <cols>
    <col width="48" customWidth="1" style="98" min="1" max="1"/>
    <col width="79.5" customWidth="1" style="98" min="2" max="2"/>
  </cols>
  <sheetData>
    <row r="1">
      <c r="A1" t="inlineStr">
        <is>
          <t>TIPO DE ACTIVO</t>
        </is>
      </c>
      <c r="B1" t="inlineStr">
        <is>
          <t>DESCRIPCION</t>
        </is>
      </c>
    </row>
    <row r="2" ht="41" customHeight="1" s="98">
      <c r="A2" s="41" t="inlineStr">
        <is>
          <t>[D] Datos / Información / datos de configuración</t>
        </is>
      </c>
      <c r="B2" s="17" t="inlineStr">
        <is>
          <t>Los datos son el corazón que permite a una organización prestar sus servicios. La información es un activo abstracto que será almacenado en equipos o soportes de información (normalmente agrupado como ficheros o bases de datos) o será transferido de un lugar a otro por los medios de transmisión de datos.</t>
        </is>
      </c>
    </row>
    <row r="3" ht="30.5" customHeight="1" s="98">
      <c r="A3" s="41" t="inlineStr">
        <is>
          <t>[K] Claves criptográficas</t>
        </is>
      </c>
      <c r="B3" s="17" t="inlineStr">
        <is>
          <t>Las criptografía se emplea para proteger el secreto o autenticar a las partes. Las claves criptográficas, combinando secretos e información pública, son esenciales para garantizar el funcionamiento de los mecanismos criptográficos.</t>
        </is>
      </c>
    </row>
    <row r="4" ht="20.5" customHeight="1" s="98">
      <c r="A4" s="41" t="inlineStr">
        <is>
          <t>[S] Servicios</t>
        </is>
      </c>
      <c r="B4" s="17" t="inlineStr">
        <is>
          <t>Función que satisface una necesidad de los usuarios (del servicio). Esta sección contempla servicios prestados por el sistema.</t>
        </is>
      </c>
    </row>
    <row r="5" ht="41" customHeight="1" s="98">
      <c r="A5" s="41" t="inlineStr">
        <is>
          <t>[SW] Software - Aplicaciones informáticas</t>
        </is>
      </c>
      <c r="B5" s="17" t="inlineStr">
        <is>
          <t>Con múltiples denominaciones (programas, aplicativos, desarrollos, etc.) este epígrafe se refiere a tareas que han sido automatizadas para su desempeño por un equipo informático. Las aplicaciones gestionan, analizan y transforman los datos permitiendo la explotación de la información para la prestación de los servicios.</t>
        </is>
      </c>
    </row>
    <row r="6" ht="41" customHeight="1" s="98">
      <c r="A6" s="41" t="inlineStr">
        <is>
          <t>[HW] Equipamiento informático (hardware)</t>
        </is>
      </c>
      <c r="B6" s="17" t="inlineStr">
        <is>
          <t>Dícese de los medios materiales, físicos, destinados a soportar directa o indirectamente los servicios que presta la organización, siendo pues depositarios temporales o permanentes de los datos, soporte de ejecución de las aplicaciones informáticas o responsables del procesado o la transmisión de datos.</t>
        </is>
      </c>
    </row>
    <row r="7" ht="30.5" customHeight="1" s="98">
      <c r="A7" s="41" t="inlineStr">
        <is>
          <t>[COM] Redes de comunicaciones</t>
        </is>
      </c>
      <c r="B7" s="17" t="inlineStr">
        <is>
          <t>Incluyendo tanto instalaciones dedicadas como servicios de comunicaciones contratados a terceros; pero siempre centrándose en que son medios de transporte que llevan datos de un sitio a otro.</t>
        </is>
      </c>
    </row>
    <row r="8" ht="20.5" customHeight="1" s="98">
      <c r="A8" s="41" t="inlineStr">
        <is>
          <t>[Media] Soportes de información</t>
        </is>
      </c>
      <c r="B8" s="17" t="inlineStr">
        <is>
          <t>En este epígrafe se consideran dispositivos físicos que permiten almacenar información de forma permanente o, al menos, durante largos periodos de tiempo.</t>
        </is>
      </c>
    </row>
    <row r="9" ht="20.5" customHeight="1" s="98">
      <c r="A9" s="41" t="inlineStr">
        <is>
          <t>[AUX] equipamiento auxiliar</t>
        </is>
      </c>
      <c r="B9" s="17" t="inlineStr">
        <is>
          <t>En este epígrafe se consideran otros equipos que sirven de soporte a los sistemas de información, sin estar directamente relacionados con datos.</t>
        </is>
      </c>
    </row>
    <row r="10" ht="20.5" customHeight="1" s="98">
      <c r="A10" s="41" t="inlineStr">
        <is>
          <t>[L] Instalaciones</t>
        </is>
      </c>
      <c r="B10" s="17" t="inlineStr">
        <is>
          <t>En este epígrafe entran los lugares donde se hospedan los sistemas de información y comunicaciones.</t>
        </is>
      </c>
    </row>
    <row r="11" ht="12" customHeight="1" s="98">
      <c r="A11" s="46" t="inlineStr">
        <is>
          <t>[P] Personal</t>
        </is>
      </c>
      <c r="B11" s="45" t="inlineStr">
        <is>
          <t>En este epígrafe aparecen las personas relacionadas con los sistemas de información.</t>
        </is>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59"/>
  <sheetViews>
    <sheetView workbookViewId="0">
      <selection activeCell="B33" sqref="B33"/>
    </sheetView>
  </sheetViews>
  <sheetFormatPr baseColWidth="10" defaultRowHeight="11"/>
  <cols>
    <col width="6.5" customWidth="1" style="98" min="1" max="1"/>
    <col width="82" bestFit="1" customWidth="1" style="98" min="2" max="2"/>
    <col width="86" bestFit="1" customWidth="1" style="98" min="3" max="3"/>
  </cols>
  <sheetData>
    <row r="1">
      <c r="A1" s="94" t="inlineStr">
        <is>
          <t>CONTROLES IMPLEMENTADOS</t>
        </is>
      </c>
      <c r="B1" s="91" t="n"/>
    </row>
    <row r="2">
      <c r="A2" s="94" t="inlineStr">
        <is>
          <t>Código</t>
        </is>
      </c>
      <c r="B2" s="94" t="inlineStr">
        <is>
          <t>Descripción</t>
        </is>
      </c>
    </row>
    <row r="3">
      <c r="A3" s="94" t="inlineStr">
        <is>
          <t>1. Política de Seguridad de la Información</t>
        </is>
      </c>
      <c r="B3" s="91" t="n"/>
      <c r="C3" t="inlineStr">
        <is>
          <t>1. Política de Seguridad de la Información-</t>
        </is>
      </c>
    </row>
    <row r="4">
      <c r="A4" s="10" t="inlineStr">
        <is>
          <t>C1</t>
        </is>
      </c>
      <c r="B4" s="10" t="inlineStr">
        <is>
          <t xml:space="preserve"> Revisión periódica de las políticas y procedimientos TI</t>
        </is>
      </c>
      <c r="C4" t="inlineStr">
        <is>
          <t>C1- Revisión periódica de las políticas y procedimientos TI</t>
        </is>
      </c>
    </row>
    <row r="5">
      <c r="A5" s="10" t="inlineStr">
        <is>
          <t>C2</t>
        </is>
      </c>
      <c r="B5" s="10" t="inlineStr">
        <is>
          <t xml:space="preserve"> Evaluación de riesgos de seguridad de la información documentada y actualizada</t>
        </is>
      </c>
      <c r="C5" t="inlineStr">
        <is>
          <t>C2- Evaluación de riesgos de seguridad de la información documentada y actualizada</t>
        </is>
      </c>
    </row>
    <row r="6">
      <c r="A6" s="10" t="inlineStr">
        <is>
          <t>C3</t>
        </is>
      </c>
      <c r="B6" s="10" t="inlineStr">
        <is>
          <t xml:space="preserve"> Auditorías internas y externas de seguridad de la información</t>
        </is>
      </c>
      <c r="C6" t="inlineStr">
        <is>
          <t>C3- Auditorías internas y externas de seguridad de la información</t>
        </is>
      </c>
    </row>
    <row r="7">
      <c r="A7" s="10" t="inlineStr">
        <is>
          <t>C4</t>
        </is>
      </c>
      <c r="B7" s="10" t="inlineStr">
        <is>
          <t xml:space="preserve"> Control de acceso basado en roles (RBAC) y necesidad funcional</t>
        </is>
      </c>
      <c r="C7" t="inlineStr">
        <is>
          <t>C4- Control de acceso basado en roles (RBAC) y necesidad funcional</t>
        </is>
      </c>
    </row>
    <row r="8">
      <c r="A8" s="94" t="inlineStr">
        <is>
          <t>2. Organización de la Seguridad de la Información</t>
        </is>
      </c>
      <c r="B8" s="91" t="n"/>
      <c r="C8" t="inlineStr">
        <is>
          <t>2. Organización de la Seguridad de la Información-</t>
        </is>
      </c>
    </row>
    <row r="9">
      <c r="A9" s="10" t="inlineStr">
        <is>
          <t>C5</t>
        </is>
      </c>
      <c r="B9" s="10" t="inlineStr">
        <is>
          <t xml:space="preserve"> Acuerdos de confidencialidad</t>
        </is>
      </c>
      <c r="C9" t="inlineStr">
        <is>
          <t>C5- Acuerdos de confidencialidad</t>
        </is>
      </c>
    </row>
    <row r="10">
      <c r="A10" s="10" t="inlineStr">
        <is>
          <t>C6</t>
        </is>
      </c>
      <c r="B10" s="10" t="inlineStr">
        <is>
          <t xml:space="preserve"> Clasificación de la información (público, uso interno, restringido)</t>
        </is>
      </c>
      <c r="C10" t="inlineStr">
        <is>
          <t>C6- Clasificación de la información (público, uso interno, restringido)</t>
        </is>
      </c>
    </row>
    <row r="11">
      <c r="A11" s="10" t="inlineStr">
        <is>
          <t>C7</t>
        </is>
      </c>
      <c r="B11" s="10" t="inlineStr">
        <is>
          <t xml:space="preserve"> Control de cambios en sistemas, aplicaciones y configuraciones</t>
        </is>
      </c>
      <c r="C11" t="inlineStr">
        <is>
          <t>C7- Control de cambios en sistemas, aplicaciones y configuraciones</t>
        </is>
      </c>
    </row>
    <row r="12">
      <c r="A12" s="94" t="inlineStr">
        <is>
          <t>3. Gestión de Activos</t>
        </is>
      </c>
      <c r="B12" s="91" t="n"/>
      <c r="C12" t="inlineStr">
        <is>
          <t>3. Gestión de Activos-</t>
        </is>
      </c>
    </row>
    <row r="13">
      <c r="A13" s="10" t="inlineStr">
        <is>
          <t>C8</t>
        </is>
      </c>
      <c r="B13" s="10" t="inlineStr">
        <is>
          <t xml:space="preserve"> Mantenimiento periódico de activos físicos</t>
        </is>
      </c>
      <c r="C13" t="inlineStr">
        <is>
          <t>C8- Mantenimiento periódico de activos físicos</t>
        </is>
      </c>
    </row>
    <row r="14">
      <c r="A14" s="10" t="inlineStr">
        <is>
          <t>C9</t>
        </is>
      </c>
      <c r="B14" s="10" t="inlineStr">
        <is>
          <t xml:space="preserve"> Gestión segura del ciclo de vida de los activos</t>
        </is>
      </c>
      <c r="C14" t="inlineStr">
        <is>
          <t>C9- Gestión segura del ciclo de vida de los activos</t>
        </is>
      </c>
    </row>
    <row r="15">
      <c r="A15" s="10" t="inlineStr">
        <is>
          <t>C10</t>
        </is>
      </c>
      <c r="B15" s="10" t="inlineStr">
        <is>
          <t xml:space="preserve"> Registro de actividades críticas de usuarios con privilegios</t>
        </is>
      </c>
      <c r="C15" t="inlineStr">
        <is>
          <t>C10- Registro de actividades críticas de usuarios con privilegios</t>
        </is>
      </c>
    </row>
    <row r="16">
      <c r="A16" s="94" t="inlineStr">
        <is>
          <t>4. Seguridad de los Recursos Humanos</t>
        </is>
      </c>
      <c r="B16" s="91" t="n"/>
      <c r="C16" t="inlineStr">
        <is>
          <t>4. Seguridad de los Recursos Humanos-</t>
        </is>
      </c>
    </row>
    <row r="17">
      <c r="A17" s="10" t="inlineStr">
        <is>
          <t>C11</t>
        </is>
      </c>
      <c r="B17" s="10" t="inlineStr">
        <is>
          <t xml:space="preserve"> Programas de concienciación, educación y capacitación en seguridad de la información y otros</t>
        </is>
      </c>
      <c r="C17" t="inlineStr">
        <is>
          <t>C11- Programas de concienciación, educación y capacitación en seguridad de la información y otros</t>
        </is>
      </c>
    </row>
    <row r="18">
      <c r="A18" s="10" t="inlineStr">
        <is>
          <t>C12</t>
        </is>
      </c>
      <c r="B18" s="10" t="inlineStr">
        <is>
          <t xml:space="preserve"> Evaluación de seguridad a proveedores y contratos con cláusulas de seguridad</t>
        </is>
      </c>
      <c r="C18" t="inlineStr">
        <is>
          <t>C12- Evaluación de seguridad a proveedores y contratos con cláusulas de seguridad</t>
        </is>
      </c>
    </row>
    <row r="19">
      <c r="A19" s="94" t="inlineStr">
        <is>
          <t>5. Control de Acceso</t>
        </is>
      </c>
      <c r="B19" s="91" t="n"/>
      <c r="C19" t="inlineStr">
        <is>
          <t>5. Control de Acceso-</t>
        </is>
      </c>
    </row>
    <row r="20">
      <c r="A20" s="10" t="inlineStr">
        <is>
          <t>C13</t>
        </is>
      </c>
      <c r="B20" s="10" t="inlineStr">
        <is>
          <t xml:space="preserve"> Restricción del control de acceso</t>
        </is>
      </c>
      <c r="C20" t="inlineStr">
        <is>
          <t>C13- Restricción del control de acceso</t>
        </is>
      </c>
    </row>
    <row r="21">
      <c r="A21" s="10" t="inlineStr">
        <is>
          <t>C14</t>
        </is>
      </c>
      <c r="B21" s="10" t="inlineStr">
        <is>
          <t xml:space="preserve"> Revisión periódica de los derechos de acceso</t>
        </is>
      </c>
      <c r="C21" t="inlineStr">
        <is>
          <t>C14- Revisión periódica de los derechos de acceso</t>
        </is>
      </c>
    </row>
    <row r="22">
      <c r="A22" s="10" t="inlineStr">
        <is>
          <t>C15</t>
        </is>
      </c>
      <c r="B22" s="10" t="inlineStr">
        <is>
          <t xml:space="preserve"> Uso de contraseñas fuertes de acuerdo con las recomendaciones de buenas prácticas</t>
        </is>
      </c>
      <c r="C22" t="inlineStr">
        <is>
          <t>C15- Uso de contraseñas fuertes de acuerdo con las recomendaciones de buenas prácticas</t>
        </is>
      </c>
    </row>
    <row r="23">
      <c r="A23" s="10" t="inlineStr">
        <is>
          <t>C16</t>
        </is>
      </c>
      <c r="B23" s="10" t="inlineStr">
        <is>
          <t xml:space="preserve"> Implementación del principio de mínimos privilegios</t>
        </is>
      </c>
      <c r="C23" t="inlineStr">
        <is>
          <t>C16- Implementación del principio de mínimos privilegios</t>
        </is>
      </c>
    </row>
    <row r="24">
      <c r="A24" s="10" t="inlineStr">
        <is>
          <t>C17</t>
        </is>
      </c>
      <c r="B24" s="10" t="inlineStr">
        <is>
          <t xml:space="preserve"> Registro de fallos en el control de acceso</t>
        </is>
      </c>
      <c r="C24" t="inlineStr">
        <is>
          <t>C17- Registro de fallos en el control de acceso</t>
        </is>
      </c>
    </row>
    <row r="25">
      <c r="A25" s="10" t="inlineStr">
        <is>
          <t>C18</t>
        </is>
      </c>
      <c r="B25" s="10" t="inlineStr">
        <is>
          <t xml:space="preserve"> Control de acceso basado en roles (RBAC) y necesidad funcional</t>
        </is>
      </c>
      <c r="C25" t="inlineStr">
        <is>
          <t>C18- Control de acceso basado en roles (RBAC) y necesidad funcional</t>
        </is>
      </c>
    </row>
    <row r="26">
      <c r="A26" s="94" t="inlineStr">
        <is>
          <t>6. Criptografía</t>
        </is>
      </c>
      <c r="B26" s="91" t="n"/>
      <c r="C26" t="inlineStr">
        <is>
          <t>6. Criptografía-</t>
        </is>
      </c>
    </row>
    <row r="27">
      <c r="A27" s="10" t="inlineStr">
        <is>
          <t>C19</t>
        </is>
      </c>
      <c r="B27" s="10" t="inlineStr">
        <is>
          <t xml:space="preserve"> Cifrado de datos sensibles en tránsito y en reposo</t>
        </is>
      </c>
      <c r="C27" t="inlineStr">
        <is>
          <t>C19- Cifrado de datos sensibles en tránsito y en reposo</t>
        </is>
      </c>
    </row>
    <row r="28">
      <c r="A28" s="10" t="inlineStr">
        <is>
          <t>C20</t>
        </is>
      </c>
      <c r="B28" s="10" t="inlineStr">
        <is>
          <t xml:space="preserve"> Aseguramiento de canales de comunicación (uso de VPN, cifrado TLS)</t>
        </is>
      </c>
      <c r="C28" t="inlineStr">
        <is>
          <t>C20- Aseguramiento de canales de comunicación (uso de VPN, cifrado TLS)</t>
        </is>
      </c>
    </row>
    <row r="29">
      <c r="A29" s="94" t="inlineStr">
        <is>
          <t>7. Seguridad Física y del Entorno</t>
        </is>
      </c>
      <c r="B29" s="91" t="n"/>
      <c r="C29" t="inlineStr">
        <is>
          <t>7. Seguridad Física y del Entorno-</t>
        </is>
      </c>
    </row>
    <row r="30">
      <c r="A30" s="10" t="inlineStr">
        <is>
          <t>C21</t>
        </is>
      </c>
      <c r="B30" s="10" t="inlineStr">
        <is>
          <t xml:space="preserve"> Mantenimiento periódico de activos físicos</t>
        </is>
      </c>
      <c r="C30" t="inlineStr">
        <is>
          <t>C21- Mantenimiento periódico de activos físicos</t>
        </is>
      </c>
    </row>
    <row r="31">
      <c r="A31" s="10" t="inlineStr">
        <is>
          <t>C22</t>
        </is>
      </c>
      <c r="B31" s="10" t="inlineStr">
        <is>
          <t xml:space="preserve"> Aplicación de actualizaciones de firmware en hardware y dispositivos de red</t>
        </is>
      </c>
      <c r="C31" t="inlineStr">
        <is>
          <t>C22- Aplicación de actualizaciones de firmware en hardware y dispositivos de red</t>
        </is>
      </c>
    </row>
    <row r="32">
      <c r="A32" s="94" t="inlineStr">
        <is>
          <t>8. Seguridad de las Operaciones</t>
        </is>
      </c>
      <c r="B32" s="91" t="n"/>
      <c r="C32" t="inlineStr">
        <is>
          <t>8. Seguridad de las Operaciones-</t>
        </is>
      </c>
    </row>
    <row r="33">
      <c r="A33" s="10" t="inlineStr">
        <is>
          <t>C23</t>
        </is>
      </c>
      <c r="B33" s="10" t="inlineStr">
        <is>
          <t xml:space="preserve"> Procedimientos de reversión (rollback)</t>
        </is>
      </c>
      <c r="C33" t="inlineStr">
        <is>
          <t>C23- Procedimientos de reversión (rollback)</t>
        </is>
      </c>
    </row>
    <row r="34">
      <c r="A34" s="10" t="inlineStr">
        <is>
          <t>C24</t>
        </is>
      </c>
      <c r="B34" s="10" t="inlineStr">
        <is>
          <t xml:space="preserve"> Monitoreo y control</t>
        </is>
      </c>
      <c r="C34" t="inlineStr">
        <is>
          <t>C24- Monitoreo y control</t>
        </is>
      </c>
    </row>
    <row r="35">
      <c r="A35" s="10" t="inlineStr">
        <is>
          <t>C25</t>
        </is>
      </c>
      <c r="B35" s="10" t="inlineStr">
        <is>
          <t xml:space="preserve"> Respaldo periódico de información crítica y verificación de restauración</t>
        </is>
      </c>
      <c r="C35" t="inlineStr">
        <is>
          <t>C25- Respaldo periódico de información crítica y verificación de restauración</t>
        </is>
      </c>
    </row>
    <row r="36">
      <c r="A36" s="10" t="inlineStr">
        <is>
          <t>C26</t>
        </is>
      </c>
      <c r="B36" s="10" t="inlineStr">
        <is>
          <t xml:space="preserve"> Uso de soluciones antivirus y antimalware actualizadas</t>
        </is>
      </c>
      <c r="C36" t="inlineStr">
        <is>
          <t>C26- Uso de soluciones antivirus y antimalware actualizadas</t>
        </is>
      </c>
    </row>
    <row r="37">
      <c r="A37" s="10" t="inlineStr">
        <is>
          <t>C27</t>
        </is>
      </c>
      <c r="B37" s="10" t="inlineStr">
        <is>
          <t xml:space="preserve"> Gestión de vulnerabilidades (escaneo periódico y remediación)</t>
        </is>
      </c>
      <c r="C37" t="inlineStr">
        <is>
          <t>C27- Gestión de vulnerabilidades (escaneo periódico y remediación)</t>
        </is>
      </c>
    </row>
    <row r="38">
      <c r="A38" s="10" t="inlineStr">
        <is>
          <t>C28</t>
        </is>
      </c>
      <c r="B38" s="10" t="inlineStr">
        <is>
          <t xml:space="preserve"> Control de dispositivos externos (USB, almacenamiento removible)</t>
        </is>
      </c>
      <c r="C38" t="inlineStr">
        <is>
          <t>C28- Control de dispositivos externos (USB, almacenamiento removible)</t>
        </is>
      </c>
    </row>
    <row r="39">
      <c r="A39" s="10" t="inlineStr">
        <is>
          <t>C29</t>
        </is>
      </c>
      <c r="B39" s="10" t="inlineStr">
        <is>
          <t xml:space="preserve"> Revisión de logs y alertas de seguridad periódicamente</t>
        </is>
      </c>
      <c r="C39" t="inlineStr">
        <is>
          <t>C29- Revisión de logs y alertas de seguridad periódicamente</t>
        </is>
      </c>
    </row>
    <row r="40">
      <c r="A40" s="94" t="inlineStr">
        <is>
          <t>9. Seguridad en las Comunicaciones</t>
        </is>
      </c>
      <c r="B40" s="91" t="n"/>
      <c r="C40" t="inlineStr">
        <is>
          <t>9. Seguridad en las Comunicaciones-</t>
        </is>
      </c>
    </row>
    <row r="41">
      <c r="A41" s="10" t="inlineStr">
        <is>
          <t>C30</t>
        </is>
      </c>
      <c r="B41" s="10" t="inlineStr">
        <is>
          <t xml:space="preserve"> Aseguramiento de canales de comunicación (uso de VPN, cifrado TLS)</t>
        </is>
      </c>
      <c r="C41" t="inlineStr">
        <is>
          <t>C30- Aseguramiento de canales de comunicación (uso de VPN, cifrado TLS)</t>
        </is>
      </c>
    </row>
    <row r="42">
      <c r="A42" s="10" t="inlineStr">
        <is>
          <t>C31</t>
        </is>
      </c>
      <c r="B42" s="10" t="inlineStr">
        <is>
          <t xml:space="preserve"> Monitoreo y control</t>
        </is>
      </c>
      <c r="C42" t="inlineStr">
        <is>
          <t>C31- Monitoreo y control</t>
        </is>
      </c>
    </row>
    <row r="43">
      <c r="A43" s="94" t="inlineStr">
        <is>
          <t>10. Adquisición, desarrollo y mantenimiento</t>
        </is>
      </c>
      <c r="B43" s="91" t="n"/>
      <c r="C43" t="inlineStr">
        <is>
          <t>10. Adquisición, desarrollo y mantenimiento-</t>
        </is>
      </c>
    </row>
    <row r="44">
      <c r="A44" s="10" t="inlineStr">
        <is>
          <t>C32</t>
        </is>
      </c>
      <c r="B44" s="10" t="inlineStr">
        <is>
          <t xml:space="preserve"> Aplicación de actualizaciones o firmware periódicos</t>
        </is>
      </c>
      <c r="C44" t="inlineStr">
        <is>
          <t>C32- Aplicación de actualizaciones o firmware periódicos</t>
        </is>
      </c>
    </row>
    <row r="45">
      <c r="A45" s="10" t="inlineStr">
        <is>
          <t>C33</t>
        </is>
      </c>
      <c r="B45" s="10" t="inlineStr">
        <is>
          <t xml:space="preserve"> Detección y respuesta ante incidentes de seguridad (plan de respuesta)</t>
        </is>
      </c>
      <c r="C45" t="inlineStr">
        <is>
          <t>C33- Detección y respuesta ante incidentes de seguridad (plan de respuesta)</t>
        </is>
      </c>
    </row>
    <row r="46">
      <c r="A46" s="10" t="inlineStr">
        <is>
          <t>C34</t>
        </is>
      </c>
      <c r="B46" s="10" t="inlineStr">
        <is>
          <t xml:space="preserve"> Control de cambios en sistemas, aplicaciones y configuraciones</t>
        </is>
      </c>
      <c r="C46" t="inlineStr">
        <is>
          <t>C34- Control de cambios en sistemas, aplicaciones y configuraciones</t>
        </is>
      </c>
    </row>
    <row r="47">
      <c r="A47" s="10" t="inlineStr">
        <is>
          <t>C35</t>
        </is>
      </c>
      <c r="B47" s="10" t="inlineStr">
        <is>
          <t xml:space="preserve"> Revisión y pruebas de continuidad del negocio y recuperación ante desastres</t>
        </is>
      </c>
      <c r="C47" t="inlineStr">
        <is>
          <t>C35- Revisión y pruebas de continuidad del negocio y recuperación ante desastres</t>
        </is>
      </c>
    </row>
    <row r="48">
      <c r="A48" s="94" t="inlineStr">
        <is>
          <t>11. Relaciones con Proveedores</t>
        </is>
      </c>
      <c r="B48" s="91" t="n"/>
      <c r="C48" t="inlineStr">
        <is>
          <t>11. Relaciones con Proveedores-</t>
        </is>
      </c>
    </row>
    <row r="49">
      <c r="A49" s="10" t="inlineStr">
        <is>
          <t>C36</t>
        </is>
      </c>
      <c r="B49" s="10" t="inlineStr">
        <is>
          <t xml:space="preserve"> Evaluación de seguridad a proveedores y contratos con cláusulas de seguridad</t>
        </is>
      </c>
      <c r="C49" t="inlineStr">
        <is>
          <t>C36- Evaluación de seguridad a proveedores y contratos con cláusulas de seguridad</t>
        </is>
      </c>
    </row>
    <row r="50">
      <c r="A50" s="10" t="inlineStr">
        <is>
          <t>C37</t>
        </is>
      </c>
      <c r="B50" s="10" t="inlineStr">
        <is>
          <t xml:space="preserve"> Principio de mínimo privilegio (en contratos de tercerización de servicios)</t>
        </is>
      </c>
      <c r="C50" t="inlineStr">
        <is>
          <t>C37- Principio de mínimo privilegio (en contratos de tercerización de servicios)</t>
        </is>
      </c>
    </row>
    <row r="51">
      <c r="A51" s="94" t="inlineStr">
        <is>
          <t>12. Gestión de Incidentes de Seguridad</t>
        </is>
      </c>
      <c r="B51" s="91" t="n"/>
      <c r="C51" t="inlineStr">
        <is>
          <t>12. Gestión de Incidentes de Seguridad-</t>
        </is>
      </c>
    </row>
    <row r="52">
      <c r="A52" s="10" t="inlineStr">
        <is>
          <t>C38</t>
        </is>
      </c>
      <c r="B52" s="10" t="inlineStr">
        <is>
          <t xml:space="preserve"> Detección y respuesta ante incidentes de seguridad</t>
        </is>
      </c>
      <c r="C52" t="inlineStr">
        <is>
          <t>C38- Detección y respuesta ante incidentes de seguridad</t>
        </is>
      </c>
    </row>
    <row r="53">
      <c r="A53" s="10" t="inlineStr">
        <is>
          <t>C39</t>
        </is>
      </c>
      <c r="B53" s="10" t="inlineStr">
        <is>
          <t xml:space="preserve"> Revisión de logs y alertas de seguridad</t>
        </is>
      </c>
      <c r="C53" t="inlineStr">
        <is>
          <t>C39- Revisión de logs y alertas de seguridad</t>
        </is>
      </c>
    </row>
    <row r="54">
      <c r="A54" s="94" t="inlineStr">
        <is>
          <t>13. Gestión de Continuidad del Negocio</t>
        </is>
      </c>
      <c r="B54" s="91" t="n"/>
      <c r="C54" t="inlineStr">
        <is>
          <t>13. Gestión de Continuidad del Negocio-</t>
        </is>
      </c>
    </row>
    <row r="55">
      <c r="A55" s="10" t="inlineStr">
        <is>
          <t>C40</t>
        </is>
      </c>
      <c r="B55" s="10" t="inlineStr">
        <is>
          <t xml:space="preserve"> Respaldo y restauración</t>
        </is>
      </c>
      <c r="C55" t="inlineStr">
        <is>
          <t>C40- Respaldo y restauración</t>
        </is>
      </c>
    </row>
    <row r="56">
      <c r="A56" s="10" t="inlineStr">
        <is>
          <t>C41</t>
        </is>
      </c>
      <c r="B56" s="10" t="inlineStr">
        <is>
          <t xml:space="preserve"> Revisión y pruebas de continuidad del negocio</t>
        </is>
      </c>
      <c r="C56" t="inlineStr">
        <is>
          <t>C41- Revisión y pruebas de continuidad del negocio</t>
        </is>
      </c>
    </row>
    <row r="57">
      <c r="A57" s="94" t="inlineStr">
        <is>
          <t>14. Cumplimiento</t>
        </is>
      </c>
      <c r="B57" s="91" t="n"/>
      <c r="C57" t="inlineStr">
        <is>
          <t>14. Cumplimiento-</t>
        </is>
      </c>
    </row>
    <row r="58">
      <c r="A58" s="10" t="inlineStr">
        <is>
          <t>C42</t>
        </is>
      </c>
      <c r="B58" s="10" t="inlineStr">
        <is>
          <t xml:space="preserve"> Auditorías internas y externas</t>
        </is>
      </c>
      <c r="C58" t="inlineStr">
        <is>
          <t>C42- Auditorías internas y externas</t>
        </is>
      </c>
    </row>
    <row r="59">
      <c r="A59" s="10" t="inlineStr">
        <is>
          <t>C43</t>
        </is>
      </c>
      <c r="B59" s="10" t="inlineStr">
        <is>
          <t xml:space="preserve"> Evaluación de cumplimiento legal y regulatorio</t>
        </is>
      </c>
      <c r="C59" t="inlineStr">
        <is>
          <t>C43- Evaluación de cumplimiento legal y regulatorio</t>
        </is>
      </c>
    </row>
  </sheetData>
  <mergeCells count="15">
    <mergeCell ref="A48:B48"/>
    <mergeCell ref="A26:B26"/>
    <mergeCell ref="A16:B16"/>
    <mergeCell ref="A54:B54"/>
    <mergeCell ref="A29:B29"/>
    <mergeCell ref="A57:B57"/>
    <mergeCell ref="A43:B43"/>
    <mergeCell ref="A19:B19"/>
    <mergeCell ref="A51:B51"/>
    <mergeCell ref="A32:B32"/>
    <mergeCell ref="A1:B1"/>
    <mergeCell ref="A40:B40"/>
    <mergeCell ref="A8:B8"/>
    <mergeCell ref="A3:B3"/>
    <mergeCell ref="A12:B1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94"/>
  <sheetViews>
    <sheetView topLeftCell="B1" zoomScale="93" zoomScaleNormal="93" workbookViewId="0">
      <selection activeCell="C1" sqref="C1"/>
    </sheetView>
  </sheetViews>
  <sheetFormatPr baseColWidth="10" defaultColWidth="9.25" defaultRowHeight="11"/>
  <cols>
    <col width="9.25" customWidth="1" style="39" min="1" max="1"/>
    <col width="19.5" customWidth="1" style="39" min="2" max="2"/>
    <col width="12.75" customWidth="1" style="39" min="3" max="3"/>
    <col width="17.75" customWidth="1" style="39" min="4" max="4"/>
    <col width="14" customWidth="1" style="39" min="5" max="5"/>
    <col width="39.25" customWidth="1" style="38" min="6" max="6"/>
    <col width="25" customWidth="1" style="39" min="7" max="7"/>
    <col width="29.75" customWidth="1" style="39" min="8" max="8"/>
    <col width="18.75" customWidth="1" style="39" min="9" max="9"/>
    <col width="16.25" customWidth="1" style="39" min="10" max="10"/>
    <col width="13.25" customWidth="1" style="39" min="11" max="11"/>
    <col width="19.75" customWidth="1" style="39" min="12" max="12"/>
    <col width="9.25" customWidth="1" style="39" min="13" max="16384"/>
  </cols>
  <sheetData>
    <row r="1" ht="60" customHeight="1" s="98">
      <c r="A1" s="88" t="inlineStr">
        <is>
          <t>Identificador de control IEC 27002</t>
        </is>
      </c>
      <c r="B1" s="88" t="inlineStr">
        <is>
          <t>Nombre del control</t>
        </is>
      </c>
      <c r="C1" s="88" t="inlineStr">
        <is>
          <t>Tipo de control</t>
        </is>
      </c>
      <c r="D1" s="88" t="inlineStr">
        <is>
          <t>Propiedades de seguridad de la información</t>
        </is>
      </c>
      <c r="E1" s="88" t="inlineStr">
        <is>
          <t>Conceptos de ciberseguridad</t>
        </is>
      </c>
      <c r="F1" s="88" t="inlineStr">
        <is>
          <t>Capacidades operativas</t>
        </is>
      </c>
      <c r="G1" s="88" t="inlineStr">
        <is>
          <t>Dominios de seguridad</t>
        </is>
      </c>
      <c r="H1" s="88" t="inlineStr">
        <is>
          <t>Obligatoriedad Regulatoria SEPS 002-2022</t>
        </is>
      </c>
      <c r="I1" s="88" t="inlineStr">
        <is>
          <t>Control Metodología GSO-GSI (Secc. 10.2.2)</t>
        </is>
      </c>
      <c r="J1" s="88" t="inlineStr">
        <is>
          <t>Origen de Aplicabilidad</t>
        </is>
      </c>
      <c r="K1" s="88" t="inlineStr">
        <is>
          <t>¿Aplica?</t>
        </is>
      </c>
      <c r="L1" s="88" t="inlineStr">
        <is>
          <t>Criterio / Justificación Técnica</t>
        </is>
      </c>
    </row>
    <row r="2" ht="48" customHeight="1" s="98">
      <c r="A2" s="39" t="inlineStr">
        <is>
          <t>5.1</t>
        </is>
      </c>
      <c r="B2" s="39" t="inlineStr">
        <is>
          <t>Políticas para la seguridad de la información</t>
        </is>
      </c>
      <c r="C2" s="39" t="inlineStr">
        <is>
          <t>#Preventivo</t>
        </is>
      </c>
      <c r="D2" s="39" t="inlineStr">
        <is>
          <t>#Confidencialidad, #Integridad, #Disponibilidad</t>
        </is>
      </c>
      <c r="E2" s="39" t="inlineStr">
        <is>
          <t>#Identificar</t>
        </is>
      </c>
      <c r="F2" s="38" t="inlineStr">
        <is>
          <t>#Gobernanza</t>
        </is>
      </c>
      <c r="G2" s="39" t="inlineStr">
        <is>
          <t>#Gobernanza_y_Ecosistema</t>
        </is>
      </c>
      <c r="H2" s="39" t="inlineStr">
        <is>
          <t>Obligatorio SEPS (Régimen General)</t>
        </is>
      </c>
      <c r="I2" s="39" t="inlineStr">
        <is>
          <t>C1: Revisión periódica de políticas y procedimientos</t>
        </is>
      </c>
      <c r="J2" s="39" t="inlineStr">
        <is>
          <t>2. Metodología Interna GSO-GSI + ISO 27001</t>
        </is>
      </c>
      <c r="K2" s="39" t="inlineStr">
        <is>
          <t>Aplica</t>
        </is>
      </c>
      <c r="L2" s="39" t="inlineStr">
        <is>
          <t>Requisito interno GSO-GSI</t>
        </is>
      </c>
    </row>
    <row r="3" ht="48" customHeight="1" s="98">
      <c r="A3" s="39" t="inlineStr">
        <is>
          <t>5.2</t>
        </is>
      </c>
      <c r="B3" s="39" t="inlineStr">
        <is>
          <t>Funciones y responsabilidades de seguridad de la información</t>
        </is>
      </c>
      <c r="C3" s="39" t="inlineStr">
        <is>
          <t>#Preventivo</t>
        </is>
      </c>
      <c r="D3" s="39" t="inlineStr">
        <is>
          <t>#Confidencialidad, #Integridad, #Disponibilidad</t>
        </is>
      </c>
      <c r="E3" s="39" t="inlineStr">
        <is>
          <t>#Identificar</t>
        </is>
      </c>
      <c r="F3" s="38" t="inlineStr">
        <is>
          <t>#Gobernanza</t>
        </is>
      </c>
      <c r="G3" s="39" t="inlineStr">
        <is>
          <t>#Gobernanza_y_Ecosistema</t>
        </is>
      </c>
      <c r="H3" s="39" t="inlineStr">
        <is>
          <t>Obligatorio SEPS (Régimen General)</t>
        </is>
      </c>
      <c r="I3" s="39" t="inlineStr">
        <is>
          <t>-</t>
        </is>
      </c>
      <c r="J3" s="39" t="inlineStr">
        <is>
          <t>1. Regulatorio SEPS 002-2022 + ISO 27001</t>
        </is>
      </c>
      <c r="K3" s="39" t="inlineStr">
        <is>
          <t>Aplica</t>
        </is>
      </c>
      <c r="L3" s="39" t="inlineStr">
        <is>
          <t>Requerido por ente regulador SEPS</t>
        </is>
      </c>
    </row>
    <row r="4" ht="36" customHeight="1" s="98">
      <c r="A4" s="39" t="inlineStr">
        <is>
          <t>5.3</t>
        </is>
      </c>
      <c r="B4" s="39" t="inlineStr">
        <is>
          <t>Segregación de funciones</t>
        </is>
      </c>
      <c r="C4" s="39" t="inlineStr">
        <is>
          <t>#Preventivo</t>
        </is>
      </c>
      <c r="D4" s="39" t="inlineStr">
        <is>
          <t>#Confidencialidad, #Integridad</t>
        </is>
      </c>
      <c r="E4" s="39" t="inlineStr">
        <is>
          <t>#Proteger</t>
        </is>
      </c>
      <c r="F4" s="38" t="inlineStr">
        <is>
          <t>#Gobernanza</t>
        </is>
      </c>
      <c r="G4" s="39" t="inlineStr">
        <is>
          <t>#Gobernanza_y_Ecosistema</t>
        </is>
      </c>
      <c r="H4" s="39" t="inlineStr">
        <is>
          <t>Obligatorio SEPS (Régimen General)</t>
        </is>
      </c>
      <c r="I4" s="39" t="inlineStr">
        <is>
          <t>-</t>
        </is>
      </c>
      <c r="J4" s="39" t="inlineStr">
        <is>
          <t>1. Regulatorio SEPS 002-2022 + ISO 27001</t>
        </is>
      </c>
      <c r="K4" s="39" t="inlineStr">
        <is>
          <t>Aplica</t>
        </is>
      </c>
      <c r="L4" s="39" t="inlineStr">
        <is>
          <t>Requerido por ente regulador SEPS</t>
        </is>
      </c>
    </row>
    <row r="5" ht="36" customHeight="1" s="98">
      <c r="A5" s="39" t="inlineStr">
        <is>
          <t>5.4</t>
        </is>
      </c>
      <c r="B5" s="39" t="inlineStr">
        <is>
          <t>Responsabilidades de la dirección</t>
        </is>
      </c>
      <c r="C5" s="39" t="inlineStr">
        <is>
          <t>#Preventivo</t>
        </is>
      </c>
      <c r="D5" s="39" t="inlineStr">
        <is>
          <t>#Confidencialidad, #Integridad, #Disponibilidad</t>
        </is>
      </c>
      <c r="E5" s="39" t="inlineStr">
        <is>
          <t>#Identificar</t>
        </is>
      </c>
      <c r="F5" s="38" t="inlineStr">
        <is>
          <t>#Gobernanza</t>
        </is>
      </c>
      <c r="G5" s="39" t="inlineStr">
        <is>
          <t>#Gobernanza_y_Ecosistema</t>
        </is>
      </c>
      <c r="H5" s="39" t="inlineStr">
        <is>
          <t>Obligatorio SEPS (Régimen General)</t>
        </is>
      </c>
      <c r="I5" s="39" t="inlineStr">
        <is>
          <t>-</t>
        </is>
      </c>
      <c r="J5" s="39" t="inlineStr">
        <is>
          <t>1. Regulatorio SEPS 002-2022 + ISO 27001</t>
        </is>
      </c>
      <c r="K5" s="39" t="inlineStr">
        <is>
          <t>Aplica</t>
        </is>
      </c>
      <c r="L5" s="39" t="inlineStr">
        <is>
          <t>Requerido por ente regulador SEPS</t>
        </is>
      </c>
    </row>
    <row r="6" ht="36" customHeight="1" s="98">
      <c r="A6" s="39" t="inlineStr">
        <is>
          <t>5.5</t>
        </is>
      </c>
      <c r="B6" s="39" t="inlineStr">
        <is>
          <t>Contacto con las autoridades</t>
        </is>
      </c>
      <c r="C6" s="39" t="inlineStr">
        <is>
          <t>#Preventivo</t>
        </is>
      </c>
      <c r="D6" s="39" t="inlineStr">
        <is>
          <t>#Disponibilidad</t>
        </is>
      </c>
      <c r="E6" s="39" t="inlineStr">
        <is>
          <t>#Responder</t>
        </is>
      </c>
      <c r="F6" s="38" t="inlineStr">
        <is>
          <t>#Gobernanza</t>
        </is>
      </c>
      <c r="G6" s="39" t="inlineStr">
        <is>
          <t>#Gobernanza_y_Ecosistema</t>
        </is>
      </c>
      <c r="H6" s="39" t="inlineStr">
        <is>
          <t>Obligatorio SEPS (Régimen General)</t>
        </is>
      </c>
      <c r="I6" s="39" t="inlineStr">
        <is>
          <t>-</t>
        </is>
      </c>
      <c r="J6" s="39" t="inlineStr">
        <is>
          <t>1. Regulatorio SEPS 002-2022 + ISO 27001</t>
        </is>
      </c>
      <c r="K6" s="39" t="inlineStr">
        <is>
          <t>Aplica</t>
        </is>
      </c>
      <c r="L6" s="39" t="inlineStr">
        <is>
          <t>Requerido por ente regulador SEPS</t>
        </is>
      </c>
    </row>
    <row r="7" ht="60" customHeight="1" s="98">
      <c r="A7" s="39" t="inlineStr">
        <is>
          <t>5.6</t>
        </is>
      </c>
      <c r="B7" s="39" t="inlineStr">
        <is>
          <t>Contacto con grupos de interés especial</t>
        </is>
      </c>
      <c r="C7" s="39" t="inlineStr">
        <is>
          <t>#Preventivo</t>
        </is>
      </c>
      <c r="D7" s="39" t="inlineStr">
        <is>
          <t>#Disponibilidad</t>
        </is>
      </c>
      <c r="E7" s="39" t="inlineStr">
        <is>
          <t>#Identificar</t>
        </is>
      </c>
      <c r="F7" s="38" t="inlineStr">
        <is>
          <t>#Gobernanza</t>
        </is>
      </c>
      <c r="G7" s="39" t="inlineStr">
        <is>
          <t>#Gobernanza_y_Ecosistema</t>
        </is>
      </c>
      <c r="H7" s="39" t="inlineStr">
        <is>
          <t>Mejor Práctica (No obligatorio SEPS)</t>
        </is>
      </c>
      <c r="I7" s="39" t="inlineStr">
        <is>
          <t>-</t>
        </is>
      </c>
      <c r="J7" s="39" t="inlineStr">
        <is>
          <t>3. Tratamiento de Riesgos Específico (ISO 27002 / MAGERIT)</t>
        </is>
      </c>
      <c r="K7" s="39" t="inlineStr">
        <is>
          <t>Aplica</t>
        </is>
      </c>
      <c r="L7" s="39" t="inlineStr">
        <is>
          <t>Requisito de control complementario y mejor práctica de seguridad</t>
        </is>
      </c>
    </row>
    <row r="8" ht="60" customHeight="1" s="98">
      <c r="A8" s="39" t="inlineStr">
        <is>
          <t>5.7</t>
        </is>
      </c>
      <c r="B8" s="39" t="inlineStr">
        <is>
          <t>Inteligencia de amenazas</t>
        </is>
      </c>
      <c r="C8" s="39" t="inlineStr">
        <is>
          <t>#Detectivo, #Preventivo</t>
        </is>
      </c>
      <c r="D8" s="39" t="inlineStr">
        <is>
          <t>#Confidencialidad, #Integridad, #Disponibilidad</t>
        </is>
      </c>
      <c r="E8" s="39" t="inlineStr">
        <is>
          <t>#Identificar</t>
        </is>
      </c>
      <c r="F8" s="38" t="inlineStr">
        <is>
          <t>#Gestión_de_amenazas_y_vulnerabilidades</t>
        </is>
      </c>
      <c r="G8" s="39" t="inlineStr">
        <is>
          <t>#Gobernanza_y_Ecosistema</t>
        </is>
      </c>
      <c r="H8" s="39" t="inlineStr">
        <is>
          <t>Mejor Práctica (No obligatorio SEPS)</t>
        </is>
      </c>
      <c r="I8" s="39" t="inlineStr">
        <is>
          <t>-</t>
        </is>
      </c>
      <c r="J8" s="39" t="inlineStr">
        <is>
          <t>3. Tratamiento de Riesgos Específico (ISO 27002 / MAGERIT)</t>
        </is>
      </c>
      <c r="K8" s="39" t="inlineStr">
        <is>
          <t>Aplica</t>
        </is>
      </c>
      <c r="L8" s="39" t="inlineStr">
        <is>
          <t>Requisito de control complementario y mejor práctica de seguridad</t>
        </is>
      </c>
    </row>
    <row r="9" ht="36" customHeight="1" s="98">
      <c r="A9" s="39" t="inlineStr">
        <is>
          <t>5.8</t>
        </is>
      </c>
      <c r="B9" s="39" t="inlineStr">
        <is>
          <t>Seguridad de la información en la gestión de proyectos</t>
        </is>
      </c>
      <c r="C9" s="39" t="inlineStr">
        <is>
          <t>#Preventivo</t>
        </is>
      </c>
      <c r="D9" s="39" t="inlineStr">
        <is>
          <t>#Confidencialidad, #Integridad, #Disponibilidad</t>
        </is>
      </c>
      <c r="E9" s="39" t="inlineStr">
        <is>
          <t>#Proteger</t>
        </is>
      </c>
      <c r="F9" s="38" t="inlineStr">
        <is>
          <t>#Gobernanza</t>
        </is>
      </c>
      <c r="G9" s="39" t="inlineStr">
        <is>
          <t>#Gobernanza_y_Ecosistema</t>
        </is>
      </c>
      <c r="H9" s="39" t="inlineStr">
        <is>
          <t>Obligatorio SEPS (Régimen General)</t>
        </is>
      </c>
      <c r="I9" s="39" t="inlineStr">
        <is>
          <t>-</t>
        </is>
      </c>
      <c r="J9" s="39" t="inlineStr">
        <is>
          <t>1. Regulatorio SEPS 002-2022 + ISO 27001</t>
        </is>
      </c>
      <c r="K9" s="39" t="inlineStr">
        <is>
          <t>Aplica</t>
        </is>
      </c>
      <c r="L9" s="39" t="inlineStr">
        <is>
          <t>Requerido por ente regulador SEPS</t>
        </is>
      </c>
    </row>
    <row r="10" ht="36" customHeight="1" s="98">
      <c r="A10" s="39" t="inlineStr">
        <is>
          <t>5.9</t>
        </is>
      </c>
      <c r="B10" s="39" t="inlineStr">
        <is>
          <t>Inventario de información y otros activos asociados</t>
        </is>
      </c>
      <c r="C10" s="39" t="inlineStr">
        <is>
          <t>#Preventivo</t>
        </is>
      </c>
      <c r="D10" s="39" t="inlineStr">
        <is>
          <t>#Confidencialidad, #Integridad, #Disponibilidad</t>
        </is>
      </c>
      <c r="E10" s="39" t="inlineStr">
        <is>
          <t>#Identificar</t>
        </is>
      </c>
      <c r="F10" s="38" t="inlineStr">
        <is>
          <t>#Gestión_de_activos</t>
        </is>
      </c>
      <c r="G10" s="39" t="inlineStr">
        <is>
          <t>#Gobernanza_y_Ecosistema</t>
        </is>
      </c>
      <c r="H10" s="39" t="inlineStr">
        <is>
          <t>Obligatorio SEPS (Régimen General)</t>
        </is>
      </c>
      <c r="I10" s="39" t="inlineStr">
        <is>
          <t>-</t>
        </is>
      </c>
      <c r="J10" s="39" t="inlineStr">
        <is>
          <t>1. Regulatorio SEPS 002-2022 + ISO 27001</t>
        </is>
      </c>
      <c r="K10" s="39" t="inlineStr">
        <is>
          <t>Aplica</t>
        </is>
      </c>
      <c r="L10" s="39" t="inlineStr">
        <is>
          <t>Requerido por ente regulador SEPS</t>
        </is>
      </c>
    </row>
    <row r="11" ht="36" customHeight="1" s="98">
      <c r="A11" s="39" t="inlineStr">
        <is>
          <t>5.10</t>
        </is>
      </c>
      <c r="B11" s="39" t="inlineStr">
        <is>
          <t>Uso aceptable de la información y otros activos asociados</t>
        </is>
      </c>
      <c r="C11" s="39" t="inlineStr">
        <is>
          <t>#Preventivo</t>
        </is>
      </c>
      <c r="D11" s="39" t="inlineStr">
        <is>
          <t>#Confidencialidad, #Integridad, #Disponibilidad</t>
        </is>
      </c>
      <c r="E11" s="39" t="inlineStr">
        <is>
          <t>#Proteger</t>
        </is>
      </c>
      <c r="F11" s="38" t="inlineStr">
        <is>
          <t>#Protección_de_la_información</t>
        </is>
      </c>
      <c r="G11" s="39" t="inlineStr">
        <is>
          <t>#Gobernanza_y_Ecosistema</t>
        </is>
      </c>
      <c r="H11" s="39" t="inlineStr">
        <is>
          <t>Obligatorio SEPS (Régimen General)</t>
        </is>
      </c>
      <c r="I11" s="39" t="inlineStr">
        <is>
          <t>-</t>
        </is>
      </c>
      <c r="J11" s="39" t="inlineStr">
        <is>
          <t>1. Regulatorio SEPS 002-2022 + ISO 27001</t>
        </is>
      </c>
      <c r="K11" s="39" t="inlineStr">
        <is>
          <t>Aplica</t>
        </is>
      </c>
      <c r="L11" s="39" t="inlineStr">
        <is>
          <t>Requerido por ente regulador SEPS</t>
        </is>
      </c>
    </row>
    <row r="12" ht="36" customHeight="1" s="98">
      <c r="A12" s="39" t="inlineStr">
        <is>
          <t>5.11</t>
        </is>
      </c>
      <c r="B12" s="39" t="inlineStr">
        <is>
          <t>Devolución de activos</t>
        </is>
      </c>
      <c r="C12" s="39" t="inlineStr">
        <is>
          <t>#Preventivo</t>
        </is>
      </c>
      <c r="D12" s="39" t="inlineStr">
        <is>
          <t>#Confidencialidad, #Integridad, #Disponibilidad</t>
        </is>
      </c>
      <c r="E12" s="39" t="inlineStr">
        <is>
          <t>#Proteger</t>
        </is>
      </c>
      <c r="F12" s="38" t="inlineStr">
        <is>
          <t>#Gestión_de_activos</t>
        </is>
      </c>
      <c r="G12" s="39" t="inlineStr">
        <is>
          <t>#Gobernanza_y_Ecosistema</t>
        </is>
      </c>
      <c r="H12" s="39" t="inlineStr">
        <is>
          <t>Obligatorio SEPS (Régimen General)</t>
        </is>
      </c>
      <c r="I12" s="39" t="inlineStr">
        <is>
          <t>-</t>
        </is>
      </c>
      <c r="J12" s="39" t="inlineStr">
        <is>
          <t>1. Regulatorio SEPS 002-2022 + ISO 27001</t>
        </is>
      </c>
      <c r="K12" s="39" t="inlineStr">
        <is>
          <t>Aplica</t>
        </is>
      </c>
      <c r="L12" s="39" t="inlineStr">
        <is>
          <t>Requerido por ente regulador SEPS</t>
        </is>
      </c>
    </row>
    <row r="13" ht="36" customHeight="1" s="98">
      <c r="A13" s="39" t="inlineStr">
        <is>
          <t>5.12</t>
        </is>
      </c>
      <c r="B13" s="39" t="inlineStr">
        <is>
          <t>Clasificación de la información</t>
        </is>
      </c>
      <c r="C13" s="39" t="inlineStr">
        <is>
          <t>#Preventivo</t>
        </is>
      </c>
      <c r="D13" s="39" t="inlineStr">
        <is>
          <t>#Confidencialidad, #Integridad, #Disponibilidad</t>
        </is>
      </c>
      <c r="E13" s="39" t="inlineStr">
        <is>
          <t>#Identificar</t>
        </is>
      </c>
      <c r="F13" s="38" t="inlineStr">
        <is>
          <t>#Protección_de_la_información</t>
        </is>
      </c>
      <c r="G13" s="39" t="inlineStr">
        <is>
          <t>#Gobernanza_y_Ecosistema</t>
        </is>
      </c>
      <c r="H13" s="39" t="inlineStr">
        <is>
          <t>Obligatorio SEPS (Régimen General)</t>
        </is>
      </c>
      <c r="I13" s="39" t="inlineStr">
        <is>
          <t>C2: Clasificación de la información</t>
        </is>
      </c>
      <c r="J13" s="39" t="inlineStr">
        <is>
          <t>2. Metodología Interna GSO-GSI + ISO 27001</t>
        </is>
      </c>
      <c r="K13" s="39" t="inlineStr">
        <is>
          <t>Aplica</t>
        </is>
      </c>
      <c r="L13" s="39" t="inlineStr">
        <is>
          <t>Requisito interno GSO-GSI</t>
        </is>
      </c>
    </row>
    <row r="14" ht="36" customHeight="1" s="98">
      <c r="A14" s="39" t="inlineStr">
        <is>
          <t>5.13</t>
        </is>
      </c>
      <c r="B14" s="39" t="inlineStr">
        <is>
          <t>Etiquetado de la información</t>
        </is>
      </c>
      <c r="C14" s="39" t="inlineStr">
        <is>
          <t>#Preventivo</t>
        </is>
      </c>
      <c r="D14" s="39" t="inlineStr">
        <is>
          <t>#Confidencialidad, #Integridad, #Disponibilidad</t>
        </is>
      </c>
      <c r="E14" s="39" t="inlineStr">
        <is>
          <t>#Proteger</t>
        </is>
      </c>
      <c r="F14" s="38" t="inlineStr">
        <is>
          <t>#Protección_de_la_información</t>
        </is>
      </c>
      <c r="G14" s="39" t="inlineStr">
        <is>
          <t>#Gobernanza_y_Ecosistema</t>
        </is>
      </c>
      <c r="H14" s="39" t="inlineStr">
        <is>
          <t>Obligatorio SEPS (Régimen General)</t>
        </is>
      </c>
      <c r="I14" s="39" t="inlineStr">
        <is>
          <t>C2: Clasificación de la información</t>
        </is>
      </c>
      <c r="J14" s="39" t="inlineStr">
        <is>
          <t>2. Metodología Interna GSO-GSI + ISO 27001</t>
        </is>
      </c>
      <c r="K14" s="39" t="inlineStr">
        <is>
          <t>Aplica</t>
        </is>
      </c>
      <c r="L14" s="39" t="inlineStr">
        <is>
          <t>Requisito interno GSO-GSI</t>
        </is>
      </c>
    </row>
    <row r="15" ht="36" customHeight="1" s="98">
      <c r="A15" s="39" t="inlineStr">
        <is>
          <t>5.14</t>
        </is>
      </c>
      <c r="B15" s="39" t="inlineStr">
        <is>
          <t>Transferencia de información</t>
        </is>
      </c>
      <c r="C15" s="39" t="inlineStr">
        <is>
          <t>#Preventivo</t>
        </is>
      </c>
      <c r="D15" s="39" t="inlineStr">
        <is>
          <t>#Confidencialidad, #Integridad, #Disponibilidad</t>
        </is>
      </c>
      <c r="E15" s="39" t="inlineStr">
        <is>
          <t>#Proteger</t>
        </is>
      </c>
      <c r="F15" s="38" t="inlineStr">
        <is>
          <t>#Protección_de_la_información</t>
        </is>
      </c>
      <c r="G15" s="39" t="inlineStr">
        <is>
          <t>#Gobernanza_y_Ecosistema</t>
        </is>
      </c>
      <c r="H15" s="39" t="inlineStr">
        <is>
          <t>Obligatorio SEPS (Régimen General)</t>
        </is>
      </c>
      <c r="I15" s="39" t="inlineStr">
        <is>
          <t>-</t>
        </is>
      </c>
      <c r="J15" s="39" t="inlineStr">
        <is>
          <t>1. Regulatorio SEPS 002-2022 + ISO 27001</t>
        </is>
      </c>
      <c r="K15" s="39" t="inlineStr">
        <is>
          <t>Aplica</t>
        </is>
      </c>
      <c r="L15" s="39" t="inlineStr">
        <is>
          <t>Requerido por ente regulador SEPS</t>
        </is>
      </c>
    </row>
    <row r="16" ht="36" customHeight="1" s="98">
      <c r="A16" s="39" t="inlineStr">
        <is>
          <t>5.15</t>
        </is>
      </c>
      <c r="B16" s="39" t="inlineStr">
        <is>
          <t>Control de acceso</t>
        </is>
      </c>
      <c r="C16" s="39" t="inlineStr">
        <is>
          <t>#Preventivo</t>
        </is>
      </c>
      <c r="D16" s="39" t="inlineStr">
        <is>
          <t>#Confidencialidad, #Integridad, #Disponibilidad</t>
        </is>
      </c>
      <c r="E16" s="39" t="inlineStr">
        <is>
          <t>#Proteger</t>
        </is>
      </c>
      <c r="F16" s="38" t="inlineStr">
        <is>
          <t>#Administración_de_identidad_y_acceso</t>
        </is>
      </c>
      <c r="G16" s="39" t="inlineStr">
        <is>
          <t>#Gobernanza_y_Ecosistema</t>
        </is>
      </c>
      <c r="H16" s="39" t="inlineStr">
        <is>
          <t>Obligatorio SEPS (Régimen General)</t>
        </is>
      </c>
      <c r="I16" s="39" t="inlineStr">
        <is>
          <t>C4: Restricción del control de acceso</t>
        </is>
      </c>
      <c r="J16" s="39" t="inlineStr">
        <is>
          <t>2. Metodología Interna GSO-GSI + ISO 27001</t>
        </is>
      </c>
      <c r="K16" s="39" t="inlineStr">
        <is>
          <t>Aplica</t>
        </is>
      </c>
      <c r="L16" s="39" t="inlineStr">
        <is>
          <t>Requisito interno GSO-GSI</t>
        </is>
      </c>
    </row>
    <row r="17" ht="36" customHeight="1" s="98">
      <c r="A17" s="39" t="inlineStr">
        <is>
          <t>5.16</t>
        </is>
      </c>
      <c r="B17" s="39" t="inlineStr">
        <is>
          <t>Gestión de identidades</t>
        </is>
      </c>
      <c r="C17" s="39" t="inlineStr">
        <is>
          <t>#Preventivo</t>
        </is>
      </c>
      <c r="D17" s="39" t="inlineStr">
        <is>
          <t>#Confidencialidad, #Integridad, #Disponibilidad</t>
        </is>
      </c>
      <c r="E17" s="39" t="inlineStr">
        <is>
          <t>#Proteger</t>
        </is>
      </c>
      <c r="F17" s="38" t="inlineStr">
        <is>
          <t>#Administración_de_identidad_y_acceso</t>
        </is>
      </c>
      <c r="G17" s="39" t="inlineStr">
        <is>
          <t>#Gobernanza_y_Ecosistema</t>
        </is>
      </c>
      <c r="H17" s="39" t="inlineStr">
        <is>
          <t>Obligatorio SEPS (Régimen General)</t>
        </is>
      </c>
      <c r="I17" s="39" t="inlineStr">
        <is>
          <t>-</t>
        </is>
      </c>
      <c r="J17" s="39" t="inlineStr">
        <is>
          <t>1. Regulatorio SEPS 002-2022 + ISO 27001</t>
        </is>
      </c>
      <c r="K17" s="39" t="inlineStr">
        <is>
          <t>Aplica</t>
        </is>
      </c>
      <c r="L17" s="39" t="inlineStr">
        <is>
          <t>Requerido por ente regulador SEPS</t>
        </is>
      </c>
    </row>
    <row r="18" ht="36" customHeight="1" s="98">
      <c r="A18" s="39" t="inlineStr">
        <is>
          <t>5.17</t>
        </is>
      </c>
      <c r="B18" s="39" t="inlineStr">
        <is>
          <t>Información de autenticación</t>
        </is>
      </c>
      <c r="C18" s="39" t="inlineStr">
        <is>
          <t>#Preventivo</t>
        </is>
      </c>
      <c r="D18" s="39" t="inlineStr">
        <is>
          <t>#Confidencialidad, #Integridad, #Disponibilidad</t>
        </is>
      </c>
      <c r="E18" s="39" t="inlineStr">
        <is>
          <t>#Proteger</t>
        </is>
      </c>
      <c r="F18" s="38" t="inlineStr">
        <is>
          <t>#Administración_de_identidad_y_acceso</t>
        </is>
      </c>
      <c r="G18" s="39" t="inlineStr">
        <is>
          <t>#Gobernanza_y_Ecosistema</t>
        </is>
      </c>
      <c r="H18" s="39" t="inlineStr">
        <is>
          <t>Obligatorio SEPS (Régimen General)</t>
        </is>
      </c>
      <c r="I18" s="39" t="inlineStr">
        <is>
          <t>C8: Uso de contraseñas fuertes</t>
        </is>
      </c>
      <c r="J18" s="39" t="inlineStr">
        <is>
          <t>2. Metodología Interna GSO-GSI + ISO 27001</t>
        </is>
      </c>
      <c r="K18" s="39" t="inlineStr">
        <is>
          <t>Aplica</t>
        </is>
      </c>
      <c r="L18" s="39" t="inlineStr">
        <is>
          <t>Requisito interno GSO-GSI</t>
        </is>
      </c>
    </row>
    <row r="19" ht="36" customHeight="1" s="98">
      <c r="A19" s="39" t="inlineStr">
        <is>
          <t>5.18</t>
        </is>
      </c>
      <c r="B19" s="39" t="inlineStr">
        <is>
          <t>Derechos de acceso</t>
        </is>
      </c>
      <c r="C19" s="39" t="inlineStr">
        <is>
          <t>#Preventivo</t>
        </is>
      </c>
      <c r="D19" s="39" t="inlineStr">
        <is>
          <t>#Confidencialidad, #Integridad, #Disponibilidad</t>
        </is>
      </c>
      <c r="E19" s="39" t="inlineStr">
        <is>
          <t>#Proteger</t>
        </is>
      </c>
      <c r="F19" s="38" t="inlineStr">
        <is>
          <t>#Administración_de_identidad_y_acceso</t>
        </is>
      </c>
      <c r="G19" s="39" t="inlineStr">
        <is>
          <t>#Gobernanza_y_Ecosistema</t>
        </is>
      </c>
      <c r="H19" s="39" t="inlineStr">
        <is>
          <t>Obligatorio SEPS (Régimen General)</t>
        </is>
      </c>
      <c r="I19" s="39" t="inlineStr">
        <is>
          <t>C7: Revisión periódica de los derechos de acceso</t>
        </is>
      </c>
      <c r="J19" s="39" t="inlineStr">
        <is>
          <t>2. Metodología Interna GSO-GSI + ISO 27001</t>
        </is>
      </c>
      <c r="K19" s="39" t="inlineStr">
        <is>
          <t>Aplica</t>
        </is>
      </c>
      <c r="L19" s="39" t="inlineStr">
        <is>
          <t>Requisito interno GSO-GSI</t>
        </is>
      </c>
    </row>
    <row r="20" ht="48" customHeight="1" s="98">
      <c r="A20" s="39" t="inlineStr">
        <is>
          <t>5.19</t>
        </is>
      </c>
      <c r="B20" s="39" t="inlineStr">
        <is>
          <t>Seguridad de la información en las relaciones con los proveedores</t>
        </is>
      </c>
      <c r="C20" s="39" t="inlineStr">
        <is>
          <t>#Preventivo</t>
        </is>
      </c>
      <c r="D20" s="39" t="inlineStr">
        <is>
          <t>#Confidencialidad, #Integridad, #Disponibilidad</t>
        </is>
      </c>
      <c r="E20" s="39" t="inlineStr">
        <is>
          <t>#Proteger</t>
        </is>
      </c>
      <c r="F20" s="38" t="inlineStr">
        <is>
          <t>#Seguridad_en_relaciones_con_proveedores</t>
        </is>
      </c>
      <c r="G20" s="39" t="inlineStr">
        <is>
          <t>#Gobernanza_y_Ecosistema</t>
        </is>
      </c>
      <c r="H20" s="39" t="inlineStr">
        <is>
          <t>Obligatorio SEPS (Régimen General)</t>
        </is>
      </c>
      <c r="I20" s="39" t="inlineStr">
        <is>
          <t>-</t>
        </is>
      </c>
      <c r="J20" s="39" t="inlineStr">
        <is>
          <t>1. Regulatorio SEPS 002-2022 + ISO 27001</t>
        </is>
      </c>
      <c r="K20" s="39" t="inlineStr">
        <is>
          <t>Aplica</t>
        </is>
      </c>
      <c r="L20" s="39" t="inlineStr">
        <is>
          <t>Requerido por ente regulador SEPS</t>
        </is>
      </c>
    </row>
    <row r="21" ht="60" customHeight="1" s="98">
      <c r="A21" s="39" t="inlineStr">
        <is>
          <t>5.20</t>
        </is>
      </c>
      <c r="B21" s="39" t="inlineStr">
        <is>
          <t>Tratamiento de la seguridad de la información en los acuerdos con los proveedores</t>
        </is>
      </c>
      <c r="C21" s="39" t="inlineStr">
        <is>
          <t>#Preventivo</t>
        </is>
      </c>
      <c r="D21" s="39" t="inlineStr">
        <is>
          <t>#Confidencialidad, #Integridad, #Disponibilidad</t>
        </is>
      </c>
      <c r="E21" s="39" t="inlineStr">
        <is>
          <t>#Proteger</t>
        </is>
      </c>
      <c r="F21" s="38" t="inlineStr">
        <is>
          <t>#Seguridad_en_relaciones_con_proveedores</t>
        </is>
      </c>
      <c r="G21" s="39" t="inlineStr">
        <is>
          <t>#Gobernanza_y_Ecosistema</t>
        </is>
      </c>
      <c r="H21" s="39" t="inlineStr">
        <is>
          <t>Obligatorio SEPS (Régimen General)</t>
        </is>
      </c>
      <c r="I21" s="39" t="inlineStr">
        <is>
          <t>-</t>
        </is>
      </c>
      <c r="J21" s="39" t="inlineStr">
        <is>
          <t>1. Regulatorio SEPS 002-2022 + ISO 27001</t>
        </is>
      </c>
      <c r="K21" s="39" t="inlineStr">
        <is>
          <t>Aplica</t>
        </is>
      </c>
      <c r="L21" s="39" t="inlineStr">
        <is>
          <t>Requerido por ente regulador SEPS</t>
        </is>
      </c>
    </row>
    <row r="22" ht="60" customHeight="1" s="98">
      <c r="A22" s="39" t="inlineStr">
        <is>
          <t>5.21</t>
        </is>
      </c>
      <c r="B22" s="39" t="inlineStr">
        <is>
          <t>Gestión de la seguridad de la información en la cadena de suministro de TIC</t>
        </is>
      </c>
      <c r="C22" s="39" t="inlineStr">
        <is>
          <t>#Preventivo</t>
        </is>
      </c>
      <c r="D22" s="39" t="inlineStr">
        <is>
          <t>#Confidencialidad, #Integridad, #Disponibilidad</t>
        </is>
      </c>
      <c r="E22" s="39" t="inlineStr">
        <is>
          <t>#Proteger</t>
        </is>
      </c>
      <c r="F22" s="38" t="inlineStr">
        <is>
          <t>#Seguridad_en_relaciones_con_proveedores</t>
        </is>
      </c>
      <c r="G22" s="39" t="inlineStr">
        <is>
          <t>#Gobernanza_y_Ecosistema</t>
        </is>
      </c>
      <c r="H22" s="39" t="inlineStr">
        <is>
          <t>Obligatorio SEPS (Régimen General)</t>
        </is>
      </c>
      <c r="I22" s="39" t="inlineStr">
        <is>
          <t>-</t>
        </is>
      </c>
      <c r="J22" s="39" t="inlineStr">
        <is>
          <t>1. Regulatorio SEPS 002-2022 + ISO 27001</t>
        </is>
      </c>
      <c r="K22" s="39" t="inlineStr">
        <is>
          <t>Aplica</t>
        </is>
      </c>
      <c r="L22" s="39" t="inlineStr">
        <is>
          <t>Requerido por ente regulador SEPS</t>
        </is>
      </c>
    </row>
    <row r="23" ht="60" customHeight="1" s="98">
      <c r="A23" s="39" t="inlineStr">
        <is>
          <t>5.22</t>
        </is>
      </c>
      <c r="B23" s="39" t="inlineStr">
        <is>
          <t>Seguimiento, revisión y gestión de cambios en los servicios de los proveedores</t>
        </is>
      </c>
      <c r="C23" s="39" t="inlineStr">
        <is>
          <t>#Preventivo</t>
        </is>
      </c>
      <c r="D23" s="39" t="inlineStr">
        <is>
          <t>#Confidencialidad, #Integridad, #Disponibilidad</t>
        </is>
      </c>
      <c r="E23" s="39" t="inlineStr">
        <is>
          <t>#Proteger</t>
        </is>
      </c>
      <c r="F23" s="38" t="inlineStr">
        <is>
          <t>#Seguridad_en_relaciones_con_proveedores</t>
        </is>
      </c>
      <c r="G23" s="39" t="inlineStr">
        <is>
          <t>#Gobernanza_y_Ecosistema</t>
        </is>
      </c>
      <c r="H23" s="39" t="inlineStr">
        <is>
          <t>Obligatorio SEPS (Régimen General)</t>
        </is>
      </c>
      <c r="I23" s="39" t="inlineStr">
        <is>
          <t>-</t>
        </is>
      </c>
      <c r="J23" s="39" t="inlineStr">
        <is>
          <t>1. Regulatorio SEPS 002-2022 + ISO 27001</t>
        </is>
      </c>
      <c r="K23" s="39" t="inlineStr">
        <is>
          <t>Aplica</t>
        </is>
      </c>
      <c r="L23" s="39" t="inlineStr">
        <is>
          <t>Requerido por ente regulador SEPS</t>
        </is>
      </c>
    </row>
    <row r="24" ht="48" customHeight="1" s="98">
      <c r="A24" s="39" t="inlineStr">
        <is>
          <t>5.23</t>
        </is>
      </c>
      <c r="B24" s="39" t="inlineStr">
        <is>
          <t>Seguridad de la información en el uso de servicios en la nube</t>
        </is>
      </c>
      <c r="C24" s="39" t="inlineStr">
        <is>
          <t>#Preventivo</t>
        </is>
      </c>
      <c r="D24" s="39" t="inlineStr">
        <is>
          <t>#Confidencialidad, #Integridad, #Disponibilidad</t>
        </is>
      </c>
      <c r="E24" s="39" t="inlineStr">
        <is>
          <t>#Proteger</t>
        </is>
      </c>
      <c r="F24" s="38" t="inlineStr">
        <is>
          <t>#Seguridad_en_relaciones_con_proveedores</t>
        </is>
      </c>
      <c r="G24" s="39" t="inlineStr">
        <is>
          <t>#Gobernanza_y_Ecosistema</t>
        </is>
      </c>
      <c r="H24" s="39" t="inlineStr">
        <is>
          <t>Obligatorio SEPS (Régimen General)</t>
        </is>
      </c>
      <c r="I24" s="39" t="inlineStr">
        <is>
          <t>-</t>
        </is>
      </c>
      <c r="J24" s="39" t="inlineStr">
        <is>
          <t>4. No Aplica</t>
        </is>
      </c>
      <c r="K24" s="39" t="inlineStr">
        <is>
          <t>No Aplica</t>
        </is>
      </c>
      <c r="L24" s="39" t="inlineStr">
        <is>
          <t>Control 5.23 no es pertinente a los procesos actuales de la entidad</t>
        </is>
      </c>
    </row>
    <row r="25" ht="36" customHeight="1" s="98">
      <c r="A25" s="39" t="inlineStr">
        <is>
          <t>5.24</t>
        </is>
      </c>
      <c r="B25" s="39" t="inlineStr">
        <is>
          <t>Planificación y preparación de la gestión de incidentes</t>
        </is>
      </c>
      <c r="C25" s="39" t="inlineStr">
        <is>
          <t>#Preventivo</t>
        </is>
      </c>
      <c r="D25" s="39" t="inlineStr">
        <is>
          <t>#Confidencialidad, #Integridad, #Disponibilidad</t>
        </is>
      </c>
      <c r="E25" s="39" t="inlineStr">
        <is>
          <t>#Responder</t>
        </is>
      </c>
      <c r="F25" s="38" t="inlineStr">
        <is>
          <t>#Seguridad_de_la_información_gestión_de_eventos</t>
        </is>
      </c>
      <c r="G25" s="39" t="inlineStr">
        <is>
          <t>#Gobernanza_y_Ecosistema</t>
        </is>
      </c>
      <c r="H25" s="39" t="inlineStr">
        <is>
          <t>Obligatorio SEPS (Régimen General)</t>
        </is>
      </c>
      <c r="I25" s="39" t="inlineStr">
        <is>
          <t>-</t>
        </is>
      </c>
      <c r="J25" s="39" t="inlineStr">
        <is>
          <t>1. Regulatorio SEPS 002-2022 + ISO 27001</t>
        </is>
      </c>
      <c r="K25" s="39" t="inlineStr">
        <is>
          <t>Aplica</t>
        </is>
      </c>
      <c r="L25" s="39" t="inlineStr">
        <is>
          <t>Requerido por ente regulador SEPS</t>
        </is>
      </c>
    </row>
    <row r="26" ht="36" customHeight="1" s="98">
      <c r="A26" s="39" t="inlineStr">
        <is>
          <t>5.25</t>
        </is>
      </c>
      <c r="B26" s="39" t="inlineStr">
        <is>
          <t>Evaluación y decisión sobre los eventos de seguridad</t>
        </is>
      </c>
      <c r="C26" s="39" t="inlineStr">
        <is>
          <t>#Detectivo</t>
        </is>
      </c>
      <c r="D26" s="39" t="inlineStr">
        <is>
          <t>#Confidencialidad, #Integridad, #Disponibilidad</t>
        </is>
      </c>
      <c r="E26" s="39" t="inlineStr">
        <is>
          <t>#Detectar</t>
        </is>
      </c>
      <c r="F26" s="38" t="inlineStr">
        <is>
          <t>#Seguridad_de_la_información_gestión_de_eventos</t>
        </is>
      </c>
      <c r="G26" s="39" t="inlineStr">
        <is>
          <t>#Gobernanza_y_Ecosistema</t>
        </is>
      </c>
      <c r="H26" s="39" t="inlineStr">
        <is>
          <t>Obligatorio SEPS (Régimen General)</t>
        </is>
      </c>
      <c r="I26" s="39" t="inlineStr">
        <is>
          <t>-</t>
        </is>
      </c>
      <c r="J26" s="39" t="inlineStr">
        <is>
          <t>1. Regulatorio SEPS 002-2022 + ISO 27001</t>
        </is>
      </c>
      <c r="K26" s="39" t="inlineStr">
        <is>
          <t>Aplica</t>
        </is>
      </c>
      <c r="L26" s="39" t="inlineStr">
        <is>
          <t>Requerido por ente regulador SEPS</t>
        </is>
      </c>
    </row>
    <row r="27" ht="48" customHeight="1" s="98">
      <c r="A27" s="39" t="inlineStr">
        <is>
          <t>5.26</t>
        </is>
      </c>
      <c r="B27" s="39" t="inlineStr">
        <is>
          <t>Respuesta a los incidentes de seguridad de la información</t>
        </is>
      </c>
      <c r="C27" s="39" t="inlineStr">
        <is>
          <t>#Correctivo</t>
        </is>
      </c>
      <c r="D27" s="39" t="inlineStr">
        <is>
          <t>#Confidencialidad, #Integridad, #Disponibilidad</t>
        </is>
      </c>
      <c r="E27" s="39" t="inlineStr">
        <is>
          <t>#Responder</t>
        </is>
      </c>
      <c r="F27" s="38" t="inlineStr">
        <is>
          <t>#Seguridad_de_la_información_gestión_de_eventos</t>
        </is>
      </c>
      <c r="G27" s="39" t="inlineStr">
        <is>
          <t>#Gobernanza_y_Ecosistema</t>
        </is>
      </c>
      <c r="H27" s="39" t="inlineStr">
        <is>
          <t>Obligatorio SEPS (Régimen General)</t>
        </is>
      </c>
      <c r="I27" s="39" t="inlineStr">
        <is>
          <t>-</t>
        </is>
      </c>
      <c r="J27" s="39" t="inlineStr">
        <is>
          <t>1. Regulatorio SEPS 002-2022 + ISO 27001</t>
        </is>
      </c>
      <c r="K27" s="39" t="inlineStr">
        <is>
          <t>Aplica</t>
        </is>
      </c>
      <c r="L27" s="39" t="inlineStr">
        <is>
          <t>Requerido por ente regulador SEPS</t>
        </is>
      </c>
    </row>
    <row r="28" ht="48" customHeight="1" s="98">
      <c r="A28" s="39" t="inlineStr">
        <is>
          <t>5.27</t>
        </is>
      </c>
      <c r="B28" s="39" t="inlineStr">
        <is>
          <t>Aprendizaje de los incidentes de seguridad de la información</t>
        </is>
      </c>
      <c r="C28" s="39" t="inlineStr">
        <is>
          <t>#Preventivo</t>
        </is>
      </c>
      <c r="D28" s="39" t="inlineStr">
        <is>
          <t>#Confidencialidad, #Integridad, #Disponibilidad</t>
        </is>
      </c>
      <c r="E28" s="39" t="inlineStr">
        <is>
          <t>#Identificar</t>
        </is>
      </c>
      <c r="F28" s="38" t="inlineStr">
        <is>
          <t>#Seguridad_de_la_información_gestión_de_eventos</t>
        </is>
      </c>
      <c r="G28" s="39" t="inlineStr">
        <is>
          <t>#Gobernanza_y_Ecosistema</t>
        </is>
      </c>
      <c r="H28" s="39" t="inlineStr">
        <is>
          <t>Obligatorio SEPS (Régimen General)</t>
        </is>
      </c>
      <c r="I28" s="39" t="inlineStr">
        <is>
          <t>-</t>
        </is>
      </c>
      <c r="J28" s="39" t="inlineStr">
        <is>
          <t>1. Regulatorio SEPS 002-2022 + ISO 27001</t>
        </is>
      </c>
      <c r="K28" s="39" t="inlineStr">
        <is>
          <t>Aplica</t>
        </is>
      </c>
      <c r="L28" s="39" t="inlineStr">
        <is>
          <t>Requerido por ente regulador SEPS</t>
        </is>
      </c>
    </row>
    <row r="29" ht="36" customHeight="1" s="98">
      <c r="A29" s="39" t="inlineStr">
        <is>
          <t>5.28</t>
        </is>
      </c>
      <c r="B29" s="39" t="inlineStr">
        <is>
          <t>Recolección de evidencias</t>
        </is>
      </c>
      <c r="C29" s="39" t="inlineStr">
        <is>
          <t>#Preventivo, #Correctivo</t>
        </is>
      </c>
      <c r="D29" s="39" t="inlineStr">
        <is>
          <t>#Confidencialidad, #Integridad, #Disponibilidad</t>
        </is>
      </c>
      <c r="E29" s="39" t="inlineStr">
        <is>
          <t>#Responder</t>
        </is>
      </c>
      <c r="F29" s="38" t="inlineStr">
        <is>
          <t>#Seguridad_de_la_información_gestión_de_eventos</t>
        </is>
      </c>
      <c r="G29" s="39" t="inlineStr">
        <is>
          <t>#Gobernanza_y_Ecosistema</t>
        </is>
      </c>
      <c r="H29" s="39" t="inlineStr">
        <is>
          <t>Obligatorio SEPS (Régimen General)</t>
        </is>
      </c>
      <c r="I29" s="39" t="inlineStr">
        <is>
          <t>-</t>
        </is>
      </c>
      <c r="J29" s="39" t="inlineStr">
        <is>
          <t>1. Regulatorio SEPS 002-2022 + ISO 27001</t>
        </is>
      </c>
      <c r="K29" s="39" t="inlineStr">
        <is>
          <t>Aplica</t>
        </is>
      </c>
      <c r="L29" s="39" t="inlineStr">
        <is>
          <t>Requerido por ente regulador SEPS</t>
        </is>
      </c>
    </row>
    <row r="30" ht="48" customHeight="1" s="98">
      <c r="A30" s="39" t="inlineStr">
        <is>
          <t>5.29</t>
        </is>
      </c>
      <c r="B30" s="39" t="inlineStr">
        <is>
          <t>Seguridad de la información durante la interrupción</t>
        </is>
      </c>
      <c r="C30" s="39" t="inlineStr">
        <is>
          <t>#Preventivo</t>
        </is>
      </c>
      <c r="D30" s="39" t="inlineStr">
        <is>
          <t>#Confidencialidad, #Integridad, #Disponibilidad</t>
        </is>
      </c>
      <c r="E30" s="39" t="inlineStr">
        <is>
          <t>#Recuperar</t>
        </is>
      </c>
      <c r="F30" s="38" t="inlineStr">
        <is>
          <t>#Continuidad</t>
        </is>
      </c>
      <c r="G30" s="39" t="inlineStr">
        <is>
          <t>#Resiliencia</t>
        </is>
      </c>
      <c r="H30" s="39" t="inlineStr">
        <is>
          <t>Obligatorio SEPS (Régimen General)</t>
        </is>
      </c>
      <c r="I30" s="39" t="inlineStr">
        <is>
          <t>C6: Procedimientos de reversión (rollback) / Respaldo</t>
        </is>
      </c>
      <c r="J30" s="39" t="inlineStr">
        <is>
          <t>2. Metodología Interna GSO-GSI + ISO 27001</t>
        </is>
      </c>
      <c r="K30" s="39" t="inlineStr">
        <is>
          <t>Aplica</t>
        </is>
      </c>
      <c r="L30" s="39" t="inlineStr">
        <is>
          <t>Requisito interno GSO-GSI</t>
        </is>
      </c>
    </row>
    <row r="31" ht="48" customHeight="1" s="98">
      <c r="A31" s="39" t="inlineStr">
        <is>
          <t>5.30</t>
        </is>
      </c>
      <c r="B31" s="39" t="inlineStr">
        <is>
          <t>Preparación de las TIC para la continuidad del negocio</t>
        </is>
      </c>
      <c r="C31" s="39" t="inlineStr">
        <is>
          <t>#Preventivo</t>
        </is>
      </c>
      <c r="D31" s="39" t="inlineStr">
        <is>
          <t>#Confidencialidad, #Integridad, #Disponibilidad</t>
        </is>
      </c>
      <c r="E31" s="39" t="inlineStr">
        <is>
          <t>#Recuperar</t>
        </is>
      </c>
      <c r="F31" s="38" t="inlineStr">
        <is>
          <t>#Continuidad</t>
        </is>
      </c>
      <c r="G31" s="39" t="inlineStr">
        <is>
          <t>#Resiliencia</t>
        </is>
      </c>
      <c r="H31" s="39" t="inlineStr">
        <is>
          <t>Obligatorio SEPS (Régimen General)</t>
        </is>
      </c>
      <c r="I31" s="39" t="inlineStr">
        <is>
          <t>-</t>
        </is>
      </c>
      <c r="J31" s="39" t="inlineStr">
        <is>
          <t>1. Regulatorio SEPS 002-2022 + ISO 27001</t>
        </is>
      </c>
      <c r="K31" s="39" t="inlineStr">
        <is>
          <t>Aplica</t>
        </is>
      </c>
      <c r="L31" s="39" t="inlineStr">
        <is>
          <t>Requerido por ente regulador SEPS</t>
        </is>
      </c>
    </row>
    <row r="32" ht="48" customHeight="1" s="98">
      <c r="A32" s="39" t="inlineStr">
        <is>
          <t>5.31</t>
        </is>
      </c>
      <c r="B32" s="39" t="inlineStr">
        <is>
          <t>Requisitos legales, estatutarios, reglamentarios y contractuales</t>
        </is>
      </c>
      <c r="C32" s="39" t="inlineStr">
        <is>
          <t>#Preventivo</t>
        </is>
      </c>
      <c r="D32" s="39" t="inlineStr">
        <is>
          <t>#Confidencialidad, #Integridad, #Disponibilidad</t>
        </is>
      </c>
      <c r="E32" s="39" t="inlineStr">
        <is>
          <t>#Identificar</t>
        </is>
      </c>
      <c r="F32" s="38" t="inlineStr">
        <is>
          <t>#Gobernanza</t>
        </is>
      </c>
      <c r="G32" s="39" t="inlineStr">
        <is>
          <t>#Gobernanza_y_Ecosistema</t>
        </is>
      </c>
      <c r="H32" s="39" t="inlineStr">
        <is>
          <t>Obligatorio SEPS (Régimen General)</t>
        </is>
      </c>
      <c r="I32" s="39" t="inlineStr">
        <is>
          <t>-</t>
        </is>
      </c>
      <c r="J32" s="39" t="inlineStr">
        <is>
          <t>1. Regulatorio SEPS 002-2022 + ISO 27001</t>
        </is>
      </c>
      <c r="K32" s="39" t="inlineStr">
        <is>
          <t>Aplica</t>
        </is>
      </c>
      <c r="L32" s="39" t="inlineStr">
        <is>
          <t>Requerido por ente regulador SEPS</t>
        </is>
      </c>
    </row>
    <row r="33" ht="60" customHeight="1" s="98">
      <c r="A33" s="39" t="inlineStr">
        <is>
          <t>5.32</t>
        </is>
      </c>
      <c r="B33" s="39" t="inlineStr">
        <is>
          <t>Derechos de propiedad intelectual</t>
        </is>
      </c>
      <c r="C33" s="39" t="inlineStr">
        <is>
          <t>#Preventivo</t>
        </is>
      </c>
      <c r="D33" s="39" t="inlineStr">
        <is>
          <t>#Confidencialidad, #Integridad, #Disponibilidad</t>
        </is>
      </c>
      <c r="E33" s="39" t="inlineStr">
        <is>
          <t>#Proteger</t>
        </is>
      </c>
      <c r="F33" s="38" t="inlineStr">
        <is>
          <t>#Gobernanza</t>
        </is>
      </c>
      <c r="G33" s="39" t="inlineStr">
        <is>
          <t>#Gobernanza_y_Ecosistema</t>
        </is>
      </c>
      <c r="H33" s="39" t="inlineStr">
        <is>
          <t>Mejor Práctica (No obligatorio SEPS)</t>
        </is>
      </c>
      <c r="I33" s="39" t="inlineStr">
        <is>
          <t>-</t>
        </is>
      </c>
      <c r="J33" s="39" t="inlineStr">
        <is>
          <t>3. Tratamiento de Riesgos Específico (ISO 27002 / MAGERIT)</t>
        </is>
      </c>
      <c r="K33" s="39" t="inlineStr">
        <is>
          <t>No Aplica</t>
        </is>
      </c>
      <c r="L33" s="39" t="inlineStr">
        <is>
          <t>No aplicable a la arquitectura/infraestructura actual</t>
        </is>
      </c>
    </row>
    <row r="34" ht="36" customHeight="1" s="98">
      <c r="A34" s="39" t="inlineStr">
        <is>
          <t>5.33</t>
        </is>
      </c>
      <c r="B34" s="39" t="inlineStr">
        <is>
          <t>Protección de los registros</t>
        </is>
      </c>
      <c r="C34" s="39" t="inlineStr">
        <is>
          <t>#Preventivo</t>
        </is>
      </c>
      <c r="D34" s="39" t="inlineStr">
        <is>
          <t>#Confidencialidad, #Integridad, #Disponibilidad</t>
        </is>
      </c>
      <c r="E34" s="39" t="inlineStr">
        <is>
          <t>#Proteger</t>
        </is>
      </c>
      <c r="F34" s="38" t="inlineStr">
        <is>
          <t>#Protección_de_la_información</t>
        </is>
      </c>
      <c r="G34" s="39" t="inlineStr">
        <is>
          <t>#Gobernanza_y_Ecosistema</t>
        </is>
      </c>
      <c r="H34" s="39" t="inlineStr">
        <is>
          <t>Obligatorio SEPS (Régimen General)</t>
        </is>
      </c>
      <c r="I34" s="39" t="inlineStr">
        <is>
          <t>-</t>
        </is>
      </c>
      <c r="J34" s="39" t="inlineStr">
        <is>
          <t>1. Regulatorio SEPS 002-2022 + ISO 27001</t>
        </is>
      </c>
      <c r="K34" s="39" t="inlineStr">
        <is>
          <t>Aplica</t>
        </is>
      </c>
      <c r="L34" s="39" t="inlineStr">
        <is>
          <t>Requerido por ente regulador SEPS</t>
        </is>
      </c>
    </row>
    <row r="35" ht="60" customHeight="1" s="98">
      <c r="A35" s="39" t="inlineStr">
        <is>
          <t>5.34</t>
        </is>
      </c>
      <c r="B35" s="39" t="inlineStr">
        <is>
          <t>Privacidad y protección de la información de identificación personal (PII)</t>
        </is>
      </c>
      <c r="C35" s="39" t="inlineStr">
        <is>
          <t>#Preventivo</t>
        </is>
      </c>
      <c r="D35" s="39" t="inlineStr">
        <is>
          <t>#Confidencialidad, #Integridad</t>
        </is>
      </c>
      <c r="E35" s="39" t="inlineStr">
        <is>
          <t>#Proteger</t>
        </is>
      </c>
      <c r="F35" s="38" t="inlineStr">
        <is>
          <t>#Gobernanza</t>
        </is>
      </c>
      <c r="G35" s="39" t="inlineStr">
        <is>
          <t>#Gobernanza_y_Ecosistema</t>
        </is>
      </c>
      <c r="H35" s="39" t="inlineStr">
        <is>
          <t>Obligatorio SEPS (Régimen General)</t>
        </is>
      </c>
      <c r="I35" s="39" t="inlineStr">
        <is>
          <t>-</t>
        </is>
      </c>
      <c r="J35" s="39" t="inlineStr">
        <is>
          <t>1. Regulatorio SEPS 002-2022 + ISO 27001</t>
        </is>
      </c>
      <c r="K35" s="39" t="inlineStr">
        <is>
          <t>Aplica</t>
        </is>
      </c>
      <c r="L35" s="39" t="inlineStr">
        <is>
          <t>Requerido por ente regulador SEPS</t>
        </is>
      </c>
    </row>
    <row r="36" ht="48" customHeight="1" s="98">
      <c r="A36" s="39" t="inlineStr">
        <is>
          <t>5.35</t>
        </is>
      </c>
      <c r="B36" s="39" t="inlineStr">
        <is>
          <t>Revisión independiente de la seguridad de la información</t>
        </is>
      </c>
      <c r="C36" s="39" t="inlineStr">
        <is>
          <t>#Preventivo</t>
        </is>
      </c>
      <c r="D36" s="39" t="inlineStr">
        <is>
          <t>#Confidencialidad, #Integridad, #Disponibilidad</t>
        </is>
      </c>
      <c r="E36" s="39" t="inlineStr">
        <is>
          <t>#Identificar</t>
        </is>
      </c>
      <c r="F36" s="38" t="inlineStr">
        <is>
          <t>#Información_seguridad_garantía</t>
        </is>
      </c>
      <c r="G36" s="39" t="inlineStr">
        <is>
          <t>#Gobernanza_y_Ecosistema</t>
        </is>
      </c>
      <c r="H36" s="39" t="inlineStr">
        <is>
          <t>Obligatorio SEPS (Régimen General)</t>
        </is>
      </c>
      <c r="I36" s="39" t="inlineStr">
        <is>
          <t>-</t>
        </is>
      </c>
      <c r="J36" s="39" t="inlineStr">
        <is>
          <t>1. Regulatorio SEPS 002-2022 + ISO 27001</t>
        </is>
      </c>
      <c r="K36" s="39" t="inlineStr">
        <is>
          <t>Aplica</t>
        </is>
      </c>
      <c r="L36" s="39" t="inlineStr">
        <is>
          <t>Requerido por ente regulador SEPS</t>
        </is>
      </c>
    </row>
    <row r="37" ht="48" customHeight="1" s="98">
      <c r="A37" s="39" t="inlineStr">
        <is>
          <t>5.36</t>
        </is>
      </c>
      <c r="B37" s="39" t="inlineStr">
        <is>
          <t>Cumplimiento de las políticas, normas y estándares de seguridad</t>
        </is>
      </c>
      <c r="C37" s="39" t="inlineStr">
        <is>
          <t>#Preventivo</t>
        </is>
      </c>
      <c r="D37" s="39" t="inlineStr">
        <is>
          <t>#Confidencialidad, #Integridad, #Disponibilidad</t>
        </is>
      </c>
      <c r="E37" s="39" t="inlineStr">
        <is>
          <t>#Identificar</t>
        </is>
      </c>
      <c r="F37" s="38" t="inlineStr">
        <is>
          <t>#Gobernanza</t>
        </is>
      </c>
      <c r="G37" s="39" t="inlineStr">
        <is>
          <t>#Gobernanza_y_Ecosistema</t>
        </is>
      </c>
      <c r="H37" s="39" t="inlineStr">
        <is>
          <t>Obligatorio SEPS (Régimen General)</t>
        </is>
      </c>
      <c r="I37" s="39" t="inlineStr">
        <is>
          <t>-</t>
        </is>
      </c>
      <c r="J37" s="39" t="inlineStr">
        <is>
          <t>1. Regulatorio SEPS 002-2022 + ISO 27001</t>
        </is>
      </c>
      <c r="K37" s="39" t="inlineStr">
        <is>
          <t>Aplica</t>
        </is>
      </c>
      <c r="L37" s="39" t="inlineStr">
        <is>
          <t>Requerido por ente regulador SEPS</t>
        </is>
      </c>
    </row>
    <row r="38" ht="36" customHeight="1" s="98">
      <c r="A38" s="39" t="inlineStr">
        <is>
          <t>5.37</t>
        </is>
      </c>
      <c r="B38" s="39" t="inlineStr">
        <is>
          <t>Procedimientos operativos documentados</t>
        </is>
      </c>
      <c r="C38" s="39" t="inlineStr">
        <is>
          <t>#Preventivo</t>
        </is>
      </c>
      <c r="D38" s="39" t="inlineStr">
        <is>
          <t>#Confidencialidad, #Integridad, #Disponibilidad</t>
        </is>
      </c>
      <c r="E38" s="39" t="inlineStr">
        <is>
          <t>#Proteger</t>
        </is>
      </c>
      <c r="F38" s="38" t="inlineStr">
        <is>
          <t>#Gobernanza</t>
        </is>
      </c>
      <c r="G38" s="39" t="inlineStr">
        <is>
          <t>#Gobernanza_y_Ecosistema</t>
        </is>
      </c>
      <c r="H38" s="39" t="inlineStr">
        <is>
          <t>Obligatorio SEPS (Régimen General)</t>
        </is>
      </c>
      <c r="I38" s="39" t="inlineStr">
        <is>
          <t>-</t>
        </is>
      </c>
      <c r="J38" s="39" t="inlineStr">
        <is>
          <t>1. Regulatorio SEPS 002-2022 + ISO 27001</t>
        </is>
      </c>
      <c r="K38" s="39" t="inlineStr">
        <is>
          <t>Aplica</t>
        </is>
      </c>
      <c r="L38" s="39" t="inlineStr">
        <is>
          <t>Requerido por ente regulador SEPS</t>
        </is>
      </c>
    </row>
    <row r="39" ht="36" customHeight="1" s="98">
      <c r="A39" s="39" t="inlineStr">
        <is>
          <t>6.1</t>
        </is>
      </c>
      <c r="B39" s="39" t="inlineStr">
        <is>
          <t>Investigación de antecedentes</t>
        </is>
      </c>
      <c r="C39" s="39" t="inlineStr">
        <is>
          <t>#Preventivo</t>
        </is>
      </c>
      <c r="D39" s="39" t="inlineStr">
        <is>
          <t>#Confidencialidad, #Integridad, #Disponibilidad</t>
        </is>
      </c>
      <c r="E39" s="39" t="inlineStr">
        <is>
          <t>#Proteger</t>
        </is>
      </c>
      <c r="F39" s="38" t="inlineStr">
        <is>
          <t>#Seguridad_de_recursos_humanos</t>
        </is>
      </c>
      <c r="G39" s="39" t="inlineStr">
        <is>
          <t>#Proteccion</t>
        </is>
      </c>
      <c r="H39" s="39" t="inlineStr">
        <is>
          <t>Obligatorio SEPS (Régimen General)</t>
        </is>
      </c>
      <c r="I39" s="39" t="inlineStr">
        <is>
          <t>-</t>
        </is>
      </c>
      <c r="J39" s="39" t="inlineStr">
        <is>
          <t>1. Regulatorio SEPS 002-2022 + ISO 27001</t>
        </is>
      </c>
      <c r="K39" s="39" t="inlineStr">
        <is>
          <t>Aplica</t>
        </is>
      </c>
      <c r="L39" s="39" t="inlineStr">
        <is>
          <t>Requerido por ente regulador SEPS</t>
        </is>
      </c>
    </row>
    <row r="40" ht="36" customHeight="1" s="98">
      <c r="A40" s="39" t="inlineStr">
        <is>
          <t>6.2</t>
        </is>
      </c>
      <c r="B40" s="39" t="inlineStr">
        <is>
          <t>Términos y condiciones de empleo</t>
        </is>
      </c>
      <c r="C40" s="39" t="inlineStr">
        <is>
          <t>#Preventivo</t>
        </is>
      </c>
      <c r="D40" s="39" t="inlineStr">
        <is>
          <t>#Confidencialidad, #Integridad, #Disponibilidad</t>
        </is>
      </c>
      <c r="E40" s="39" t="inlineStr">
        <is>
          <t>#Proteger</t>
        </is>
      </c>
      <c r="F40" s="38" t="inlineStr">
        <is>
          <t>#Seguridad_de_recursos_humanos</t>
        </is>
      </c>
      <c r="G40" s="39" t="inlineStr">
        <is>
          <t>#Proteccion</t>
        </is>
      </c>
      <c r="H40" s="39" t="inlineStr">
        <is>
          <t>Obligatorio SEPS (Régimen General)</t>
        </is>
      </c>
      <c r="I40" s="39" t="inlineStr">
        <is>
          <t>-</t>
        </is>
      </c>
      <c r="J40" s="39" t="inlineStr">
        <is>
          <t>1. Regulatorio SEPS 002-2022 + ISO 27001</t>
        </is>
      </c>
      <c r="K40" s="39" t="inlineStr">
        <is>
          <t>Aplica</t>
        </is>
      </c>
      <c r="L40" s="39" t="inlineStr">
        <is>
          <t>Requerido por ente regulador SEPS</t>
        </is>
      </c>
    </row>
    <row r="41" ht="36" customHeight="1" s="98">
      <c r="A41" s="39" t="inlineStr">
        <is>
          <t>6.3</t>
        </is>
      </c>
      <c r="B41" s="39" t="inlineStr">
        <is>
          <t>Concienciación, educación y capacitación</t>
        </is>
      </c>
      <c r="C41" s="39" t="inlineStr">
        <is>
          <t>#Preventivo</t>
        </is>
      </c>
      <c r="D41" s="39" t="inlineStr">
        <is>
          <t>#Confidencialidad, #Integridad, #Disponibilidad</t>
        </is>
      </c>
      <c r="E41" s="39" t="inlineStr">
        <is>
          <t>#Proteger</t>
        </is>
      </c>
      <c r="F41" s="38" t="inlineStr">
        <is>
          <t>#Seguridad_de_recursos_humanos</t>
        </is>
      </c>
      <c r="G41" s="39" t="inlineStr">
        <is>
          <t>#Proteccion</t>
        </is>
      </c>
      <c r="H41" s="39" t="inlineStr">
        <is>
          <t>Obligatorio SEPS (Régimen General)</t>
        </is>
      </c>
      <c r="I41" s="39" t="inlineStr">
        <is>
          <t>C5: Programas de concienciación y capacitación</t>
        </is>
      </c>
      <c r="J41" s="39" t="inlineStr">
        <is>
          <t>2. Metodología Interna GSO-GSI + ISO 27001</t>
        </is>
      </c>
      <c r="K41" s="39" t="inlineStr">
        <is>
          <t>Aplica</t>
        </is>
      </c>
      <c r="L41" s="39" t="inlineStr">
        <is>
          <t>Requisito interno GSO-GSI</t>
        </is>
      </c>
    </row>
    <row r="42" ht="36" customHeight="1" s="98">
      <c r="A42" s="39" t="inlineStr">
        <is>
          <t>6.4</t>
        </is>
      </c>
      <c r="B42" s="39" t="inlineStr">
        <is>
          <t>Proceso disciplinario</t>
        </is>
      </c>
      <c r="C42" s="39" t="inlineStr">
        <is>
          <t>#Correctivo, #Preventivo</t>
        </is>
      </c>
      <c r="D42" s="39" t="inlineStr">
        <is>
          <t>#Confidencialidad, #Integridad, #Disponibilidad</t>
        </is>
      </c>
      <c r="E42" s="39" t="inlineStr">
        <is>
          <t>#Responder</t>
        </is>
      </c>
      <c r="F42" s="38" t="inlineStr">
        <is>
          <t>#Seguridad_de_recursos_humanos</t>
        </is>
      </c>
      <c r="G42" s="39" t="inlineStr">
        <is>
          <t>#Defensa</t>
        </is>
      </c>
      <c r="H42" s="39" t="inlineStr">
        <is>
          <t>Obligatorio SEPS (Régimen General)</t>
        </is>
      </c>
      <c r="I42" s="39" t="inlineStr">
        <is>
          <t>-</t>
        </is>
      </c>
      <c r="J42" s="39" t="inlineStr">
        <is>
          <t>1. Regulatorio SEPS 002-2022 + ISO 27001</t>
        </is>
      </c>
      <c r="K42" s="39" t="inlineStr">
        <is>
          <t>Aplica</t>
        </is>
      </c>
      <c r="L42" s="39" t="inlineStr">
        <is>
          <t>Requerido por ente regulador SEPS</t>
        </is>
      </c>
    </row>
    <row r="43" ht="48" customHeight="1" s="98">
      <c r="A43" s="39" t="inlineStr">
        <is>
          <t>6.5</t>
        </is>
      </c>
      <c r="B43" s="39" t="inlineStr">
        <is>
          <t>Responsabilidades después de la terminación o cambio de empleo</t>
        </is>
      </c>
      <c r="C43" s="39" t="inlineStr">
        <is>
          <t>#Preventivo</t>
        </is>
      </c>
      <c r="D43" s="39" t="inlineStr">
        <is>
          <t>#Confidencialidad, #Integridad, #Disponibilidad</t>
        </is>
      </c>
      <c r="E43" s="39" t="inlineStr">
        <is>
          <t>#Proteger</t>
        </is>
      </c>
      <c r="F43" s="38" t="inlineStr">
        <is>
          <t>#Seguridad_de_recursos_humanos</t>
        </is>
      </c>
      <c r="G43" s="39" t="inlineStr">
        <is>
          <t>#Proteccion</t>
        </is>
      </c>
      <c r="H43" s="39" t="inlineStr">
        <is>
          <t>Obligatorio SEPS (Régimen General)</t>
        </is>
      </c>
      <c r="I43" s="39" t="inlineStr">
        <is>
          <t>-</t>
        </is>
      </c>
      <c r="J43" s="39" t="inlineStr">
        <is>
          <t>1. Regulatorio SEPS 002-2022 + ISO 27001</t>
        </is>
      </c>
      <c r="K43" s="39" t="inlineStr">
        <is>
          <t>Aplica</t>
        </is>
      </c>
      <c r="L43" s="39" t="inlineStr">
        <is>
          <t>Requerido por ente regulador SEPS</t>
        </is>
      </c>
    </row>
    <row r="44" ht="36" customHeight="1" s="98">
      <c r="A44" s="39" t="inlineStr">
        <is>
          <t>6.6</t>
        </is>
      </c>
      <c r="B44" s="39" t="inlineStr">
        <is>
          <t>Acuerdos de confidencialidad o no divulgación</t>
        </is>
      </c>
      <c r="C44" s="39" t="inlineStr">
        <is>
          <t>#Preventivo</t>
        </is>
      </c>
      <c r="D44" s="39" t="inlineStr">
        <is>
          <t>#Confidencialidad, #Integridad, #Disponibilidad</t>
        </is>
      </c>
      <c r="E44" s="39" t="inlineStr">
        <is>
          <t>#Proteger</t>
        </is>
      </c>
      <c r="F44" s="38" t="inlineStr">
        <is>
          <t>#Seguridad_de_recursos_humanos</t>
        </is>
      </c>
      <c r="G44" s="39" t="inlineStr">
        <is>
          <t>#Proteccion</t>
        </is>
      </c>
      <c r="H44" s="39" t="inlineStr">
        <is>
          <t>Obligatorio SEPS (Régimen General)</t>
        </is>
      </c>
      <c r="I44" s="39" t="inlineStr">
        <is>
          <t>C3: Acuerdos de confidencialidad</t>
        </is>
      </c>
      <c r="J44" s="39" t="inlineStr">
        <is>
          <t>2. Metodología Interna GSO-GSI + ISO 27001</t>
        </is>
      </c>
      <c r="K44" s="39" t="inlineStr">
        <is>
          <t>Aplica</t>
        </is>
      </c>
      <c r="L44" s="39" t="inlineStr">
        <is>
          <t>Requisito interno GSO-GSI</t>
        </is>
      </c>
    </row>
    <row r="45" ht="48" customHeight="1" s="98">
      <c r="A45" s="39" t="inlineStr">
        <is>
          <t>6.7</t>
        </is>
      </c>
      <c r="B45" s="39" t="inlineStr">
        <is>
          <t>Trabajo a distancia</t>
        </is>
      </c>
      <c r="C45" s="39" t="inlineStr">
        <is>
          <t>#Preventivo</t>
        </is>
      </c>
      <c r="D45" s="39" t="inlineStr">
        <is>
          <t>#Confidencialidad, #Integridad, #Disponibilidad</t>
        </is>
      </c>
      <c r="E45" s="39" t="inlineStr">
        <is>
          <t>#Proteger</t>
        </is>
      </c>
      <c r="F45" s="38" t="inlineStr">
        <is>
          <t>#Seguridad_de_recursos_humanos</t>
        </is>
      </c>
      <c r="G45" s="39" t="inlineStr">
        <is>
          <t>#Proteccion</t>
        </is>
      </c>
      <c r="H45" s="39" t="inlineStr">
        <is>
          <t>Obligatorio SEPS (Régimen General)</t>
        </is>
      </c>
      <c r="I45" s="39" t="inlineStr">
        <is>
          <t>-</t>
        </is>
      </c>
      <c r="J45" s="39" t="inlineStr">
        <is>
          <t>4. No Aplica</t>
        </is>
      </c>
      <c r="K45" s="39" t="inlineStr">
        <is>
          <t>No Aplica</t>
        </is>
      </c>
      <c r="L45" s="39" t="inlineStr">
        <is>
          <t>Control 6.7 no es pertinente a los procesos actuales de la entidad</t>
        </is>
      </c>
    </row>
    <row r="46" ht="36" customHeight="1" s="98">
      <c r="A46" s="39" t="inlineStr">
        <is>
          <t>6.8</t>
        </is>
      </c>
      <c r="B46" s="39" t="inlineStr">
        <is>
          <t>Notificación de eventos de seguridad de la información</t>
        </is>
      </c>
      <c r="C46" s="39" t="inlineStr">
        <is>
          <t>#Preventivo, #Detectivo</t>
        </is>
      </c>
      <c r="D46" s="39" t="inlineStr">
        <is>
          <t>#Confidencialidad, #Integridad, #Disponibilidad</t>
        </is>
      </c>
      <c r="E46" s="39" t="inlineStr">
        <is>
          <t>#Detectar</t>
        </is>
      </c>
      <c r="F46" s="38" t="inlineStr">
        <is>
          <t>#Seguridad_de_recursos_humanos</t>
        </is>
      </c>
      <c r="G46" s="39" t="inlineStr">
        <is>
          <t>#Defensa</t>
        </is>
      </c>
      <c r="H46" s="39" t="inlineStr">
        <is>
          <t>Obligatorio SEPS (Régimen General)</t>
        </is>
      </c>
      <c r="I46" s="39" t="inlineStr">
        <is>
          <t>-</t>
        </is>
      </c>
      <c r="J46" s="39" t="inlineStr">
        <is>
          <t>1. Regulatorio SEPS 002-2022 + ISO 27001</t>
        </is>
      </c>
      <c r="K46" s="39" t="inlineStr">
        <is>
          <t>Aplica</t>
        </is>
      </c>
      <c r="L46" s="39" t="inlineStr">
        <is>
          <t>Requerido por ente regulador SEPS</t>
        </is>
      </c>
    </row>
    <row r="47" ht="36" customHeight="1" s="98">
      <c r="A47" s="39" t="inlineStr">
        <is>
          <t>7.1</t>
        </is>
      </c>
      <c r="B47" s="39" t="inlineStr">
        <is>
          <t>Perímetros de seguridad física</t>
        </is>
      </c>
      <c r="C47" s="39" t="inlineStr">
        <is>
          <t>#Preventivo</t>
        </is>
      </c>
      <c r="D47" s="39" t="inlineStr">
        <is>
          <t>#Confidencialidad, #Integridad, #Disponibilidad</t>
        </is>
      </c>
      <c r="E47" s="39" t="inlineStr">
        <is>
          <t>#Proteger</t>
        </is>
      </c>
      <c r="F47" s="38" t="inlineStr">
        <is>
          <t>#Seguridad_física</t>
        </is>
      </c>
      <c r="G47" s="39" t="inlineStr">
        <is>
          <t>#Proteccion</t>
        </is>
      </c>
      <c r="H47" s="39" t="inlineStr">
        <is>
          <t>Obligatorio SEPS (Régimen General)</t>
        </is>
      </c>
      <c r="I47" s="39" t="inlineStr">
        <is>
          <t>-</t>
        </is>
      </c>
      <c r="J47" s="39" t="inlineStr">
        <is>
          <t>1. Regulatorio SEPS 002-2022 + ISO 27001</t>
        </is>
      </c>
      <c r="K47" s="39" t="inlineStr">
        <is>
          <t>Aplica</t>
        </is>
      </c>
      <c r="L47" s="39" t="inlineStr">
        <is>
          <t>Requerido por ente regulador SEPS</t>
        </is>
      </c>
    </row>
    <row r="48" ht="36" customHeight="1" s="98">
      <c r="A48" s="39" t="inlineStr">
        <is>
          <t>7.2</t>
        </is>
      </c>
      <c r="B48" s="39" t="inlineStr">
        <is>
          <t>Controles de entrada física</t>
        </is>
      </c>
      <c r="C48" s="39" t="inlineStr">
        <is>
          <t>#Preventivo</t>
        </is>
      </c>
      <c r="D48" s="39" t="inlineStr">
        <is>
          <t>#Confidencialidad, #Integridad, #Disponibilidad</t>
        </is>
      </c>
      <c r="E48" s="39" t="inlineStr">
        <is>
          <t>#Proteger</t>
        </is>
      </c>
      <c r="F48" s="38" t="inlineStr">
        <is>
          <t>#Seguridad_física</t>
        </is>
      </c>
      <c r="G48" s="39" t="inlineStr">
        <is>
          <t>#Proteccion</t>
        </is>
      </c>
      <c r="H48" s="39" t="inlineStr">
        <is>
          <t>Obligatorio SEPS (Régimen General)</t>
        </is>
      </c>
      <c r="I48" s="39" t="inlineStr">
        <is>
          <t>-</t>
        </is>
      </c>
      <c r="J48" s="39" t="inlineStr">
        <is>
          <t>1. Regulatorio SEPS 002-2022 + ISO 27001</t>
        </is>
      </c>
      <c r="K48" s="39" t="inlineStr">
        <is>
          <t>Aplica</t>
        </is>
      </c>
      <c r="L48" s="39" t="inlineStr">
        <is>
          <t>Requerido por ente regulador SEPS</t>
        </is>
      </c>
    </row>
    <row r="49" ht="36" customHeight="1" s="98">
      <c r="A49" s="39" t="inlineStr">
        <is>
          <t>7.3</t>
        </is>
      </c>
      <c r="B49" s="39" t="inlineStr">
        <is>
          <t>Seguridad de oficinas, despachos e instalaciones</t>
        </is>
      </c>
      <c r="C49" s="39" t="inlineStr">
        <is>
          <t>#Preventivo</t>
        </is>
      </c>
      <c r="D49" s="39" t="inlineStr">
        <is>
          <t>#Confidencialidad, #Integridad, #Disponibilidad</t>
        </is>
      </c>
      <c r="E49" s="39" t="inlineStr">
        <is>
          <t>#Proteger</t>
        </is>
      </c>
      <c r="F49" s="38" t="inlineStr">
        <is>
          <t>#Seguridad_física</t>
        </is>
      </c>
      <c r="G49" s="39" t="inlineStr">
        <is>
          <t>#Proteccion</t>
        </is>
      </c>
      <c r="H49" s="39" t="inlineStr">
        <is>
          <t>Obligatorio SEPS (Régimen General)</t>
        </is>
      </c>
      <c r="I49" s="39" t="inlineStr">
        <is>
          <t>-</t>
        </is>
      </c>
      <c r="J49" s="39" t="inlineStr">
        <is>
          <t>1. Regulatorio SEPS 002-2022 + ISO 27001</t>
        </is>
      </c>
      <c r="K49" s="39" t="inlineStr">
        <is>
          <t>Aplica</t>
        </is>
      </c>
      <c r="L49" s="39" t="inlineStr">
        <is>
          <t>Requerido por ente regulador SEPS</t>
        </is>
      </c>
    </row>
    <row r="50" ht="36" customHeight="1" s="98">
      <c r="A50" s="39" t="inlineStr">
        <is>
          <t>7.4</t>
        </is>
      </c>
      <c r="B50" s="39" t="inlineStr">
        <is>
          <t>Supervisión de la seguridad física</t>
        </is>
      </c>
      <c r="C50" s="39" t="inlineStr">
        <is>
          <t>#Detectivo</t>
        </is>
      </c>
      <c r="D50" s="39" t="inlineStr">
        <is>
          <t>#Confidencialidad, #Integridad, #Disponibilidad</t>
        </is>
      </c>
      <c r="E50" s="39" t="inlineStr">
        <is>
          <t>#Detectar</t>
        </is>
      </c>
      <c r="F50" s="38" t="inlineStr">
        <is>
          <t>#Seguridad_física</t>
        </is>
      </c>
      <c r="G50" s="39" t="inlineStr">
        <is>
          <t>#Proteccion</t>
        </is>
      </c>
      <c r="H50" s="39" t="inlineStr">
        <is>
          <t>Obligatorio SEPS (Régimen General)</t>
        </is>
      </c>
      <c r="I50" s="39" t="inlineStr">
        <is>
          <t>-</t>
        </is>
      </c>
      <c r="J50" s="39" t="inlineStr">
        <is>
          <t>1. Regulatorio SEPS 002-2022 + ISO 27001</t>
        </is>
      </c>
      <c r="K50" s="39" t="inlineStr">
        <is>
          <t>Aplica</t>
        </is>
      </c>
      <c r="L50" s="39" t="inlineStr">
        <is>
          <t>Requerido por ente regulador SEPS</t>
        </is>
      </c>
    </row>
    <row r="51" ht="36" customHeight="1" s="98">
      <c r="A51" s="39" t="inlineStr">
        <is>
          <t>7.5</t>
        </is>
      </c>
      <c r="B51" s="39" t="inlineStr">
        <is>
          <t>Protección contra amenazas físicas y ambientales</t>
        </is>
      </c>
      <c r="C51" s="39" t="inlineStr">
        <is>
          <t>#Preventivo</t>
        </is>
      </c>
      <c r="D51" s="39" t="inlineStr">
        <is>
          <t>#Confidencialidad, #Integridad, #Disponibilidad</t>
        </is>
      </c>
      <c r="E51" s="39" t="inlineStr">
        <is>
          <t>#Proteger</t>
        </is>
      </c>
      <c r="F51" s="38" t="inlineStr">
        <is>
          <t>#Seguridad_física</t>
        </is>
      </c>
      <c r="G51" s="39" t="inlineStr">
        <is>
          <t>#Resiliencia</t>
        </is>
      </c>
      <c r="H51" s="39" t="inlineStr">
        <is>
          <t>Obligatorio SEPS (Régimen General)</t>
        </is>
      </c>
      <c r="I51" s="39" t="inlineStr">
        <is>
          <t>-</t>
        </is>
      </c>
      <c r="J51" s="39" t="inlineStr">
        <is>
          <t>1. Regulatorio SEPS 002-2022 + ISO 27001</t>
        </is>
      </c>
      <c r="K51" s="39" t="inlineStr">
        <is>
          <t>Aplica</t>
        </is>
      </c>
      <c r="L51" s="39" t="inlineStr">
        <is>
          <t>Requerido por ente regulador SEPS</t>
        </is>
      </c>
    </row>
    <row r="52" ht="36" customHeight="1" s="98">
      <c r="A52" s="39" t="inlineStr">
        <is>
          <t>7.6</t>
        </is>
      </c>
      <c r="B52" s="39" t="inlineStr">
        <is>
          <t>Trabajo en áreas seguras</t>
        </is>
      </c>
      <c r="C52" s="39" t="inlineStr">
        <is>
          <t>#Preventivo</t>
        </is>
      </c>
      <c r="D52" s="39" t="inlineStr">
        <is>
          <t>#Confidencialidad, #Integridad, #Disponibilidad</t>
        </is>
      </c>
      <c r="E52" s="39" t="inlineStr">
        <is>
          <t>#Proteger</t>
        </is>
      </c>
      <c r="F52" s="38" t="inlineStr">
        <is>
          <t>#Seguridad_física</t>
        </is>
      </c>
      <c r="G52" s="39" t="inlineStr">
        <is>
          <t>#Proteccion</t>
        </is>
      </c>
      <c r="H52" s="39" t="inlineStr">
        <is>
          <t>Obligatorio SEPS (Régimen General)</t>
        </is>
      </c>
      <c r="I52" s="39" t="inlineStr">
        <is>
          <t>-</t>
        </is>
      </c>
      <c r="J52" s="39" t="inlineStr">
        <is>
          <t>1. Regulatorio SEPS 002-2022 + ISO 27001</t>
        </is>
      </c>
      <c r="K52" s="39" t="inlineStr">
        <is>
          <t>Aplica</t>
        </is>
      </c>
      <c r="L52" s="39" t="inlineStr">
        <is>
          <t>Requerido por ente regulador SEPS</t>
        </is>
      </c>
    </row>
    <row r="53" ht="36" customHeight="1" s="98">
      <c r="A53" s="39" t="inlineStr">
        <is>
          <t>7.7</t>
        </is>
      </c>
      <c r="B53" s="39" t="inlineStr">
        <is>
          <t>Política de escritorio despejado y pantalla despejada</t>
        </is>
      </c>
      <c r="C53" s="39" t="inlineStr">
        <is>
          <t>#Preventivo</t>
        </is>
      </c>
      <c r="D53" s="39" t="inlineStr">
        <is>
          <t>#Confidencialidad, #Integridad, #Disponibilidad</t>
        </is>
      </c>
      <c r="E53" s="39" t="inlineStr">
        <is>
          <t>#Proteger</t>
        </is>
      </c>
      <c r="F53" s="38" t="inlineStr">
        <is>
          <t>#Seguridad_física</t>
        </is>
      </c>
      <c r="G53" s="39" t="inlineStr">
        <is>
          <t>#Proteccion</t>
        </is>
      </c>
      <c r="H53" s="39" t="inlineStr">
        <is>
          <t>Obligatorio SEPS (Régimen General)</t>
        </is>
      </c>
      <c r="I53" s="39" t="inlineStr">
        <is>
          <t>-</t>
        </is>
      </c>
      <c r="J53" s="39" t="inlineStr">
        <is>
          <t>1. Regulatorio SEPS 002-2022 + ISO 27001</t>
        </is>
      </c>
      <c r="K53" s="39" t="inlineStr">
        <is>
          <t>Aplica</t>
        </is>
      </c>
      <c r="L53" s="39" t="inlineStr">
        <is>
          <t>Requerido por ente regulador SEPS</t>
        </is>
      </c>
    </row>
    <row r="54" ht="36" customHeight="1" s="98">
      <c r="A54" s="39" t="inlineStr">
        <is>
          <t>7.8</t>
        </is>
      </c>
      <c r="B54" s="39" t="inlineStr">
        <is>
          <t>Emplazamiento y protección de equipos</t>
        </is>
      </c>
      <c r="C54" s="39" t="inlineStr">
        <is>
          <t>#Preventivo</t>
        </is>
      </c>
      <c r="D54" s="39" t="inlineStr">
        <is>
          <t>#Confidencialidad, #Integridad, #Disponibilidad</t>
        </is>
      </c>
      <c r="E54" s="39" t="inlineStr">
        <is>
          <t>#Proteger</t>
        </is>
      </c>
      <c r="F54" s="38" t="inlineStr">
        <is>
          <t>#Seguridad_física</t>
        </is>
      </c>
      <c r="G54" s="39" t="inlineStr">
        <is>
          <t>#Proteccion</t>
        </is>
      </c>
      <c r="H54" s="39" t="inlineStr">
        <is>
          <t>Obligatorio SEPS (Régimen General)</t>
        </is>
      </c>
      <c r="I54" s="39" t="inlineStr">
        <is>
          <t>-</t>
        </is>
      </c>
      <c r="J54" s="39" t="inlineStr">
        <is>
          <t>1. Regulatorio SEPS 002-2022 + ISO 27001</t>
        </is>
      </c>
      <c r="K54" s="39" t="inlineStr">
        <is>
          <t>Aplica</t>
        </is>
      </c>
      <c r="L54" s="39" t="inlineStr">
        <is>
          <t>Requerido por ente regulador SEPS</t>
        </is>
      </c>
    </row>
    <row r="55" ht="36" customHeight="1" s="98">
      <c r="A55" s="39" t="inlineStr">
        <is>
          <t>7.9</t>
        </is>
      </c>
      <c r="B55" s="39" t="inlineStr">
        <is>
          <t>Seguridad de los activos fuera de las instalaciones</t>
        </is>
      </c>
      <c r="C55" s="39" t="inlineStr">
        <is>
          <t>#Preventivo</t>
        </is>
      </c>
      <c r="D55" s="39" t="inlineStr">
        <is>
          <t>#Confidencialidad, #Integridad, #Disponibilidad</t>
        </is>
      </c>
      <c r="E55" s="39" t="inlineStr">
        <is>
          <t>#Proteger</t>
        </is>
      </c>
      <c r="F55" s="38" t="inlineStr">
        <is>
          <t>#Gestión_de_activos</t>
        </is>
      </c>
      <c r="G55" s="39" t="inlineStr">
        <is>
          <t>#Proteccion</t>
        </is>
      </c>
      <c r="H55" s="39" t="inlineStr">
        <is>
          <t>Obligatorio SEPS (Régimen General)</t>
        </is>
      </c>
      <c r="I55" s="39" t="inlineStr">
        <is>
          <t>-</t>
        </is>
      </c>
      <c r="J55" s="39" t="inlineStr">
        <is>
          <t>1. Regulatorio SEPS 002-2022 + ISO 27001</t>
        </is>
      </c>
      <c r="K55" s="39" t="inlineStr">
        <is>
          <t>Aplica</t>
        </is>
      </c>
      <c r="L55" s="39" t="inlineStr">
        <is>
          <t>Requerido por ente regulador SEPS</t>
        </is>
      </c>
    </row>
    <row r="56" ht="36" customHeight="1" s="98">
      <c r="A56" s="39" t="inlineStr">
        <is>
          <t>7.10</t>
        </is>
      </c>
      <c r="B56" s="39" t="inlineStr">
        <is>
          <t>Soportes de almacenamiento</t>
        </is>
      </c>
      <c r="C56" s="39" t="inlineStr">
        <is>
          <t>#Preventivo</t>
        </is>
      </c>
      <c r="D56" s="39" t="inlineStr">
        <is>
          <t>#Confidencialidad, #Integridad, #Disponibilidad</t>
        </is>
      </c>
      <c r="E56" s="39" t="inlineStr">
        <is>
          <t>#Proteger</t>
        </is>
      </c>
      <c r="F56" s="38" t="inlineStr">
        <is>
          <t>#Gestión_de_activos</t>
        </is>
      </c>
      <c r="G56" s="39" t="inlineStr">
        <is>
          <t>#Proteccion</t>
        </is>
      </c>
      <c r="H56" s="39" t="inlineStr">
        <is>
          <t>Obligatorio SEPS (Régimen General)</t>
        </is>
      </c>
      <c r="I56" s="39" t="inlineStr">
        <is>
          <t>-</t>
        </is>
      </c>
      <c r="J56" s="39" t="inlineStr">
        <is>
          <t>1. Regulatorio SEPS 002-2022 + ISO 27001</t>
        </is>
      </c>
      <c r="K56" s="39" t="inlineStr">
        <is>
          <t>Aplica</t>
        </is>
      </c>
      <c r="L56" s="39" t="inlineStr">
        <is>
          <t>Requerido por ente regulador SEPS</t>
        </is>
      </c>
    </row>
    <row r="57" ht="36" customHeight="1" s="98">
      <c r="A57" s="39" t="inlineStr">
        <is>
          <t>7.11</t>
        </is>
      </c>
      <c r="B57" s="39" t="inlineStr">
        <is>
          <t>Servicios públicos</t>
        </is>
      </c>
      <c r="C57" s="39" t="inlineStr">
        <is>
          <t>#Preventivo</t>
        </is>
      </c>
      <c r="D57" s="39" t="inlineStr">
        <is>
          <t>#Confidencialidad, #Integridad, #Disponibilidad</t>
        </is>
      </c>
      <c r="E57" s="39" t="inlineStr">
        <is>
          <t>#Proteger</t>
        </is>
      </c>
      <c r="F57" s="38" t="inlineStr">
        <is>
          <t>#Seguridad_física</t>
        </is>
      </c>
      <c r="G57" s="39" t="inlineStr">
        <is>
          <t>#Resiliencia</t>
        </is>
      </c>
      <c r="H57" s="39" t="inlineStr">
        <is>
          <t>Obligatorio SEPS (Régimen General)</t>
        </is>
      </c>
      <c r="I57" s="39" t="inlineStr">
        <is>
          <t>-</t>
        </is>
      </c>
      <c r="J57" s="39" t="inlineStr">
        <is>
          <t>1. Regulatorio SEPS 002-2022 + ISO 27001</t>
        </is>
      </c>
      <c r="K57" s="39" t="inlineStr">
        <is>
          <t>Aplica</t>
        </is>
      </c>
      <c r="L57" s="39" t="inlineStr">
        <is>
          <t>Requerido por ente regulador SEPS</t>
        </is>
      </c>
    </row>
    <row r="58" ht="36" customHeight="1" s="98">
      <c r="A58" s="39" t="inlineStr">
        <is>
          <t>7.12</t>
        </is>
      </c>
      <c r="B58" s="39" t="inlineStr">
        <is>
          <t>Seguridad del cableado</t>
        </is>
      </c>
      <c r="C58" s="39" t="inlineStr">
        <is>
          <t>#Preventivo</t>
        </is>
      </c>
      <c r="D58" s="39" t="inlineStr">
        <is>
          <t>#Confidencialidad, #Integridad, #Disponibilidad</t>
        </is>
      </c>
      <c r="E58" s="39" t="inlineStr">
        <is>
          <t>#Proteger</t>
        </is>
      </c>
      <c r="F58" s="38" t="inlineStr">
        <is>
          <t>#Seguridad_física</t>
        </is>
      </c>
      <c r="G58" s="39" t="inlineStr">
        <is>
          <t>#Proteccion</t>
        </is>
      </c>
      <c r="H58" s="39" t="inlineStr">
        <is>
          <t>Obligatorio SEPS (Régimen General)</t>
        </is>
      </c>
      <c r="I58" s="39" t="inlineStr">
        <is>
          <t>-</t>
        </is>
      </c>
      <c r="J58" s="39" t="inlineStr">
        <is>
          <t>1. Regulatorio SEPS 002-2022 + ISO 27001</t>
        </is>
      </c>
      <c r="K58" s="39" t="inlineStr">
        <is>
          <t>Aplica</t>
        </is>
      </c>
      <c r="L58" s="39" t="inlineStr">
        <is>
          <t>Requerido por ente regulador SEPS</t>
        </is>
      </c>
    </row>
    <row r="59" ht="36" customHeight="1" s="98">
      <c r="A59" s="39" t="inlineStr">
        <is>
          <t>7.13</t>
        </is>
      </c>
      <c r="B59" s="39" t="inlineStr">
        <is>
          <t>Mantenimiento de equipos</t>
        </is>
      </c>
      <c r="C59" s="39" t="inlineStr">
        <is>
          <t>#Preventivo</t>
        </is>
      </c>
      <c r="D59" s="39" t="inlineStr">
        <is>
          <t>#Confidencialidad, #Integridad, #Disponibilidad</t>
        </is>
      </c>
      <c r="E59" s="39" t="inlineStr">
        <is>
          <t>#Proteger</t>
        </is>
      </c>
      <c r="F59" s="38" t="inlineStr">
        <is>
          <t>#Seguridad_física</t>
        </is>
      </c>
      <c r="G59" s="39" t="inlineStr">
        <is>
          <t>#Proteccion</t>
        </is>
      </c>
      <c r="H59" s="39" t="inlineStr">
        <is>
          <t>Obligatorio SEPS (Régimen General)</t>
        </is>
      </c>
      <c r="I59" s="39" t="inlineStr">
        <is>
          <t>C11: Mantenimiento periódico de activos físicos</t>
        </is>
      </c>
      <c r="J59" s="39" t="inlineStr">
        <is>
          <t>2. Metodología Interna GSO-GSI + ISO 27001</t>
        </is>
      </c>
      <c r="K59" s="39" t="inlineStr">
        <is>
          <t>Aplica</t>
        </is>
      </c>
      <c r="L59" s="39" t="inlineStr">
        <is>
          <t>Requisito interno GSO-GSI</t>
        </is>
      </c>
    </row>
    <row r="60" ht="36" customHeight="1" s="98">
      <c r="A60" s="39" t="inlineStr">
        <is>
          <t>7.14</t>
        </is>
      </c>
      <c r="B60" s="39" t="inlineStr">
        <is>
          <t>Eliminación segura o reutilización de equipos</t>
        </is>
      </c>
      <c r="C60" s="39" t="inlineStr">
        <is>
          <t>#Preventivo</t>
        </is>
      </c>
      <c r="D60" s="39" t="inlineStr">
        <is>
          <t>#Confidencialidad, #Integridad, #Disponibilidad</t>
        </is>
      </c>
      <c r="E60" s="39" t="inlineStr">
        <is>
          <t>#Proteger</t>
        </is>
      </c>
      <c r="F60" s="38" t="inlineStr">
        <is>
          <t>#Seguridad_física</t>
        </is>
      </c>
      <c r="G60" s="39" t="inlineStr">
        <is>
          <t>#Proteccion</t>
        </is>
      </c>
      <c r="H60" s="39" t="inlineStr">
        <is>
          <t>Obligatorio SEPS (Régimen General)</t>
        </is>
      </c>
      <c r="I60" s="39" t="inlineStr">
        <is>
          <t>-</t>
        </is>
      </c>
      <c r="J60" s="39" t="inlineStr">
        <is>
          <t>1. Regulatorio SEPS 002-2022 + ISO 27001</t>
        </is>
      </c>
      <c r="K60" s="39" t="inlineStr">
        <is>
          <t>Aplica</t>
        </is>
      </c>
      <c r="L60" s="39" t="inlineStr">
        <is>
          <t>Requerido por ente regulador SEPS</t>
        </is>
      </c>
    </row>
    <row r="61" ht="36" customHeight="1" s="98">
      <c r="A61" s="39" t="inlineStr">
        <is>
          <t>8.1</t>
        </is>
      </c>
      <c r="B61" s="39" t="inlineStr">
        <is>
          <t>Dispositivos de punto final de usuario</t>
        </is>
      </c>
      <c r="C61" s="39" t="inlineStr">
        <is>
          <t>#Preventivo</t>
        </is>
      </c>
      <c r="D61" s="39" t="inlineStr">
        <is>
          <t>#Confidencialidad, #Integridad, #Disponibilidad</t>
        </is>
      </c>
      <c r="E61" s="39" t="inlineStr">
        <is>
          <t>#Proteger</t>
        </is>
      </c>
      <c r="F61" s="38" t="inlineStr">
        <is>
          <t>#Gestión_de_activos</t>
        </is>
      </c>
      <c r="G61" s="39" t="inlineStr">
        <is>
          <t>#Proteccion</t>
        </is>
      </c>
      <c r="H61" s="39" t="inlineStr">
        <is>
          <t>Obligatorio SEPS (Régimen General)</t>
        </is>
      </c>
      <c r="I61" s="39" t="inlineStr">
        <is>
          <t>-</t>
        </is>
      </c>
      <c r="J61" s="39" t="inlineStr">
        <is>
          <t>1. Regulatorio SEPS 002-2022 + ISO 27001</t>
        </is>
      </c>
      <c r="K61" s="39" t="inlineStr">
        <is>
          <t>Aplica</t>
        </is>
      </c>
      <c r="L61" s="39" t="inlineStr">
        <is>
          <t>Requerido por ente regulador SEPS</t>
        </is>
      </c>
    </row>
    <row r="62" ht="36" customHeight="1" s="98">
      <c r="A62" s="39" t="inlineStr">
        <is>
          <t>8.2</t>
        </is>
      </c>
      <c r="B62" s="39" t="inlineStr">
        <is>
          <t>Derechos de acceso privilegiado</t>
        </is>
      </c>
      <c r="C62" s="39" t="inlineStr">
        <is>
          <t>#Preventivo</t>
        </is>
      </c>
      <c r="D62" s="39" t="inlineStr">
        <is>
          <t>#Confidencialidad, #Integridad, #Disponibilidad</t>
        </is>
      </c>
      <c r="E62" s="39" t="inlineStr">
        <is>
          <t>#Proteger</t>
        </is>
      </c>
      <c r="F62" s="38" t="inlineStr">
        <is>
          <t>#Administración_de_identidad_y_acceso</t>
        </is>
      </c>
      <c r="G62" s="39" t="inlineStr">
        <is>
          <t>#Proteccion</t>
        </is>
      </c>
      <c r="H62" s="39" t="inlineStr">
        <is>
          <t>Obligatorio SEPS (Régimen General)</t>
        </is>
      </c>
      <c r="I62" s="39" t="inlineStr">
        <is>
          <t>C9: Principio de mínimos privilegios</t>
        </is>
      </c>
      <c r="J62" s="39" t="inlineStr">
        <is>
          <t>2. Metodología Interna GSO-GSI + ISO 27001</t>
        </is>
      </c>
      <c r="K62" s="39" t="inlineStr">
        <is>
          <t>Aplica</t>
        </is>
      </c>
      <c r="L62" s="39" t="inlineStr">
        <is>
          <t>Requisito interno GSO-GSI</t>
        </is>
      </c>
    </row>
    <row r="63" ht="36" customHeight="1" s="98">
      <c r="A63" s="39" t="inlineStr">
        <is>
          <t>8.3</t>
        </is>
      </c>
      <c r="B63" s="39" t="inlineStr">
        <is>
          <t>Restricción del acceso a la información</t>
        </is>
      </c>
      <c r="C63" s="39" t="inlineStr">
        <is>
          <t>#Preventivo</t>
        </is>
      </c>
      <c r="D63" s="39" t="inlineStr">
        <is>
          <t>#Confidencialidad, #Integridad, #Disponibilidad</t>
        </is>
      </c>
      <c r="E63" s="39" t="inlineStr">
        <is>
          <t>#Proteger</t>
        </is>
      </c>
      <c r="F63" s="38" t="inlineStr">
        <is>
          <t>#Administración_de_identidad_y_acceso</t>
        </is>
      </c>
      <c r="G63" s="39" t="inlineStr">
        <is>
          <t>#Proteccion</t>
        </is>
      </c>
      <c r="H63" s="39" t="inlineStr">
        <is>
          <t>Obligatorio SEPS (Régimen General)</t>
        </is>
      </c>
      <c r="I63" s="39" t="inlineStr">
        <is>
          <t>C4: Restricción del control de acceso</t>
        </is>
      </c>
      <c r="J63" s="39" t="inlineStr">
        <is>
          <t>2. Metodología Interna GSO-GSI + ISO 27001</t>
        </is>
      </c>
      <c r="K63" s="39" t="inlineStr">
        <is>
          <t>Aplica</t>
        </is>
      </c>
      <c r="L63" s="39" t="inlineStr">
        <is>
          <t>Requisito interno GSO-GSI</t>
        </is>
      </c>
    </row>
    <row r="64" ht="36" customHeight="1" s="98">
      <c r="A64" s="39" t="inlineStr">
        <is>
          <t>8.4</t>
        </is>
      </c>
      <c r="B64" s="39" t="inlineStr">
        <is>
          <t>Acceso al código fuente</t>
        </is>
      </c>
      <c r="C64" s="39" t="inlineStr">
        <is>
          <t>#Preventivo</t>
        </is>
      </c>
      <c r="D64" s="39" t="inlineStr">
        <is>
          <t>#Confidencialidad, #Integridad, #Disponibilidad</t>
        </is>
      </c>
      <c r="E64" s="39" t="inlineStr">
        <is>
          <t>#Proteger</t>
        </is>
      </c>
      <c r="F64" s="38" t="inlineStr">
        <is>
          <t>#Seguridad_de_aplicaciones</t>
        </is>
      </c>
      <c r="G64" s="39" t="inlineStr">
        <is>
          <t>#Proteccion</t>
        </is>
      </c>
      <c r="H64" s="39" t="inlineStr">
        <is>
          <t>Obligatorio SEPS (Régimen General)</t>
        </is>
      </c>
      <c r="I64" s="39" t="inlineStr">
        <is>
          <t>-</t>
        </is>
      </c>
      <c r="J64" s="39" t="inlineStr">
        <is>
          <t>1. Regulatorio SEPS 002-2022 + ISO 27001</t>
        </is>
      </c>
      <c r="K64" s="39" t="inlineStr">
        <is>
          <t>Aplica</t>
        </is>
      </c>
      <c r="L64" s="39" t="inlineStr">
        <is>
          <t>Requerido por ente regulador SEPS</t>
        </is>
      </c>
    </row>
    <row r="65" ht="36" customHeight="1" s="98">
      <c r="A65" s="39" t="inlineStr">
        <is>
          <t>8.5</t>
        </is>
      </c>
      <c r="B65" s="39" t="inlineStr">
        <is>
          <t>Autenticación segura</t>
        </is>
      </c>
      <c r="C65" s="39" t="inlineStr">
        <is>
          <t>#Preventivo</t>
        </is>
      </c>
      <c r="D65" s="39" t="inlineStr">
        <is>
          <t>#Confidencialidad, #Integridad, #Disponibilidad</t>
        </is>
      </c>
      <c r="E65" s="39" t="inlineStr">
        <is>
          <t>#Proteger</t>
        </is>
      </c>
      <c r="F65" s="38" t="inlineStr">
        <is>
          <t>#Administración_de_identidad_y_acceso</t>
        </is>
      </c>
      <c r="G65" s="39" t="inlineStr">
        <is>
          <t>#Proteccion</t>
        </is>
      </c>
      <c r="H65" s="39" t="inlineStr">
        <is>
          <t>Obligatorio SEPS (Régimen General)</t>
        </is>
      </c>
      <c r="I65" s="39" t="inlineStr">
        <is>
          <t>-</t>
        </is>
      </c>
      <c r="J65" s="39" t="inlineStr">
        <is>
          <t>1. Regulatorio SEPS 002-2022 + ISO 27001</t>
        </is>
      </c>
      <c r="K65" s="39" t="inlineStr">
        <is>
          <t>Aplica</t>
        </is>
      </c>
      <c r="L65" s="39" t="inlineStr">
        <is>
          <t>Requerido por ente regulador SEPS</t>
        </is>
      </c>
    </row>
    <row r="66" ht="36" customHeight="1" s="98">
      <c r="A66" s="39" t="inlineStr">
        <is>
          <t>8.6</t>
        </is>
      </c>
      <c r="B66" s="39" t="inlineStr">
        <is>
          <t>Gestión de capacidad</t>
        </is>
      </c>
      <c r="C66" s="39" t="inlineStr">
        <is>
          <t>#Preventivo</t>
        </is>
      </c>
      <c r="D66" s="39" t="inlineStr">
        <is>
          <t>#Confidencialidad, #Integridad, #Disponibilidad</t>
        </is>
      </c>
      <c r="E66" s="39" t="inlineStr">
        <is>
          <t>#Proteger</t>
        </is>
      </c>
      <c r="F66" s="38" t="inlineStr">
        <is>
          <t>#Seguridad_de_sistemas_y_redes</t>
        </is>
      </c>
      <c r="G66" s="39" t="inlineStr">
        <is>
          <t>#Resiliencia</t>
        </is>
      </c>
      <c r="H66" s="39" t="inlineStr">
        <is>
          <t>Obligatorio SEPS (Régimen General)</t>
        </is>
      </c>
      <c r="I66" s="39" t="inlineStr">
        <is>
          <t>-</t>
        </is>
      </c>
      <c r="J66" s="39" t="inlineStr">
        <is>
          <t>1. Regulatorio SEPS 002-2022 + ISO 27001</t>
        </is>
      </c>
      <c r="K66" s="39" t="inlineStr">
        <is>
          <t>Aplica</t>
        </is>
      </c>
      <c r="L66" s="39" t="inlineStr">
        <is>
          <t>Requerido por ente regulador SEPS</t>
        </is>
      </c>
    </row>
    <row r="67" ht="36" customHeight="1" s="98">
      <c r="A67" s="39" t="inlineStr">
        <is>
          <t>8.7</t>
        </is>
      </c>
      <c r="B67" s="39" t="inlineStr">
        <is>
          <t>Protección contra malware</t>
        </is>
      </c>
      <c r="C67" s="39" t="inlineStr">
        <is>
          <t>#Preventivo, #Detectivo, #Correctivo</t>
        </is>
      </c>
      <c r="D67" s="39" t="inlineStr">
        <is>
          <t>#Confidencialidad, #Integridad, #Disponibilidad</t>
        </is>
      </c>
      <c r="E67" s="39" t="inlineStr">
        <is>
          <t>#Proteger</t>
        </is>
      </c>
      <c r="F67" s="38" t="inlineStr">
        <is>
          <t>#Seguridad_de_sistemas_y_redes</t>
        </is>
      </c>
      <c r="G67" s="39" t="inlineStr">
        <is>
          <t>#Defensa</t>
        </is>
      </c>
      <c r="H67" s="39" t="inlineStr">
        <is>
          <t>Obligatorio SEPS (Régimen General)</t>
        </is>
      </c>
      <c r="I67" s="39" t="inlineStr">
        <is>
          <t>-</t>
        </is>
      </c>
      <c r="J67" s="39" t="inlineStr">
        <is>
          <t>1. Regulatorio SEPS 002-2022 + ISO 27001</t>
        </is>
      </c>
      <c r="K67" s="39" t="inlineStr">
        <is>
          <t>Aplica</t>
        </is>
      </c>
      <c r="L67" s="39" t="inlineStr">
        <is>
          <t>Requerido por ente regulador SEPS</t>
        </is>
      </c>
    </row>
    <row r="68" ht="48" customHeight="1" s="98">
      <c r="A68" s="39" t="inlineStr">
        <is>
          <t>8.8</t>
        </is>
      </c>
      <c r="B68" s="39" t="inlineStr">
        <is>
          <t>Gestión de vulnerabilidades técnicas</t>
        </is>
      </c>
      <c r="C68" s="39" t="inlineStr">
        <is>
          <t>#Preventivo, #Correctivo</t>
        </is>
      </c>
      <c r="D68" s="39" t="inlineStr">
        <is>
          <t>#Confidencialidad, #Integridad, #Disponibilidad</t>
        </is>
      </c>
      <c r="E68" s="39" t="inlineStr">
        <is>
          <t>#Proteger</t>
        </is>
      </c>
      <c r="F68" s="38" t="inlineStr">
        <is>
          <t>#Gestión_de_amenazas_y_vulnerabilidades</t>
        </is>
      </c>
      <c r="G68" s="39" t="inlineStr">
        <is>
          <t>#Defensa</t>
        </is>
      </c>
      <c r="H68" s="39" t="inlineStr">
        <is>
          <t>Obligatorio SEPS (Régimen General)</t>
        </is>
      </c>
      <c r="I68" s="39" t="inlineStr">
        <is>
          <t>C12: Actualizaciones periódicas firmware/software</t>
        </is>
      </c>
      <c r="J68" s="39" t="inlineStr">
        <is>
          <t>2. Metodología Interna GSO-GSI + ISO 27001</t>
        </is>
      </c>
      <c r="K68" s="39" t="inlineStr">
        <is>
          <t>Aplica</t>
        </is>
      </c>
      <c r="L68" s="39" t="inlineStr">
        <is>
          <t>Requisito interno GSO-GSI</t>
        </is>
      </c>
    </row>
    <row r="69" ht="48" customHeight="1" s="98">
      <c r="A69" s="39" t="inlineStr">
        <is>
          <t>8.9</t>
        </is>
      </c>
      <c r="B69" s="39" t="inlineStr">
        <is>
          <t>Gestión de la configuración</t>
        </is>
      </c>
      <c r="C69" s="39" t="inlineStr">
        <is>
          <t>#Preventivo</t>
        </is>
      </c>
      <c r="D69" s="39" t="inlineStr">
        <is>
          <t>#Confidencialidad, #Integridad, #Disponibilidad</t>
        </is>
      </c>
      <c r="E69" s="39" t="inlineStr">
        <is>
          <t>#Proteger</t>
        </is>
      </c>
      <c r="F69" s="38" t="inlineStr">
        <is>
          <t>#Configuración_segura</t>
        </is>
      </c>
      <c r="G69" s="39" t="inlineStr">
        <is>
          <t>#Proteccion</t>
        </is>
      </c>
      <c r="H69" s="39" t="inlineStr">
        <is>
          <t>Obligatorio SEPS (Régimen General)</t>
        </is>
      </c>
      <c r="I69" s="39" t="inlineStr">
        <is>
          <t>C52: Mantenimiento preventivo / Configuración segura</t>
        </is>
      </c>
      <c r="J69" s="39" t="inlineStr">
        <is>
          <t>2. Metodología Interna GSO-GSI + ISO 27001</t>
        </is>
      </c>
      <c r="K69" s="39" t="inlineStr">
        <is>
          <t>Aplica</t>
        </is>
      </c>
      <c r="L69" s="39" t="inlineStr">
        <is>
          <t>Requisito interno GSO-GSI</t>
        </is>
      </c>
    </row>
    <row r="70" ht="36" customHeight="1" s="98">
      <c r="A70" s="39" t="inlineStr">
        <is>
          <t>8.10</t>
        </is>
      </c>
      <c r="B70" s="39" t="inlineStr">
        <is>
          <t>Eliminación de información</t>
        </is>
      </c>
      <c r="C70" s="39" t="inlineStr">
        <is>
          <t>#Preventivo</t>
        </is>
      </c>
      <c r="D70" s="39" t="inlineStr">
        <is>
          <t>#Confidencialidad, #Integridad, #Disponibilidad</t>
        </is>
      </c>
      <c r="E70" s="39" t="inlineStr">
        <is>
          <t>#Proteger</t>
        </is>
      </c>
      <c r="F70" s="38" t="inlineStr">
        <is>
          <t>#Protección_de_la_información</t>
        </is>
      </c>
      <c r="G70" s="39" t="inlineStr">
        <is>
          <t>#Proteccion</t>
        </is>
      </c>
      <c r="H70" s="39" t="inlineStr">
        <is>
          <t>Obligatorio SEPS (Régimen General)</t>
        </is>
      </c>
      <c r="I70" s="39" t="inlineStr">
        <is>
          <t>-</t>
        </is>
      </c>
      <c r="J70" s="39" t="inlineStr">
        <is>
          <t>1. Regulatorio SEPS 002-2022 + ISO 27001</t>
        </is>
      </c>
      <c r="K70" s="39" t="inlineStr">
        <is>
          <t>Aplica</t>
        </is>
      </c>
      <c r="L70" s="39" t="inlineStr">
        <is>
          <t>Requerido por ente regulador SEPS</t>
        </is>
      </c>
    </row>
    <row r="71" ht="60" customHeight="1" s="98">
      <c r="A71" s="39" t="inlineStr">
        <is>
          <t>8.11</t>
        </is>
      </c>
      <c r="B71" s="39" t="inlineStr">
        <is>
          <t>Enmascaramiento de datos</t>
        </is>
      </c>
      <c r="C71" s="39" t="inlineStr">
        <is>
          <t>#Preventivo</t>
        </is>
      </c>
      <c r="D71" s="39" t="inlineStr">
        <is>
          <t>#Confidencialidad, #Integridad, #Disponibilidad</t>
        </is>
      </c>
      <c r="E71" s="39" t="inlineStr">
        <is>
          <t>#Proteger</t>
        </is>
      </c>
      <c r="F71" s="38" t="inlineStr">
        <is>
          <t>#Protección_de_la_información</t>
        </is>
      </c>
      <c r="G71" s="39" t="inlineStr">
        <is>
          <t>#Proteccion</t>
        </is>
      </c>
      <c r="H71" s="39" t="inlineStr">
        <is>
          <t>Mejor Práctica (No obligatorio SEPS)</t>
        </is>
      </c>
      <c r="I71" s="39" t="inlineStr">
        <is>
          <t>-</t>
        </is>
      </c>
      <c r="J71" s="39" t="inlineStr">
        <is>
          <t>3. Tratamiento de Riesgos Específico (ISO 27002 / MAGERIT)</t>
        </is>
      </c>
      <c r="K71" s="39" t="inlineStr">
        <is>
          <t>Aplica</t>
        </is>
      </c>
      <c r="L71" s="39" t="inlineStr">
        <is>
          <t>Requisito de control complementario y mejor práctica de seguridad</t>
        </is>
      </c>
    </row>
    <row r="72" ht="36" customHeight="1" s="98">
      <c r="A72" s="39" t="inlineStr">
        <is>
          <t>8.12</t>
        </is>
      </c>
      <c r="B72" s="39" t="inlineStr">
        <is>
          <t>Prevención de fuga de datos</t>
        </is>
      </c>
      <c r="C72" s="39" t="inlineStr">
        <is>
          <t>#Preventivo, #Detectivo</t>
        </is>
      </c>
      <c r="D72" s="39" t="inlineStr">
        <is>
          <t>#Confidencialidad, #Integridad, #Disponibilidad</t>
        </is>
      </c>
      <c r="E72" s="39" t="inlineStr">
        <is>
          <t>#Proteger</t>
        </is>
      </c>
      <c r="F72" s="38" t="inlineStr">
        <is>
          <t>#Protección_de_la_información</t>
        </is>
      </c>
      <c r="G72" s="39" t="inlineStr">
        <is>
          <t>#Proteccion</t>
        </is>
      </c>
      <c r="H72" s="39" t="inlineStr">
        <is>
          <t>Obligatorio SEPS (Régimen General)</t>
        </is>
      </c>
      <c r="I72" s="39" t="inlineStr">
        <is>
          <t>-</t>
        </is>
      </c>
      <c r="J72" s="39" t="inlineStr">
        <is>
          <t>1. Regulatorio SEPS 002-2022 + ISO 27001</t>
        </is>
      </c>
      <c r="K72" s="39" t="inlineStr">
        <is>
          <t>Aplica</t>
        </is>
      </c>
      <c r="L72" s="39" t="inlineStr">
        <is>
          <t>Requerido por ente regulador SEPS</t>
        </is>
      </c>
    </row>
    <row r="73" ht="48" customHeight="1" s="98">
      <c r="A73" s="39" t="inlineStr">
        <is>
          <t>8.13</t>
        </is>
      </c>
      <c r="B73" s="39" t="inlineStr">
        <is>
          <t>Copias de seguridad de la información</t>
        </is>
      </c>
      <c r="C73" s="39" t="inlineStr">
        <is>
          <t>#Preventivo, #Correctivo</t>
        </is>
      </c>
      <c r="D73" s="39" t="inlineStr">
        <is>
          <t>#Confidencialidad, #Integridad, #Disponibilidad</t>
        </is>
      </c>
      <c r="E73" s="39" t="inlineStr">
        <is>
          <t>#Recuperar</t>
        </is>
      </c>
      <c r="F73" s="38" t="inlineStr">
        <is>
          <t>#Continuidad</t>
        </is>
      </c>
      <c r="G73" s="39" t="inlineStr">
        <is>
          <t>#Resiliencia</t>
        </is>
      </c>
      <c r="H73" s="39" t="inlineStr">
        <is>
          <t>Obligatorio SEPS (Régimen General)</t>
        </is>
      </c>
      <c r="I73" s="39" t="inlineStr">
        <is>
          <t>C6: Procedimientos de reversión (rollback) / Respaldo</t>
        </is>
      </c>
      <c r="J73" s="39" t="inlineStr">
        <is>
          <t>2. Metodología Interna GSO-GSI + ISO 27001</t>
        </is>
      </c>
      <c r="K73" s="39" t="inlineStr">
        <is>
          <t>Aplica</t>
        </is>
      </c>
      <c r="L73" s="39" t="inlineStr">
        <is>
          <t>Requisito interno GSO-GSI</t>
        </is>
      </c>
    </row>
    <row r="74" ht="48" customHeight="1" s="98">
      <c r="A74" s="39" t="inlineStr">
        <is>
          <t>8.14</t>
        </is>
      </c>
      <c r="B74" s="39" t="inlineStr">
        <is>
          <t>Redundancia de las instalaciones de procesamiento de información</t>
        </is>
      </c>
      <c r="C74" s="39" t="inlineStr">
        <is>
          <t>#Preventivo</t>
        </is>
      </c>
      <c r="D74" s="39" t="inlineStr">
        <is>
          <t>#Confidencialidad, #Integridad, #Disponibilidad</t>
        </is>
      </c>
      <c r="E74" s="39" t="inlineStr">
        <is>
          <t>#Recuperar</t>
        </is>
      </c>
      <c r="F74" s="38" t="inlineStr">
        <is>
          <t>#Continuidad</t>
        </is>
      </c>
      <c r="G74" s="39" t="inlineStr">
        <is>
          <t>#Resiliencia</t>
        </is>
      </c>
      <c r="H74" s="39" t="inlineStr">
        <is>
          <t>Obligatorio SEPS (Régimen General)</t>
        </is>
      </c>
      <c r="I74" s="39" t="inlineStr">
        <is>
          <t>-</t>
        </is>
      </c>
      <c r="J74" s="39" t="inlineStr">
        <is>
          <t>1. Regulatorio SEPS 002-2022 + ISO 27001</t>
        </is>
      </c>
      <c r="K74" s="39" t="inlineStr">
        <is>
          <t>Aplica</t>
        </is>
      </c>
      <c r="L74" s="39" t="inlineStr">
        <is>
          <t>Requerido por ente regulador SEPS</t>
        </is>
      </c>
    </row>
    <row r="75" ht="36" customHeight="1" s="98">
      <c r="A75" s="39" t="inlineStr">
        <is>
          <t>8.15</t>
        </is>
      </c>
      <c r="B75" s="39" t="inlineStr">
        <is>
          <t>Registro de eventos (Logging)</t>
        </is>
      </c>
      <c r="C75" s="39" t="inlineStr">
        <is>
          <t>#Detectivo</t>
        </is>
      </c>
      <c r="D75" s="39" t="inlineStr">
        <is>
          <t>#Confidencialidad, #Integridad, #Disponibilidad</t>
        </is>
      </c>
      <c r="E75" s="39" t="inlineStr">
        <is>
          <t>#Detectar</t>
        </is>
      </c>
      <c r="F75" s="38" t="inlineStr">
        <is>
          <t>#Seguridad_de_la_información_gestión_de_eventos</t>
        </is>
      </c>
      <c r="G75" s="39" t="inlineStr">
        <is>
          <t>#Defensa</t>
        </is>
      </c>
      <c r="H75" s="39" t="inlineStr">
        <is>
          <t>Obligatorio SEPS (Régimen General)</t>
        </is>
      </c>
      <c r="I75" s="39" t="inlineStr">
        <is>
          <t>C10: Registro de fallos en el control de acceso</t>
        </is>
      </c>
      <c r="J75" s="39" t="inlineStr">
        <is>
          <t>2. Metodología Interna GSO-GSI + ISO 27001</t>
        </is>
      </c>
      <c r="K75" s="39" t="inlineStr">
        <is>
          <t>Aplica</t>
        </is>
      </c>
      <c r="L75" s="39" t="inlineStr">
        <is>
          <t>Requisito interno GSO-GSI</t>
        </is>
      </c>
    </row>
    <row r="76" ht="36" customHeight="1" s="98">
      <c r="A76" s="39" t="inlineStr">
        <is>
          <t>8.16</t>
        </is>
      </c>
      <c r="B76" s="39" t="inlineStr">
        <is>
          <t>Actividades de seguimiento (Monitoring)</t>
        </is>
      </c>
      <c r="C76" s="39" t="inlineStr">
        <is>
          <t>#Detectivo</t>
        </is>
      </c>
      <c r="D76" s="39" t="inlineStr">
        <is>
          <t>#Confidencialidad, #Integridad, #Disponibilidad</t>
        </is>
      </c>
      <c r="E76" s="39" t="inlineStr">
        <is>
          <t>#Detectar</t>
        </is>
      </c>
      <c r="F76" s="38" t="inlineStr">
        <is>
          <t>#Seguridad_de_la_información_gestión_de_eventos</t>
        </is>
      </c>
      <c r="G76" s="39" t="inlineStr">
        <is>
          <t>#Defensa</t>
        </is>
      </c>
      <c r="H76" s="39" t="inlineStr">
        <is>
          <t>Obligatorio SEPS (Régimen General)</t>
        </is>
      </c>
      <c r="I76" s="39" t="inlineStr">
        <is>
          <t>C13: Monitoreo y control</t>
        </is>
      </c>
      <c r="J76" s="39" t="inlineStr">
        <is>
          <t>2. Metodología Interna GSO-GSI + ISO 27001</t>
        </is>
      </c>
      <c r="K76" s="39" t="inlineStr">
        <is>
          <t>Aplica</t>
        </is>
      </c>
      <c r="L76" s="39" t="inlineStr">
        <is>
          <t>Requisito interno GSO-GSI</t>
        </is>
      </c>
    </row>
    <row r="77" ht="36" customHeight="1" s="98">
      <c r="A77" s="39" t="inlineStr">
        <is>
          <t>8.17</t>
        </is>
      </c>
      <c r="B77" s="39" t="inlineStr">
        <is>
          <t>Sincronización de relojes</t>
        </is>
      </c>
      <c r="C77" s="39" t="inlineStr">
        <is>
          <t>#Preventivo</t>
        </is>
      </c>
      <c r="D77" s="39" t="inlineStr">
        <is>
          <t>#Confidencialidad, #Integridad, #Disponibilidad</t>
        </is>
      </c>
      <c r="E77" s="39" t="inlineStr">
        <is>
          <t>#Proteger</t>
        </is>
      </c>
      <c r="F77" s="38" t="inlineStr">
        <is>
          <t>#Seguridad_de_sistemas_y_redes</t>
        </is>
      </c>
      <c r="G77" s="39" t="inlineStr">
        <is>
          <t>#Proteccion</t>
        </is>
      </c>
      <c r="H77" s="39" t="inlineStr">
        <is>
          <t>Obligatorio SEPS (Régimen General)</t>
        </is>
      </c>
      <c r="I77" s="39" t="inlineStr">
        <is>
          <t>-</t>
        </is>
      </c>
      <c r="J77" s="39" t="inlineStr">
        <is>
          <t>1. Regulatorio SEPS 002-2022 + ISO 27001</t>
        </is>
      </c>
      <c r="K77" s="39" t="inlineStr">
        <is>
          <t>Aplica</t>
        </is>
      </c>
      <c r="L77" s="39" t="inlineStr">
        <is>
          <t>Requerido por ente regulador SEPS</t>
        </is>
      </c>
    </row>
    <row r="78" ht="36" customHeight="1" s="98">
      <c r="A78" s="39" t="inlineStr">
        <is>
          <t>8.18</t>
        </is>
      </c>
      <c r="B78" s="39" t="inlineStr">
        <is>
          <t>Uso de programas de utilidad privilegiados</t>
        </is>
      </c>
      <c r="C78" s="39" t="inlineStr">
        <is>
          <t>#Preventivo</t>
        </is>
      </c>
      <c r="D78" s="39" t="inlineStr">
        <is>
          <t>#Confidencialidad, #Integridad, #Disponibilidad</t>
        </is>
      </c>
      <c r="E78" s="39" t="inlineStr">
        <is>
          <t>#Proteger</t>
        </is>
      </c>
      <c r="F78" s="38" t="inlineStr">
        <is>
          <t>#Administración_de_identidad_y_acceso</t>
        </is>
      </c>
      <c r="G78" s="39" t="inlineStr">
        <is>
          <t>#Proteccion</t>
        </is>
      </c>
      <c r="H78" s="39" t="inlineStr">
        <is>
          <t>Obligatorio SEPS (Régimen General)</t>
        </is>
      </c>
      <c r="I78" s="39" t="inlineStr">
        <is>
          <t>-</t>
        </is>
      </c>
      <c r="J78" s="39" t="inlineStr">
        <is>
          <t>1. Regulatorio SEPS 002-2022 + ISO 27001</t>
        </is>
      </c>
      <c r="K78" s="39" t="inlineStr">
        <is>
          <t>Aplica</t>
        </is>
      </c>
      <c r="L78" s="39" t="inlineStr">
        <is>
          <t>Requerido por ente regulador SEPS</t>
        </is>
      </c>
    </row>
    <row r="79" ht="48" customHeight="1" s="98">
      <c r="A79" s="39" t="inlineStr">
        <is>
          <t>8.19</t>
        </is>
      </c>
      <c r="B79" s="39" t="inlineStr">
        <is>
          <t>Instalación de software en sistemas operativos</t>
        </is>
      </c>
      <c r="C79" s="39" t="inlineStr">
        <is>
          <t>#Preventivo</t>
        </is>
      </c>
      <c r="D79" s="39" t="inlineStr">
        <is>
          <t>#Confidencialidad, #Integridad, #Disponibilidad</t>
        </is>
      </c>
      <c r="E79" s="39" t="inlineStr">
        <is>
          <t>#Proteger</t>
        </is>
      </c>
      <c r="F79" s="38" t="inlineStr">
        <is>
          <t>#Configuración_segura</t>
        </is>
      </c>
      <c r="G79" s="39" t="inlineStr">
        <is>
          <t>#Proteccion</t>
        </is>
      </c>
      <c r="H79" s="39" t="inlineStr">
        <is>
          <t>Obligatorio SEPS (Régimen General)</t>
        </is>
      </c>
      <c r="I79" s="39" t="inlineStr">
        <is>
          <t>C12: Actualizaciones periódicas firmware/software</t>
        </is>
      </c>
      <c r="J79" s="39" t="inlineStr">
        <is>
          <t>2. Metodología Interna GSO-GSI + ISO 27001</t>
        </is>
      </c>
      <c r="K79" s="39" t="inlineStr">
        <is>
          <t>Aplica</t>
        </is>
      </c>
      <c r="L79" s="39" t="inlineStr">
        <is>
          <t>Requisito interno GSO-GSI</t>
        </is>
      </c>
    </row>
    <row r="80" ht="48" customHeight="1" s="98">
      <c r="A80" s="39" t="inlineStr">
        <is>
          <t>8.20</t>
        </is>
      </c>
      <c r="B80" s="39" t="inlineStr">
        <is>
          <t>Seguridad de las redes</t>
        </is>
      </c>
      <c r="C80" s="39" t="inlineStr">
        <is>
          <t>#Preventivo</t>
        </is>
      </c>
      <c r="D80" s="39" t="inlineStr">
        <is>
          <t>#Confidencialidad, #Integridad, #Disponibilidad</t>
        </is>
      </c>
      <c r="E80" s="39" t="inlineStr">
        <is>
          <t>#Proteger</t>
        </is>
      </c>
      <c r="F80" s="38" t="inlineStr">
        <is>
          <t>#Seguridad_de_sistemas_y_redes</t>
        </is>
      </c>
      <c r="G80" s="39" t="inlineStr">
        <is>
          <t>#Proteccion</t>
        </is>
      </c>
      <c r="H80" s="39" t="inlineStr">
        <is>
          <t>Obligatorio SEPS (Régimen General)</t>
        </is>
      </c>
      <c r="I80" s="39" t="inlineStr">
        <is>
          <t>C52: Mantenimiento preventivo / Configuración segura</t>
        </is>
      </c>
      <c r="J80" s="39" t="inlineStr">
        <is>
          <t>2. Metodología Interna GSO-GSI + ISO 27001</t>
        </is>
      </c>
      <c r="K80" s="39" t="inlineStr">
        <is>
          <t>Aplica</t>
        </is>
      </c>
      <c r="L80" s="39" t="inlineStr">
        <is>
          <t>Requisito interno GSO-GSI</t>
        </is>
      </c>
    </row>
    <row r="81" ht="36" customHeight="1" s="98">
      <c r="A81" s="39" t="inlineStr">
        <is>
          <t>8.21</t>
        </is>
      </c>
      <c r="B81" s="39" t="inlineStr">
        <is>
          <t>Seguridad de los servicios de red</t>
        </is>
      </c>
      <c r="C81" s="39" t="inlineStr">
        <is>
          <t>#Preventivo</t>
        </is>
      </c>
      <c r="D81" s="39" t="inlineStr">
        <is>
          <t>#Confidencialidad, #Integridad, #Disponibilidad</t>
        </is>
      </c>
      <c r="E81" s="39" t="inlineStr">
        <is>
          <t>#Proteger</t>
        </is>
      </c>
      <c r="F81" s="38" t="inlineStr">
        <is>
          <t>#Seguridad_de_sistemas_y_redes</t>
        </is>
      </c>
      <c r="G81" s="39" t="inlineStr">
        <is>
          <t>#Proteccion</t>
        </is>
      </c>
      <c r="H81" s="39" t="inlineStr">
        <is>
          <t>Obligatorio SEPS (Régimen General)</t>
        </is>
      </c>
      <c r="I81" s="39" t="inlineStr">
        <is>
          <t>-</t>
        </is>
      </c>
      <c r="J81" s="39" t="inlineStr">
        <is>
          <t>1. Regulatorio SEPS 002-2022 + ISO 27001</t>
        </is>
      </c>
      <c r="K81" s="39" t="inlineStr">
        <is>
          <t>Aplica</t>
        </is>
      </c>
      <c r="L81" s="39" t="inlineStr">
        <is>
          <t>Requerido por ente regulador SEPS</t>
        </is>
      </c>
    </row>
    <row r="82" ht="36" customHeight="1" s="98">
      <c r="A82" s="39" t="inlineStr">
        <is>
          <t>8.22</t>
        </is>
      </c>
      <c r="B82" s="39" t="inlineStr">
        <is>
          <t>Segregación de redes</t>
        </is>
      </c>
      <c r="C82" s="39" t="inlineStr">
        <is>
          <t>#Preventivo</t>
        </is>
      </c>
      <c r="D82" s="39" t="inlineStr">
        <is>
          <t>#Confidencialidad, #Integridad, #Disponibilidad</t>
        </is>
      </c>
      <c r="E82" s="39" t="inlineStr">
        <is>
          <t>#Proteger</t>
        </is>
      </c>
      <c r="F82" s="38" t="inlineStr">
        <is>
          <t>#Seguridad_de_sistemas_y_redes</t>
        </is>
      </c>
      <c r="G82" s="39" t="inlineStr">
        <is>
          <t>#Proteccion</t>
        </is>
      </c>
      <c r="H82" s="39" t="inlineStr">
        <is>
          <t>Obligatorio SEPS (Régimen General)</t>
        </is>
      </c>
      <c r="I82" s="39" t="inlineStr">
        <is>
          <t>-</t>
        </is>
      </c>
      <c r="J82" s="39" t="inlineStr">
        <is>
          <t>1. Regulatorio SEPS 002-2022 + ISO 27001</t>
        </is>
      </c>
      <c r="K82" s="39" t="inlineStr">
        <is>
          <t>Aplica</t>
        </is>
      </c>
      <c r="L82" s="39" t="inlineStr">
        <is>
          <t>Requerido por ente regulador SEPS</t>
        </is>
      </c>
    </row>
    <row r="83" ht="60" customHeight="1" s="98">
      <c r="A83" s="39" t="inlineStr">
        <is>
          <t>8.23</t>
        </is>
      </c>
      <c r="B83" s="39" t="inlineStr">
        <is>
          <t>Filtrado web</t>
        </is>
      </c>
      <c r="C83" s="39" t="inlineStr">
        <is>
          <t>#Preventivo</t>
        </is>
      </c>
      <c r="D83" s="39" t="inlineStr">
        <is>
          <t>#Confidencialidad, #Integridad, #Disponibilidad</t>
        </is>
      </c>
      <c r="E83" s="39" t="inlineStr">
        <is>
          <t>#Proteger</t>
        </is>
      </c>
      <c r="F83" s="38" t="inlineStr">
        <is>
          <t>#Seguridad_de_sistemas_y_redes</t>
        </is>
      </c>
      <c r="G83" s="39" t="inlineStr">
        <is>
          <t>#Proteccion</t>
        </is>
      </c>
      <c r="H83" s="39" t="inlineStr">
        <is>
          <t>Mejor Práctica (No obligatorio SEPS)</t>
        </is>
      </c>
      <c r="I83" s="39" t="inlineStr">
        <is>
          <t>-</t>
        </is>
      </c>
      <c r="J83" s="39" t="inlineStr">
        <is>
          <t>3. Tratamiento de Riesgos Específico (ISO 27002 / MAGERIT)</t>
        </is>
      </c>
      <c r="K83" s="39" t="inlineStr">
        <is>
          <t>Aplica</t>
        </is>
      </c>
      <c r="L83" s="39" t="inlineStr">
        <is>
          <t>Requisito de control complementario y mejor práctica de seguridad</t>
        </is>
      </c>
    </row>
    <row r="84" ht="36" customHeight="1" s="98">
      <c r="A84" s="39" t="inlineStr">
        <is>
          <t>8.24</t>
        </is>
      </c>
      <c r="B84" s="39" t="inlineStr">
        <is>
          <t>Uso de criptografía</t>
        </is>
      </c>
      <c r="C84" s="39" t="inlineStr">
        <is>
          <t>#Preventivo</t>
        </is>
      </c>
      <c r="D84" s="39" t="inlineStr">
        <is>
          <t>#Confidencialidad, #Integridad, #Disponibilidad</t>
        </is>
      </c>
      <c r="E84" s="39" t="inlineStr">
        <is>
          <t>#Proteger</t>
        </is>
      </c>
      <c r="F84" s="38" t="inlineStr">
        <is>
          <t>#Protección_de_la_información</t>
        </is>
      </c>
      <c r="G84" s="39" t="inlineStr">
        <is>
          <t>#Proteccion</t>
        </is>
      </c>
      <c r="H84" s="39" t="inlineStr">
        <is>
          <t>Obligatorio SEPS (Régimen General)</t>
        </is>
      </c>
      <c r="I84" s="39" t="inlineStr">
        <is>
          <t>-</t>
        </is>
      </c>
      <c r="J84" s="39" t="inlineStr">
        <is>
          <t>1. Regulatorio SEPS 002-2022 + ISO 27001</t>
        </is>
      </c>
      <c r="K84" s="39" t="inlineStr">
        <is>
          <t>Aplica</t>
        </is>
      </c>
      <c r="L84" s="39" t="inlineStr">
        <is>
          <t>Requerido por ente regulador SEPS</t>
        </is>
      </c>
    </row>
    <row r="85" ht="36" customHeight="1" s="98">
      <c r="A85" s="39" t="inlineStr">
        <is>
          <t>8.25</t>
        </is>
      </c>
      <c r="B85" s="39" t="inlineStr">
        <is>
          <t>Ciclo de vida del desarrollo seguro</t>
        </is>
      </c>
      <c r="C85" s="39" t="inlineStr">
        <is>
          <t>#Preventivo</t>
        </is>
      </c>
      <c r="D85" s="39" t="inlineStr">
        <is>
          <t>#Confidencialidad, #Integridad, #Disponibilidad</t>
        </is>
      </c>
      <c r="E85" s="39" t="inlineStr">
        <is>
          <t>#Proteger</t>
        </is>
      </c>
      <c r="F85" s="38" t="inlineStr">
        <is>
          <t>#Seguridad_de_aplicaciones</t>
        </is>
      </c>
      <c r="G85" s="39" t="inlineStr">
        <is>
          <t>#Proteccion</t>
        </is>
      </c>
      <c r="H85" s="39" t="inlineStr">
        <is>
          <t>Obligatorio SEPS (Régimen General)</t>
        </is>
      </c>
      <c r="I85" s="39" t="inlineStr">
        <is>
          <t>-</t>
        </is>
      </c>
      <c r="J85" s="39" t="inlineStr">
        <is>
          <t>1. Regulatorio SEPS 002-2022 + ISO 27001</t>
        </is>
      </c>
      <c r="K85" s="39" t="inlineStr">
        <is>
          <t>Aplica</t>
        </is>
      </c>
      <c r="L85" s="39" t="inlineStr">
        <is>
          <t>Requerido por ente regulador SEPS</t>
        </is>
      </c>
    </row>
    <row r="86" ht="36" customHeight="1" s="98">
      <c r="A86" s="39" t="inlineStr">
        <is>
          <t>8.26</t>
        </is>
      </c>
      <c r="B86" s="39" t="inlineStr">
        <is>
          <t>Requisitos de seguridad de las aplicaciones</t>
        </is>
      </c>
      <c r="C86" s="39" t="inlineStr">
        <is>
          <t>#Preventivo</t>
        </is>
      </c>
      <c r="D86" s="39" t="inlineStr">
        <is>
          <t>#Confidencialidad, #Integridad, #Disponibilidad</t>
        </is>
      </c>
      <c r="E86" s="39" t="inlineStr">
        <is>
          <t>#Proteger</t>
        </is>
      </c>
      <c r="F86" s="38" t="inlineStr">
        <is>
          <t>#Seguridad_de_aplicaciones</t>
        </is>
      </c>
      <c r="G86" s="39" t="inlineStr">
        <is>
          <t>#Proteccion</t>
        </is>
      </c>
      <c r="H86" s="39" t="inlineStr">
        <is>
          <t>Obligatorio SEPS (Régimen General)</t>
        </is>
      </c>
      <c r="I86" s="39" t="inlineStr">
        <is>
          <t>-</t>
        </is>
      </c>
      <c r="J86" s="39" t="inlineStr">
        <is>
          <t>1. Regulatorio SEPS 002-2022 + ISO 27001</t>
        </is>
      </c>
      <c r="K86" s="39" t="inlineStr">
        <is>
          <t>Aplica</t>
        </is>
      </c>
      <c r="L86" s="39" t="inlineStr">
        <is>
          <t>Requerido por ente regulador SEPS</t>
        </is>
      </c>
    </row>
    <row r="87" ht="48" customHeight="1" s="98">
      <c r="A87" s="39" t="inlineStr">
        <is>
          <t>8.27</t>
        </is>
      </c>
      <c r="B87" s="39" t="inlineStr">
        <is>
          <t>Arquitectura de sistemas seguros y principios de ingeniería</t>
        </is>
      </c>
      <c r="C87" s="39" t="inlineStr">
        <is>
          <t>#Preventivo</t>
        </is>
      </c>
      <c r="D87" s="39" t="inlineStr">
        <is>
          <t>#Confidencialidad, #Integridad, #Disponibilidad</t>
        </is>
      </c>
      <c r="E87" s="39" t="inlineStr">
        <is>
          <t>#Proteger</t>
        </is>
      </c>
      <c r="F87" s="38" t="inlineStr">
        <is>
          <t>#Seguridad_de_aplicaciones</t>
        </is>
      </c>
      <c r="G87" s="39" t="inlineStr">
        <is>
          <t>#Proteccion</t>
        </is>
      </c>
      <c r="H87" s="39" t="inlineStr">
        <is>
          <t>Obligatorio SEPS (Régimen General)</t>
        </is>
      </c>
      <c r="I87" s="39" t="inlineStr">
        <is>
          <t>-</t>
        </is>
      </c>
      <c r="J87" s="39" t="inlineStr">
        <is>
          <t>1. Regulatorio SEPS 002-2022 + ISO 27001</t>
        </is>
      </c>
      <c r="K87" s="39" t="inlineStr">
        <is>
          <t>Aplica</t>
        </is>
      </c>
      <c r="L87" s="39" t="inlineStr">
        <is>
          <t>Requerido por ente regulador SEPS</t>
        </is>
      </c>
    </row>
    <row r="88" ht="36" customHeight="1" s="98">
      <c r="A88" s="39" t="inlineStr">
        <is>
          <t>8.28</t>
        </is>
      </c>
      <c r="B88" s="39" t="inlineStr">
        <is>
          <t>Codificación segura</t>
        </is>
      </c>
      <c r="C88" s="39" t="inlineStr">
        <is>
          <t>#Preventivo</t>
        </is>
      </c>
      <c r="D88" s="39" t="inlineStr">
        <is>
          <t>#Confidencialidad, #Integridad, #Disponibilidad</t>
        </is>
      </c>
      <c r="E88" s="39" t="inlineStr">
        <is>
          <t>#Proteger</t>
        </is>
      </c>
      <c r="F88" s="38" t="inlineStr">
        <is>
          <t>#Seguridad_de_aplicaciones</t>
        </is>
      </c>
      <c r="G88" s="39" t="inlineStr">
        <is>
          <t>#Proteccion</t>
        </is>
      </c>
      <c r="H88" s="39" t="inlineStr">
        <is>
          <t>Obligatorio SEPS (Régimen General)</t>
        </is>
      </c>
      <c r="I88" s="39" t="inlineStr">
        <is>
          <t>-</t>
        </is>
      </c>
      <c r="J88" s="39" t="inlineStr">
        <is>
          <t>1. Regulatorio SEPS 002-2022 + ISO 27001</t>
        </is>
      </c>
      <c r="K88" s="39" t="inlineStr">
        <is>
          <t>Aplica</t>
        </is>
      </c>
      <c r="L88" s="39" t="inlineStr">
        <is>
          <t>Requerido por ente regulador SEPS</t>
        </is>
      </c>
    </row>
    <row r="89" ht="48" customHeight="1" s="98">
      <c r="A89" s="39" t="inlineStr">
        <is>
          <t>8.29</t>
        </is>
      </c>
      <c r="B89" s="39" t="inlineStr">
        <is>
          <t>Pruebas de seguridad en el desarrollo y la aceptación</t>
        </is>
      </c>
      <c r="C89" s="39" t="inlineStr">
        <is>
          <t>#Preventivo, #Detectivo</t>
        </is>
      </c>
      <c r="D89" s="39" t="inlineStr">
        <is>
          <t>#Confidencialidad, #Integridad, #Disponibilidad</t>
        </is>
      </c>
      <c r="E89" s="39" t="inlineStr">
        <is>
          <t>#Proteger</t>
        </is>
      </c>
      <c r="F89" s="38" t="inlineStr">
        <is>
          <t>#Seguridad_de_aplicaciones</t>
        </is>
      </c>
      <c r="G89" s="39" t="inlineStr">
        <is>
          <t>#Proteccion</t>
        </is>
      </c>
      <c r="H89" s="39" t="inlineStr">
        <is>
          <t>Obligatorio SEPS (Régimen General)</t>
        </is>
      </c>
      <c r="I89" s="39" t="inlineStr">
        <is>
          <t>-</t>
        </is>
      </c>
      <c r="J89" s="39" t="inlineStr">
        <is>
          <t>1. Regulatorio SEPS 002-2022 + ISO 27001</t>
        </is>
      </c>
      <c r="K89" s="39" t="inlineStr">
        <is>
          <t>Aplica</t>
        </is>
      </c>
      <c r="L89" s="39" t="inlineStr">
        <is>
          <t>Requerido por ente regulador SEPS</t>
        </is>
      </c>
    </row>
    <row r="90" ht="48" customHeight="1" s="98">
      <c r="A90" s="39" t="inlineStr">
        <is>
          <t>8.30</t>
        </is>
      </c>
      <c r="B90" s="39" t="inlineStr">
        <is>
          <t>Desarrollo externalizado</t>
        </is>
      </c>
      <c r="C90" s="39" t="inlineStr">
        <is>
          <t>#Preventivo</t>
        </is>
      </c>
      <c r="D90" s="39" t="inlineStr">
        <is>
          <t>#Confidencialidad, #Integridad, #Disponibilidad</t>
        </is>
      </c>
      <c r="E90" s="39" t="inlineStr">
        <is>
          <t>#Proteger</t>
        </is>
      </c>
      <c r="F90" s="38" t="inlineStr">
        <is>
          <t>#Seguridad_de_aplicaciones</t>
        </is>
      </c>
      <c r="G90" s="39" t="inlineStr">
        <is>
          <t>#Proteccion</t>
        </is>
      </c>
      <c r="H90" s="39" t="inlineStr">
        <is>
          <t>Mejor Práctica (No obligatorio SEPS)</t>
        </is>
      </c>
      <c r="I90" s="39" t="inlineStr">
        <is>
          <t>-</t>
        </is>
      </c>
      <c r="J90" s="39" t="inlineStr">
        <is>
          <t>4. No Aplica</t>
        </is>
      </c>
      <c r="K90" s="39" t="inlineStr">
        <is>
          <t>No Aplica</t>
        </is>
      </c>
      <c r="L90" s="39" t="inlineStr">
        <is>
          <t>Control 8.30 no es pertinente a los procesos actuales de la entidad</t>
        </is>
      </c>
    </row>
    <row r="91" ht="48" customHeight="1" s="98">
      <c r="A91" s="39" t="inlineStr">
        <is>
          <t>8.31</t>
        </is>
      </c>
      <c r="B91" s="39" t="inlineStr">
        <is>
          <t>Separación de entornos de desarrollo, pruebas y producción</t>
        </is>
      </c>
      <c r="C91" s="39" t="inlineStr">
        <is>
          <t>#Preventivo</t>
        </is>
      </c>
      <c r="D91" s="39" t="inlineStr">
        <is>
          <t>#Confidencialidad, #Integridad, #Disponibilidad</t>
        </is>
      </c>
      <c r="E91" s="39" t="inlineStr">
        <is>
          <t>#Proteger</t>
        </is>
      </c>
      <c r="F91" s="38" t="inlineStr">
        <is>
          <t>#Seguridad_de_sistemas_y_redes</t>
        </is>
      </c>
      <c r="G91" s="39" t="inlineStr">
        <is>
          <t>#Proteccion</t>
        </is>
      </c>
      <c r="H91" s="39" t="inlineStr">
        <is>
          <t>Obligatorio SEPS (Régimen General)</t>
        </is>
      </c>
      <c r="I91" s="39" t="inlineStr">
        <is>
          <t>-</t>
        </is>
      </c>
      <c r="J91" s="39" t="inlineStr">
        <is>
          <t>1. Regulatorio SEPS 002-2022 + ISO 27001</t>
        </is>
      </c>
      <c r="K91" s="39" t="inlineStr">
        <is>
          <t>Aplica</t>
        </is>
      </c>
      <c r="L91" s="39" t="inlineStr">
        <is>
          <t>Requerido por ente regulador SEPS</t>
        </is>
      </c>
    </row>
    <row r="92" ht="36" customHeight="1" s="98">
      <c r="A92" s="39" t="inlineStr">
        <is>
          <t>8.32</t>
        </is>
      </c>
      <c r="B92" s="39" t="inlineStr">
        <is>
          <t>Gestión de cambios</t>
        </is>
      </c>
      <c r="C92" s="39" t="inlineStr">
        <is>
          <t>#Preventivo</t>
        </is>
      </c>
      <c r="D92" s="39" t="inlineStr">
        <is>
          <t>#Confidencialidad, #Integridad, #Disponibilidad</t>
        </is>
      </c>
      <c r="E92" s="39" t="inlineStr">
        <is>
          <t>#Proteger</t>
        </is>
      </c>
      <c r="F92" s="38" t="inlineStr">
        <is>
          <t>#Seguridad_de_sistemas_y_redes</t>
        </is>
      </c>
      <c r="G92" s="39" t="inlineStr">
        <is>
          <t>#Proteccion</t>
        </is>
      </c>
      <c r="H92" s="39" t="inlineStr">
        <is>
          <t>Obligatorio SEPS (Régimen General)</t>
        </is>
      </c>
      <c r="I92" s="39" t="inlineStr">
        <is>
          <t>-</t>
        </is>
      </c>
      <c r="J92" s="39" t="inlineStr">
        <is>
          <t>1. Regulatorio SEPS 002-2022 + ISO 27001</t>
        </is>
      </c>
      <c r="K92" s="39" t="inlineStr">
        <is>
          <t>Aplica</t>
        </is>
      </c>
      <c r="L92" s="39" t="inlineStr">
        <is>
          <t>Requerido por ente regulador SEPS</t>
        </is>
      </c>
    </row>
    <row r="93" ht="36" customHeight="1" s="98">
      <c r="A93" s="39" t="inlineStr">
        <is>
          <t>8.33</t>
        </is>
      </c>
      <c r="B93" s="39" t="inlineStr">
        <is>
          <t>Información de prueba</t>
        </is>
      </c>
      <c r="C93" s="39" t="inlineStr">
        <is>
          <t>#Preventivo</t>
        </is>
      </c>
      <c r="D93" s="39" t="inlineStr">
        <is>
          <t>#Confidencialidad, #Integridad, #Disponibilidad</t>
        </is>
      </c>
      <c r="E93" s="39" t="inlineStr">
        <is>
          <t>#Proteger</t>
        </is>
      </c>
      <c r="F93" s="38" t="inlineStr">
        <is>
          <t>#Seguridad_de_aplicaciones</t>
        </is>
      </c>
      <c r="G93" s="39" t="inlineStr">
        <is>
          <t>#Proteccion</t>
        </is>
      </c>
      <c r="H93" s="39" t="inlineStr">
        <is>
          <t>Obligatorio SEPS (Régimen General)</t>
        </is>
      </c>
      <c r="I93" s="39" t="inlineStr">
        <is>
          <t>-</t>
        </is>
      </c>
      <c r="J93" s="39" t="inlineStr">
        <is>
          <t>1. Regulatorio SEPS 002-2022 + ISO 27001</t>
        </is>
      </c>
      <c r="K93" s="39" t="inlineStr">
        <is>
          <t>Aplica</t>
        </is>
      </c>
      <c r="L93" s="39" t="inlineStr">
        <is>
          <t>Requerido por ente regulador SEPS</t>
        </is>
      </c>
    </row>
    <row r="94" ht="60" customHeight="1" s="98">
      <c r="A94" s="39" t="inlineStr">
        <is>
          <t>8.34</t>
        </is>
      </c>
      <c r="B94" s="39" t="inlineStr">
        <is>
          <t>Protección de los sistemas de información durante las pruebas de auditoría</t>
        </is>
      </c>
      <c r="C94" s="39" t="inlineStr">
        <is>
          <t>#Preventivo</t>
        </is>
      </c>
      <c r="D94" s="39" t="inlineStr">
        <is>
          <t>#Confidencialidad, #Integridad, #Disponibilidad</t>
        </is>
      </c>
      <c r="E94" s="39" t="inlineStr">
        <is>
          <t>#Proteger</t>
        </is>
      </c>
      <c r="F94" s="38" t="inlineStr">
        <is>
          <t>#Seguridad_de_sistemas_y_redes</t>
        </is>
      </c>
      <c r="G94" s="39" t="inlineStr">
        <is>
          <t>#Proteccion</t>
        </is>
      </c>
      <c r="H94" s="39" t="inlineStr">
        <is>
          <t>Mejor Práctica (No obligatorio SEPS)</t>
        </is>
      </c>
      <c r="I94" s="39" t="inlineStr">
        <is>
          <t>-</t>
        </is>
      </c>
      <c r="J94" s="39" t="inlineStr">
        <is>
          <t>3. Tratamiento de Riesgos Específico (ISO 27002 / MAGERIT)</t>
        </is>
      </c>
      <c r="K94" s="39" t="inlineStr">
        <is>
          <t>No Aplica</t>
        </is>
      </c>
      <c r="L94" s="39" t="inlineStr">
        <is>
          <t>No aplicable a la arquitectura/infraestructura actual</t>
        </is>
      </c>
    </row>
  </sheetData>
  <autoFilter ref="A1:L9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10" defaultRowHeight="11"/>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94"/>
  <sheetViews>
    <sheetView workbookViewId="0">
      <selection activeCell="A1" sqref="A1"/>
    </sheetView>
  </sheetViews>
  <sheetFormatPr baseColWidth="8" defaultRowHeight="15"/>
  <sheetData>
    <row r="1">
      <c r="A1" s="100" t="inlineStr">
        <is>
          <t>ID Control</t>
        </is>
      </c>
      <c r="B1" s="100" t="inlineStr">
        <is>
          <t>Nombre del Control</t>
        </is>
      </c>
      <c r="C1" s="100" t="inlineStr">
        <is>
          <t>Dominio ISO 27001</t>
        </is>
      </c>
      <c r="D1" s="100" t="inlineStr">
        <is>
          <t>¿Aplica?</t>
        </is>
      </c>
      <c r="E1" s="100" t="inlineStr">
        <is>
          <t>Obligatoriedad Regulatoria SEPS</t>
        </is>
      </c>
      <c r="F1" s="100" t="inlineStr">
        <is>
          <t>Control Metodología GSO-GSI</t>
        </is>
      </c>
      <c r="G1" s="100" t="inlineStr">
        <is>
          <t>Origen de Aplicabilidad</t>
        </is>
      </c>
      <c r="H1" s="100" t="inlineStr">
        <is>
          <t>Justificación Inclusión/Exclusión</t>
        </is>
      </c>
      <c r="I1" s="100" t="inlineStr">
        <is>
          <t>Acción</t>
        </is>
      </c>
      <c r="J1" s="100" t="inlineStr">
        <is>
          <t>Estado de Implementación</t>
        </is>
      </c>
      <c r="K1" s="100" t="inlineStr">
        <is>
          <t>Tipo de Protección MAGERIT</t>
        </is>
      </c>
      <c r="L1" s="100" t="inlineStr">
        <is>
          <t>Nivel de Madurez / Efectividad</t>
        </is>
      </c>
      <c r="M1" s="100" t="inlineStr">
        <is>
          <t>Riesgos / Amenazas que Mitiga</t>
        </is>
      </c>
      <c r="N1" s="100" t="inlineStr">
        <is>
          <t>Evidencia / Documentación Asociada</t>
        </is>
      </c>
    </row>
    <row r="2">
      <c r="A2">
        <f>'ANEXO A'!A2</f>
        <v/>
      </c>
      <c r="B2">
        <f>IFERROR(VLOOKUP(A2, 'ANEXO A'!$A$2:$L$94, 2, FALSE), "")</f>
        <v/>
      </c>
      <c r="C2">
        <f>IF(LEFT(A2,1)="5", "5. Organizacionales", IF(LEFT(A2,1)="6", "6. Personas", IF(LEFT(A2,1)="7", "7. Físicos", "8. Tecnológicos")))</f>
        <v/>
      </c>
      <c r="D2">
        <f>IFERROR(VLOOKUP(A2, 'ANEXO A'!$A$2:$L$94, 11, FALSE), "")</f>
        <v/>
      </c>
      <c r="E2">
        <f>IFERROR(VLOOKUP(A2, 'ANEXO A'!$A$2:$L$94, 8, FALSE), "")</f>
        <v/>
      </c>
      <c r="F2">
        <f>IFERROR(VLOOKUP(A2, 'ANEXO A'!$A$2:$L$94, 9, FALSE), "")</f>
        <v/>
      </c>
      <c r="G2">
        <f>IFERROR(VLOOKUP(A2, 'ANEXO A'!$A$2:$L$94, 10, FALSE), "")</f>
        <v/>
      </c>
      <c r="H2">
        <f>IFERROR(VLOOKUP(A2, 'ANEXO A'!$A$2:$L$94, 12, FALSE), "")</f>
        <v/>
      </c>
      <c r="I2" t="inlineStr">
        <is>
          <t>6.1. Políticas Generales - Establecer directrices de seguridad (GSO-GSI-MP-GSI)</t>
        </is>
      </c>
      <c r="J2" t="inlineStr"/>
      <c r="K2" t="inlineStr"/>
      <c r="L2" t="inlineStr"/>
      <c r="M2" t="inlineStr"/>
      <c r="N2" t="inlineStr"/>
    </row>
    <row r="3">
      <c r="A3">
        <f>'ANEXO A'!A3</f>
        <v/>
      </c>
      <c r="B3">
        <f>IFERROR(VLOOKUP(A3, 'ANEXO A'!$A$2:$L$94, 2, FALSE), "")</f>
        <v/>
      </c>
      <c r="C3">
        <f>IF(LEFT(A3,1)="5", "5. Organizacionales", IF(LEFT(A3,1)="6", "6. Personas", IF(LEFT(A3,1)="7", "7. Físicos", "8. Tecnológicos")))</f>
        <v/>
      </c>
      <c r="D3">
        <f>IFERROR(VLOOKUP(A3, 'ANEXO A'!$A$2:$L$94, 11, FALSE), "")</f>
        <v/>
      </c>
      <c r="E3">
        <f>IFERROR(VLOOKUP(A3, 'ANEXO A'!$A$2:$L$94, 8, FALSE), "")</f>
        <v/>
      </c>
      <c r="F3">
        <f>IFERROR(VLOOKUP(A3, 'ANEXO A'!$A$2:$L$94, 9, FALSE), "")</f>
        <v/>
      </c>
      <c r="G3">
        <f>IFERROR(VLOOKUP(A3, 'ANEXO A'!$A$2:$L$94, 10, FALSE), "")</f>
        <v/>
      </c>
      <c r="H3">
        <f>IFERROR(VLOOKUP(A3, 'ANEXO A'!$A$2:$L$94, 12, FALSE), "")</f>
        <v/>
      </c>
      <c r="I3" t="inlineStr"/>
      <c r="J3" t="inlineStr"/>
      <c r="K3" t="inlineStr"/>
      <c r="L3" t="inlineStr"/>
      <c r="M3" t="inlineStr"/>
      <c r="N3" t="inlineStr"/>
    </row>
    <row r="4">
      <c r="A4">
        <f>'ANEXO A'!A4</f>
        <v/>
      </c>
      <c r="B4">
        <f>IFERROR(VLOOKUP(A4, 'ANEXO A'!$A$2:$L$94, 2, FALSE), "")</f>
        <v/>
      </c>
      <c r="C4">
        <f>IF(LEFT(A4,1)="5", "5. Organizacionales", IF(LEFT(A4,1)="6", "6. Personas", IF(LEFT(A4,1)="7", "7. Físicos", "8. Tecnológicos")))</f>
        <v/>
      </c>
      <c r="D4">
        <f>IFERROR(VLOOKUP(A4, 'ANEXO A'!$A$2:$L$94, 11, FALSE), "")</f>
        <v/>
      </c>
      <c r="E4">
        <f>IFERROR(VLOOKUP(A4, 'ANEXO A'!$A$2:$L$94, 8, FALSE), "")</f>
        <v/>
      </c>
      <c r="F4">
        <f>IFERROR(VLOOKUP(A4, 'ANEXO A'!$A$2:$L$94, 9, FALSE), "")</f>
        <v/>
      </c>
      <c r="G4">
        <f>IFERROR(VLOOKUP(A4, 'ANEXO A'!$A$2:$L$94, 10, FALSE), "")</f>
        <v/>
      </c>
      <c r="H4">
        <f>IFERROR(VLOOKUP(A4, 'ANEXO A'!$A$2:$L$94, 12, FALSE), "")</f>
        <v/>
      </c>
      <c r="I4" t="inlineStr"/>
      <c r="J4" t="inlineStr"/>
      <c r="K4" t="inlineStr"/>
      <c r="L4" t="inlineStr"/>
      <c r="M4" t="inlineStr"/>
      <c r="N4" t="inlineStr"/>
    </row>
    <row r="5">
      <c r="A5">
        <f>'ANEXO A'!A5</f>
        <v/>
      </c>
      <c r="B5">
        <f>IFERROR(VLOOKUP(A5, 'ANEXO A'!$A$2:$L$94, 2, FALSE), "")</f>
        <v/>
      </c>
      <c r="C5">
        <f>IF(LEFT(A5,1)="5", "5. Organizacionales", IF(LEFT(A5,1)="6", "6. Personas", IF(LEFT(A5,1)="7", "7. Físicos", "8. Tecnológicos")))</f>
        <v/>
      </c>
      <c r="D5">
        <f>IFERROR(VLOOKUP(A5, 'ANEXO A'!$A$2:$L$94, 11, FALSE), "")</f>
        <v/>
      </c>
      <c r="E5">
        <f>IFERROR(VLOOKUP(A5, 'ANEXO A'!$A$2:$L$94, 8, FALSE), "")</f>
        <v/>
      </c>
      <c r="F5">
        <f>IFERROR(VLOOKUP(A5, 'ANEXO A'!$A$2:$L$94, 9, FALSE), "")</f>
        <v/>
      </c>
      <c r="G5">
        <f>IFERROR(VLOOKUP(A5, 'ANEXO A'!$A$2:$L$94, 10, FALSE), "")</f>
        <v/>
      </c>
      <c r="H5">
        <f>IFERROR(VLOOKUP(A5, 'ANEXO A'!$A$2:$L$94, 12, FALSE), "")</f>
        <v/>
      </c>
      <c r="I5" t="inlineStr"/>
      <c r="J5" t="inlineStr"/>
      <c r="K5" t="inlineStr"/>
      <c r="L5" t="inlineStr"/>
      <c r="M5" t="inlineStr"/>
      <c r="N5" t="inlineStr"/>
    </row>
    <row r="6">
      <c r="A6">
        <f>'ANEXO A'!A6</f>
        <v/>
      </c>
      <c r="B6">
        <f>IFERROR(VLOOKUP(A6, 'ANEXO A'!$A$2:$L$94, 2, FALSE), "")</f>
        <v/>
      </c>
      <c r="C6">
        <f>IF(LEFT(A6,1)="5", "5. Organizacionales", IF(LEFT(A6,1)="6", "6. Personas", IF(LEFT(A6,1)="7", "7. Físicos", "8. Tecnológicos")))</f>
        <v/>
      </c>
      <c r="D6">
        <f>IFERROR(VLOOKUP(A6, 'ANEXO A'!$A$2:$L$94, 11, FALSE), "")</f>
        <v/>
      </c>
      <c r="E6">
        <f>IFERROR(VLOOKUP(A6, 'ANEXO A'!$A$2:$L$94, 8, FALSE), "")</f>
        <v/>
      </c>
      <c r="F6">
        <f>IFERROR(VLOOKUP(A6, 'ANEXO A'!$A$2:$L$94, 9, FALSE), "")</f>
        <v/>
      </c>
      <c r="G6">
        <f>IFERROR(VLOOKUP(A6, 'ANEXO A'!$A$2:$L$94, 10, FALSE), "")</f>
        <v/>
      </c>
      <c r="H6">
        <f>IFERROR(VLOOKUP(A6, 'ANEXO A'!$A$2:$L$94, 12, FALSE), "")</f>
        <v/>
      </c>
      <c r="I6" t="inlineStr"/>
      <c r="J6" t="inlineStr"/>
      <c r="K6" t="inlineStr"/>
      <c r="L6" t="inlineStr"/>
      <c r="M6" t="inlineStr"/>
      <c r="N6" t="inlineStr"/>
    </row>
    <row r="7">
      <c r="A7">
        <f>'ANEXO A'!A7</f>
        <v/>
      </c>
      <c r="B7">
        <f>IFERROR(VLOOKUP(A7, 'ANEXO A'!$A$2:$L$94, 2, FALSE), "")</f>
        <v/>
      </c>
      <c r="C7">
        <f>IF(LEFT(A7,1)="5", "5. Organizacionales", IF(LEFT(A7,1)="6", "6. Personas", IF(LEFT(A7,1)="7", "7. Físicos", "8. Tecnológicos")))</f>
        <v/>
      </c>
      <c r="D7">
        <f>IFERROR(VLOOKUP(A7, 'ANEXO A'!$A$2:$L$94, 11, FALSE), "")</f>
        <v/>
      </c>
      <c r="E7">
        <f>IFERROR(VLOOKUP(A7, 'ANEXO A'!$A$2:$L$94, 8, FALSE), "")</f>
        <v/>
      </c>
      <c r="F7">
        <f>IFERROR(VLOOKUP(A7, 'ANEXO A'!$A$2:$L$94, 9, FALSE), "")</f>
        <v/>
      </c>
      <c r="G7">
        <f>IFERROR(VLOOKUP(A7, 'ANEXO A'!$A$2:$L$94, 10, FALSE), "")</f>
        <v/>
      </c>
      <c r="H7">
        <f>IFERROR(VLOOKUP(A7, 'ANEXO A'!$A$2:$L$94, 12, FALSE), "")</f>
        <v/>
      </c>
      <c r="I7" t="inlineStr"/>
      <c r="J7" t="inlineStr"/>
      <c r="K7" t="inlineStr"/>
      <c r="L7" t="inlineStr"/>
      <c r="M7" t="inlineStr"/>
      <c r="N7" t="inlineStr"/>
    </row>
    <row r="8">
      <c r="A8">
        <f>'ANEXO A'!A8</f>
        <v/>
      </c>
      <c r="B8">
        <f>IFERROR(VLOOKUP(A8, 'ANEXO A'!$A$2:$L$94, 2, FALSE), "")</f>
        <v/>
      </c>
      <c r="C8">
        <f>IF(LEFT(A8,1)="5", "5. Organizacionales", IF(LEFT(A8,1)="6", "6. Personas", IF(LEFT(A8,1)="7", "7. Físicos", "8. Tecnológicos")))</f>
        <v/>
      </c>
      <c r="D8">
        <f>IFERROR(VLOOKUP(A8, 'ANEXO A'!$A$2:$L$94, 11, FALSE), "")</f>
        <v/>
      </c>
      <c r="E8">
        <f>IFERROR(VLOOKUP(A8, 'ANEXO A'!$A$2:$L$94, 8, FALSE), "")</f>
        <v/>
      </c>
      <c r="F8">
        <f>IFERROR(VLOOKUP(A8, 'ANEXO A'!$A$2:$L$94, 9, FALSE), "")</f>
        <v/>
      </c>
      <c r="G8">
        <f>IFERROR(VLOOKUP(A8, 'ANEXO A'!$A$2:$L$94, 10, FALSE), "")</f>
        <v/>
      </c>
      <c r="H8">
        <f>IFERROR(VLOOKUP(A8, 'ANEXO A'!$A$2:$L$94, 12, FALSE), "")</f>
        <v/>
      </c>
      <c r="I8" t="inlineStr"/>
      <c r="J8" t="inlineStr"/>
      <c r="K8" t="inlineStr"/>
      <c r="L8" t="inlineStr"/>
      <c r="M8" t="inlineStr"/>
      <c r="N8" t="inlineStr"/>
    </row>
    <row r="9">
      <c r="A9">
        <f>'ANEXO A'!A9</f>
        <v/>
      </c>
      <c r="B9">
        <f>IFERROR(VLOOKUP(A9, 'ANEXO A'!$A$2:$L$94, 2, FALSE), "")</f>
        <v/>
      </c>
      <c r="C9">
        <f>IF(LEFT(A9,1)="5", "5. Organizacionales", IF(LEFT(A9,1)="6", "6. Personas", IF(LEFT(A9,1)="7", "7. Físicos", "8. Tecnológicos")))</f>
        <v/>
      </c>
      <c r="D9">
        <f>IFERROR(VLOOKUP(A9, 'ANEXO A'!$A$2:$L$94, 11, FALSE), "")</f>
        <v/>
      </c>
      <c r="E9">
        <f>IFERROR(VLOOKUP(A9, 'ANEXO A'!$A$2:$L$94, 8, FALSE), "")</f>
        <v/>
      </c>
      <c r="F9">
        <f>IFERROR(VLOOKUP(A9, 'ANEXO A'!$A$2:$L$94, 9, FALSE), "")</f>
        <v/>
      </c>
      <c r="G9">
        <f>IFERROR(VLOOKUP(A9, 'ANEXO A'!$A$2:$L$94, 10, FALSE), "")</f>
        <v/>
      </c>
      <c r="H9">
        <f>IFERROR(VLOOKUP(A9, 'ANEXO A'!$A$2:$L$94, 12, FALSE), "")</f>
        <v/>
      </c>
      <c r="I9" t="inlineStr"/>
      <c r="J9" t="inlineStr"/>
      <c r="K9" t="inlineStr"/>
      <c r="L9" t="inlineStr"/>
      <c r="M9" t="inlineStr"/>
      <c r="N9" t="inlineStr"/>
    </row>
    <row r="10">
      <c r="A10">
        <f>'ANEXO A'!A10</f>
        <v/>
      </c>
      <c r="B10">
        <f>IFERROR(VLOOKUP(A10, 'ANEXO A'!$A$2:$L$94, 2, FALSE), "")</f>
        <v/>
      </c>
      <c r="C10">
        <f>IF(LEFT(A10,1)="5", "5. Organizacionales", IF(LEFT(A10,1)="6", "6. Personas", IF(LEFT(A10,1)="7", "7. Físicos", "8. Tecnológicos")))</f>
        <v/>
      </c>
      <c r="D10">
        <f>IFERROR(VLOOKUP(A10, 'ANEXO A'!$A$2:$L$94, 11, FALSE), "")</f>
        <v/>
      </c>
      <c r="E10">
        <f>IFERROR(VLOOKUP(A10, 'ANEXO A'!$A$2:$L$94, 8, FALSE), "")</f>
        <v/>
      </c>
      <c r="F10">
        <f>IFERROR(VLOOKUP(A10, 'ANEXO A'!$A$2:$L$94, 9, FALSE), "")</f>
        <v/>
      </c>
      <c r="G10">
        <f>IFERROR(VLOOKUP(A10, 'ANEXO A'!$A$2:$L$94, 10, FALSE), "")</f>
        <v/>
      </c>
      <c r="H10">
        <f>IFERROR(VLOOKUP(A10, 'ANEXO A'!$A$2:$L$94, 12, FALSE), "")</f>
        <v/>
      </c>
      <c r="I10" t="inlineStr">
        <is>
          <t>6.13. Gestión de activos de información - Mantener un inventario actualizado (GSO-GSI-MP-GSI)</t>
        </is>
      </c>
      <c r="J10" t="inlineStr"/>
      <c r="K10" t="inlineStr"/>
      <c r="L10" t="inlineStr"/>
      <c r="M10" t="inlineStr"/>
      <c r="N10" t="inlineStr"/>
    </row>
    <row r="11">
      <c r="A11">
        <f>'ANEXO A'!A11</f>
        <v/>
      </c>
      <c r="B11">
        <f>IFERROR(VLOOKUP(A11, 'ANEXO A'!$A$2:$L$94, 2, FALSE), "")</f>
        <v/>
      </c>
      <c r="C11">
        <f>IF(LEFT(A11,1)="5", "5. Organizacionales", IF(LEFT(A11,1)="6", "6. Personas", IF(LEFT(A11,1)="7", "7. Físicos", "8. Tecnológicos")))</f>
        <v/>
      </c>
      <c r="D11">
        <f>IFERROR(VLOOKUP(A11, 'ANEXO A'!$A$2:$L$94, 11, FALSE), "")</f>
        <v/>
      </c>
      <c r="E11">
        <f>IFERROR(VLOOKUP(A11, 'ANEXO A'!$A$2:$L$94, 8, FALSE), "")</f>
        <v/>
      </c>
      <c r="F11">
        <f>IFERROR(VLOOKUP(A11, 'ANEXO A'!$A$2:$L$94, 9, FALSE), "")</f>
        <v/>
      </c>
      <c r="G11">
        <f>IFERROR(VLOOKUP(A11, 'ANEXO A'!$A$2:$L$94, 10, FALSE), "")</f>
        <v/>
      </c>
      <c r="H11">
        <f>IFERROR(VLOOKUP(A11, 'ANEXO A'!$A$2:$L$94, 12, FALSE), "")</f>
        <v/>
      </c>
      <c r="I11" t="inlineStr"/>
      <c r="J11" t="inlineStr"/>
      <c r="K11" t="inlineStr"/>
      <c r="L11" t="inlineStr"/>
      <c r="M11" t="inlineStr"/>
      <c r="N11" t="inlineStr"/>
    </row>
    <row r="12">
      <c r="A12">
        <f>'ANEXO A'!A12</f>
        <v/>
      </c>
      <c r="B12">
        <f>IFERROR(VLOOKUP(A12, 'ANEXO A'!$A$2:$L$94, 2, FALSE), "")</f>
        <v/>
      </c>
      <c r="C12">
        <f>IF(LEFT(A12,1)="5", "5. Organizacionales", IF(LEFT(A12,1)="6", "6. Personas", IF(LEFT(A12,1)="7", "7. Físicos", "8. Tecnológicos")))</f>
        <v/>
      </c>
      <c r="D12">
        <f>IFERROR(VLOOKUP(A12, 'ANEXO A'!$A$2:$L$94, 11, FALSE), "")</f>
        <v/>
      </c>
      <c r="E12">
        <f>IFERROR(VLOOKUP(A12, 'ANEXO A'!$A$2:$L$94, 8, FALSE), "")</f>
        <v/>
      </c>
      <c r="F12">
        <f>IFERROR(VLOOKUP(A12, 'ANEXO A'!$A$2:$L$94, 9, FALSE), "")</f>
        <v/>
      </c>
      <c r="G12">
        <f>IFERROR(VLOOKUP(A12, 'ANEXO A'!$A$2:$L$94, 10, FALSE), "")</f>
        <v/>
      </c>
      <c r="H12">
        <f>IFERROR(VLOOKUP(A12, 'ANEXO A'!$A$2:$L$94, 12, FALSE), "")</f>
        <v/>
      </c>
      <c r="I12" t="inlineStr"/>
      <c r="J12" t="inlineStr"/>
      <c r="K12" t="inlineStr"/>
      <c r="L12" t="inlineStr"/>
      <c r="M12" t="inlineStr"/>
      <c r="N12" t="inlineStr"/>
    </row>
    <row r="13">
      <c r="A13">
        <f>'ANEXO A'!A13</f>
        <v/>
      </c>
      <c r="B13">
        <f>IFERROR(VLOOKUP(A13, 'ANEXO A'!$A$2:$L$94, 2, FALSE), "")</f>
        <v/>
      </c>
      <c r="C13">
        <f>IF(LEFT(A13,1)="5", "5. Organizacionales", IF(LEFT(A13,1)="6", "6. Personas", IF(LEFT(A13,1)="7", "7. Físicos", "8. Tecnológicos")))</f>
        <v/>
      </c>
      <c r="D13">
        <f>IFERROR(VLOOKUP(A13, 'ANEXO A'!$A$2:$L$94, 11, FALSE), "")</f>
        <v/>
      </c>
      <c r="E13">
        <f>IFERROR(VLOOKUP(A13, 'ANEXO A'!$A$2:$L$94, 8, FALSE), "")</f>
        <v/>
      </c>
      <c r="F13">
        <f>IFERROR(VLOOKUP(A13, 'ANEXO A'!$A$2:$L$94, 9, FALSE), "")</f>
        <v/>
      </c>
      <c r="G13">
        <f>IFERROR(VLOOKUP(A13, 'ANEXO A'!$A$2:$L$94, 10, FALSE), "")</f>
        <v/>
      </c>
      <c r="H13">
        <f>IFERROR(VLOOKUP(A13, 'ANEXO A'!$A$2:$L$94, 12, FALSE), "")</f>
        <v/>
      </c>
      <c r="I13" t="inlineStr"/>
      <c r="J13" t="inlineStr"/>
      <c r="K13" t="inlineStr"/>
      <c r="L13" t="inlineStr"/>
      <c r="M13" t="inlineStr"/>
      <c r="N13" t="inlineStr"/>
    </row>
    <row r="14">
      <c r="A14">
        <f>'ANEXO A'!A14</f>
        <v/>
      </c>
      <c r="B14">
        <f>IFERROR(VLOOKUP(A14, 'ANEXO A'!$A$2:$L$94, 2, FALSE), "")</f>
        <v/>
      </c>
      <c r="C14">
        <f>IF(LEFT(A14,1)="5", "5. Organizacionales", IF(LEFT(A14,1)="6", "6. Personas", IF(LEFT(A14,1)="7", "7. Físicos", "8. Tecnológicos")))</f>
        <v/>
      </c>
      <c r="D14">
        <f>IFERROR(VLOOKUP(A14, 'ANEXO A'!$A$2:$L$94, 11, FALSE), "")</f>
        <v/>
      </c>
      <c r="E14">
        <f>IFERROR(VLOOKUP(A14, 'ANEXO A'!$A$2:$L$94, 8, FALSE), "")</f>
        <v/>
      </c>
      <c r="F14">
        <f>IFERROR(VLOOKUP(A14, 'ANEXO A'!$A$2:$L$94, 9, FALSE), "")</f>
        <v/>
      </c>
      <c r="G14">
        <f>IFERROR(VLOOKUP(A14, 'ANEXO A'!$A$2:$L$94, 10, FALSE), "")</f>
        <v/>
      </c>
      <c r="H14">
        <f>IFERROR(VLOOKUP(A14, 'ANEXO A'!$A$2:$L$94, 12, FALSE), "")</f>
        <v/>
      </c>
      <c r="I14" t="inlineStr"/>
      <c r="J14" t="inlineStr"/>
      <c r="K14" t="inlineStr"/>
      <c r="L14" t="inlineStr"/>
      <c r="M14" t="inlineStr"/>
      <c r="N14" t="inlineStr"/>
    </row>
    <row r="15">
      <c r="A15">
        <f>'ANEXO A'!A15</f>
        <v/>
      </c>
      <c r="B15">
        <f>IFERROR(VLOOKUP(A15, 'ANEXO A'!$A$2:$L$94, 2, FALSE), "")</f>
        <v/>
      </c>
      <c r="C15">
        <f>IF(LEFT(A15,1)="5", "5. Organizacionales", IF(LEFT(A15,1)="6", "6. Personas", IF(LEFT(A15,1)="7", "7. Físicos", "8. Tecnológicos")))</f>
        <v/>
      </c>
      <c r="D15">
        <f>IFERROR(VLOOKUP(A15, 'ANEXO A'!$A$2:$L$94, 11, FALSE), "")</f>
        <v/>
      </c>
      <c r="E15">
        <f>IFERROR(VLOOKUP(A15, 'ANEXO A'!$A$2:$L$94, 8, FALSE), "")</f>
        <v/>
      </c>
      <c r="F15">
        <f>IFERROR(VLOOKUP(A15, 'ANEXO A'!$A$2:$L$94, 9, FALSE), "")</f>
        <v/>
      </c>
      <c r="G15">
        <f>IFERROR(VLOOKUP(A15, 'ANEXO A'!$A$2:$L$94, 10, FALSE), "")</f>
        <v/>
      </c>
      <c r="H15">
        <f>IFERROR(VLOOKUP(A15, 'ANEXO A'!$A$2:$L$94, 12, FALSE), "")</f>
        <v/>
      </c>
      <c r="I15" t="inlineStr"/>
      <c r="J15" t="inlineStr"/>
      <c r="K15" t="inlineStr"/>
      <c r="L15" t="inlineStr"/>
      <c r="M15" t="inlineStr"/>
      <c r="N15" t="inlineStr"/>
    </row>
    <row r="16">
      <c r="A16">
        <f>'ANEXO A'!A16</f>
        <v/>
      </c>
      <c r="B16">
        <f>IFERROR(VLOOKUP(A16, 'ANEXO A'!$A$2:$L$94, 2, FALSE), "")</f>
        <v/>
      </c>
      <c r="C16">
        <f>IF(LEFT(A16,1)="5", "5. Organizacionales", IF(LEFT(A16,1)="6", "6. Personas", IF(LEFT(A16,1)="7", "7. Físicos", "8. Tecnológicos")))</f>
        <v/>
      </c>
      <c r="D16">
        <f>IFERROR(VLOOKUP(A16, 'ANEXO A'!$A$2:$L$94, 11, FALSE), "")</f>
        <v/>
      </c>
      <c r="E16">
        <f>IFERROR(VLOOKUP(A16, 'ANEXO A'!$A$2:$L$94, 8, FALSE), "")</f>
        <v/>
      </c>
      <c r="F16">
        <f>IFERROR(VLOOKUP(A16, 'ANEXO A'!$A$2:$L$94, 9, FALSE), "")</f>
        <v/>
      </c>
      <c r="G16">
        <f>IFERROR(VLOOKUP(A16, 'ANEXO A'!$A$2:$L$94, 10, FALSE), "")</f>
        <v/>
      </c>
      <c r="H16">
        <f>IFERROR(VLOOKUP(A16, 'ANEXO A'!$A$2:$L$94, 12, FALSE), "")</f>
        <v/>
      </c>
      <c r="I16" t="inlineStr">
        <is>
          <t>6.2. Creación de nuevos usuarios - Asignación de usuarios y roles según GSO-GSI-MP-GSI</t>
        </is>
      </c>
      <c r="J16" t="inlineStr"/>
      <c r="K16" t="inlineStr"/>
      <c r="L16" t="inlineStr"/>
      <c r="M16" t="inlineStr"/>
      <c r="N16" t="inlineStr"/>
    </row>
    <row r="17">
      <c r="A17">
        <f>'ANEXO A'!A17</f>
        <v/>
      </c>
      <c r="B17">
        <f>IFERROR(VLOOKUP(A17, 'ANEXO A'!$A$2:$L$94, 2, FALSE), "")</f>
        <v/>
      </c>
      <c r="C17">
        <f>IF(LEFT(A17,1)="5", "5. Organizacionales", IF(LEFT(A17,1)="6", "6. Personas", IF(LEFT(A17,1)="7", "7. Físicos", "8. Tecnológicos")))</f>
        <v/>
      </c>
      <c r="D17">
        <f>IFERROR(VLOOKUP(A17, 'ANEXO A'!$A$2:$L$94, 11, FALSE), "")</f>
        <v/>
      </c>
      <c r="E17">
        <f>IFERROR(VLOOKUP(A17, 'ANEXO A'!$A$2:$L$94, 8, FALSE), "")</f>
        <v/>
      </c>
      <c r="F17">
        <f>IFERROR(VLOOKUP(A17, 'ANEXO A'!$A$2:$L$94, 9, FALSE), "")</f>
        <v/>
      </c>
      <c r="G17">
        <f>IFERROR(VLOOKUP(A17, 'ANEXO A'!$A$2:$L$94, 10, FALSE), "")</f>
        <v/>
      </c>
      <c r="H17">
        <f>IFERROR(VLOOKUP(A17, 'ANEXO A'!$A$2:$L$94, 12, FALSE), "")</f>
        <v/>
      </c>
      <c r="I17" t="inlineStr">
        <is>
          <t>6.2. Creación de nuevos usuarios - Asignación de usuarios y roles según GSO-GSI-MP-GSI</t>
        </is>
      </c>
      <c r="J17" t="inlineStr"/>
      <c r="K17" t="inlineStr"/>
      <c r="L17" t="inlineStr"/>
      <c r="M17" t="inlineStr"/>
      <c r="N17" t="inlineStr"/>
    </row>
    <row r="18">
      <c r="A18">
        <f>'ANEXO A'!A18</f>
        <v/>
      </c>
      <c r="B18">
        <f>IFERROR(VLOOKUP(A18, 'ANEXO A'!$A$2:$L$94, 2, FALSE), "")</f>
        <v/>
      </c>
      <c r="C18">
        <f>IF(LEFT(A18,1)="5", "5. Organizacionales", IF(LEFT(A18,1)="6", "6. Personas", IF(LEFT(A18,1)="7", "7. Físicos", "8. Tecnológicos")))</f>
        <v/>
      </c>
      <c r="D18">
        <f>IFERROR(VLOOKUP(A18, 'ANEXO A'!$A$2:$L$94, 11, FALSE), "")</f>
        <v/>
      </c>
      <c r="E18">
        <f>IFERROR(VLOOKUP(A18, 'ANEXO A'!$A$2:$L$94, 8, FALSE), "")</f>
        <v/>
      </c>
      <c r="F18">
        <f>IFERROR(VLOOKUP(A18, 'ANEXO A'!$A$2:$L$94, 9, FALSE), "")</f>
        <v/>
      </c>
      <c r="G18">
        <f>IFERROR(VLOOKUP(A18, 'ANEXO A'!$A$2:$L$94, 10, FALSE), "")</f>
        <v/>
      </c>
      <c r="H18">
        <f>IFERROR(VLOOKUP(A18, 'ANEXO A'!$A$2:$L$94, 12, FALSE), "")</f>
        <v/>
      </c>
      <c r="I18" t="inlineStr">
        <is>
          <t>6.11. Cambio de claves de cuentas críticas - Renovar periódicamente las contraseñas (GSO-GSI-MP-GSI)</t>
        </is>
      </c>
      <c r="J18" t="inlineStr"/>
      <c r="K18" t="inlineStr"/>
      <c r="L18" t="inlineStr"/>
      <c r="M18" t="inlineStr"/>
      <c r="N18" t="inlineStr"/>
    </row>
    <row r="19">
      <c r="A19">
        <f>'ANEXO A'!A19</f>
        <v/>
      </c>
      <c r="B19">
        <f>IFERROR(VLOOKUP(A19, 'ANEXO A'!$A$2:$L$94, 2, FALSE), "")</f>
        <v/>
      </c>
      <c r="C19">
        <f>IF(LEFT(A19,1)="5", "5. Organizacionales", IF(LEFT(A19,1)="6", "6. Personas", IF(LEFT(A19,1)="7", "7. Físicos", "8. Tecnológicos")))</f>
        <v/>
      </c>
      <c r="D19">
        <f>IFERROR(VLOOKUP(A19, 'ANEXO A'!$A$2:$L$94, 11, FALSE), "")</f>
        <v/>
      </c>
      <c r="E19">
        <f>IFERROR(VLOOKUP(A19, 'ANEXO A'!$A$2:$L$94, 8, FALSE), "")</f>
        <v/>
      </c>
      <c r="F19">
        <f>IFERROR(VLOOKUP(A19, 'ANEXO A'!$A$2:$L$94, 9, FALSE), "")</f>
        <v/>
      </c>
      <c r="G19">
        <f>IFERROR(VLOOKUP(A19, 'ANEXO A'!$A$2:$L$94, 10, FALSE), "")</f>
        <v/>
      </c>
      <c r="H19">
        <f>IFERROR(VLOOKUP(A19, 'ANEXO A'!$A$2:$L$94, 12, FALSE), "")</f>
        <v/>
      </c>
      <c r="I19" t="inlineStr">
        <is>
          <t>6.10. Revisión periódica de roles y usuarios - Control y auditoría de accesos (GSO-GSI-MP-GSI)</t>
        </is>
      </c>
      <c r="J19" t="inlineStr"/>
      <c r="K19" t="inlineStr"/>
      <c r="L19" t="inlineStr"/>
      <c r="M19" t="inlineStr"/>
      <c r="N19" t="inlineStr"/>
    </row>
    <row r="20">
      <c r="A20">
        <f>'ANEXO A'!A20</f>
        <v/>
      </c>
      <c r="B20">
        <f>IFERROR(VLOOKUP(A20, 'ANEXO A'!$A$2:$L$94, 2, FALSE), "")</f>
        <v/>
      </c>
      <c r="C20">
        <f>IF(LEFT(A20,1)="5", "5. Organizacionales", IF(LEFT(A20,1)="6", "6. Personas", IF(LEFT(A20,1)="7", "7. Físicos", "8. Tecnológicos")))</f>
        <v/>
      </c>
      <c r="D20">
        <f>IFERROR(VLOOKUP(A20, 'ANEXO A'!$A$2:$L$94, 11, FALSE), "")</f>
        <v/>
      </c>
      <c r="E20">
        <f>IFERROR(VLOOKUP(A20, 'ANEXO A'!$A$2:$L$94, 8, FALSE), "")</f>
        <v/>
      </c>
      <c r="F20">
        <f>IFERROR(VLOOKUP(A20, 'ANEXO A'!$A$2:$L$94, 9, FALSE), "")</f>
        <v/>
      </c>
      <c r="G20">
        <f>IFERROR(VLOOKUP(A20, 'ANEXO A'!$A$2:$L$94, 10, FALSE), "")</f>
        <v/>
      </c>
      <c r="H20">
        <f>IFERROR(VLOOKUP(A20, 'ANEXO A'!$A$2:$L$94, 12, FALSE), "")</f>
        <v/>
      </c>
      <c r="I20" t="inlineStr"/>
      <c r="J20" t="inlineStr"/>
      <c r="K20" t="inlineStr"/>
      <c r="L20" t="inlineStr"/>
      <c r="M20" t="inlineStr"/>
      <c r="N20" t="inlineStr"/>
    </row>
    <row r="21">
      <c r="A21">
        <f>'ANEXO A'!A21</f>
        <v/>
      </c>
      <c r="B21">
        <f>IFERROR(VLOOKUP(A21, 'ANEXO A'!$A$2:$L$94, 2, FALSE), "")</f>
        <v/>
      </c>
      <c r="C21">
        <f>IF(LEFT(A21,1)="5", "5. Organizacionales", IF(LEFT(A21,1)="6", "6. Personas", IF(LEFT(A21,1)="7", "7. Físicos", "8. Tecnológicos")))</f>
        <v/>
      </c>
      <c r="D21">
        <f>IFERROR(VLOOKUP(A21, 'ANEXO A'!$A$2:$L$94, 11, FALSE), "")</f>
        <v/>
      </c>
      <c r="E21">
        <f>IFERROR(VLOOKUP(A21, 'ANEXO A'!$A$2:$L$94, 8, FALSE), "")</f>
        <v/>
      </c>
      <c r="F21">
        <f>IFERROR(VLOOKUP(A21, 'ANEXO A'!$A$2:$L$94, 9, FALSE), "")</f>
        <v/>
      </c>
      <c r="G21">
        <f>IFERROR(VLOOKUP(A21, 'ANEXO A'!$A$2:$L$94, 10, FALSE), "")</f>
        <v/>
      </c>
      <c r="H21">
        <f>IFERROR(VLOOKUP(A21, 'ANEXO A'!$A$2:$L$94, 12, FALSE), "")</f>
        <v/>
      </c>
      <c r="I21" t="inlineStr"/>
      <c r="J21" t="inlineStr"/>
      <c r="K21" t="inlineStr"/>
      <c r="L21" t="inlineStr"/>
      <c r="M21" t="inlineStr"/>
      <c r="N21" t="inlineStr"/>
    </row>
    <row r="22">
      <c r="A22">
        <f>'ANEXO A'!A22</f>
        <v/>
      </c>
      <c r="B22">
        <f>IFERROR(VLOOKUP(A22, 'ANEXO A'!$A$2:$L$94, 2, FALSE), "")</f>
        <v/>
      </c>
      <c r="C22">
        <f>IF(LEFT(A22,1)="5", "5. Organizacionales", IF(LEFT(A22,1)="6", "6. Personas", IF(LEFT(A22,1)="7", "7. Físicos", "8. Tecnológicos")))</f>
        <v/>
      </c>
      <c r="D22">
        <f>IFERROR(VLOOKUP(A22, 'ANEXO A'!$A$2:$L$94, 11, FALSE), "")</f>
        <v/>
      </c>
      <c r="E22">
        <f>IFERROR(VLOOKUP(A22, 'ANEXO A'!$A$2:$L$94, 8, FALSE), "")</f>
        <v/>
      </c>
      <c r="F22">
        <f>IFERROR(VLOOKUP(A22, 'ANEXO A'!$A$2:$L$94, 9, FALSE), "")</f>
        <v/>
      </c>
      <c r="G22">
        <f>IFERROR(VLOOKUP(A22, 'ANEXO A'!$A$2:$L$94, 10, FALSE), "")</f>
        <v/>
      </c>
      <c r="H22">
        <f>IFERROR(VLOOKUP(A22, 'ANEXO A'!$A$2:$L$94, 12, FALSE), "")</f>
        <v/>
      </c>
      <c r="I22" t="inlineStr"/>
      <c r="J22" t="inlineStr"/>
      <c r="K22" t="inlineStr"/>
      <c r="L22" t="inlineStr"/>
      <c r="M22" t="inlineStr"/>
      <c r="N22" t="inlineStr"/>
    </row>
    <row r="23">
      <c r="A23">
        <f>'ANEXO A'!A23</f>
        <v/>
      </c>
      <c r="B23">
        <f>IFERROR(VLOOKUP(A23, 'ANEXO A'!$A$2:$L$94, 2, FALSE), "")</f>
        <v/>
      </c>
      <c r="C23">
        <f>IF(LEFT(A23,1)="5", "5. Organizacionales", IF(LEFT(A23,1)="6", "6. Personas", IF(LEFT(A23,1)="7", "7. Físicos", "8. Tecnológicos")))</f>
        <v/>
      </c>
      <c r="D23">
        <f>IFERROR(VLOOKUP(A23, 'ANEXO A'!$A$2:$L$94, 11, FALSE), "")</f>
        <v/>
      </c>
      <c r="E23">
        <f>IFERROR(VLOOKUP(A23, 'ANEXO A'!$A$2:$L$94, 8, FALSE), "")</f>
        <v/>
      </c>
      <c r="F23">
        <f>IFERROR(VLOOKUP(A23, 'ANEXO A'!$A$2:$L$94, 9, FALSE), "")</f>
        <v/>
      </c>
      <c r="G23">
        <f>IFERROR(VLOOKUP(A23, 'ANEXO A'!$A$2:$L$94, 10, FALSE), "")</f>
        <v/>
      </c>
      <c r="H23">
        <f>IFERROR(VLOOKUP(A23, 'ANEXO A'!$A$2:$L$94, 12, FALSE), "")</f>
        <v/>
      </c>
      <c r="I23" t="inlineStr"/>
      <c r="J23" t="inlineStr"/>
      <c r="K23" t="inlineStr"/>
      <c r="L23" t="inlineStr"/>
      <c r="M23" t="inlineStr"/>
      <c r="N23" t="inlineStr"/>
    </row>
    <row r="24">
      <c r="A24">
        <f>'ANEXO A'!A24</f>
        <v/>
      </c>
      <c r="B24">
        <f>IFERROR(VLOOKUP(A24, 'ANEXO A'!$A$2:$L$94, 2, FALSE), "")</f>
        <v/>
      </c>
      <c r="C24">
        <f>IF(LEFT(A24,1)="5", "5. Organizacionales", IF(LEFT(A24,1)="6", "6. Personas", IF(LEFT(A24,1)="7", "7. Físicos", "8. Tecnológicos")))</f>
        <v/>
      </c>
      <c r="D24">
        <f>IFERROR(VLOOKUP(A24, 'ANEXO A'!$A$2:$L$94, 11, FALSE), "")</f>
        <v/>
      </c>
      <c r="E24">
        <f>IFERROR(VLOOKUP(A24, 'ANEXO A'!$A$2:$L$94, 8, FALSE), "")</f>
        <v/>
      </c>
      <c r="F24">
        <f>IFERROR(VLOOKUP(A24, 'ANEXO A'!$A$2:$L$94, 9, FALSE), "")</f>
        <v/>
      </c>
      <c r="G24">
        <f>IFERROR(VLOOKUP(A24, 'ANEXO A'!$A$2:$L$94, 10, FALSE), "")</f>
        <v/>
      </c>
      <c r="H24">
        <f>IFERROR(VLOOKUP(A24, 'ANEXO A'!$A$2:$L$94, 12, FALSE), "")</f>
        <v/>
      </c>
      <c r="I24" t="inlineStr"/>
      <c r="J24" t="inlineStr"/>
      <c r="K24" t="inlineStr"/>
      <c r="L24" t="inlineStr"/>
      <c r="M24" t="inlineStr"/>
      <c r="N24" t="inlineStr"/>
    </row>
    <row r="25">
      <c r="A25">
        <f>'ANEXO A'!A25</f>
        <v/>
      </c>
      <c r="B25">
        <f>IFERROR(VLOOKUP(A25, 'ANEXO A'!$A$2:$L$94, 2, FALSE), "")</f>
        <v/>
      </c>
      <c r="C25">
        <f>IF(LEFT(A25,1)="5", "5. Organizacionales", IF(LEFT(A25,1)="6", "6. Personas", IF(LEFT(A25,1)="7", "7. Físicos", "8. Tecnológicos")))</f>
        <v/>
      </c>
      <c r="D25">
        <f>IFERROR(VLOOKUP(A25, 'ANEXO A'!$A$2:$L$94, 11, FALSE), "")</f>
        <v/>
      </c>
      <c r="E25">
        <f>IFERROR(VLOOKUP(A25, 'ANEXO A'!$A$2:$L$94, 8, FALSE), "")</f>
        <v/>
      </c>
      <c r="F25">
        <f>IFERROR(VLOOKUP(A25, 'ANEXO A'!$A$2:$L$94, 9, FALSE), "")</f>
        <v/>
      </c>
      <c r="G25">
        <f>IFERROR(VLOOKUP(A25, 'ANEXO A'!$A$2:$L$94, 10, FALSE), "")</f>
        <v/>
      </c>
      <c r="H25">
        <f>IFERROR(VLOOKUP(A25, 'ANEXO A'!$A$2:$L$94, 12, FALSE), "")</f>
        <v/>
      </c>
      <c r="I25" t="inlineStr">
        <is>
          <t>6.15. Gestión de incidentes de seguridad de la información - Planificación de respuesta (GSO-GSI-MP-GSI)</t>
        </is>
      </c>
      <c r="J25" t="inlineStr"/>
      <c r="K25" t="inlineStr"/>
      <c r="L25" t="inlineStr"/>
      <c r="M25" t="inlineStr"/>
      <c r="N25" t="inlineStr"/>
    </row>
    <row r="26">
      <c r="A26">
        <f>'ANEXO A'!A26</f>
        <v/>
      </c>
      <c r="B26">
        <f>IFERROR(VLOOKUP(A26, 'ANEXO A'!$A$2:$L$94, 2, FALSE), "")</f>
        <v/>
      </c>
      <c r="C26">
        <f>IF(LEFT(A26,1)="5", "5. Organizacionales", IF(LEFT(A26,1)="6", "6. Personas", IF(LEFT(A26,1)="7", "7. Físicos", "8. Tecnológicos")))</f>
        <v/>
      </c>
      <c r="D26">
        <f>IFERROR(VLOOKUP(A26, 'ANEXO A'!$A$2:$L$94, 11, FALSE), "")</f>
        <v/>
      </c>
      <c r="E26">
        <f>IFERROR(VLOOKUP(A26, 'ANEXO A'!$A$2:$L$94, 8, FALSE), "")</f>
        <v/>
      </c>
      <c r="F26">
        <f>IFERROR(VLOOKUP(A26, 'ANEXO A'!$A$2:$L$94, 9, FALSE), "")</f>
        <v/>
      </c>
      <c r="G26">
        <f>IFERROR(VLOOKUP(A26, 'ANEXO A'!$A$2:$L$94, 10, FALSE), "")</f>
        <v/>
      </c>
      <c r="H26">
        <f>IFERROR(VLOOKUP(A26, 'ANEXO A'!$A$2:$L$94, 12, FALSE), "")</f>
        <v/>
      </c>
      <c r="I26" t="inlineStr"/>
      <c r="J26" t="inlineStr"/>
      <c r="K26" t="inlineStr"/>
      <c r="L26" t="inlineStr"/>
      <c r="M26" t="inlineStr"/>
      <c r="N26" t="inlineStr"/>
    </row>
    <row r="27">
      <c r="A27">
        <f>'ANEXO A'!A27</f>
        <v/>
      </c>
      <c r="B27">
        <f>IFERROR(VLOOKUP(A27, 'ANEXO A'!$A$2:$L$94, 2, FALSE), "")</f>
        <v/>
      </c>
      <c r="C27">
        <f>IF(LEFT(A27,1)="5", "5. Organizacionales", IF(LEFT(A27,1)="6", "6. Personas", IF(LEFT(A27,1)="7", "7. Físicos", "8. Tecnológicos")))</f>
        <v/>
      </c>
      <c r="D27">
        <f>IFERROR(VLOOKUP(A27, 'ANEXO A'!$A$2:$L$94, 11, FALSE), "")</f>
        <v/>
      </c>
      <c r="E27">
        <f>IFERROR(VLOOKUP(A27, 'ANEXO A'!$A$2:$L$94, 8, FALSE), "")</f>
        <v/>
      </c>
      <c r="F27">
        <f>IFERROR(VLOOKUP(A27, 'ANEXO A'!$A$2:$L$94, 9, FALSE), "")</f>
        <v/>
      </c>
      <c r="G27">
        <f>IFERROR(VLOOKUP(A27, 'ANEXO A'!$A$2:$L$94, 10, FALSE), "")</f>
        <v/>
      </c>
      <c r="H27">
        <f>IFERROR(VLOOKUP(A27, 'ANEXO A'!$A$2:$L$94, 12, FALSE), "")</f>
        <v/>
      </c>
      <c r="I27" t="inlineStr"/>
      <c r="J27" t="inlineStr"/>
      <c r="K27" t="inlineStr"/>
      <c r="L27" t="inlineStr"/>
      <c r="M27" t="inlineStr"/>
      <c r="N27" t="inlineStr"/>
    </row>
    <row r="28">
      <c r="A28">
        <f>'ANEXO A'!A28</f>
        <v/>
      </c>
      <c r="B28">
        <f>IFERROR(VLOOKUP(A28, 'ANEXO A'!$A$2:$L$94, 2, FALSE), "")</f>
        <v/>
      </c>
      <c r="C28">
        <f>IF(LEFT(A28,1)="5", "5. Organizacionales", IF(LEFT(A28,1)="6", "6. Personas", IF(LEFT(A28,1)="7", "7. Físicos", "8. Tecnológicos")))</f>
        <v/>
      </c>
      <c r="D28">
        <f>IFERROR(VLOOKUP(A28, 'ANEXO A'!$A$2:$L$94, 11, FALSE), "")</f>
        <v/>
      </c>
      <c r="E28">
        <f>IFERROR(VLOOKUP(A28, 'ANEXO A'!$A$2:$L$94, 8, FALSE), "")</f>
        <v/>
      </c>
      <c r="F28">
        <f>IFERROR(VLOOKUP(A28, 'ANEXO A'!$A$2:$L$94, 9, FALSE), "")</f>
        <v/>
      </c>
      <c r="G28">
        <f>IFERROR(VLOOKUP(A28, 'ANEXO A'!$A$2:$L$94, 10, FALSE), "")</f>
        <v/>
      </c>
      <c r="H28">
        <f>IFERROR(VLOOKUP(A28, 'ANEXO A'!$A$2:$L$94, 12, FALSE), "")</f>
        <v/>
      </c>
      <c r="I28" t="inlineStr"/>
      <c r="J28" t="inlineStr"/>
      <c r="K28" t="inlineStr"/>
      <c r="L28" t="inlineStr"/>
      <c r="M28" t="inlineStr"/>
      <c r="N28" t="inlineStr"/>
    </row>
    <row r="29">
      <c r="A29">
        <f>'ANEXO A'!A29</f>
        <v/>
      </c>
      <c r="B29">
        <f>IFERROR(VLOOKUP(A29, 'ANEXO A'!$A$2:$L$94, 2, FALSE), "")</f>
        <v/>
      </c>
      <c r="C29">
        <f>IF(LEFT(A29,1)="5", "5. Organizacionales", IF(LEFT(A29,1)="6", "6. Personas", IF(LEFT(A29,1)="7", "7. Físicos", "8. Tecnológicos")))</f>
        <v/>
      </c>
      <c r="D29">
        <f>IFERROR(VLOOKUP(A29, 'ANEXO A'!$A$2:$L$94, 11, FALSE), "")</f>
        <v/>
      </c>
      <c r="E29">
        <f>IFERROR(VLOOKUP(A29, 'ANEXO A'!$A$2:$L$94, 8, FALSE), "")</f>
        <v/>
      </c>
      <c r="F29">
        <f>IFERROR(VLOOKUP(A29, 'ANEXO A'!$A$2:$L$94, 9, FALSE), "")</f>
        <v/>
      </c>
      <c r="G29">
        <f>IFERROR(VLOOKUP(A29, 'ANEXO A'!$A$2:$L$94, 10, FALSE), "")</f>
        <v/>
      </c>
      <c r="H29">
        <f>IFERROR(VLOOKUP(A29, 'ANEXO A'!$A$2:$L$94, 12, FALSE), "")</f>
        <v/>
      </c>
      <c r="I29" t="inlineStr"/>
      <c r="J29" t="inlineStr"/>
      <c r="K29" t="inlineStr"/>
      <c r="L29" t="inlineStr"/>
      <c r="M29" t="inlineStr"/>
      <c r="N29" t="inlineStr"/>
    </row>
    <row r="30">
      <c r="A30">
        <f>'ANEXO A'!A30</f>
        <v/>
      </c>
      <c r="B30">
        <f>IFERROR(VLOOKUP(A30, 'ANEXO A'!$A$2:$L$94, 2, FALSE), "")</f>
        <v/>
      </c>
      <c r="C30">
        <f>IF(LEFT(A30,1)="5", "5. Organizacionales", IF(LEFT(A30,1)="6", "6. Personas", IF(LEFT(A30,1)="7", "7. Físicos", "8. Tecnológicos")))</f>
        <v/>
      </c>
      <c r="D30">
        <f>IFERROR(VLOOKUP(A30, 'ANEXO A'!$A$2:$L$94, 11, FALSE), "")</f>
        <v/>
      </c>
      <c r="E30">
        <f>IFERROR(VLOOKUP(A30, 'ANEXO A'!$A$2:$L$94, 8, FALSE), "")</f>
        <v/>
      </c>
      <c r="F30">
        <f>IFERROR(VLOOKUP(A30, 'ANEXO A'!$A$2:$L$94, 9, FALSE), "")</f>
        <v/>
      </c>
      <c r="G30">
        <f>IFERROR(VLOOKUP(A30, 'ANEXO A'!$A$2:$L$94, 10, FALSE), "")</f>
        <v/>
      </c>
      <c r="H30">
        <f>IFERROR(VLOOKUP(A30, 'ANEXO A'!$A$2:$L$94, 12, FALSE), "")</f>
        <v/>
      </c>
      <c r="I30" t="inlineStr"/>
      <c r="J30" t="inlineStr"/>
      <c r="K30" t="inlineStr"/>
      <c r="L30" t="inlineStr"/>
      <c r="M30" t="inlineStr"/>
      <c r="N30" t="inlineStr"/>
    </row>
    <row r="31">
      <c r="A31">
        <f>'ANEXO A'!A31</f>
        <v/>
      </c>
      <c r="B31">
        <f>IFERROR(VLOOKUP(A31, 'ANEXO A'!$A$2:$L$94, 2, FALSE), "")</f>
        <v/>
      </c>
      <c r="C31">
        <f>IF(LEFT(A31,1)="5", "5. Organizacionales", IF(LEFT(A31,1)="6", "6. Personas", IF(LEFT(A31,1)="7", "7. Físicos", "8. Tecnológicos")))</f>
        <v/>
      </c>
      <c r="D31">
        <f>IFERROR(VLOOKUP(A31, 'ANEXO A'!$A$2:$L$94, 11, FALSE), "")</f>
        <v/>
      </c>
      <c r="E31">
        <f>IFERROR(VLOOKUP(A31, 'ANEXO A'!$A$2:$L$94, 8, FALSE), "")</f>
        <v/>
      </c>
      <c r="F31">
        <f>IFERROR(VLOOKUP(A31, 'ANEXO A'!$A$2:$L$94, 9, FALSE), "")</f>
        <v/>
      </c>
      <c r="G31">
        <f>IFERROR(VLOOKUP(A31, 'ANEXO A'!$A$2:$L$94, 10, FALSE), "")</f>
        <v/>
      </c>
      <c r="H31">
        <f>IFERROR(VLOOKUP(A31, 'ANEXO A'!$A$2:$L$94, 12, FALSE), "")</f>
        <v/>
      </c>
      <c r="I31" t="inlineStr"/>
      <c r="J31" t="inlineStr"/>
      <c r="K31" t="inlineStr"/>
      <c r="L31" t="inlineStr"/>
      <c r="M31" t="inlineStr"/>
      <c r="N31" t="inlineStr"/>
    </row>
    <row r="32">
      <c r="A32">
        <f>'ANEXO A'!A32</f>
        <v/>
      </c>
      <c r="B32">
        <f>IFERROR(VLOOKUP(A32, 'ANEXO A'!$A$2:$L$94, 2, FALSE), "")</f>
        <v/>
      </c>
      <c r="C32">
        <f>IF(LEFT(A32,1)="5", "5. Organizacionales", IF(LEFT(A32,1)="6", "6. Personas", IF(LEFT(A32,1)="7", "7. Físicos", "8. Tecnológicos")))</f>
        <v/>
      </c>
      <c r="D32">
        <f>IFERROR(VLOOKUP(A32, 'ANEXO A'!$A$2:$L$94, 11, FALSE), "")</f>
        <v/>
      </c>
      <c r="E32">
        <f>IFERROR(VLOOKUP(A32, 'ANEXO A'!$A$2:$L$94, 8, FALSE), "")</f>
        <v/>
      </c>
      <c r="F32">
        <f>IFERROR(VLOOKUP(A32, 'ANEXO A'!$A$2:$L$94, 9, FALSE), "")</f>
        <v/>
      </c>
      <c r="G32">
        <f>IFERROR(VLOOKUP(A32, 'ANEXO A'!$A$2:$L$94, 10, FALSE), "")</f>
        <v/>
      </c>
      <c r="H32">
        <f>IFERROR(VLOOKUP(A32, 'ANEXO A'!$A$2:$L$94, 12, FALSE), "")</f>
        <v/>
      </c>
      <c r="I32" t="inlineStr"/>
      <c r="J32" t="inlineStr"/>
      <c r="K32" t="inlineStr"/>
      <c r="L32" t="inlineStr"/>
      <c r="M32" t="inlineStr"/>
      <c r="N32" t="inlineStr"/>
    </row>
    <row r="33">
      <c r="A33">
        <f>'ANEXO A'!A33</f>
        <v/>
      </c>
      <c r="B33">
        <f>IFERROR(VLOOKUP(A33, 'ANEXO A'!$A$2:$L$94, 2, FALSE), "")</f>
        <v/>
      </c>
      <c r="C33">
        <f>IF(LEFT(A33,1)="5", "5. Organizacionales", IF(LEFT(A33,1)="6", "6. Personas", IF(LEFT(A33,1)="7", "7. Físicos", "8. Tecnológicos")))</f>
        <v/>
      </c>
      <c r="D33">
        <f>IFERROR(VLOOKUP(A33, 'ANEXO A'!$A$2:$L$94, 11, FALSE), "")</f>
        <v/>
      </c>
      <c r="E33">
        <f>IFERROR(VLOOKUP(A33, 'ANEXO A'!$A$2:$L$94, 8, FALSE), "")</f>
        <v/>
      </c>
      <c r="F33">
        <f>IFERROR(VLOOKUP(A33, 'ANEXO A'!$A$2:$L$94, 9, FALSE), "")</f>
        <v/>
      </c>
      <c r="G33">
        <f>IFERROR(VLOOKUP(A33, 'ANEXO A'!$A$2:$L$94, 10, FALSE), "")</f>
        <v/>
      </c>
      <c r="H33">
        <f>IFERROR(VLOOKUP(A33, 'ANEXO A'!$A$2:$L$94, 12, FALSE), "")</f>
        <v/>
      </c>
      <c r="I33" t="inlineStr"/>
      <c r="J33" t="inlineStr"/>
      <c r="K33" t="inlineStr"/>
      <c r="L33" t="inlineStr"/>
      <c r="M33" t="inlineStr"/>
      <c r="N33" t="inlineStr"/>
    </row>
    <row r="34">
      <c r="A34">
        <f>'ANEXO A'!A34</f>
        <v/>
      </c>
      <c r="B34">
        <f>IFERROR(VLOOKUP(A34, 'ANEXO A'!$A$2:$L$94, 2, FALSE), "")</f>
        <v/>
      </c>
      <c r="C34">
        <f>IF(LEFT(A34,1)="5", "5. Organizacionales", IF(LEFT(A34,1)="6", "6. Personas", IF(LEFT(A34,1)="7", "7. Físicos", "8. Tecnológicos")))</f>
        <v/>
      </c>
      <c r="D34">
        <f>IFERROR(VLOOKUP(A34, 'ANEXO A'!$A$2:$L$94, 11, FALSE), "")</f>
        <v/>
      </c>
      <c r="E34">
        <f>IFERROR(VLOOKUP(A34, 'ANEXO A'!$A$2:$L$94, 8, FALSE), "")</f>
        <v/>
      </c>
      <c r="F34">
        <f>IFERROR(VLOOKUP(A34, 'ANEXO A'!$A$2:$L$94, 9, FALSE), "")</f>
        <v/>
      </c>
      <c r="G34">
        <f>IFERROR(VLOOKUP(A34, 'ANEXO A'!$A$2:$L$94, 10, FALSE), "")</f>
        <v/>
      </c>
      <c r="H34">
        <f>IFERROR(VLOOKUP(A34, 'ANEXO A'!$A$2:$L$94, 12, FALSE), "")</f>
        <v/>
      </c>
      <c r="I34" t="inlineStr"/>
      <c r="J34" t="inlineStr"/>
      <c r="K34" t="inlineStr"/>
      <c r="L34" t="inlineStr"/>
      <c r="M34" t="inlineStr"/>
      <c r="N34" t="inlineStr"/>
    </row>
    <row r="35">
      <c r="A35">
        <f>'ANEXO A'!A35</f>
        <v/>
      </c>
      <c r="B35">
        <f>IFERROR(VLOOKUP(A35, 'ANEXO A'!$A$2:$L$94, 2, FALSE), "")</f>
        <v/>
      </c>
      <c r="C35">
        <f>IF(LEFT(A35,1)="5", "5. Organizacionales", IF(LEFT(A35,1)="6", "6. Personas", IF(LEFT(A35,1)="7", "7. Físicos", "8. Tecnológicos")))</f>
        <v/>
      </c>
      <c r="D35">
        <f>IFERROR(VLOOKUP(A35, 'ANEXO A'!$A$2:$L$94, 11, FALSE), "")</f>
        <v/>
      </c>
      <c r="E35">
        <f>IFERROR(VLOOKUP(A35, 'ANEXO A'!$A$2:$L$94, 8, FALSE), "")</f>
        <v/>
      </c>
      <c r="F35">
        <f>IFERROR(VLOOKUP(A35, 'ANEXO A'!$A$2:$L$94, 9, FALSE), "")</f>
        <v/>
      </c>
      <c r="G35">
        <f>IFERROR(VLOOKUP(A35, 'ANEXO A'!$A$2:$L$94, 10, FALSE), "")</f>
        <v/>
      </c>
      <c r="H35">
        <f>IFERROR(VLOOKUP(A35, 'ANEXO A'!$A$2:$L$94, 12, FALSE), "")</f>
        <v/>
      </c>
      <c r="I35" t="inlineStr"/>
      <c r="J35" t="inlineStr"/>
      <c r="K35" t="inlineStr"/>
      <c r="L35" t="inlineStr"/>
      <c r="M35" t="inlineStr"/>
      <c r="N35" t="inlineStr"/>
    </row>
    <row r="36">
      <c r="A36">
        <f>'ANEXO A'!A36</f>
        <v/>
      </c>
      <c r="B36">
        <f>IFERROR(VLOOKUP(A36, 'ANEXO A'!$A$2:$L$94, 2, FALSE), "")</f>
        <v/>
      </c>
      <c r="C36">
        <f>IF(LEFT(A36,1)="5", "5. Organizacionales", IF(LEFT(A36,1)="6", "6. Personas", IF(LEFT(A36,1)="7", "7. Físicos", "8. Tecnológicos")))</f>
        <v/>
      </c>
      <c r="D36">
        <f>IFERROR(VLOOKUP(A36, 'ANEXO A'!$A$2:$L$94, 11, FALSE), "")</f>
        <v/>
      </c>
      <c r="E36">
        <f>IFERROR(VLOOKUP(A36, 'ANEXO A'!$A$2:$L$94, 8, FALSE), "")</f>
        <v/>
      </c>
      <c r="F36">
        <f>IFERROR(VLOOKUP(A36, 'ANEXO A'!$A$2:$L$94, 9, FALSE), "")</f>
        <v/>
      </c>
      <c r="G36">
        <f>IFERROR(VLOOKUP(A36, 'ANEXO A'!$A$2:$L$94, 10, FALSE), "")</f>
        <v/>
      </c>
      <c r="H36">
        <f>IFERROR(VLOOKUP(A36, 'ANEXO A'!$A$2:$L$94, 12, FALSE), "")</f>
        <v/>
      </c>
      <c r="I36" t="inlineStr"/>
      <c r="J36" t="inlineStr"/>
      <c r="K36" t="inlineStr"/>
      <c r="L36" t="inlineStr"/>
      <c r="M36" t="inlineStr"/>
      <c r="N36" t="inlineStr"/>
    </row>
    <row r="37">
      <c r="A37">
        <f>'ANEXO A'!A37</f>
        <v/>
      </c>
      <c r="B37">
        <f>IFERROR(VLOOKUP(A37, 'ANEXO A'!$A$2:$L$94, 2, FALSE), "")</f>
        <v/>
      </c>
      <c r="C37">
        <f>IF(LEFT(A37,1)="5", "5. Organizacionales", IF(LEFT(A37,1)="6", "6. Personas", IF(LEFT(A37,1)="7", "7. Físicos", "8. Tecnológicos")))</f>
        <v/>
      </c>
      <c r="D37">
        <f>IFERROR(VLOOKUP(A37, 'ANEXO A'!$A$2:$L$94, 11, FALSE), "")</f>
        <v/>
      </c>
      <c r="E37">
        <f>IFERROR(VLOOKUP(A37, 'ANEXO A'!$A$2:$L$94, 8, FALSE), "")</f>
        <v/>
      </c>
      <c r="F37">
        <f>IFERROR(VLOOKUP(A37, 'ANEXO A'!$A$2:$L$94, 9, FALSE), "")</f>
        <v/>
      </c>
      <c r="G37">
        <f>IFERROR(VLOOKUP(A37, 'ANEXO A'!$A$2:$L$94, 10, FALSE), "")</f>
        <v/>
      </c>
      <c r="H37">
        <f>IFERROR(VLOOKUP(A37, 'ANEXO A'!$A$2:$L$94, 12, FALSE), "")</f>
        <v/>
      </c>
      <c r="I37" t="inlineStr"/>
      <c r="J37" t="inlineStr"/>
      <c r="K37" t="inlineStr"/>
      <c r="L37" t="inlineStr"/>
      <c r="M37" t="inlineStr"/>
      <c r="N37" t="inlineStr"/>
    </row>
    <row r="38">
      <c r="A38">
        <f>'ANEXO A'!A38</f>
        <v/>
      </c>
      <c r="B38">
        <f>IFERROR(VLOOKUP(A38, 'ANEXO A'!$A$2:$L$94, 2, FALSE), "")</f>
        <v/>
      </c>
      <c r="C38">
        <f>IF(LEFT(A38,1)="5", "5. Organizacionales", IF(LEFT(A38,1)="6", "6. Personas", IF(LEFT(A38,1)="7", "7. Físicos", "8. Tecnológicos")))</f>
        <v/>
      </c>
      <c r="D38">
        <f>IFERROR(VLOOKUP(A38, 'ANEXO A'!$A$2:$L$94, 11, FALSE), "")</f>
        <v/>
      </c>
      <c r="E38">
        <f>IFERROR(VLOOKUP(A38, 'ANEXO A'!$A$2:$L$94, 8, FALSE), "")</f>
        <v/>
      </c>
      <c r="F38">
        <f>IFERROR(VLOOKUP(A38, 'ANEXO A'!$A$2:$L$94, 9, FALSE), "")</f>
        <v/>
      </c>
      <c r="G38">
        <f>IFERROR(VLOOKUP(A38, 'ANEXO A'!$A$2:$L$94, 10, FALSE), "")</f>
        <v/>
      </c>
      <c r="H38">
        <f>IFERROR(VLOOKUP(A38, 'ANEXO A'!$A$2:$L$94, 12, FALSE), "")</f>
        <v/>
      </c>
      <c r="I38" t="inlineStr"/>
      <c r="J38" t="inlineStr"/>
      <c r="K38" t="inlineStr"/>
      <c r="L38" t="inlineStr"/>
      <c r="M38" t="inlineStr"/>
      <c r="N38" t="inlineStr"/>
    </row>
    <row r="39">
      <c r="A39">
        <f>'ANEXO A'!A39</f>
        <v/>
      </c>
      <c r="B39">
        <f>IFERROR(VLOOKUP(A39, 'ANEXO A'!$A$2:$L$94, 2, FALSE), "")</f>
        <v/>
      </c>
      <c r="C39">
        <f>IF(LEFT(A39,1)="5", "5. Organizacionales", IF(LEFT(A39,1)="6", "6. Personas", IF(LEFT(A39,1)="7", "7. Físicos", "8. Tecnológicos")))</f>
        <v/>
      </c>
      <c r="D39">
        <f>IFERROR(VLOOKUP(A39, 'ANEXO A'!$A$2:$L$94, 11, FALSE), "")</f>
        <v/>
      </c>
      <c r="E39">
        <f>IFERROR(VLOOKUP(A39, 'ANEXO A'!$A$2:$L$94, 8, FALSE), "")</f>
        <v/>
      </c>
      <c r="F39">
        <f>IFERROR(VLOOKUP(A39, 'ANEXO A'!$A$2:$L$94, 9, FALSE), "")</f>
        <v/>
      </c>
      <c r="G39">
        <f>IFERROR(VLOOKUP(A39, 'ANEXO A'!$A$2:$L$94, 10, FALSE), "")</f>
        <v/>
      </c>
      <c r="H39">
        <f>IFERROR(VLOOKUP(A39, 'ANEXO A'!$A$2:$L$94, 12, FALSE), "")</f>
        <v/>
      </c>
      <c r="I39" t="inlineStr"/>
      <c r="J39" t="inlineStr"/>
      <c r="K39" t="inlineStr"/>
      <c r="L39" t="inlineStr"/>
      <c r="M39" t="inlineStr"/>
      <c r="N39" t="inlineStr"/>
    </row>
    <row r="40">
      <c r="A40">
        <f>'ANEXO A'!A40</f>
        <v/>
      </c>
      <c r="B40">
        <f>IFERROR(VLOOKUP(A40, 'ANEXO A'!$A$2:$L$94, 2, FALSE), "")</f>
        <v/>
      </c>
      <c r="C40">
        <f>IF(LEFT(A40,1)="5", "5. Organizacionales", IF(LEFT(A40,1)="6", "6. Personas", IF(LEFT(A40,1)="7", "7. Físicos", "8. Tecnológicos")))</f>
        <v/>
      </c>
      <c r="D40">
        <f>IFERROR(VLOOKUP(A40, 'ANEXO A'!$A$2:$L$94, 11, FALSE), "")</f>
        <v/>
      </c>
      <c r="E40">
        <f>IFERROR(VLOOKUP(A40, 'ANEXO A'!$A$2:$L$94, 8, FALSE), "")</f>
        <v/>
      </c>
      <c r="F40">
        <f>IFERROR(VLOOKUP(A40, 'ANEXO A'!$A$2:$L$94, 9, FALSE), "")</f>
        <v/>
      </c>
      <c r="G40">
        <f>IFERROR(VLOOKUP(A40, 'ANEXO A'!$A$2:$L$94, 10, FALSE), "")</f>
        <v/>
      </c>
      <c r="H40">
        <f>IFERROR(VLOOKUP(A40, 'ANEXO A'!$A$2:$L$94, 12, FALSE), "")</f>
        <v/>
      </c>
      <c r="I40" t="inlineStr"/>
      <c r="J40" t="inlineStr"/>
      <c r="K40" t="inlineStr"/>
      <c r="L40" t="inlineStr"/>
      <c r="M40" t="inlineStr"/>
      <c r="N40" t="inlineStr"/>
    </row>
    <row r="41">
      <c r="A41">
        <f>'ANEXO A'!A41</f>
        <v/>
      </c>
      <c r="B41">
        <f>IFERROR(VLOOKUP(A41, 'ANEXO A'!$A$2:$L$94, 2, FALSE), "")</f>
        <v/>
      </c>
      <c r="C41">
        <f>IF(LEFT(A41,1)="5", "5. Organizacionales", IF(LEFT(A41,1)="6", "6. Personas", IF(LEFT(A41,1)="7", "7. Físicos", "8. Tecnológicos")))</f>
        <v/>
      </c>
      <c r="D41">
        <f>IFERROR(VLOOKUP(A41, 'ANEXO A'!$A$2:$L$94, 11, FALSE), "")</f>
        <v/>
      </c>
      <c r="E41">
        <f>IFERROR(VLOOKUP(A41, 'ANEXO A'!$A$2:$L$94, 8, FALSE), "")</f>
        <v/>
      </c>
      <c r="F41">
        <f>IFERROR(VLOOKUP(A41, 'ANEXO A'!$A$2:$L$94, 9, FALSE), "")</f>
        <v/>
      </c>
      <c r="G41">
        <f>IFERROR(VLOOKUP(A41, 'ANEXO A'!$A$2:$L$94, 10, FALSE), "")</f>
        <v/>
      </c>
      <c r="H41">
        <f>IFERROR(VLOOKUP(A41, 'ANEXO A'!$A$2:$L$94, 12, FALSE), "")</f>
        <v/>
      </c>
      <c r="I41" t="inlineStr"/>
      <c r="J41" t="inlineStr"/>
      <c r="K41" t="inlineStr"/>
      <c r="L41" t="inlineStr"/>
      <c r="M41" t="inlineStr"/>
      <c r="N41" t="inlineStr"/>
    </row>
    <row r="42">
      <c r="A42">
        <f>'ANEXO A'!A42</f>
        <v/>
      </c>
      <c r="B42">
        <f>IFERROR(VLOOKUP(A42, 'ANEXO A'!$A$2:$L$94, 2, FALSE), "")</f>
        <v/>
      </c>
      <c r="C42">
        <f>IF(LEFT(A42,1)="5", "5. Organizacionales", IF(LEFT(A42,1)="6", "6. Personas", IF(LEFT(A42,1)="7", "7. Físicos", "8. Tecnológicos")))</f>
        <v/>
      </c>
      <c r="D42">
        <f>IFERROR(VLOOKUP(A42, 'ANEXO A'!$A$2:$L$94, 11, FALSE), "")</f>
        <v/>
      </c>
      <c r="E42">
        <f>IFERROR(VLOOKUP(A42, 'ANEXO A'!$A$2:$L$94, 8, FALSE), "")</f>
        <v/>
      </c>
      <c r="F42">
        <f>IFERROR(VLOOKUP(A42, 'ANEXO A'!$A$2:$L$94, 9, FALSE), "")</f>
        <v/>
      </c>
      <c r="G42">
        <f>IFERROR(VLOOKUP(A42, 'ANEXO A'!$A$2:$L$94, 10, FALSE), "")</f>
        <v/>
      </c>
      <c r="H42">
        <f>IFERROR(VLOOKUP(A42, 'ANEXO A'!$A$2:$L$94, 12, FALSE), "")</f>
        <v/>
      </c>
      <c r="I42" t="inlineStr"/>
      <c r="J42" t="inlineStr"/>
      <c r="K42" t="inlineStr"/>
      <c r="L42" t="inlineStr"/>
      <c r="M42" t="inlineStr"/>
      <c r="N42" t="inlineStr"/>
    </row>
    <row r="43">
      <c r="A43">
        <f>'ANEXO A'!A43</f>
        <v/>
      </c>
      <c r="B43">
        <f>IFERROR(VLOOKUP(A43, 'ANEXO A'!$A$2:$L$94, 2, FALSE), "")</f>
        <v/>
      </c>
      <c r="C43">
        <f>IF(LEFT(A43,1)="5", "5. Organizacionales", IF(LEFT(A43,1)="6", "6. Personas", IF(LEFT(A43,1)="7", "7. Físicos", "8. Tecnológicos")))</f>
        <v/>
      </c>
      <c r="D43">
        <f>IFERROR(VLOOKUP(A43, 'ANEXO A'!$A$2:$L$94, 11, FALSE), "")</f>
        <v/>
      </c>
      <c r="E43">
        <f>IFERROR(VLOOKUP(A43, 'ANEXO A'!$A$2:$L$94, 8, FALSE), "")</f>
        <v/>
      </c>
      <c r="F43">
        <f>IFERROR(VLOOKUP(A43, 'ANEXO A'!$A$2:$L$94, 9, FALSE), "")</f>
        <v/>
      </c>
      <c r="G43">
        <f>IFERROR(VLOOKUP(A43, 'ANEXO A'!$A$2:$L$94, 10, FALSE), "")</f>
        <v/>
      </c>
      <c r="H43">
        <f>IFERROR(VLOOKUP(A43, 'ANEXO A'!$A$2:$L$94, 12, FALSE), "")</f>
        <v/>
      </c>
      <c r="I43" t="inlineStr"/>
      <c r="J43" t="inlineStr"/>
      <c r="K43" t="inlineStr"/>
      <c r="L43" t="inlineStr"/>
      <c r="M43" t="inlineStr"/>
      <c r="N43" t="inlineStr"/>
    </row>
    <row r="44">
      <c r="A44">
        <f>'ANEXO A'!A44</f>
        <v/>
      </c>
      <c r="B44">
        <f>IFERROR(VLOOKUP(A44, 'ANEXO A'!$A$2:$L$94, 2, FALSE), "")</f>
        <v/>
      </c>
      <c r="C44">
        <f>IF(LEFT(A44,1)="5", "5. Organizacionales", IF(LEFT(A44,1)="6", "6. Personas", IF(LEFT(A44,1)="7", "7. Físicos", "8. Tecnológicos")))</f>
        <v/>
      </c>
      <c r="D44">
        <f>IFERROR(VLOOKUP(A44, 'ANEXO A'!$A$2:$L$94, 11, FALSE), "")</f>
        <v/>
      </c>
      <c r="E44">
        <f>IFERROR(VLOOKUP(A44, 'ANEXO A'!$A$2:$L$94, 8, FALSE), "")</f>
        <v/>
      </c>
      <c r="F44">
        <f>IFERROR(VLOOKUP(A44, 'ANEXO A'!$A$2:$L$94, 9, FALSE), "")</f>
        <v/>
      </c>
      <c r="G44">
        <f>IFERROR(VLOOKUP(A44, 'ANEXO A'!$A$2:$L$94, 10, FALSE), "")</f>
        <v/>
      </c>
      <c r="H44">
        <f>IFERROR(VLOOKUP(A44, 'ANEXO A'!$A$2:$L$94, 12, FALSE), "")</f>
        <v/>
      </c>
      <c r="I44" t="inlineStr"/>
      <c r="J44" t="inlineStr"/>
      <c r="K44" t="inlineStr"/>
      <c r="L44" t="inlineStr"/>
      <c r="M44" t="inlineStr"/>
      <c r="N44" t="inlineStr"/>
    </row>
    <row r="45">
      <c r="A45">
        <f>'ANEXO A'!A45</f>
        <v/>
      </c>
      <c r="B45">
        <f>IFERROR(VLOOKUP(A45, 'ANEXO A'!$A$2:$L$94, 2, FALSE), "")</f>
        <v/>
      </c>
      <c r="C45">
        <f>IF(LEFT(A45,1)="5", "5. Organizacionales", IF(LEFT(A45,1)="6", "6. Personas", IF(LEFT(A45,1)="7", "7. Físicos", "8. Tecnológicos")))</f>
        <v/>
      </c>
      <c r="D45">
        <f>IFERROR(VLOOKUP(A45, 'ANEXO A'!$A$2:$L$94, 11, FALSE), "")</f>
        <v/>
      </c>
      <c r="E45">
        <f>IFERROR(VLOOKUP(A45, 'ANEXO A'!$A$2:$L$94, 8, FALSE), "")</f>
        <v/>
      </c>
      <c r="F45">
        <f>IFERROR(VLOOKUP(A45, 'ANEXO A'!$A$2:$L$94, 9, FALSE), "")</f>
        <v/>
      </c>
      <c r="G45">
        <f>IFERROR(VLOOKUP(A45, 'ANEXO A'!$A$2:$L$94, 10, FALSE), "")</f>
        <v/>
      </c>
      <c r="H45">
        <f>IFERROR(VLOOKUP(A45, 'ANEXO A'!$A$2:$L$94, 12, FALSE), "")</f>
        <v/>
      </c>
      <c r="I45" t="inlineStr"/>
      <c r="J45" t="inlineStr"/>
      <c r="K45" t="inlineStr"/>
      <c r="L45" t="inlineStr"/>
      <c r="M45" t="inlineStr"/>
      <c r="N45" t="inlineStr"/>
    </row>
    <row r="46">
      <c r="A46">
        <f>'ANEXO A'!A46</f>
        <v/>
      </c>
      <c r="B46">
        <f>IFERROR(VLOOKUP(A46, 'ANEXO A'!$A$2:$L$94, 2, FALSE), "")</f>
        <v/>
      </c>
      <c r="C46">
        <f>IF(LEFT(A46,1)="5", "5. Organizacionales", IF(LEFT(A46,1)="6", "6. Personas", IF(LEFT(A46,1)="7", "7. Físicos", "8. Tecnológicos")))</f>
        <v/>
      </c>
      <c r="D46">
        <f>IFERROR(VLOOKUP(A46, 'ANEXO A'!$A$2:$L$94, 11, FALSE), "")</f>
        <v/>
      </c>
      <c r="E46">
        <f>IFERROR(VLOOKUP(A46, 'ANEXO A'!$A$2:$L$94, 8, FALSE), "")</f>
        <v/>
      </c>
      <c r="F46">
        <f>IFERROR(VLOOKUP(A46, 'ANEXO A'!$A$2:$L$94, 9, FALSE), "")</f>
        <v/>
      </c>
      <c r="G46">
        <f>IFERROR(VLOOKUP(A46, 'ANEXO A'!$A$2:$L$94, 10, FALSE), "")</f>
        <v/>
      </c>
      <c r="H46">
        <f>IFERROR(VLOOKUP(A46, 'ANEXO A'!$A$2:$L$94, 12, FALSE), "")</f>
        <v/>
      </c>
      <c r="I46" t="inlineStr"/>
      <c r="J46" t="inlineStr"/>
      <c r="K46" t="inlineStr"/>
      <c r="L46" t="inlineStr"/>
      <c r="M46" t="inlineStr"/>
      <c r="N46" t="inlineStr"/>
    </row>
    <row r="47">
      <c r="A47">
        <f>'ANEXO A'!A47</f>
        <v/>
      </c>
      <c r="B47">
        <f>IFERROR(VLOOKUP(A47, 'ANEXO A'!$A$2:$L$94, 2, FALSE), "")</f>
        <v/>
      </c>
      <c r="C47">
        <f>IF(LEFT(A47,1)="5", "5. Organizacionales", IF(LEFT(A47,1)="6", "6. Personas", IF(LEFT(A47,1)="7", "7. Físicos", "8. Tecnológicos")))</f>
        <v/>
      </c>
      <c r="D47">
        <f>IFERROR(VLOOKUP(A47, 'ANEXO A'!$A$2:$L$94, 11, FALSE), "")</f>
        <v/>
      </c>
      <c r="E47">
        <f>IFERROR(VLOOKUP(A47, 'ANEXO A'!$A$2:$L$94, 8, FALSE), "")</f>
        <v/>
      </c>
      <c r="F47">
        <f>IFERROR(VLOOKUP(A47, 'ANEXO A'!$A$2:$L$94, 9, FALSE), "")</f>
        <v/>
      </c>
      <c r="G47">
        <f>IFERROR(VLOOKUP(A47, 'ANEXO A'!$A$2:$L$94, 10, FALSE), "")</f>
        <v/>
      </c>
      <c r="H47">
        <f>IFERROR(VLOOKUP(A47, 'ANEXO A'!$A$2:$L$94, 12, FALSE), "")</f>
        <v/>
      </c>
      <c r="I47" t="inlineStr"/>
      <c r="J47" t="inlineStr"/>
      <c r="K47" t="inlineStr"/>
      <c r="L47" t="inlineStr"/>
      <c r="M47" t="inlineStr"/>
      <c r="N47" t="inlineStr"/>
    </row>
    <row r="48">
      <c r="A48">
        <f>'ANEXO A'!A48</f>
        <v/>
      </c>
      <c r="B48">
        <f>IFERROR(VLOOKUP(A48, 'ANEXO A'!$A$2:$L$94, 2, FALSE), "")</f>
        <v/>
      </c>
      <c r="C48">
        <f>IF(LEFT(A48,1)="5", "5. Organizacionales", IF(LEFT(A48,1)="6", "6. Personas", IF(LEFT(A48,1)="7", "7. Físicos", "8. Tecnológicos")))</f>
        <v/>
      </c>
      <c r="D48">
        <f>IFERROR(VLOOKUP(A48, 'ANEXO A'!$A$2:$L$94, 11, FALSE), "")</f>
        <v/>
      </c>
      <c r="E48">
        <f>IFERROR(VLOOKUP(A48, 'ANEXO A'!$A$2:$L$94, 8, FALSE), "")</f>
        <v/>
      </c>
      <c r="F48">
        <f>IFERROR(VLOOKUP(A48, 'ANEXO A'!$A$2:$L$94, 9, FALSE), "")</f>
        <v/>
      </c>
      <c r="G48">
        <f>IFERROR(VLOOKUP(A48, 'ANEXO A'!$A$2:$L$94, 10, FALSE), "")</f>
        <v/>
      </c>
      <c r="H48">
        <f>IFERROR(VLOOKUP(A48, 'ANEXO A'!$A$2:$L$94, 12, FALSE), "")</f>
        <v/>
      </c>
      <c r="I48" t="inlineStr"/>
      <c r="J48" t="inlineStr"/>
      <c r="K48" t="inlineStr"/>
      <c r="L48" t="inlineStr"/>
      <c r="M48" t="inlineStr"/>
      <c r="N48" t="inlineStr"/>
    </row>
    <row r="49">
      <c r="A49">
        <f>'ANEXO A'!A49</f>
        <v/>
      </c>
      <c r="B49">
        <f>IFERROR(VLOOKUP(A49, 'ANEXO A'!$A$2:$L$94, 2, FALSE), "")</f>
        <v/>
      </c>
      <c r="C49">
        <f>IF(LEFT(A49,1)="5", "5. Organizacionales", IF(LEFT(A49,1)="6", "6. Personas", IF(LEFT(A49,1)="7", "7. Físicos", "8. Tecnológicos")))</f>
        <v/>
      </c>
      <c r="D49">
        <f>IFERROR(VLOOKUP(A49, 'ANEXO A'!$A$2:$L$94, 11, FALSE), "")</f>
        <v/>
      </c>
      <c r="E49">
        <f>IFERROR(VLOOKUP(A49, 'ANEXO A'!$A$2:$L$94, 8, FALSE), "")</f>
        <v/>
      </c>
      <c r="F49">
        <f>IFERROR(VLOOKUP(A49, 'ANEXO A'!$A$2:$L$94, 9, FALSE), "")</f>
        <v/>
      </c>
      <c r="G49">
        <f>IFERROR(VLOOKUP(A49, 'ANEXO A'!$A$2:$L$94, 10, FALSE), "")</f>
        <v/>
      </c>
      <c r="H49">
        <f>IFERROR(VLOOKUP(A49, 'ANEXO A'!$A$2:$L$94, 12, FALSE), "")</f>
        <v/>
      </c>
      <c r="I49" t="inlineStr"/>
      <c r="J49" t="inlineStr"/>
      <c r="K49" t="inlineStr"/>
      <c r="L49" t="inlineStr"/>
      <c r="M49" t="inlineStr"/>
      <c r="N49" t="inlineStr"/>
    </row>
    <row r="50">
      <c r="A50">
        <f>'ANEXO A'!A50</f>
        <v/>
      </c>
      <c r="B50">
        <f>IFERROR(VLOOKUP(A50, 'ANEXO A'!$A$2:$L$94, 2, FALSE), "")</f>
        <v/>
      </c>
      <c r="C50">
        <f>IF(LEFT(A50,1)="5", "5. Organizacionales", IF(LEFT(A50,1)="6", "6. Personas", IF(LEFT(A50,1)="7", "7. Físicos", "8. Tecnológicos")))</f>
        <v/>
      </c>
      <c r="D50">
        <f>IFERROR(VLOOKUP(A50, 'ANEXO A'!$A$2:$L$94, 11, FALSE), "")</f>
        <v/>
      </c>
      <c r="E50">
        <f>IFERROR(VLOOKUP(A50, 'ANEXO A'!$A$2:$L$94, 8, FALSE), "")</f>
        <v/>
      </c>
      <c r="F50">
        <f>IFERROR(VLOOKUP(A50, 'ANEXO A'!$A$2:$L$94, 9, FALSE), "")</f>
        <v/>
      </c>
      <c r="G50">
        <f>IFERROR(VLOOKUP(A50, 'ANEXO A'!$A$2:$L$94, 10, FALSE), "")</f>
        <v/>
      </c>
      <c r="H50">
        <f>IFERROR(VLOOKUP(A50, 'ANEXO A'!$A$2:$L$94, 12, FALSE), "")</f>
        <v/>
      </c>
      <c r="I50" t="inlineStr"/>
      <c r="J50" t="inlineStr"/>
      <c r="K50" t="inlineStr"/>
      <c r="L50" t="inlineStr"/>
      <c r="M50" t="inlineStr"/>
      <c r="N50" t="inlineStr"/>
    </row>
    <row r="51">
      <c r="A51">
        <f>'ANEXO A'!A51</f>
        <v/>
      </c>
      <c r="B51">
        <f>IFERROR(VLOOKUP(A51, 'ANEXO A'!$A$2:$L$94, 2, FALSE), "")</f>
        <v/>
      </c>
      <c r="C51">
        <f>IF(LEFT(A51,1)="5", "5. Organizacionales", IF(LEFT(A51,1)="6", "6. Personas", IF(LEFT(A51,1)="7", "7. Físicos", "8. Tecnológicos")))</f>
        <v/>
      </c>
      <c r="D51">
        <f>IFERROR(VLOOKUP(A51, 'ANEXO A'!$A$2:$L$94, 11, FALSE), "")</f>
        <v/>
      </c>
      <c r="E51">
        <f>IFERROR(VLOOKUP(A51, 'ANEXO A'!$A$2:$L$94, 8, FALSE), "")</f>
        <v/>
      </c>
      <c r="F51">
        <f>IFERROR(VLOOKUP(A51, 'ANEXO A'!$A$2:$L$94, 9, FALSE), "")</f>
        <v/>
      </c>
      <c r="G51">
        <f>IFERROR(VLOOKUP(A51, 'ANEXO A'!$A$2:$L$94, 10, FALSE), "")</f>
        <v/>
      </c>
      <c r="H51">
        <f>IFERROR(VLOOKUP(A51, 'ANEXO A'!$A$2:$L$94, 12, FALSE), "")</f>
        <v/>
      </c>
      <c r="I51" t="inlineStr"/>
      <c r="J51" t="inlineStr"/>
      <c r="K51" t="inlineStr"/>
      <c r="L51" t="inlineStr"/>
      <c r="M51" t="inlineStr"/>
      <c r="N51" t="inlineStr"/>
    </row>
    <row r="52">
      <c r="A52">
        <f>'ANEXO A'!A52</f>
        <v/>
      </c>
      <c r="B52">
        <f>IFERROR(VLOOKUP(A52, 'ANEXO A'!$A$2:$L$94, 2, FALSE), "")</f>
        <v/>
      </c>
      <c r="C52">
        <f>IF(LEFT(A52,1)="5", "5. Organizacionales", IF(LEFT(A52,1)="6", "6. Personas", IF(LEFT(A52,1)="7", "7. Físicos", "8. Tecnológicos")))</f>
        <v/>
      </c>
      <c r="D52">
        <f>IFERROR(VLOOKUP(A52, 'ANEXO A'!$A$2:$L$94, 11, FALSE), "")</f>
        <v/>
      </c>
      <c r="E52">
        <f>IFERROR(VLOOKUP(A52, 'ANEXO A'!$A$2:$L$94, 8, FALSE), "")</f>
        <v/>
      </c>
      <c r="F52">
        <f>IFERROR(VLOOKUP(A52, 'ANEXO A'!$A$2:$L$94, 9, FALSE), "")</f>
        <v/>
      </c>
      <c r="G52">
        <f>IFERROR(VLOOKUP(A52, 'ANEXO A'!$A$2:$L$94, 10, FALSE), "")</f>
        <v/>
      </c>
      <c r="H52">
        <f>IFERROR(VLOOKUP(A52, 'ANEXO A'!$A$2:$L$94, 12, FALSE), "")</f>
        <v/>
      </c>
      <c r="I52" t="inlineStr"/>
      <c r="J52" t="inlineStr"/>
      <c r="K52" t="inlineStr"/>
      <c r="L52" t="inlineStr"/>
      <c r="M52" t="inlineStr"/>
      <c r="N52" t="inlineStr"/>
    </row>
    <row r="53">
      <c r="A53">
        <f>'ANEXO A'!A53</f>
        <v/>
      </c>
      <c r="B53">
        <f>IFERROR(VLOOKUP(A53, 'ANEXO A'!$A$2:$L$94, 2, FALSE), "")</f>
        <v/>
      </c>
      <c r="C53">
        <f>IF(LEFT(A53,1)="5", "5. Organizacionales", IF(LEFT(A53,1)="6", "6. Personas", IF(LEFT(A53,1)="7", "7. Físicos", "8. Tecnológicos")))</f>
        <v/>
      </c>
      <c r="D53">
        <f>IFERROR(VLOOKUP(A53, 'ANEXO A'!$A$2:$L$94, 11, FALSE), "")</f>
        <v/>
      </c>
      <c r="E53">
        <f>IFERROR(VLOOKUP(A53, 'ANEXO A'!$A$2:$L$94, 8, FALSE), "")</f>
        <v/>
      </c>
      <c r="F53">
        <f>IFERROR(VLOOKUP(A53, 'ANEXO A'!$A$2:$L$94, 9, FALSE), "")</f>
        <v/>
      </c>
      <c r="G53">
        <f>IFERROR(VLOOKUP(A53, 'ANEXO A'!$A$2:$L$94, 10, FALSE), "")</f>
        <v/>
      </c>
      <c r="H53">
        <f>IFERROR(VLOOKUP(A53, 'ANEXO A'!$A$2:$L$94, 12, FALSE), "")</f>
        <v/>
      </c>
      <c r="I53" t="inlineStr"/>
      <c r="J53" t="inlineStr"/>
      <c r="K53" t="inlineStr"/>
      <c r="L53" t="inlineStr"/>
      <c r="M53" t="inlineStr"/>
      <c r="N53" t="inlineStr"/>
    </row>
    <row r="54">
      <c r="A54">
        <f>'ANEXO A'!A54</f>
        <v/>
      </c>
      <c r="B54">
        <f>IFERROR(VLOOKUP(A54, 'ANEXO A'!$A$2:$L$94, 2, FALSE), "")</f>
        <v/>
      </c>
      <c r="C54">
        <f>IF(LEFT(A54,1)="5", "5. Organizacionales", IF(LEFT(A54,1)="6", "6. Personas", IF(LEFT(A54,1)="7", "7. Físicos", "8. Tecnológicos")))</f>
        <v/>
      </c>
      <c r="D54">
        <f>IFERROR(VLOOKUP(A54, 'ANEXO A'!$A$2:$L$94, 11, FALSE), "")</f>
        <v/>
      </c>
      <c r="E54">
        <f>IFERROR(VLOOKUP(A54, 'ANEXO A'!$A$2:$L$94, 8, FALSE), "")</f>
        <v/>
      </c>
      <c r="F54">
        <f>IFERROR(VLOOKUP(A54, 'ANEXO A'!$A$2:$L$94, 9, FALSE), "")</f>
        <v/>
      </c>
      <c r="G54">
        <f>IFERROR(VLOOKUP(A54, 'ANEXO A'!$A$2:$L$94, 10, FALSE), "")</f>
        <v/>
      </c>
      <c r="H54">
        <f>IFERROR(VLOOKUP(A54, 'ANEXO A'!$A$2:$L$94, 12, FALSE), "")</f>
        <v/>
      </c>
      <c r="I54" t="inlineStr"/>
      <c r="J54" t="inlineStr"/>
      <c r="K54" t="inlineStr"/>
      <c r="L54" t="inlineStr"/>
      <c r="M54" t="inlineStr"/>
      <c r="N54" t="inlineStr"/>
    </row>
    <row r="55">
      <c r="A55">
        <f>'ANEXO A'!A55</f>
        <v/>
      </c>
      <c r="B55">
        <f>IFERROR(VLOOKUP(A55, 'ANEXO A'!$A$2:$L$94, 2, FALSE), "")</f>
        <v/>
      </c>
      <c r="C55">
        <f>IF(LEFT(A55,1)="5", "5. Organizacionales", IF(LEFT(A55,1)="6", "6. Personas", IF(LEFT(A55,1)="7", "7. Físicos", "8. Tecnológicos")))</f>
        <v/>
      </c>
      <c r="D55">
        <f>IFERROR(VLOOKUP(A55, 'ANEXO A'!$A$2:$L$94, 11, FALSE), "")</f>
        <v/>
      </c>
      <c r="E55">
        <f>IFERROR(VLOOKUP(A55, 'ANEXO A'!$A$2:$L$94, 8, FALSE), "")</f>
        <v/>
      </c>
      <c r="F55">
        <f>IFERROR(VLOOKUP(A55, 'ANEXO A'!$A$2:$L$94, 9, FALSE), "")</f>
        <v/>
      </c>
      <c r="G55">
        <f>IFERROR(VLOOKUP(A55, 'ANEXO A'!$A$2:$L$94, 10, FALSE), "")</f>
        <v/>
      </c>
      <c r="H55">
        <f>IFERROR(VLOOKUP(A55, 'ANEXO A'!$A$2:$L$94, 12, FALSE), "")</f>
        <v/>
      </c>
      <c r="I55" t="inlineStr"/>
      <c r="J55" t="inlineStr"/>
      <c r="K55" t="inlineStr"/>
      <c r="L55" t="inlineStr"/>
      <c r="M55" t="inlineStr"/>
      <c r="N55" t="inlineStr"/>
    </row>
    <row r="56">
      <c r="A56">
        <f>'ANEXO A'!A56</f>
        <v/>
      </c>
      <c r="B56">
        <f>IFERROR(VLOOKUP(A56, 'ANEXO A'!$A$2:$L$94, 2, FALSE), "")</f>
        <v/>
      </c>
      <c r="C56">
        <f>IF(LEFT(A56,1)="5", "5. Organizacionales", IF(LEFT(A56,1)="6", "6. Personas", IF(LEFT(A56,1)="7", "7. Físicos", "8. Tecnológicos")))</f>
        <v/>
      </c>
      <c r="D56">
        <f>IFERROR(VLOOKUP(A56, 'ANEXO A'!$A$2:$L$94, 11, FALSE), "")</f>
        <v/>
      </c>
      <c r="E56">
        <f>IFERROR(VLOOKUP(A56, 'ANEXO A'!$A$2:$L$94, 8, FALSE), "")</f>
        <v/>
      </c>
      <c r="F56">
        <f>IFERROR(VLOOKUP(A56, 'ANEXO A'!$A$2:$L$94, 9, FALSE), "")</f>
        <v/>
      </c>
      <c r="G56">
        <f>IFERROR(VLOOKUP(A56, 'ANEXO A'!$A$2:$L$94, 10, FALSE), "")</f>
        <v/>
      </c>
      <c r="H56">
        <f>IFERROR(VLOOKUP(A56, 'ANEXO A'!$A$2:$L$94, 12, FALSE), "")</f>
        <v/>
      </c>
      <c r="I56" t="inlineStr"/>
      <c r="J56" t="inlineStr"/>
      <c r="K56" t="inlineStr"/>
      <c r="L56" t="inlineStr"/>
      <c r="M56" t="inlineStr"/>
      <c r="N56" t="inlineStr"/>
    </row>
    <row r="57">
      <c r="A57">
        <f>'ANEXO A'!A57</f>
        <v/>
      </c>
      <c r="B57">
        <f>IFERROR(VLOOKUP(A57, 'ANEXO A'!$A$2:$L$94, 2, FALSE), "")</f>
        <v/>
      </c>
      <c r="C57">
        <f>IF(LEFT(A57,1)="5", "5. Organizacionales", IF(LEFT(A57,1)="6", "6. Personas", IF(LEFT(A57,1)="7", "7. Físicos", "8. Tecnológicos")))</f>
        <v/>
      </c>
      <c r="D57">
        <f>IFERROR(VLOOKUP(A57, 'ANEXO A'!$A$2:$L$94, 11, FALSE), "")</f>
        <v/>
      </c>
      <c r="E57">
        <f>IFERROR(VLOOKUP(A57, 'ANEXO A'!$A$2:$L$94, 8, FALSE), "")</f>
        <v/>
      </c>
      <c r="F57">
        <f>IFERROR(VLOOKUP(A57, 'ANEXO A'!$A$2:$L$94, 9, FALSE), "")</f>
        <v/>
      </c>
      <c r="G57">
        <f>IFERROR(VLOOKUP(A57, 'ANEXO A'!$A$2:$L$94, 10, FALSE), "")</f>
        <v/>
      </c>
      <c r="H57">
        <f>IFERROR(VLOOKUP(A57, 'ANEXO A'!$A$2:$L$94, 12, FALSE), "")</f>
        <v/>
      </c>
      <c r="I57" t="inlineStr"/>
      <c r="J57" t="inlineStr"/>
      <c r="K57" t="inlineStr"/>
      <c r="L57" t="inlineStr"/>
      <c r="M57" t="inlineStr"/>
      <c r="N57" t="inlineStr"/>
    </row>
    <row r="58">
      <c r="A58">
        <f>'ANEXO A'!A58</f>
        <v/>
      </c>
      <c r="B58">
        <f>IFERROR(VLOOKUP(A58, 'ANEXO A'!$A$2:$L$94, 2, FALSE), "")</f>
        <v/>
      </c>
      <c r="C58">
        <f>IF(LEFT(A58,1)="5", "5. Organizacionales", IF(LEFT(A58,1)="6", "6. Personas", IF(LEFT(A58,1)="7", "7. Físicos", "8. Tecnológicos")))</f>
        <v/>
      </c>
      <c r="D58">
        <f>IFERROR(VLOOKUP(A58, 'ANEXO A'!$A$2:$L$94, 11, FALSE), "")</f>
        <v/>
      </c>
      <c r="E58">
        <f>IFERROR(VLOOKUP(A58, 'ANEXO A'!$A$2:$L$94, 8, FALSE), "")</f>
        <v/>
      </c>
      <c r="F58">
        <f>IFERROR(VLOOKUP(A58, 'ANEXO A'!$A$2:$L$94, 9, FALSE), "")</f>
        <v/>
      </c>
      <c r="G58">
        <f>IFERROR(VLOOKUP(A58, 'ANEXO A'!$A$2:$L$94, 10, FALSE), "")</f>
        <v/>
      </c>
      <c r="H58">
        <f>IFERROR(VLOOKUP(A58, 'ANEXO A'!$A$2:$L$94, 12, FALSE), "")</f>
        <v/>
      </c>
      <c r="I58" t="inlineStr"/>
      <c r="J58" t="inlineStr"/>
      <c r="K58" t="inlineStr"/>
      <c r="L58" t="inlineStr"/>
      <c r="M58" t="inlineStr"/>
      <c r="N58" t="inlineStr"/>
    </row>
    <row r="59">
      <c r="A59">
        <f>'ANEXO A'!A59</f>
        <v/>
      </c>
      <c r="B59">
        <f>IFERROR(VLOOKUP(A59, 'ANEXO A'!$A$2:$L$94, 2, FALSE), "")</f>
        <v/>
      </c>
      <c r="C59">
        <f>IF(LEFT(A59,1)="5", "5. Organizacionales", IF(LEFT(A59,1)="6", "6. Personas", IF(LEFT(A59,1)="7", "7. Físicos", "8. Tecnológicos")))</f>
        <v/>
      </c>
      <c r="D59">
        <f>IFERROR(VLOOKUP(A59, 'ANEXO A'!$A$2:$L$94, 11, FALSE), "")</f>
        <v/>
      </c>
      <c r="E59">
        <f>IFERROR(VLOOKUP(A59, 'ANEXO A'!$A$2:$L$94, 8, FALSE), "")</f>
        <v/>
      </c>
      <c r="F59">
        <f>IFERROR(VLOOKUP(A59, 'ANEXO A'!$A$2:$L$94, 9, FALSE), "")</f>
        <v/>
      </c>
      <c r="G59">
        <f>IFERROR(VLOOKUP(A59, 'ANEXO A'!$A$2:$L$94, 10, FALSE), "")</f>
        <v/>
      </c>
      <c r="H59">
        <f>IFERROR(VLOOKUP(A59, 'ANEXO A'!$A$2:$L$94, 12, FALSE), "")</f>
        <v/>
      </c>
      <c r="I59" t="inlineStr"/>
      <c r="J59" t="inlineStr"/>
      <c r="K59" t="inlineStr"/>
      <c r="L59" t="inlineStr"/>
      <c r="M59" t="inlineStr"/>
      <c r="N59" t="inlineStr"/>
    </row>
    <row r="60">
      <c r="A60">
        <f>'ANEXO A'!A60</f>
        <v/>
      </c>
      <c r="B60">
        <f>IFERROR(VLOOKUP(A60, 'ANEXO A'!$A$2:$L$94, 2, FALSE), "")</f>
        <v/>
      </c>
      <c r="C60">
        <f>IF(LEFT(A60,1)="5", "5. Organizacionales", IF(LEFT(A60,1)="6", "6. Personas", IF(LEFT(A60,1)="7", "7. Físicos", "8. Tecnológicos")))</f>
        <v/>
      </c>
      <c r="D60">
        <f>IFERROR(VLOOKUP(A60, 'ANEXO A'!$A$2:$L$94, 11, FALSE), "")</f>
        <v/>
      </c>
      <c r="E60">
        <f>IFERROR(VLOOKUP(A60, 'ANEXO A'!$A$2:$L$94, 8, FALSE), "")</f>
        <v/>
      </c>
      <c r="F60">
        <f>IFERROR(VLOOKUP(A60, 'ANEXO A'!$A$2:$L$94, 9, FALSE), "")</f>
        <v/>
      </c>
      <c r="G60">
        <f>IFERROR(VLOOKUP(A60, 'ANEXO A'!$A$2:$L$94, 10, FALSE), "")</f>
        <v/>
      </c>
      <c r="H60">
        <f>IFERROR(VLOOKUP(A60, 'ANEXO A'!$A$2:$L$94, 12, FALSE), "")</f>
        <v/>
      </c>
      <c r="I60" t="inlineStr"/>
      <c r="J60" t="inlineStr"/>
      <c r="K60" t="inlineStr"/>
      <c r="L60" t="inlineStr"/>
      <c r="M60" t="inlineStr"/>
      <c r="N60" t="inlineStr"/>
    </row>
    <row r="61">
      <c r="A61">
        <f>'ANEXO A'!A61</f>
        <v/>
      </c>
      <c r="B61">
        <f>IFERROR(VLOOKUP(A61, 'ANEXO A'!$A$2:$L$94, 2, FALSE), "")</f>
        <v/>
      </c>
      <c r="C61">
        <f>IF(LEFT(A61,1)="5", "5. Organizacionales", IF(LEFT(A61,1)="6", "6. Personas", IF(LEFT(A61,1)="7", "7. Físicos", "8. Tecnológicos")))</f>
        <v/>
      </c>
      <c r="D61">
        <f>IFERROR(VLOOKUP(A61, 'ANEXO A'!$A$2:$L$94, 11, FALSE), "")</f>
        <v/>
      </c>
      <c r="E61">
        <f>IFERROR(VLOOKUP(A61, 'ANEXO A'!$A$2:$L$94, 8, FALSE), "")</f>
        <v/>
      </c>
      <c r="F61">
        <f>IFERROR(VLOOKUP(A61, 'ANEXO A'!$A$2:$L$94, 9, FALSE), "")</f>
        <v/>
      </c>
      <c r="G61">
        <f>IFERROR(VLOOKUP(A61, 'ANEXO A'!$A$2:$L$94, 10, FALSE), "")</f>
        <v/>
      </c>
      <c r="H61">
        <f>IFERROR(VLOOKUP(A61, 'ANEXO A'!$A$2:$L$94, 12, FALSE), "")</f>
        <v/>
      </c>
      <c r="I61" t="inlineStr"/>
      <c r="J61" t="inlineStr"/>
      <c r="K61" t="inlineStr"/>
      <c r="L61" t="inlineStr"/>
      <c r="M61" t="inlineStr"/>
      <c r="N61" t="inlineStr"/>
    </row>
    <row r="62">
      <c r="A62">
        <f>'ANEXO A'!A62</f>
        <v/>
      </c>
      <c r="B62">
        <f>IFERROR(VLOOKUP(A62, 'ANEXO A'!$A$2:$L$94, 2, FALSE), "")</f>
        <v/>
      </c>
      <c r="C62">
        <f>IF(LEFT(A62,1)="5", "5. Organizacionales", IF(LEFT(A62,1)="6", "6. Personas", IF(LEFT(A62,1)="7", "7. Físicos", "8. Tecnológicos")))</f>
        <v/>
      </c>
      <c r="D62">
        <f>IFERROR(VLOOKUP(A62, 'ANEXO A'!$A$2:$L$94, 11, FALSE), "")</f>
        <v/>
      </c>
      <c r="E62">
        <f>IFERROR(VLOOKUP(A62, 'ANEXO A'!$A$2:$L$94, 8, FALSE), "")</f>
        <v/>
      </c>
      <c r="F62">
        <f>IFERROR(VLOOKUP(A62, 'ANEXO A'!$A$2:$L$94, 9, FALSE), "")</f>
        <v/>
      </c>
      <c r="G62">
        <f>IFERROR(VLOOKUP(A62, 'ANEXO A'!$A$2:$L$94, 10, FALSE), "")</f>
        <v/>
      </c>
      <c r="H62">
        <f>IFERROR(VLOOKUP(A62, 'ANEXO A'!$A$2:$L$94, 12, FALSE), "")</f>
        <v/>
      </c>
      <c r="I62" t="inlineStr">
        <is>
          <t>6.7. Administración de roles y perfiles - Control de acceso privilegiado (GSO-GSI-MP-GSI)</t>
        </is>
      </c>
      <c r="J62" t="inlineStr"/>
      <c r="K62" t="inlineStr"/>
      <c r="L62" t="inlineStr"/>
      <c r="M62" t="inlineStr"/>
      <c r="N62" t="inlineStr"/>
    </row>
    <row r="63">
      <c r="A63">
        <f>'ANEXO A'!A63</f>
        <v/>
      </c>
      <c r="B63">
        <f>IFERROR(VLOOKUP(A63, 'ANEXO A'!$A$2:$L$94, 2, FALSE), "")</f>
        <v/>
      </c>
      <c r="C63">
        <f>IF(LEFT(A63,1)="5", "5. Organizacionales", IF(LEFT(A63,1)="6", "6. Personas", IF(LEFT(A63,1)="7", "7. Físicos", "8. Tecnológicos")))</f>
        <v/>
      </c>
      <c r="D63">
        <f>IFERROR(VLOOKUP(A63, 'ANEXO A'!$A$2:$L$94, 11, FALSE), "")</f>
        <v/>
      </c>
      <c r="E63">
        <f>IFERROR(VLOOKUP(A63, 'ANEXO A'!$A$2:$L$94, 8, FALSE), "")</f>
        <v/>
      </c>
      <c r="F63">
        <f>IFERROR(VLOOKUP(A63, 'ANEXO A'!$A$2:$L$94, 9, FALSE), "")</f>
        <v/>
      </c>
      <c r="G63">
        <f>IFERROR(VLOOKUP(A63, 'ANEXO A'!$A$2:$L$94, 10, FALSE), "")</f>
        <v/>
      </c>
      <c r="H63">
        <f>IFERROR(VLOOKUP(A63, 'ANEXO A'!$A$2:$L$94, 12, FALSE), "")</f>
        <v/>
      </c>
      <c r="I63" t="inlineStr">
        <is>
          <t>6.4. Bloqueo y Desbloqueo de usuarios / 6.5 Eliminación de usuarios (GSO-GSI-MP-GSI)</t>
        </is>
      </c>
      <c r="J63" t="inlineStr"/>
      <c r="K63" t="inlineStr"/>
      <c r="L63" t="inlineStr"/>
      <c r="M63" t="inlineStr"/>
      <c r="N63" t="inlineStr"/>
    </row>
    <row r="64">
      <c r="A64">
        <f>'ANEXO A'!A64</f>
        <v/>
      </c>
      <c r="B64">
        <f>IFERROR(VLOOKUP(A64, 'ANEXO A'!$A$2:$L$94, 2, FALSE), "")</f>
        <v/>
      </c>
      <c r="C64">
        <f>IF(LEFT(A64,1)="5", "5. Organizacionales", IF(LEFT(A64,1)="6", "6. Personas", IF(LEFT(A64,1)="7", "7. Físicos", "8. Tecnológicos")))</f>
        <v/>
      </c>
      <c r="D64">
        <f>IFERROR(VLOOKUP(A64, 'ANEXO A'!$A$2:$L$94, 11, FALSE), "")</f>
        <v/>
      </c>
      <c r="E64">
        <f>IFERROR(VLOOKUP(A64, 'ANEXO A'!$A$2:$L$94, 8, FALSE), "")</f>
        <v/>
      </c>
      <c r="F64">
        <f>IFERROR(VLOOKUP(A64, 'ANEXO A'!$A$2:$L$94, 9, FALSE), "")</f>
        <v/>
      </c>
      <c r="G64">
        <f>IFERROR(VLOOKUP(A64, 'ANEXO A'!$A$2:$L$94, 10, FALSE), "")</f>
        <v/>
      </c>
      <c r="H64">
        <f>IFERROR(VLOOKUP(A64, 'ANEXO A'!$A$2:$L$94, 12, FALSE), "")</f>
        <v/>
      </c>
      <c r="I64" t="inlineStr"/>
      <c r="J64" t="inlineStr"/>
      <c r="K64" t="inlineStr"/>
      <c r="L64" t="inlineStr"/>
      <c r="M64" t="inlineStr"/>
      <c r="N64" t="inlineStr"/>
    </row>
    <row r="65">
      <c r="A65">
        <f>'ANEXO A'!A65</f>
        <v/>
      </c>
      <c r="B65">
        <f>IFERROR(VLOOKUP(A65, 'ANEXO A'!$A$2:$L$94, 2, FALSE), "")</f>
        <v/>
      </c>
      <c r="C65">
        <f>IF(LEFT(A65,1)="5", "5. Organizacionales", IF(LEFT(A65,1)="6", "6. Personas", IF(LEFT(A65,1)="7", "7. Físicos", "8. Tecnológicos")))</f>
        <v/>
      </c>
      <c r="D65">
        <f>IFERROR(VLOOKUP(A65, 'ANEXO A'!$A$2:$L$94, 11, FALSE), "")</f>
        <v/>
      </c>
      <c r="E65">
        <f>IFERROR(VLOOKUP(A65, 'ANEXO A'!$A$2:$L$94, 8, FALSE), "")</f>
        <v/>
      </c>
      <c r="F65">
        <f>IFERROR(VLOOKUP(A65, 'ANEXO A'!$A$2:$L$94, 9, FALSE), "")</f>
        <v/>
      </c>
      <c r="G65">
        <f>IFERROR(VLOOKUP(A65, 'ANEXO A'!$A$2:$L$94, 10, FALSE), "")</f>
        <v/>
      </c>
      <c r="H65">
        <f>IFERROR(VLOOKUP(A65, 'ANEXO A'!$A$2:$L$94, 12, FALSE), "")</f>
        <v/>
      </c>
      <c r="I65" t="inlineStr"/>
      <c r="J65" t="inlineStr"/>
      <c r="K65" t="inlineStr"/>
      <c r="L65" t="inlineStr"/>
      <c r="M65" t="inlineStr"/>
      <c r="N65" t="inlineStr"/>
    </row>
    <row r="66">
      <c r="A66">
        <f>'ANEXO A'!A66</f>
        <v/>
      </c>
      <c r="B66">
        <f>IFERROR(VLOOKUP(A66, 'ANEXO A'!$A$2:$L$94, 2, FALSE), "")</f>
        <v/>
      </c>
      <c r="C66">
        <f>IF(LEFT(A66,1)="5", "5. Organizacionales", IF(LEFT(A66,1)="6", "6. Personas", IF(LEFT(A66,1)="7", "7. Físicos", "8. Tecnológicos")))</f>
        <v/>
      </c>
      <c r="D66">
        <f>IFERROR(VLOOKUP(A66, 'ANEXO A'!$A$2:$L$94, 11, FALSE), "")</f>
        <v/>
      </c>
      <c r="E66">
        <f>IFERROR(VLOOKUP(A66, 'ANEXO A'!$A$2:$L$94, 8, FALSE), "")</f>
        <v/>
      </c>
      <c r="F66">
        <f>IFERROR(VLOOKUP(A66, 'ANEXO A'!$A$2:$L$94, 9, FALSE), "")</f>
        <v/>
      </c>
      <c r="G66">
        <f>IFERROR(VLOOKUP(A66, 'ANEXO A'!$A$2:$L$94, 10, FALSE), "")</f>
        <v/>
      </c>
      <c r="H66">
        <f>IFERROR(VLOOKUP(A66, 'ANEXO A'!$A$2:$L$94, 12, FALSE), "")</f>
        <v/>
      </c>
      <c r="I66" t="inlineStr"/>
      <c r="J66" t="inlineStr"/>
      <c r="K66" t="inlineStr"/>
      <c r="L66" t="inlineStr"/>
      <c r="M66" t="inlineStr"/>
      <c r="N66" t="inlineStr"/>
    </row>
    <row r="67">
      <c r="A67">
        <f>'ANEXO A'!A67</f>
        <v/>
      </c>
      <c r="B67">
        <f>IFERROR(VLOOKUP(A67, 'ANEXO A'!$A$2:$L$94, 2, FALSE), "")</f>
        <v/>
      </c>
      <c r="C67">
        <f>IF(LEFT(A67,1)="5", "5. Organizacionales", IF(LEFT(A67,1)="6", "6. Personas", IF(LEFT(A67,1)="7", "7. Físicos", "8. Tecnológicos")))</f>
        <v/>
      </c>
      <c r="D67">
        <f>IFERROR(VLOOKUP(A67, 'ANEXO A'!$A$2:$L$94, 11, FALSE), "")</f>
        <v/>
      </c>
      <c r="E67">
        <f>IFERROR(VLOOKUP(A67, 'ANEXO A'!$A$2:$L$94, 8, FALSE), "")</f>
        <v/>
      </c>
      <c r="F67">
        <f>IFERROR(VLOOKUP(A67, 'ANEXO A'!$A$2:$L$94, 9, FALSE), "")</f>
        <v/>
      </c>
      <c r="G67">
        <f>IFERROR(VLOOKUP(A67, 'ANEXO A'!$A$2:$L$94, 10, FALSE), "")</f>
        <v/>
      </c>
      <c r="H67">
        <f>IFERROR(VLOOKUP(A67, 'ANEXO A'!$A$2:$L$94, 12, FALSE), "")</f>
        <v/>
      </c>
      <c r="I67" t="inlineStr"/>
      <c r="J67" t="inlineStr"/>
      <c r="K67" t="inlineStr"/>
      <c r="L67" t="inlineStr"/>
      <c r="M67" t="inlineStr"/>
      <c r="N67" t="inlineStr"/>
    </row>
    <row r="68">
      <c r="A68">
        <f>'ANEXO A'!A68</f>
        <v/>
      </c>
      <c r="B68">
        <f>IFERROR(VLOOKUP(A68, 'ANEXO A'!$A$2:$L$94, 2, FALSE), "")</f>
        <v/>
      </c>
      <c r="C68">
        <f>IF(LEFT(A68,1)="5", "5. Organizacionales", IF(LEFT(A68,1)="6", "6. Personas", IF(LEFT(A68,1)="7", "7. Físicos", "8. Tecnológicos")))</f>
        <v/>
      </c>
      <c r="D68">
        <f>IFERROR(VLOOKUP(A68, 'ANEXO A'!$A$2:$L$94, 11, FALSE), "")</f>
        <v/>
      </c>
      <c r="E68">
        <f>IFERROR(VLOOKUP(A68, 'ANEXO A'!$A$2:$L$94, 8, FALSE), "")</f>
        <v/>
      </c>
      <c r="F68">
        <f>IFERROR(VLOOKUP(A68, 'ANEXO A'!$A$2:$L$94, 9, FALSE), "")</f>
        <v/>
      </c>
      <c r="G68">
        <f>IFERROR(VLOOKUP(A68, 'ANEXO A'!$A$2:$L$94, 10, FALSE), "")</f>
        <v/>
      </c>
      <c r="H68">
        <f>IFERROR(VLOOKUP(A68, 'ANEXO A'!$A$2:$L$94, 12, FALSE), "")</f>
        <v/>
      </c>
      <c r="I68" t="inlineStr">
        <is>
          <t>6.19. Escaneo de vulnerabilidades internas y externas - Mantenimiento de software (GSO-GSI-MP-GSI)</t>
        </is>
      </c>
      <c r="J68" t="inlineStr"/>
      <c r="K68" t="inlineStr"/>
      <c r="L68" t="inlineStr"/>
      <c r="M68" t="inlineStr"/>
      <c r="N68" t="inlineStr"/>
    </row>
    <row r="69">
      <c r="A69">
        <f>'ANEXO A'!A69</f>
        <v/>
      </c>
      <c r="B69">
        <f>IFERROR(VLOOKUP(A69, 'ANEXO A'!$A$2:$L$94, 2, FALSE), "")</f>
        <v/>
      </c>
      <c r="C69">
        <f>IF(LEFT(A69,1)="5", "5. Organizacionales", IF(LEFT(A69,1)="6", "6. Personas", IF(LEFT(A69,1)="7", "7. Físicos", "8. Tecnológicos")))</f>
        <v/>
      </c>
      <c r="D69">
        <f>IFERROR(VLOOKUP(A69, 'ANEXO A'!$A$2:$L$94, 11, FALSE), "")</f>
        <v/>
      </c>
      <c r="E69">
        <f>IFERROR(VLOOKUP(A69, 'ANEXO A'!$A$2:$L$94, 8, FALSE), "")</f>
        <v/>
      </c>
      <c r="F69">
        <f>IFERROR(VLOOKUP(A69, 'ANEXO A'!$A$2:$L$94, 9, FALSE), "")</f>
        <v/>
      </c>
      <c r="G69">
        <f>IFERROR(VLOOKUP(A69, 'ANEXO A'!$A$2:$L$94, 10, FALSE), "")</f>
        <v/>
      </c>
      <c r="H69">
        <f>IFERROR(VLOOKUP(A69, 'ANEXO A'!$A$2:$L$94, 12, FALSE), "")</f>
        <v/>
      </c>
      <c r="I69" t="inlineStr"/>
      <c r="J69" t="inlineStr"/>
      <c r="K69" t="inlineStr"/>
      <c r="L69" t="inlineStr"/>
      <c r="M69" t="inlineStr"/>
      <c r="N69" t="inlineStr"/>
    </row>
    <row r="70">
      <c r="A70">
        <f>'ANEXO A'!A70</f>
        <v/>
      </c>
      <c r="B70">
        <f>IFERROR(VLOOKUP(A70, 'ANEXO A'!$A$2:$L$94, 2, FALSE), "")</f>
        <v/>
      </c>
      <c r="C70">
        <f>IF(LEFT(A70,1)="5", "5. Organizacionales", IF(LEFT(A70,1)="6", "6. Personas", IF(LEFT(A70,1)="7", "7. Físicos", "8. Tecnológicos")))</f>
        <v/>
      </c>
      <c r="D70">
        <f>IFERROR(VLOOKUP(A70, 'ANEXO A'!$A$2:$L$94, 11, FALSE), "")</f>
        <v/>
      </c>
      <c r="E70">
        <f>IFERROR(VLOOKUP(A70, 'ANEXO A'!$A$2:$L$94, 8, FALSE), "")</f>
        <v/>
      </c>
      <c r="F70">
        <f>IFERROR(VLOOKUP(A70, 'ANEXO A'!$A$2:$L$94, 9, FALSE), "")</f>
        <v/>
      </c>
      <c r="G70">
        <f>IFERROR(VLOOKUP(A70, 'ANEXO A'!$A$2:$L$94, 10, FALSE), "")</f>
        <v/>
      </c>
      <c r="H70">
        <f>IFERROR(VLOOKUP(A70, 'ANEXO A'!$A$2:$L$94, 12, FALSE), "")</f>
        <v/>
      </c>
      <c r="I70" t="inlineStr"/>
      <c r="J70" t="inlineStr"/>
      <c r="K70" t="inlineStr"/>
      <c r="L70" t="inlineStr"/>
      <c r="M70" t="inlineStr"/>
      <c r="N70" t="inlineStr"/>
    </row>
    <row r="71">
      <c r="A71">
        <f>'ANEXO A'!A71</f>
        <v/>
      </c>
      <c r="B71">
        <f>IFERROR(VLOOKUP(A71, 'ANEXO A'!$A$2:$L$94, 2, FALSE), "")</f>
        <v/>
      </c>
      <c r="C71">
        <f>IF(LEFT(A71,1)="5", "5. Organizacionales", IF(LEFT(A71,1)="6", "6. Personas", IF(LEFT(A71,1)="7", "7. Físicos", "8. Tecnológicos")))</f>
        <v/>
      </c>
      <c r="D71">
        <f>IFERROR(VLOOKUP(A71, 'ANEXO A'!$A$2:$L$94, 11, FALSE), "")</f>
        <v/>
      </c>
      <c r="E71">
        <f>IFERROR(VLOOKUP(A71, 'ANEXO A'!$A$2:$L$94, 8, FALSE), "")</f>
        <v/>
      </c>
      <c r="F71">
        <f>IFERROR(VLOOKUP(A71, 'ANEXO A'!$A$2:$L$94, 9, FALSE), "")</f>
        <v/>
      </c>
      <c r="G71">
        <f>IFERROR(VLOOKUP(A71, 'ANEXO A'!$A$2:$L$94, 10, FALSE), "")</f>
        <v/>
      </c>
      <c r="H71">
        <f>IFERROR(VLOOKUP(A71, 'ANEXO A'!$A$2:$L$94, 12, FALSE), "")</f>
        <v/>
      </c>
      <c r="I71" t="inlineStr"/>
      <c r="J71" t="inlineStr"/>
      <c r="K71" t="inlineStr"/>
      <c r="L71" t="inlineStr"/>
      <c r="M71" t="inlineStr"/>
      <c r="N71" t="inlineStr"/>
    </row>
    <row r="72">
      <c r="A72">
        <f>'ANEXO A'!A72</f>
        <v/>
      </c>
      <c r="B72">
        <f>IFERROR(VLOOKUP(A72, 'ANEXO A'!$A$2:$L$94, 2, FALSE), "")</f>
        <v/>
      </c>
      <c r="C72">
        <f>IF(LEFT(A72,1)="5", "5. Organizacionales", IF(LEFT(A72,1)="6", "6. Personas", IF(LEFT(A72,1)="7", "7. Físicos", "8. Tecnológicos")))</f>
        <v/>
      </c>
      <c r="D72">
        <f>IFERROR(VLOOKUP(A72, 'ANEXO A'!$A$2:$L$94, 11, FALSE), "")</f>
        <v/>
      </c>
      <c r="E72">
        <f>IFERROR(VLOOKUP(A72, 'ANEXO A'!$A$2:$L$94, 8, FALSE), "")</f>
        <v/>
      </c>
      <c r="F72">
        <f>IFERROR(VLOOKUP(A72, 'ANEXO A'!$A$2:$L$94, 9, FALSE), "")</f>
        <v/>
      </c>
      <c r="G72">
        <f>IFERROR(VLOOKUP(A72, 'ANEXO A'!$A$2:$L$94, 10, FALSE), "")</f>
        <v/>
      </c>
      <c r="H72">
        <f>IFERROR(VLOOKUP(A72, 'ANEXO A'!$A$2:$L$94, 12, FALSE), "")</f>
        <v/>
      </c>
      <c r="I72" t="inlineStr"/>
      <c r="J72" t="inlineStr"/>
      <c r="K72" t="inlineStr"/>
      <c r="L72" t="inlineStr"/>
      <c r="M72" t="inlineStr"/>
      <c r="N72" t="inlineStr"/>
    </row>
    <row r="73">
      <c r="A73">
        <f>'ANEXO A'!A73</f>
        <v/>
      </c>
      <c r="B73">
        <f>IFERROR(VLOOKUP(A73, 'ANEXO A'!$A$2:$L$94, 2, FALSE), "")</f>
        <v/>
      </c>
      <c r="C73">
        <f>IF(LEFT(A73,1)="5", "5. Organizacionales", IF(LEFT(A73,1)="6", "6. Personas", IF(LEFT(A73,1)="7", "7. Físicos", "8. Tecnológicos")))</f>
        <v/>
      </c>
      <c r="D73">
        <f>IFERROR(VLOOKUP(A73, 'ANEXO A'!$A$2:$L$94, 11, FALSE), "")</f>
        <v/>
      </c>
      <c r="E73">
        <f>IFERROR(VLOOKUP(A73, 'ANEXO A'!$A$2:$L$94, 8, FALSE), "")</f>
        <v/>
      </c>
      <c r="F73">
        <f>IFERROR(VLOOKUP(A73, 'ANEXO A'!$A$2:$L$94, 9, FALSE), "")</f>
        <v/>
      </c>
      <c r="G73">
        <f>IFERROR(VLOOKUP(A73, 'ANEXO A'!$A$2:$L$94, 10, FALSE), "")</f>
        <v/>
      </c>
      <c r="H73">
        <f>IFERROR(VLOOKUP(A73, 'ANEXO A'!$A$2:$L$94, 12, FALSE), "")</f>
        <v/>
      </c>
      <c r="I73" t="inlineStr"/>
      <c r="J73" t="inlineStr"/>
      <c r="K73" t="inlineStr"/>
      <c r="L73" t="inlineStr"/>
      <c r="M73" t="inlineStr"/>
      <c r="N73" t="inlineStr"/>
    </row>
    <row r="74">
      <c r="A74">
        <f>'ANEXO A'!A74</f>
        <v/>
      </c>
      <c r="B74">
        <f>IFERROR(VLOOKUP(A74, 'ANEXO A'!$A$2:$L$94, 2, FALSE), "")</f>
        <v/>
      </c>
      <c r="C74">
        <f>IF(LEFT(A74,1)="5", "5. Organizacionales", IF(LEFT(A74,1)="6", "6. Personas", IF(LEFT(A74,1)="7", "7. Físicos", "8. Tecnológicos")))</f>
        <v/>
      </c>
      <c r="D74">
        <f>IFERROR(VLOOKUP(A74, 'ANEXO A'!$A$2:$L$94, 11, FALSE), "")</f>
        <v/>
      </c>
      <c r="E74">
        <f>IFERROR(VLOOKUP(A74, 'ANEXO A'!$A$2:$L$94, 8, FALSE), "")</f>
        <v/>
      </c>
      <c r="F74">
        <f>IFERROR(VLOOKUP(A74, 'ANEXO A'!$A$2:$L$94, 9, FALSE), "")</f>
        <v/>
      </c>
      <c r="G74">
        <f>IFERROR(VLOOKUP(A74, 'ANEXO A'!$A$2:$L$94, 10, FALSE), "")</f>
        <v/>
      </c>
      <c r="H74">
        <f>IFERROR(VLOOKUP(A74, 'ANEXO A'!$A$2:$L$94, 12, FALSE), "")</f>
        <v/>
      </c>
      <c r="I74" t="inlineStr"/>
      <c r="J74" t="inlineStr"/>
      <c r="K74" t="inlineStr"/>
      <c r="L74" t="inlineStr"/>
      <c r="M74" t="inlineStr"/>
      <c r="N74" t="inlineStr"/>
    </row>
    <row r="75">
      <c r="A75">
        <f>'ANEXO A'!A75</f>
        <v/>
      </c>
      <c r="B75">
        <f>IFERROR(VLOOKUP(A75, 'ANEXO A'!$A$2:$L$94, 2, FALSE), "")</f>
        <v/>
      </c>
      <c r="C75">
        <f>IF(LEFT(A75,1)="5", "5. Organizacionales", IF(LEFT(A75,1)="6", "6. Personas", IF(LEFT(A75,1)="7", "7. Físicos", "8. Tecnológicos")))</f>
        <v/>
      </c>
      <c r="D75">
        <f>IFERROR(VLOOKUP(A75, 'ANEXO A'!$A$2:$L$94, 11, FALSE), "")</f>
        <v/>
      </c>
      <c r="E75">
        <f>IFERROR(VLOOKUP(A75, 'ANEXO A'!$A$2:$L$94, 8, FALSE), "")</f>
        <v/>
      </c>
      <c r="F75">
        <f>IFERROR(VLOOKUP(A75, 'ANEXO A'!$A$2:$L$94, 9, FALSE), "")</f>
        <v/>
      </c>
      <c r="G75">
        <f>IFERROR(VLOOKUP(A75, 'ANEXO A'!$A$2:$L$94, 10, FALSE), "")</f>
        <v/>
      </c>
      <c r="H75">
        <f>IFERROR(VLOOKUP(A75, 'ANEXO A'!$A$2:$L$94, 12, FALSE), "")</f>
        <v/>
      </c>
      <c r="I75" t="inlineStr">
        <is>
          <t>6.14. Administración de la auditoría de la base de datos - Registro y monitoreo de eventos (GSO-GSI-MP-GSI)</t>
        </is>
      </c>
      <c r="J75" t="inlineStr"/>
      <c r="K75" t="inlineStr"/>
      <c r="L75" t="inlineStr"/>
      <c r="M75" t="inlineStr"/>
      <c r="N75" t="inlineStr"/>
    </row>
    <row r="76">
      <c r="A76">
        <f>'ANEXO A'!A76</f>
        <v/>
      </c>
      <c r="B76">
        <f>IFERROR(VLOOKUP(A76, 'ANEXO A'!$A$2:$L$94, 2, FALSE), "")</f>
        <v/>
      </c>
      <c r="C76">
        <f>IF(LEFT(A76,1)="5", "5. Organizacionales", IF(LEFT(A76,1)="6", "6. Personas", IF(LEFT(A76,1)="7", "7. Físicos", "8. Tecnológicos")))</f>
        <v/>
      </c>
      <c r="D76">
        <f>IFERROR(VLOOKUP(A76, 'ANEXO A'!$A$2:$L$94, 11, FALSE), "")</f>
        <v/>
      </c>
      <c r="E76">
        <f>IFERROR(VLOOKUP(A76, 'ANEXO A'!$A$2:$L$94, 8, FALSE), "")</f>
        <v/>
      </c>
      <c r="F76">
        <f>IFERROR(VLOOKUP(A76, 'ANEXO A'!$A$2:$L$94, 9, FALSE), "")</f>
        <v/>
      </c>
      <c r="G76">
        <f>IFERROR(VLOOKUP(A76, 'ANEXO A'!$A$2:$L$94, 10, FALSE), "")</f>
        <v/>
      </c>
      <c r="H76">
        <f>IFERROR(VLOOKUP(A76, 'ANEXO A'!$A$2:$L$94, 12, FALSE), "")</f>
        <v/>
      </c>
      <c r="I76" t="inlineStr"/>
      <c r="J76" t="inlineStr"/>
      <c r="K76" t="inlineStr"/>
      <c r="L76" t="inlineStr"/>
      <c r="M76" t="inlineStr"/>
      <c r="N76" t="inlineStr"/>
    </row>
    <row r="77">
      <c r="A77">
        <f>'ANEXO A'!A77</f>
        <v/>
      </c>
      <c r="B77">
        <f>IFERROR(VLOOKUP(A77, 'ANEXO A'!$A$2:$L$94, 2, FALSE), "")</f>
        <v/>
      </c>
      <c r="C77">
        <f>IF(LEFT(A77,1)="5", "5. Organizacionales", IF(LEFT(A77,1)="6", "6. Personas", IF(LEFT(A77,1)="7", "7. Físicos", "8. Tecnológicos")))</f>
        <v/>
      </c>
      <c r="D77">
        <f>IFERROR(VLOOKUP(A77, 'ANEXO A'!$A$2:$L$94, 11, FALSE), "")</f>
        <v/>
      </c>
      <c r="E77">
        <f>IFERROR(VLOOKUP(A77, 'ANEXO A'!$A$2:$L$94, 8, FALSE), "")</f>
        <v/>
      </c>
      <c r="F77">
        <f>IFERROR(VLOOKUP(A77, 'ANEXO A'!$A$2:$L$94, 9, FALSE), "")</f>
        <v/>
      </c>
      <c r="G77">
        <f>IFERROR(VLOOKUP(A77, 'ANEXO A'!$A$2:$L$94, 10, FALSE), "")</f>
        <v/>
      </c>
      <c r="H77">
        <f>IFERROR(VLOOKUP(A77, 'ANEXO A'!$A$2:$L$94, 12, FALSE), "")</f>
        <v/>
      </c>
      <c r="I77" t="inlineStr"/>
      <c r="J77" t="inlineStr"/>
      <c r="K77" t="inlineStr"/>
      <c r="L77" t="inlineStr"/>
      <c r="M77" t="inlineStr"/>
      <c r="N77" t="inlineStr"/>
    </row>
    <row r="78">
      <c r="A78">
        <f>'ANEXO A'!A78</f>
        <v/>
      </c>
      <c r="B78">
        <f>IFERROR(VLOOKUP(A78, 'ANEXO A'!$A$2:$L$94, 2, FALSE), "")</f>
        <v/>
      </c>
      <c r="C78">
        <f>IF(LEFT(A78,1)="5", "5. Organizacionales", IF(LEFT(A78,1)="6", "6. Personas", IF(LEFT(A78,1)="7", "7. Físicos", "8. Tecnológicos")))</f>
        <v/>
      </c>
      <c r="D78">
        <f>IFERROR(VLOOKUP(A78, 'ANEXO A'!$A$2:$L$94, 11, FALSE), "")</f>
        <v/>
      </c>
      <c r="E78">
        <f>IFERROR(VLOOKUP(A78, 'ANEXO A'!$A$2:$L$94, 8, FALSE), "")</f>
        <v/>
      </c>
      <c r="F78">
        <f>IFERROR(VLOOKUP(A78, 'ANEXO A'!$A$2:$L$94, 9, FALSE), "")</f>
        <v/>
      </c>
      <c r="G78">
        <f>IFERROR(VLOOKUP(A78, 'ANEXO A'!$A$2:$L$94, 10, FALSE), "")</f>
        <v/>
      </c>
      <c r="H78">
        <f>IFERROR(VLOOKUP(A78, 'ANEXO A'!$A$2:$L$94, 12, FALSE), "")</f>
        <v/>
      </c>
      <c r="I78" t="inlineStr"/>
      <c r="J78" t="inlineStr"/>
      <c r="K78" t="inlineStr"/>
      <c r="L78" t="inlineStr"/>
      <c r="M78" t="inlineStr"/>
      <c r="N78" t="inlineStr"/>
    </row>
    <row r="79">
      <c r="A79">
        <f>'ANEXO A'!A79</f>
        <v/>
      </c>
      <c r="B79">
        <f>IFERROR(VLOOKUP(A79, 'ANEXO A'!$A$2:$L$94, 2, FALSE), "")</f>
        <v/>
      </c>
      <c r="C79">
        <f>IF(LEFT(A79,1)="5", "5. Organizacionales", IF(LEFT(A79,1)="6", "6. Personas", IF(LEFT(A79,1)="7", "7. Físicos", "8. Tecnológicos")))</f>
        <v/>
      </c>
      <c r="D79">
        <f>IFERROR(VLOOKUP(A79, 'ANEXO A'!$A$2:$L$94, 11, FALSE), "")</f>
        <v/>
      </c>
      <c r="E79">
        <f>IFERROR(VLOOKUP(A79, 'ANEXO A'!$A$2:$L$94, 8, FALSE), "")</f>
        <v/>
      </c>
      <c r="F79">
        <f>IFERROR(VLOOKUP(A79, 'ANEXO A'!$A$2:$L$94, 9, FALSE), "")</f>
        <v/>
      </c>
      <c r="G79">
        <f>IFERROR(VLOOKUP(A79, 'ANEXO A'!$A$2:$L$94, 10, FALSE), "")</f>
        <v/>
      </c>
      <c r="H79">
        <f>IFERROR(VLOOKUP(A79, 'ANEXO A'!$A$2:$L$94, 12, FALSE), "")</f>
        <v/>
      </c>
      <c r="I79" t="inlineStr"/>
      <c r="J79" t="inlineStr"/>
      <c r="K79" t="inlineStr"/>
      <c r="L79" t="inlineStr"/>
      <c r="M79" t="inlineStr"/>
      <c r="N79" t="inlineStr"/>
    </row>
    <row r="80">
      <c r="A80">
        <f>'ANEXO A'!A80</f>
        <v/>
      </c>
      <c r="B80">
        <f>IFERROR(VLOOKUP(A80, 'ANEXO A'!$A$2:$L$94, 2, FALSE), "")</f>
        <v/>
      </c>
      <c r="C80">
        <f>IF(LEFT(A80,1)="5", "5. Organizacionales", IF(LEFT(A80,1)="6", "6. Personas", IF(LEFT(A80,1)="7", "7. Físicos", "8. Tecnológicos")))</f>
        <v/>
      </c>
      <c r="D80">
        <f>IFERROR(VLOOKUP(A80, 'ANEXO A'!$A$2:$L$94, 11, FALSE), "")</f>
        <v/>
      </c>
      <c r="E80">
        <f>IFERROR(VLOOKUP(A80, 'ANEXO A'!$A$2:$L$94, 8, FALSE), "")</f>
        <v/>
      </c>
      <c r="F80">
        <f>IFERROR(VLOOKUP(A80, 'ANEXO A'!$A$2:$L$94, 9, FALSE), "")</f>
        <v/>
      </c>
      <c r="G80">
        <f>IFERROR(VLOOKUP(A80, 'ANEXO A'!$A$2:$L$94, 10, FALSE), "")</f>
        <v/>
      </c>
      <c r="H80">
        <f>IFERROR(VLOOKUP(A80, 'ANEXO A'!$A$2:$L$94, 12, FALSE), "")</f>
        <v/>
      </c>
      <c r="I80" t="inlineStr"/>
      <c r="J80" t="inlineStr"/>
      <c r="K80" t="inlineStr"/>
      <c r="L80" t="inlineStr"/>
      <c r="M80" t="inlineStr"/>
      <c r="N80" t="inlineStr"/>
    </row>
    <row r="81">
      <c r="A81">
        <f>'ANEXO A'!A81</f>
        <v/>
      </c>
      <c r="B81">
        <f>IFERROR(VLOOKUP(A81, 'ANEXO A'!$A$2:$L$94, 2, FALSE), "")</f>
        <v/>
      </c>
      <c r="C81">
        <f>IF(LEFT(A81,1)="5", "5. Organizacionales", IF(LEFT(A81,1)="6", "6. Personas", IF(LEFT(A81,1)="7", "7. Físicos", "8. Tecnológicos")))</f>
        <v/>
      </c>
      <c r="D81">
        <f>IFERROR(VLOOKUP(A81, 'ANEXO A'!$A$2:$L$94, 11, FALSE), "")</f>
        <v/>
      </c>
      <c r="E81">
        <f>IFERROR(VLOOKUP(A81, 'ANEXO A'!$A$2:$L$94, 8, FALSE), "")</f>
        <v/>
      </c>
      <c r="F81">
        <f>IFERROR(VLOOKUP(A81, 'ANEXO A'!$A$2:$L$94, 9, FALSE), "")</f>
        <v/>
      </c>
      <c r="G81">
        <f>IFERROR(VLOOKUP(A81, 'ANEXO A'!$A$2:$L$94, 10, FALSE), "")</f>
        <v/>
      </c>
      <c r="H81">
        <f>IFERROR(VLOOKUP(A81, 'ANEXO A'!$A$2:$L$94, 12, FALSE), "")</f>
        <v/>
      </c>
      <c r="I81" t="inlineStr"/>
      <c r="J81" t="inlineStr"/>
      <c r="K81" t="inlineStr"/>
      <c r="L81" t="inlineStr"/>
      <c r="M81" t="inlineStr"/>
      <c r="N81" t="inlineStr"/>
    </row>
    <row r="82">
      <c r="A82">
        <f>'ANEXO A'!A82</f>
        <v/>
      </c>
      <c r="B82">
        <f>IFERROR(VLOOKUP(A82, 'ANEXO A'!$A$2:$L$94, 2, FALSE), "")</f>
        <v/>
      </c>
      <c r="C82">
        <f>IF(LEFT(A82,1)="5", "5. Organizacionales", IF(LEFT(A82,1)="6", "6. Personas", IF(LEFT(A82,1)="7", "7. Físicos", "8. Tecnológicos")))</f>
        <v/>
      </c>
      <c r="D82">
        <f>IFERROR(VLOOKUP(A82, 'ANEXO A'!$A$2:$L$94, 11, FALSE), "")</f>
        <v/>
      </c>
      <c r="E82">
        <f>IFERROR(VLOOKUP(A82, 'ANEXO A'!$A$2:$L$94, 8, FALSE), "")</f>
        <v/>
      </c>
      <c r="F82">
        <f>IFERROR(VLOOKUP(A82, 'ANEXO A'!$A$2:$L$94, 9, FALSE), "")</f>
        <v/>
      </c>
      <c r="G82">
        <f>IFERROR(VLOOKUP(A82, 'ANEXO A'!$A$2:$L$94, 10, FALSE), "")</f>
        <v/>
      </c>
      <c r="H82">
        <f>IFERROR(VLOOKUP(A82, 'ANEXO A'!$A$2:$L$94, 12, FALSE), "")</f>
        <v/>
      </c>
      <c r="I82" t="inlineStr"/>
      <c r="J82" t="inlineStr"/>
      <c r="K82" t="inlineStr"/>
      <c r="L82" t="inlineStr"/>
      <c r="M82" t="inlineStr"/>
      <c r="N82" t="inlineStr"/>
    </row>
    <row r="83">
      <c r="A83">
        <f>'ANEXO A'!A83</f>
        <v/>
      </c>
      <c r="B83">
        <f>IFERROR(VLOOKUP(A83, 'ANEXO A'!$A$2:$L$94, 2, FALSE), "")</f>
        <v/>
      </c>
      <c r="C83">
        <f>IF(LEFT(A83,1)="5", "5. Organizacionales", IF(LEFT(A83,1)="6", "6. Personas", IF(LEFT(A83,1)="7", "7. Físicos", "8. Tecnológicos")))</f>
        <v/>
      </c>
      <c r="D83">
        <f>IFERROR(VLOOKUP(A83, 'ANEXO A'!$A$2:$L$94, 11, FALSE), "")</f>
        <v/>
      </c>
      <c r="E83">
        <f>IFERROR(VLOOKUP(A83, 'ANEXO A'!$A$2:$L$94, 8, FALSE), "")</f>
        <v/>
      </c>
      <c r="F83">
        <f>IFERROR(VLOOKUP(A83, 'ANEXO A'!$A$2:$L$94, 9, FALSE), "")</f>
        <v/>
      </c>
      <c r="G83">
        <f>IFERROR(VLOOKUP(A83, 'ANEXO A'!$A$2:$L$94, 10, FALSE), "")</f>
        <v/>
      </c>
      <c r="H83">
        <f>IFERROR(VLOOKUP(A83, 'ANEXO A'!$A$2:$L$94, 12, FALSE), "")</f>
        <v/>
      </c>
      <c r="I83" t="inlineStr"/>
      <c r="J83" t="inlineStr"/>
      <c r="K83" t="inlineStr"/>
      <c r="L83" t="inlineStr"/>
      <c r="M83" t="inlineStr"/>
      <c r="N83" t="inlineStr"/>
    </row>
    <row r="84">
      <c r="A84">
        <f>'ANEXO A'!A84</f>
        <v/>
      </c>
      <c r="B84">
        <f>IFERROR(VLOOKUP(A84, 'ANEXO A'!$A$2:$L$94, 2, FALSE), "")</f>
        <v/>
      </c>
      <c r="C84">
        <f>IF(LEFT(A84,1)="5", "5. Organizacionales", IF(LEFT(A84,1)="6", "6. Personas", IF(LEFT(A84,1)="7", "7. Físicos", "8. Tecnológicos")))</f>
        <v/>
      </c>
      <c r="D84">
        <f>IFERROR(VLOOKUP(A84, 'ANEXO A'!$A$2:$L$94, 11, FALSE), "")</f>
        <v/>
      </c>
      <c r="E84">
        <f>IFERROR(VLOOKUP(A84, 'ANEXO A'!$A$2:$L$94, 8, FALSE), "")</f>
        <v/>
      </c>
      <c r="F84">
        <f>IFERROR(VLOOKUP(A84, 'ANEXO A'!$A$2:$L$94, 9, FALSE), "")</f>
        <v/>
      </c>
      <c r="G84">
        <f>IFERROR(VLOOKUP(A84, 'ANEXO A'!$A$2:$L$94, 10, FALSE), "")</f>
        <v/>
      </c>
      <c r="H84">
        <f>IFERROR(VLOOKUP(A84, 'ANEXO A'!$A$2:$L$94, 12, FALSE), "")</f>
        <v/>
      </c>
      <c r="I84" t="inlineStr">
        <is>
          <t>6.12. Creación, ingreso y custodia de llaves criptográficas - Cifrado (GSO-GSI-MP-GSI)</t>
        </is>
      </c>
      <c r="J84" t="inlineStr"/>
      <c r="K84" t="inlineStr"/>
      <c r="L84" t="inlineStr"/>
      <c r="M84" t="inlineStr"/>
      <c r="N84" t="inlineStr"/>
    </row>
    <row r="85">
      <c r="A85">
        <f>'ANEXO A'!A85</f>
        <v/>
      </c>
      <c r="B85">
        <f>IFERROR(VLOOKUP(A85, 'ANEXO A'!$A$2:$L$94, 2, FALSE), "")</f>
        <v/>
      </c>
      <c r="C85">
        <f>IF(LEFT(A85,1)="5", "5. Organizacionales", IF(LEFT(A85,1)="6", "6. Personas", IF(LEFT(A85,1)="7", "7. Físicos", "8. Tecnológicos")))</f>
        <v/>
      </c>
      <c r="D85">
        <f>IFERROR(VLOOKUP(A85, 'ANEXO A'!$A$2:$L$94, 11, FALSE), "")</f>
        <v/>
      </c>
      <c r="E85">
        <f>IFERROR(VLOOKUP(A85, 'ANEXO A'!$A$2:$L$94, 8, FALSE), "")</f>
        <v/>
      </c>
      <c r="F85">
        <f>IFERROR(VLOOKUP(A85, 'ANEXO A'!$A$2:$L$94, 9, FALSE), "")</f>
        <v/>
      </c>
      <c r="G85">
        <f>IFERROR(VLOOKUP(A85, 'ANEXO A'!$A$2:$L$94, 10, FALSE), "")</f>
        <v/>
      </c>
      <c r="H85">
        <f>IFERROR(VLOOKUP(A85, 'ANEXO A'!$A$2:$L$94, 12, FALSE), "")</f>
        <v/>
      </c>
      <c r="I85" t="inlineStr"/>
      <c r="J85" t="inlineStr"/>
      <c r="K85" t="inlineStr"/>
      <c r="L85" t="inlineStr"/>
      <c r="M85" t="inlineStr"/>
      <c r="N85" t="inlineStr"/>
    </row>
    <row r="86">
      <c r="A86">
        <f>'ANEXO A'!A86</f>
        <v/>
      </c>
      <c r="B86">
        <f>IFERROR(VLOOKUP(A86, 'ANEXO A'!$A$2:$L$94, 2, FALSE), "")</f>
        <v/>
      </c>
      <c r="C86">
        <f>IF(LEFT(A86,1)="5", "5. Organizacionales", IF(LEFT(A86,1)="6", "6. Personas", IF(LEFT(A86,1)="7", "7. Físicos", "8. Tecnológicos")))</f>
        <v/>
      </c>
      <c r="D86">
        <f>IFERROR(VLOOKUP(A86, 'ANEXO A'!$A$2:$L$94, 11, FALSE), "")</f>
        <v/>
      </c>
      <c r="E86">
        <f>IFERROR(VLOOKUP(A86, 'ANEXO A'!$A$2:$L$94, 8, FALSE), "")</f>
        <v/>
      </c>
      <c r="F86">
        <f>IFERROR(VLOOKUP(A86, 'ANEXO A'!$A$2:$L$94, 9, FALSE), "")</f>
        <v/>
      </c>
      <c r="G86">
        <f>IFERROR(VLOOKUP(A86, 'ANEXO A'!$A$2:$L$94, 10, FALSE), "")</f>
        <v/>
      </c>
      <c r="H86">
        <f>IFERROR(VLOOKUP(A86, 'ANEXO A'!$A$2:$L$94, 12, FALSE), "")</f>
        <v/>
      </c>
      <c r="I86" t="inlineStr"/>
      <c r="J86" t="inlineStr"/>
      <c r="K86" t="inlineStr"/>
      <c r="L86" t="inlineStr"/>
      <c r="M86" t="inlineStr"/>
      <c r="N86" t="inlineStr"/>
    </row>
    <row r="87">
      <c r="A87">
        <f>'ANEXO A'!A87</f>
        <v/>
      </c>
      <c r="B87">
        <f>IFERROR(VLOOKUP(A87, 'ANEXO A'!$A$2:$L$94, 2, FALSE), "")</f>
        <v/>
      </c>
      <c r="C87">
        <f>IF(LEFT(A87,1)="5", "5. Organizacionales", IF(LEFT(A87,1)="6", "6. Personas", IF(LEFT(A87,1)="7", "7. Físicos", "8. Tecnológicos")))</f>
        <v/>
      </c>
      <c r="D87">
        <f>IFERROR(VLOOKUP(A87, 'ANEXO A'!$A$2:$L$94, 11, FALSE), "")</f>
        <v/>
      </c>
      <c r="E87">
        <f>IFERROR(VLOOKUP(A87, 'ANEXO A'!$A$2:$L$94, 8, FALSE), "")</f>
        <v/>
      </c>
      <c r="F87">
        <f>IFERROR(VLOOKUP(A87, 'ANEXO A'!$A$2:$L$94, 9, FALSE), "")</f>
        <v/>
      </c>
      <c r="G87">
        <f>IFERROR(VLOOKUP(A87, 'ANEXO A'!$A$2:$L$94, 10, FALSE), "")</f>
        <v/>
      </c>
      <c r="H87">
        <f>IFERROR(VLOOKUP(A87, 'ANEXO A'!$A$2:$L$94, 12, FALSE), "")</f>
        <v/>
      </c>
      <c r="I87" t="inlineStr"/>
      <c r="J87" t="inlineStr"/>
      <c r="K87" t="inlineStr"/>
      <c r="L87" t="inlineStr"/>
      <c r="M87" t="inlineStr"/>
      <c r="N87" t="inlineStr"/>
    </row>
    <row r="88">
      <c r="A88">
        <f>'ANEXO A'!A88</f>
        <v/>
      </c>
      <c r="B88">
        <f>IFERROR(VLOOKUP(A88, 'ANEXO A'!$A$2:$L$94, 2, FALSE), "")</f>
        <v/>
      </c>
      <c r="C88">
        <f>IF(LEFT(A88,1)="5", "5. Organizacionales", IF(LEFT(A88,1)="6", "6. Personas", IF(LEFT(A88,1)="7", "7. Físicos", "8. Tecnológicos")))</f>
        <v/>
      </c>
      <c r="D88">
        <f>IFERROR(VLOOKUP(A88, 'ANEXO A'!$A$2:$L$94, 11, FALSE), "")</f>
        <v/>
      </c>
      <c r="E88">
        <f>IFERROR(VLOOKUP(A88, 'ANEXO A'!$A$2:$L$94, 8, FALSE), "")</f>
        <v/>
      </c>
      <c r="F88">
        <f>IFERROR(VLOOKUP(A88, 'ANEXO A'!$A$2:$L$94, 9, FALSE), "")</f>
        <v/>
      </c>
      <c r="G88">
        <f>IFERROR(VLOOKUP(A88, 'ANEXO A'!$A$2:$L$94, 10, FALSE), "")</f>
        <v/>
      </c>
      <c r="H88">
        <f>IFERROR(VLOOKUP(A88, 'ANEXO A'!$A$2:$L$94, 12, FALSE), "")</f>
        <v/>
      </c>
      <c r="I88" t="inlineStr"/>
      <c r="J88" t="inlineStr"/>
      <c r="K88" t="inlineStr"/>
      <c r="L88" t="inlineStr"/>
      <c r="M88" t="inlineStr"/>
      <c r="N88" t="inlineStr"/>
    </row>
    <row r="89">
      <c r="A89">
        <f>'ANEXO A'!A89</f>
        <v/>
      </c>
      <c r="B89">
        <f>IFERROR(VLOOKUP(A89, 'ANEXO A'!$A$2:$L$94, 2, FALSE), "")</f>
        <v/>
      </c>
      <c r="C89">
        <f>IF(LEFT(A89,1)="5", "5. Organizacionales", IF(LEFT(A89,1)="6", "6. Personas", IF(LEFT(A89,1)="7", "7. Físicos", "8. Tecnológicos")))</f>
        <v/>
      </c>
      <c r="D89">
        <f>IFERROR(VLOOKUP(A89, 'ANEXO A'!$A$2:$L$94, 11, FALSE), "")</f>
        <v/>
      </c>
      <c r="E89">
        <f>IFERROR(VLOOKUP(A89, 'ANEXO A'!$A$2:$L$94, 8, FALSE), "")</f>
        <v/>
      </c>
      <c r="F89">
        <f>IFERROR(VLOOKUP(A89, 'ANEXO A'!$A$2:$L$94, 9, FALSE), "")</f>
        <v/>
      </c>
      <c r="G89">
        <f>IFERROR(VLOOKUP(A89, 'ANEXO A'!$A$2:$L$94, 10, FALSE), "")</f>
        <v/>
      </c>
      <c r="H89">
        <f>IFERROR(VLOOKUP(A89, 'ANEXO A'!$A$2:$L$94, 12, FALSE), "")</f>
        <v/>
      </c>
      <c r="I89" t="inlineStr"/>
      <c r="J89" t="inlineStr"/>
      <c r="K89" t="inlineStr"/>
      <c r="L89" t="inlineStr"/>
      <c r="M89" t="inlineStr"/>
      <c r="N89" t="inlineStr"/>
    </row>
    <row r="90">
      <c r="A90">
        <f>'ANEXO A'!A90</f>
        <v/>
      </c>
      <c r="B90">
        <f>IFERROR(VLOOKUP(A90, 'ANEXO A'!$A$2:$L$94, 2, FALSE), "")</f>
        <v/>
      </c>
      <c r="C90">
        <f>IF(LEFT(A90,1)="5", "5. Organizacionales", IF(LEFT(A90,1)="6", "6. Personas", IF(LEFT(A90,1)="7", "7. Físicos", "8. Tecnológicos")))</f>
        <v/>
      </c>
      <c r="D90">
        <f>IFERROR(VLOOKUP(A90, 'ANEXO A'!$A$2:$L$94, 11, FALSE), "")</f>
        <v/>
      </c>
      <c r="E90">
        <f>IFERROR(VLOOKUP(A90, 'ANEXO A'!$A$2:$L$94, 8, FALSE), "")</f>
        <v/>
      </c>
      <c r="F90">
        <f>IFERROR(VLOOKUP(A90, 'ANEXO A'!$A$2:$L$94, 9, FALSE), "")</f>
        <v/>
      </c>
      <c r="G90">
        <f>IFERROR(VLOOKUP(A90, 'ANEXO A'!$A$2:$L$94, 10, FALSE), "")</f>
        <v/>
      </c>
      <c r="H90">
        <f>IFERROR(VLOOKUP(A90, 'ANEXO A'!$A$2:$L$94, 12, FALSE), "")</f>
        <v/>
      </c>
      <c r="I90" t="inlineStr"/>
      <c r="J90" t="inlineStr"/>
      <c r="K90" t="inlineStr"/>
      <c r="L90" t="inlineStr"/>
      <c r="M90" t="inlineStr"/>
      <c r="N90" t="inlineStr"/>
    </row>
    <row r="91">
      <c r="A91">
        <f>'ANEXO A'!A91</f>
        <v/>
      </c>
      <c r="B91">
        <f>IFERROR(VLOOKUP(A91, 'ANEXO A'!$A$2:$L$94, 2, FALSE), "")</f>
        <v/>
      </c>
      <c r="C91">
        <f>IF(LEFT(A91,1)="5", "5. Organizacionales", IF(LEFT(A91,1)="6", "6. Personas", IF(LEFT(A91,1)="7", "7. Físicos", "8. Tecnológicos")))</f>
        <v/>
      </c>
      <c r="D91">
        <f>IFERROR(VLOOKUP(A91, 'ANEXO A'!$A$2:$L$94, 11, FALSE), "")</f>
        <v/>
      </c>
      <c r="E91">
        <f>IFERROR(VLOOKUP(A91, 'ANEXO A'!$A$2:$L$94, 8, FALSE), "")</f>
        <v/>
      </c>
      <c r="F91">
        <f>IFERROR(VLOOKUP(A91, 'ANEXO A'!$A$2:$L$94, 9, FALSE), "")</f>
        <v/>
      </c>
      <c r="G91">
        <f>IFERROR(VLOOKUP(A91, 'ANEXO A'!$A$2:$L$94, 10, FALSE), "")</f>
        <v/>
      </c>
      <c r="H91">
        <f>IFERROR(VLOOKUP(A91, 'ANEXO A'!$A$2:$L$94, 12, FALSE), "")</f>
        <v/>
      </c>
      <c r="I91" t="inlineStr"/>
      <c r="J91" t="inlineStr"/>
      <c r="K91" t="inlineStr"/>
      <c r="L91" t="inlineStr"/>
      <c r="M91" t="inlineStr"/>
      <c r="N91" t="inlineStr"/>
    </row>
    <row r="92">
      <c r="A92">
        <f>'ANEXO A'!A92</f>
        <v/>
      </c>
      <c r="B92">
        <f>IFERROR(VLOOKUP(A92, 'ANEXO A'!$A$2:$L$94, 2, FALSE), "")</f>
        <v/>
      </c>
      <c r="C92">
        <f>IF(LEFT(A92,1)="5", "5. Organizacionales", IF(LEFT(A92,1)="6", "6. Personas", IF(LEFT(A92,1)="7", "7. Físicos", "8. Tecnológicos")))</f>
        <v/>
      </c>
      <c r="D92">
        <f>IFERROR(VLOOKUP(A92, 'ANEXO A'!$A$2:$L$94, 11, FALSE), "")</f>
        <v/>
      </c>
      <c r="E92">
        <f>IFERROR(VLOOKUP(A92, 'ANEXO A'!$A$2:$L$94, 8, FALSE), "")</f>
        <v/>
      </c>
      <c r="F92">
        <f>IFERROR(VLOOKUP(A92, 'ANEXO A'!$A$2:$L$94, 9, FALSE), "")</f>
        <v/>
      </c>
      <c r="G92">
        <f>IFERROR(VLOOKUP(A92, 'ANEXO A'!$A$2:$L$94, 10, FALSE), "")</f>
        <v/>
      </c>
      <c r="H92">
        <f>IFERROR(VLOOKUP(A92, 'ANEXO A'!$A$2:$L$94, 12, FALSE), "")</f>
        <v/>
      </c>
      <c r="I92" t="inlineStr"/>
      <c r="J92" t="inlineStr"/>
      <c r="K92" t="inlineStr"/>
      <c r="L92" t="inlineStr"/>
      <c r="M92" t="inlineStr"/>
      <c r="N92" t="inlineStr"/>
    </row>
    <row r="93">
      <c r="A93">
        <f>'ANEXO A'!A93</f>
        <v/>
      </c>
      <c r="B93">
        <f>IFERROR(VLOOKUP(A93, 'ANEXO A'!$A$2:$L$94, 2, FALSE), "")</f>
        <v/>
      </c>
      <c r="C93">
        <f>IF(LEFT(A93,1)="5", "5. Organizacionales", IF(LEFT(A93,1)="6", "6. Personas", IF(LEFT(A93,1)="7", "7. Físicos", "8. Tecnológicos")))</f>
        <v/>
      </c>
      <c r="D93">
        <f>IFERROR(VLOOKUP(A93, 'ANEXO A'!$A$2:$L$94, 11, FALSE), "")</f>
        <v/>
      </c>
      <c r="E93">
        <f>IFERROR(VLOOKUP(A93, 'ANEXO A'!$A$2:$L$94, 8, FALSE), "")</f>
        <v/>
      </c>
      <c r="F93">
        <f>IFERROR(VLOOKUP(A93, 'ANEXO A'!$A$2:$L$94, 9, FALSE), "")</f>
        <v/>
      </c>
      <c r="G93">
        <f>IFERROR(VLOOKUP(A93, 'ANEXO A'!$A$2:$L$94, 10, FALSE), "")</f>
        <v/>
      </c>
      <c r="H93">
        <f>IFERROR(VLOOKUP(A93, 'ANEXO A'!$A$2:$L$94, 12, FALSE), "")</f>
        <v/>
      </c>
      <c r="I93" t="inlineStr"/>
      <c r="J93" t="inlineStr"/>
      <c r="K93" t="inlineStr"/>
      <c r="L93" t="inlineStr"/>
      <c r="M93" t="inlineStr"/>
      <c r="N93" t="inlineStr"/>
    </row>
    <row r="94">
      <c r="A94">
        <f>'ANEXO A'!A94</f>
        <v/>
      </c>
      <c r="B94">
        <f>IFERROR(VLOOKUP(A94, 'ANEXO A'!$A$2:$L$94, 2, FALSE), "")</f>
        <v/>
      </c>
      <c r="C94">
        <f>IF(LEFT(A94,1)="5", "5. Organizacionales", IF(LEFT(A94,1)="6", "6. Personas", IF(LEFT(A94,1)="7", "7. Físicos", "8. Tecnológicos")))</f>
        <v/>
      </c>
      <c r="D94">
        <f>IFERROR(VLOOKUP(A94, 'ANEXO A'!$A$2:$L$94, 11, FALSE), "")</f>
        <v/>
      </c>
      <c r="E94">
        <f>IFERROR(VLOOKUP(A94, 'ANEXO A'!$A$2:$L$94, 8, FALSE), "")</f>
        <v/>
      </c>
      <c r="F94">
        <f>IFERROR(VLOOKUP(A94, 'ANEXO A'!$A$2:$L$94, 9, FALSE), "")</f>
        <v/>
      </c>
      <c r="G94">
        <f>IFERROR(VLOOKUP(A94, 'ANEXO A'!$A$2:$L$94, 10, FALSE), "")</f>
        <v/>
      </c>
      <c r="H94">
        <f>IFERROR(VLOOKUP(A94, 'ANEXO A'!$A$2:$L$94, 12, FALSE), "")</f>
        <v/>
      </c>
      <c r="I94" t="inlineStr"/>
      <c r="J94" t="inlineStr"/>
      <c r="K94" t="inlineStr"/>
      <c r="L94" t="inlineStr"/>
      <c r="M94" t="inlineStr"/>
      <c r="N94" t="inlineStr"/>
    </row>
  </sheetData>
  <autoFilter ref="A1:N94"/>
  <conditionalFormatting sqref="J2:J94">
    <cfRule type="cellIs" priority="1" operator="equal" dxfId="80">
      <formula>"Implementado"</formula>
    </cfRule>
    <cfRule type="cellIs" priority="2" operator="equal" dxfId="81">
      <formula>"En Proceso"</formula>
    </cfRule>
    <cfRule type="cellIs" priority="3" operator="equal" dxfId="82">
      <formula>"No Implementado"</formula>
    </cfRule>
  </conditionalFormatting>
  <dataValidations count="1">
    <dataValidation sqref="K2:K94" showDropDown="0" showInputMessage="0" showErrorMessage="0" allowBlank="1" type="list">
      <formula1>"[PR] Prevención,[DR] Disuasión,[EL] Eliminación,[IM] Minimización,[CR] Corrección,[RC] Recuperación,[MN] Monitorización,[DC] Detección,[AW] Concienciación,[AD] Administración"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ESTEBAN ANDRADE PIJUANGO</dc:creator>
  <dcterms:created xsi:type="dcterms:W3CDTF">2025-07-10T17:28:14Z</dcterms:created>
  <dcterms:modified xsi:type="dcterms:W3CDTF">2026-08-24T22:59:32Z</dcterms:modified>
  <cp:lastModifiedBy>ALBUJA POZO SAID ANDRES</cp:lastModifiedBy>
  <cp:lastPrinted>2025-09-10T17:26:07Z</cp:lastPrinted>
</cp:coreProperties>
</file>