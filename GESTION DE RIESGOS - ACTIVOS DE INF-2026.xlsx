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f>"• Establecer lineamientos para " &amp; IFERROR(VLOOKUP(A2, 'ANEXO A'!$A$2:$L$94, 2, FALSE), "Este Control") &amp; CHAR(10) &amp; "• Definir roles para el control " &amp; A2 &amp; CHAR(10) &amp; "• Revisar efectividad de " &amp; IFERROR(VLOOKUP(A2, 'ANEXO A'!$A$2:$L$94, 2, FALSE), "Este Control")</f>
        <v/>
      </c>
      <c r="P2" s="107">
        <f>"Asegurar la correcta aplicación de: " &amp; IFERROR(VLOOKUP(A2, 'ANEXO A'!$A$2:$L$94, 2, FALSE), "Este Control") &amp; ". Objetivo central: Proteger la información."</f>
        <v/>
      </c>
      <c r="Q2" t="inlineStr">
        <is>
          <t>• Matriz de control de documentos Gerencia (DOCUMENTOS TÉCNICOS)
• Registro de entrega recepción de documentos (DOCUMENTOS HABILITANTES)
• Matriz de control de documentos Gerencia (Seguimiento) (DOCUMENTOS TÉCNICOS)
• Oficio Memorandos (DOCUMENTOS HABILITANTES)
• Agenda gerencial (DOCUMENTOS TÉCNICOS)
• Archivo de Secretaria de Gerencia (DOCUMENTOS HABILITANTES)
• Equipos de computación de Asistente de Gerencia (HARDWARE)
• Asistente de Gerencia (RECURSO HUMANO)
• Documentos habilitantes (DOCUMENTOS HABILITANTES)
• Informe de mantenimiento (DOCUMENTOS HABILITANTES)
• Cronograma/Bitácora de mantenimiento (DOCUMENTOS TÉCNICOS)
• Solicitud de adquisiciones y contratación (DOCUMENTOS HABILITANTES)
• Acta entrega recepción del bien (DOCUMENTOS HABILITANTES)
• Aval de recepción (DOCUMENTOS HABILITANTES)
• Solicitud de adquisiciones y contratación (DOCUMENTOS HABILITANTES)
• Registro de salida de bienes (DOCUMENTOS TÉCNICOS)</t>
        </is>
      </c>
      <c r="R2" t="inlineStr">
        <is>
          <t>NO</t>
        </is>
      </c>
      <c r="S2" t="inlineStr">
        <is>
          <t>1-GAD,
2-GAD,
3-GAD,
4-GAD,
5-GAD,
6-GAD,
7-GAD,
8-GAD,
9-GAD,
10-GAD,
11-GAD,
12-GAD,
13-GAD,
14-GAD,
15-GAD,
16-GAD</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f>"• Establecer lineamientos para " &amp; IFERROR(VLOOKUP(A3, 'ANEXO A'!$A$2:$L$94, 2, FALSE), "Este Control") &amp; CHAR(10) &amp; "• Definir roles para el control " &amp; A3 &amp; CHAR(10) &amp; "• Revisar efectividad de " &amp; IFERROR(VLOOKUP(A3, 'ANEXO A'!$A$2:$L$94, 2, FALSE), "Este Control")</f>
        <v/>
      </c>
      <c r="P3" s="107">
        <f>"Asegurar la correcta aplicación de: " &amp; IFERROR(VLOOKUP(A3, 'ANEXO A'!$A$2:$L$94, 2, FALSE), "Este Control") &amp; ". Objetivo central: Proteger la información."</f>
        <v/>
      </c>
      <c r="Q3" t="inlineStr">
        <is>
          <t>• Formulario de entrega recepción del bien (DOCUMENTOS TÉCNICOS)
• Registro de bienes a darse de baja (DOCUMENTOS TÉCNICOS)
• Informe de contratación y plan de regularización de activos fijos (COMUNICACIÓN INTERNA)
• Acta de baja/ acta de donación de activos (COMUNICACIÓN INTERNA)
• Formulario de propuestas (DOCUMENTOS TÉCNICOS)
• Acta de la apertura de sobres (DOCUMENTOS HABILITANTES)
• Listado de ofertas preferenciales (DOCUMENTOS TÉCNICOS)
• Lista de ganadores (DOCUMENTOS TÉCNICOS)
• Documento de sustento del pago (DOCUMENTOS HABILITANTES)
• Contrato de compraventa (CONVENIOS Y CONTRATOS)
• TDR para selección de empresa asesora productora de seguros (DOCUMENTOS TÉCNICOS)
• Póliza de seguros (DOCUMENTOS HABILITANTES)
• Informe de análisis de desempeño del Asesor Productor de Seguros (DOCUMENTOS TÉCNICOS)
• Resolución del consejo de Administración (COMUNICACIÓN INTERNA)
• Factura electrónica (DOCUMENTOS HABILITANTES)
• Finiquito de aseguradora (DOCUMENTOS HABILITANTES)</t>
        </is>
      </c>
      <c r="R3" t="inlineStr">
        <is>
          <t>NO</t>
        </is>
      </c>
      <c r="S3" t="inlineStr">
        <is>
          <t>17-GAD,
18-GAD,
19-GAD,
20-GAD,
21-GAD,
22-GAD,
23-GAD,
24-GAD,
25-GAD,
26-GAD,
27-GAD,
28-GAD,
29-GAD,
30-GAD,
31-GAD,
32-GAD</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f>"• Establecer lineamientos para " &amp; IFERROR(VLOOKUP(A4, 'ANEXO A'!$A$2:$L$94, 2, FALSE), "Este Control") &amp; CHAR(10) &amp; "• Definir roles para el control " &amp; A4 &amp; CHAR(10) &amp; "• Revisar efectividad de " &amp; IFERROR(VLOOKUP(A4, 'ANEXO A'!$A$2:$L$94, 2, FALSE), "Este Control")</f>
        <v/>
      </c>
      <c r="P4" s="107">
        <f>"Asegurar la correcta aplicación de: " &amp; IFERROR(VLOOKUP(A4, 'ANEXO A'!$A$2:$L$94, 2, FALSE), "Este Control") &amp; ". Objetivo central: Proteger la información."</f>
        <v/>
      </c>
      <c r="Q4" t="inlineStr">
        <is>
          <t>• Registro de siniestros (DOCUMENTOS TÉCNICOS)
• Informe del siniestro (DOCUMENTOS TÉCNICOS)
• Facturas (DOCUMENTOS HABILITANTES)
• Formulario de uso de vehículo/Análisis de unidades de transporte / Reporte vehicular Hunter (DOCUMENTOS TÉCNICOS)
• Solicitud de adquisiciones (DOCUMENTOS HABILITANTES)
• Autorización para uso de transporte (DOCUMENTOS HABILITANTES)
• Factura del transportista (DOCUMENTOS HABILITANTES)
• Tickets para el abastecimiento de gasolina (DOCUMENTOS HABILITANTES)
• Factura gasolinera (DOCUMENTOS HABILITANTES)
• Reporte de consumo de combustible (COMUNICACIÓN INTERNA)
• Plan anual de mantenimiento preventivo vehicular (DOCUMENTOS TÉCNICOS)
• Solicitud de adquisiciones y contratación (DOCUMENTOS HABILITANTES)
• Factura del servicio (DOCUMENTOS HABILITANTES)
• Historial de recorrido vehicular/Historial de vida vehicular (DOCUMENTOS TÉCNICOS)
• Informe estado del vehículo (DOCUMENTOS TÉCNICOS)
• Acta de entrega recepción (DOCUMENTOS HABILITANTES)</t>
        </is>
      </c>
      <c r="R4" t="inlineStr">
        <is>
          <t>NO</t>
        </is>
      </c>
      <c r="S4" t="inlineStr">
        <is>
          <t>33-GAD,
34-GAD,
35-GAD,
36-GAD,
37-GAD,
38-GAD,
39-GAD,
40-GAD,
41-GAD,
42-GAD,
43-GAD,
44-GAD,
45-GAD,
46-GAD,
47-GAD,
48-GAD</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f>"• Establecer lineamientos para " &amp; IFERROR(VLOOKUP(A5, 'ANEXO A'!$A$2:$L$94, 2, FALSE), "Este Control") &amp; CHAR(10) &amp; "• Definir roles para el control " &amp; A5 &amp; CHAR(10) &amp; "• Revisar efectividad de " &amp; IFERROR(VLOOKUP(A5, 'ANEXO A'!$A$2:$L$94, 2, FALSE), "Este Control")</f>
        <v/>
      </c>
      <c r="P5" s="107">
        <f>"Asegurar la correcta aplicación de: " &amp; IFERROR(VLOOKUP(A5, 'ANEXO A'!$A$2:$L$94, 2, FALSE), "Este Control") &amp; ". Objetivo central: Proteger la información."</f>
        <v/>
      </c>
      <c r="Q5" t="inlineStr">
        <is>
          <t>• Solicitud de materiales y suministros / Solicitud de adquisiciones (COMUNICACIÓN INTERNA)
• Factura/ Comprobante de compra (DOCUMENTOS HABILITANTES)
• Reportes de requisición de materiales y suministros (COMUNICACIÓN INTERNA)
• Salida de inventario por bodega (COMUNICACIÓN INTERNA)
• Inventario de constatación (DOCUMENTOS TÉCNICOS)
• Salida de inventario por bodega (COMUNICACIÓN INTERNA)
• Envío de documentos del archivo pasivo (COMUNICACIÓN INTERNA)
• Registro de control del archivo pasivo (DOCUMENTOS TÉCNICOS)
• Acta entrega (DOCUMENTOS HABILITANTES)
• Reporte mensual de consulta, entrega y recepción de documentos (DOCUMENTOS TÉCNICOS)
• Inventario de documentos (DOCUMENTOS TÉCNICOS)
• Informe de baja de documentos/Certificado de destrucción (DOCUMENTOS TÉCNICOS)
• Acta de baja de documentos (DOCUMENTOS HABILITANTES)
• Inventario de documentos a darse de baja (DOCUMENTOS TÉCNICOS)
• Certificado de destrucción (DOCUMENTOS HABILITANTES)
• Plan anual de adquisiciones (DOCUMENTOS HABILITANTES)</t>
        </is>
      </c>
      <c r="R5" t="inlineStr">
        <is>
          <t>NO</t>
        </is>
      </c>
      <c r="S5" t="inlineStr">
        <is>
          <t>49-GAD,
50-GAD,
51-GAD,
52-GAD,
53-GAD,
54-GAD,
55-GAD,
56-GAD,
57-GAD,
58-GAD,
59-GAD,
60-GAD,
61-GAD,
62-GAD,
63-GAD,
64-GAD</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f>"• Establecer lineamientos para " &amp; IFERROR(VLOOKUP(A6, 'ANEXO A'!$A$2:$L$94, 2, FALSE), "Este Control") &amp; CHAR(10) &amp; "• Definir roles para el control " &amp; A6 &amp; CHAR(10) &amp; "• Revisar efectividad de " &amp; IFERROR(VLOOKUP(A6, 'ANEXO A'!$A$2:$L$94, 2, FALSE), "Este Control")</f>
        <v/>
      </c>
      <c r="P6" s="107">
        <f>"Asegurar la correcta aplicación de: " &amp; IFERROR(VLOOKUP(A6, 'ANEXO A'!$A$2:$L$94, 2, FALSE), "Este Control") &amp; ". Objetivo central: Proteger la información."</f>
        <v/>
      </c>
      <c r="Q6" t="inlineStr">
        <is>
          <t>• Resolución del comité de Adquisiciones (COMUNICACIÓN INTERNA)
• Registro de proveedores (DOCUMENTOS TÉCNICOS)
• Reporte de inhabilitados (DOCUMENTOS TÉCNICOS)
• Proceso de contratación (COMUNICACIÓN INTERNA)
• Solicitud de elaboración de contrato (COMUNICACIÓN INTERNA)
• File del proceso de contratación (DOCUMENTOS TÉCNICOS)
• Contrato (DOCUMENTOS HABILITANTES)
• Formulario de evaluación (DOCUMENTOS TÉCNICOS)
• Solicitud de renovación de contrato (COMUNICACIÓN INTERNA)
• Registro de proveedores (DOCUMENTOS TÉCNICOS)
• Aval Técnico de Recepción (DOCUMENTOS HABILITANTES)
• Acta Entrega Recepción (DOCUMENTOS HABILITANTES)
• Orden de pago (DOCUMENTOS HABILITANTES)
• Comprobante de venta (DOCUMENTOS HABILITANTES)
• Registro de adquisiciones (DOCUMENTOS HABILITANTES)
• Orden de pago (DOCUMENTOS HABILITANTES)</t>
        </is>
      </c>
      <c r="R6" t="inlineStr">
        <is>
          <t>NO</t>
        </is>
      </c>
      <c r="S6" t="inlineStr">
        <is>
          <t>65-GAD,
66-GAD,
67-GAD,
68-GAD,
69-GAD,
70-GAD,
71-GAD,
72-GAD,
73-GAD,
74-GAD,
75-GAD,
76-GAD,
77-GAD,
78-GAD,
79-GAD,
80-GAD</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f>"• Establecer lineamientos para " &amp; IFERROR(VLOOKUP(A7, 'ANEXO A'!$A$2:$L$94, 2, FALSE), "Este Control") &amp; CHAR(10) &amp; "• Definir roles para el control " &amp; A7 &amp; CHAR(10) &amp; "• Revisar efectividad de " &amp; IFERROR(VLOOKUP(A7, 'ANEXO A'!$A$2:$L$94, 2, FALSE), "Este Control")</f>
        <v/>
      </c>
      <c r="P7" s="107">
        <f>"Asegurar la correcta aplicación de: " &amp; IFERROR(VLOOKUP(A7, 'ANEXO A'!$A$2:$L$94, 2, FALSE), "Este Control") &amp; ". Objetivo central: Proteger la información."</f>
        <v/>
      </c>
      <c r="Q7" t="inlineStr">
        <is>
          <t>• Comprobante de venta (DOCUMENTOS HABILITANTES)
• Informe de evaluación del plan de adquisiciones (DOCUMENTOS TÉCNICOS)
• Equipos de computación  (HARDWARE)
• Jefe Administrativo (RECURSO HUMANO)
• Plan Operativo Institucional - E (COMUNICACIÓN INTERNA)
• Plan Anual de Planificación y Procesos (COMUNICACIÓN INTERNA)
• Documento actualizado (NORMATIVA INTERNA)
• Control de Cambios (DOCUMENTOS TÉCNICOS)
• Certificación de Revisión de la Normativa Interna (DOCUMENTOS HABILITANTES)
• Portafolio de Procesos (DOCUMENTOS TÉCNICOS)
• Inventario de Documentación (DOCUMENTOS TÉCNICOS)
• Autorización de Acceso a la Documentación (DOCUMENTOS TÉCNICOS)
• Documento publicado (DOCUMENTOS TÉCNICOS)
• Circular de Procesos (COMUNICACIÓN INTERNA)
• Matriz de control de documentos (DOCUMENTOS TÉCNICOS)
• Matriz de Accesos a la Documentación  (DOCUMENTOS TÉCNICOS)</t>
        </is>
      </c>
      <c r="R7" t="inlineStr">
        <is>
          <t>NO</t>
        </is>
      </c>
      <c r="S7" t="inlineStr">
        <is>
          <t>81-GAD,
82-GAD,
83-GAD,
84-GAD,
1-GCP,
2-GCP,
3-GCP,
4-GCP,
5-GCP,
6-GCP,
7-GCP,
8-GCP,
9-GCP,
10-GCP,
11-GCP,
12-GCP</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f>"• Establecer lineamientos para " &amp; IFERROR(VLOOKUP(A8, 'ANEXO A'!$A$2:$L$94, 2, FALSE), "Este Control") &amp; CHAR(10) &amp; "• Definir roles para el control " &amp; A8 &amp; CHAR(10) &amp; "• Revisar efectividad de " &amp; IFERROR(VLOOKUP(A8, 'ANEXO A'!$A$2:$L$94, 2, FALSE), "Este Control")</f>
        <v/>
      </c>
      <c r="P8" s="107">
        <f>"Asegurar la correcta aplicación de: " &amp; IFERROR(VLOOKUP(A8, 'ANEXO A'!$A$2:$L$94, 2, FALSE), "Este Control") &amp; ". Objetivo central: Proteger la información."</f>
        <v/>
      </c>
      <c r="Q8" t="inlineStr">
        <is>
          <t>• Correo de comunicación de la implementación del proceso (COMUNICACIÓN INTERNA)
• Justificativos de Implementación (COMUNICACIÓN INTERNA)
• Entrega de documentos a terceros (DOCUMENTOS HABILITANTES)
• Matriz de Estrategias y/o Proyectos de Mejora Continua (DOCUMENTOS TÉCNICOS)
• Acta del Comité de Planificación, Procesos e Innovación. (DOCUMENTOS HABILITANTES)
• Informe del estado de la Gestión de Calidad con corte a octubre de cada año. (DOCUMENTOS TÉCNICOS)
• Lista de numerales auditables por proceso del SGC (DOCUMENTOS TÉCNICOS)
• Programa de Auditoría Interna del SGC (DOCUMENTOS TÉCNICOS)
• Plan de Auditoría Interna del SGC (DOCUMENTOS TÉCNICOS)
• Lista de Verificación de Auditorías del SGC (DOCUMENTOS TÉCNICOS)
• Matriz de Implementación del sistema de gestión de calidad (DOCUMENTOS TÉCNICOS)
• Informe general de la Auditoría Interna al Sistema
de Gestión de Calidad (DOCUMENTOS TÉCNICOS)
• Matriz de no conformidades del Sistema de Gestión de Calidad (DOCUMENTOS TÉCNICOS)
• Portafolio de Indicadores de Gestión. (DOCUMENTOS TÉCNICOS)
• Plan de acción (DOCUMENTOS TÉCNICOS)
• Diagnóstico inicial del proceso o procedimiento en análisis. (DOCUMENTOS TÉCNICOS)</t>
        </is>
      </c>
      <c r="R8" t="inlineStr">
        <is>
          <t>NO</t>
        </is>
      </c>
      <c r="S8" t="inlineStr">
        <is>
          <t>13-GCP,
14-GCP,
15-GCP,
16-GCP,
17-GCP,
18-GCP,
19-GCP,
20-GCP,
21-GCP,
22-GCP,
23-GCP,
24-GCP,
25-GCP,
26-GCP,
27-GCP,
28-GCP</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f>"• Establecer lineamientos para " &amp; IFERROR(VLOOKUP(A9, 'ANEXO A'!$A$2:$L$94, 2, FALSE), "Este Control") &amp; CHAR(10) &amp; "• Definir roles para el control " &amp; A9 &amp; CHAR(10) &amp; "• Revisar efectividad de " &amp; IFERROR(VLOOKUP(A9, 'ANEXO A'!$A$2:$L$94, 2, FALSE), "Este Control")</f>
        <v/>
      </c>
      <c r="P9" s="107">
        <f>"Asegurar la correcta aplicación de: " &amp; IFERROR(VLOOKUP(A9, 'ANEXO A'!$A$2:$L$94, 2, FALSE), "Este Control") &amp; ". Objetivo central: Proteger la información."</f>
        <v/>
      </c>
      <c r="Q9" t="inlineStr">
        <is>
          <t>• Matriz de identificación de estrategias de mejora (DOCUMENTOS TÉCNICOS)
• Sustentos del cumplimiento (DOCUMENTOS HABILITANTES)
• Matriz de medición de tiempos estándar. (DOCUMENTOS TÉCNICOS)
• Matriz de medición de la capacidad operativa. (DOCUMENTOS TÉCNICOS)
• Informe de Capacidad Operativa (DOCUMENTOS TÉCNICOS)
• Equipos de computación del Jefe de  Planificación y Procesos (HARDWARE)
• Equipos de computación de Asistentes de Planificación Procesos (HARDWARE)
• Jefe de Planificación y Procesos (RECURSO HUMANO)
• Informe de evaluación de aspectos de conducta de mercado. (DOCUMENTOS TÉCNICOS)
• Campaña publicitaria y artes promocionales revisados (OTROS)
• Tablas de tasas activas, pasivas, tarifas financieras y costos de otros servicios (DOCUMENTOS TÉCNICOS)
• Indicadores Financieros y de Gobierno (DOCUMENTOS TÉCNICOS)
• Anexo de categorización E / Anexo “Tiempos para la
resolución de reclamos” (DOCUMENTOS TÉCNICOS)
• Resolución de la SEPS (INFORMACIÓN DE TERCEROS)
• Oficio de contestación para la SEPS (DOCUMENTOS TÉCNICOS)
• Reporte de quejas y reclamos (DOCUMENTOS TÉCNICOS)</t>
        </is>
      </c>
      <c r="R9" t="inlineStr">
        <is>
          <t>NO</t>
        </is>
      </c>
      <c r="S9" t="inlineStr">
        <is>
          <t>29-GCP,
30-GCP,
31-GCP,
32-GCP,
33-GCP,
34-GCP,
35-GCP,
36-GCP,
37-GCS,
38-GCS,
39-GCS,
40-GCS,
41-GCS,
42-GCS,
43-GCS,
44-GCS</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f>"• Establecer lineamientos para " &amp; IFERROR(VLOOKUP(A10, 'ANEXO A'!$A$2:$L$94, 2, FALSE), "Este Control") &amp; CHAR(10) &amp; "• Definir roles para el control " &amp; A10 &amp; CHAR(10) &amp; "• Revisar efectividad de " &amp; IFERROR(VLOOKUP(A10, 'ANEXO A'!$A$2:$L$94, 2, FALSE), "Este Control")</f>
        <v/>
      </c>
      <c r="P10" s="107">
        <f>"Asegurar la correcta aplicación de: " &amp; IFERROR(VLOOKUP(A10, 'ANEXO A'!$A$2:$L$94, 2, FALSE), "Este Control") &amp; ". Objetivo central: Proteger la información."</f>
        <v/>
      </c>
      <c r="Q10" t="inlineStr">
        <is>
          <t>• Informe de gestión mensual  (DOCUMENTOS TÉCNICOS)
• Plan anual de capacitación aprobado (DOCUMENTOS TÉCNICOS)
• Registro de calificaciones E (DOCUMENTOS TÉCNICOS)
• Modelo de Evaluación de la Calidad del Servicio E (DOCUMENTOS TÉCNICOS)
• Informe estadístico de calificador de atención (NORMATIVA INTERNA)
• Informe de cliente fantasma  (INFORMACIÓN DE TERCEROS)
• Novedades y plan de acción de las visitas a las oficinas (DOCUMENTOS TÉCNICOS)
• Reporte de nivel de satisfacción (OTROS)
• Matriz de evaluación anual de la atención al cliente (DOCUMENTOS TÉCNICOS)
• Protocolo de Servicio e Imagen Corporativa E (NORMATIVA INTERNA)
• Formulario de visitas y control (DOCUMENTOS TÉCNICOS)
• Plan de acción de las no  conformidades en la atención (DOCUMENTOS TÉCNICOS)
• Formulario para registro de horarios y días de atención al público (DOCUMENTOS HABILITANTES)
• Autorización de Gerencia del Cierre Temporal de Oficinas (DOCUMENTOS HABILITANTES)
• Matriz de PQRS E (DOCUMENTOS TÉCNICOS)
• Estructuras de género y quejas y reclamos (INFORMACIÓN DE SOCIOS Y CLIENTES)</t>
        </is>
      </c>
      <c r="R10" t="inlineStr">
        <is>
          <t>NO</t>
        </is>
      </c>
      <c r="S10" t="inlineStr">
        <is>
          <t>45-GCS,
46-GCS,
47-GCS,
48-GCS,
49-GCS,
50-GCS,
51-GCS,
52-GCS,
53-GCS,
54-GCS,
55-GCS,
56-GCS,
57-GCS,
58-GCS,
59-GCS,
60-GCS</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f>"• Establecer lineamientos para " &amp; IFERROR(VLOOKUP(A11, 'ANEXO A'!$A$2:$L$94, 2, FALSE), "Este Control") &amp; CHAR(10) &amp; "• Definir roles para el control " &amp; A11 &amp; CHAR(10) &amp; "• Revisar efectividad de " &amp; IFERROR(VLOOKUP(A11, 'ANEXO A'!$A$2:$L$94, 2, FALSE), "Este Control")</f>
        <v/>
      </c>
      <c r="P11" s="107">
        <f>"Asegurar la correcta aplicación de: " &amp; IFERROR(VLOOKUP(A11, 'ANEXO A'!$A$2:$L$94, 2, FALSE), "Este Control") &amp; ". Objetivo central: Proteger la información."</f>
        <v/>
      </c>
      <c r="Q11" t="inlineStr">
        <is>
          <t>• Acuse de recibo de validación de estructuras (INFORMACIÓN DE SOCIOS Y CLIENTES)
• Equipos de computación del Área de atención al cliente (HARDWARE)
• Jefe de Atención al Cliente (RECURSO HUMANO)
• Matriz con grupos de interés definidos (DOCUMENTOS TÉCNICOS)
• Matriz con los intereses de los stakeholders (DOCUMENTOS TÉCNICOS)
• Modelo de Gestión en Responsabilidad Social (DOCUMENTOS TÉCNICOS)
• Matriz de calificación del Sistema de Gestión de
Responsabilidad Social. (DOCUMENTOS TÉCNICOS)
• Planes de acción para el 
cumplimiento del Sistema de
Gestión de Responsabilidad Social. (DOCUMENTOS TÉCNICOS)
• Código de Responsabilidad Social.E (NORMATIVA INTERNA)
• Matriz de indicadores para el Balance Social. (DOCUMENTOS TÉCNICOS)
• Balance Social. (DOCUMENTOS TÉCNICOS)
• Proyecto de programa o campaña de Responsabilidad Social. (DOCUMENTOS TÉCNICOS)
• Programa Anual de Educación Financiera. (DOCUMENTOS TÉCNICOS)
• Base de datos de socios capacitados y asistentes (INFORMACIÓN DE TERCEROS)
• Informe de Evaluación al Programa de Educación Financiera. (DOCUMENTOS TÉCNICOS)
• Equipos de computación  (HARDWARE)</t>
        </is>
      </c>
      <c r="R11" t="inlineStr">
        <is>
          <t>NO</t>
        </is>
      </c>
      <c r="S11" t="inlineStr">
        <is>
          <t>61-GCS,
62-GCS,
63-GCS,
64-GRS,
65-GRS,
66-GRS,
67-GRS,
68-GRS,
69-GRS,
70-GRS,
71-GRS,
72-GRS,
73-GRS,
74-GRS,
75-GRS,
76-GRS</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f>"• Establecer lineamientos para " &amp; IFERROR(VLOOKUP(A12, 'ANEXO A'!$A$2:$L$94, 2, FALSE), "Este Control") &amp; CHAR(10) &amp; "• Definir roles para el control " &amp; A12 &amp; CHAR(10) &amp; "• Revisar efectividad de " &amp; IFERROR(VLOOKUP(A12, 'ANEXO A'!$A$2:$L$94, 2, FALSE), "Este Control")</f>
        <v/>
      </c>
      <c r="P12" s="107">
        <f>"Asegurar la correcta aplicación de: " &amp; IFERROR(VLOOKUP(A12, 'ANEXO A'!$A$2:$L$94, 2, FALSE), "Este Control") &amp; ". Objetivo central: Proteger la información."</f>
        <v/>
      </c>
      <c r="Q12" t="inlineStr">
        <is>
          <t>• Técnico de Responsabilidad Social (RECURSO HUMANO)
• Plan Anual de Auditoría Interna (DOCUMENTOS TÉCNICOS)
• Orden de trabajo (DOCUMENTOS TÉCNICOS)
• Notificación de inicio (COMUNICACIÓN INTERNA)
• Solicitud de información (COMUNICACIÓN INTERNA)
• Planificación Específica para examen de Auditoría (DOCUMENTOS TÉCNICOS)
• Papeles de trabajo (DOCUMENTOS TÉCNICOS)
• Informe borrador de Auditoría (DOCUMENTOS TÉCNICOS)
• Informe de Auditoría Interna (DOCUMENTOS TÉCNICOS)
• Acta de lectura a informe borrador (DOCUMENTOS TÉCNICOS)
• Notificación de lectura Informe Borrador (COMUNICACIÓN INTERNA)
• Registro digital de recomendaciones (DOCUMENTOS TÉCNICOS)
• Informes de Auditoria Interna (DOCUMENTOS TÉCNICOS)
• Justificativos (DOCUMENTOS TÉCNICOS)
• Informe de gestión de Auditoria Interna (DOCUMENTOS TÉCNICOS)
• Plan Anual de Auditoría Modificado (DOCUMENTOS TÉCNICOS)</t>
        </is>
      </c>
      <c r="R12" t="inlineStr">
        <is>
          <t>NO</t>
        </is>
      </c>
      <c r="S12" t="inlineStr">
        <is>
          <t>77-GRS,
1-GAU,
2-GAU,
3-GAU,
4-GAU,
5-GAU,
6-GAU,
7-GAU,
8-GAU,
9-GAU,
10-GAU,
11-GAU,
12-GAU,
13-GAU,
14-GAU,
15-GAU</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f>"• Establecer lineamientos para " &amp; IFERROR(VLOOKUP(A13, 'ANEXO A'!$A$2:$L$94, 2, FALSE), "Este Control") &amp; CHAR(10) &amp; "• Definir roles para el control " &amp; A13 &amp; CHAR(10) &amp; "• Revisar efectividad de " &amp; IFERROR(VLOOKUP(A13, 'ANEXO A'!$A$2:$L$94, 2, FALSE), "Este Control")</f>
        <v/>
      </c>
      <c r="P13" s="107">
        <f>"Asegurar la correcta aplicación de: " &amp; IFERROR(VLOOKUP(A13, 'ANEXO A'!$A$2:$L$94, 2, FALSE), "Este Control") &amp; ". Objetivo central: Proteger la información."</f>
        <v/>
      </c>
      <c r="Q13" t="inlineStr">
        <is>
          <t>• Comunicación de modificación del Plan Anual de Auditoría (COMUNICACIÓN INTERNA)
• Equipos de computación  (HARDWARE)
• Gerente de Auditoría (RECURSO HUMANO)
• Agenda de visitas semanales (COMUNICACIÓN INTERNA)
• Liquidación de caja (DOCUMENTOS HABILITANTES)
• Certificado de depósito a plazo fijo (DOCUMENTOS HABILITANTES)
• Certificación de información (DOCUMENTOS HABILITANTES)
• Formulario de licitud de fondos (DOCUMENTOS HABILITANTES)
• File digital (INFORMACIÓN DE SOCIOS Y CLIENTES)
• Tabla de Tasas de Interés E / Documentos requeridos en la apertura de depósitos a plazo fijo  (COMUNICACIÓN INTERNA)
• Pre-Liquidación de Venta (DOCUMENTOS HABILITANTES)
• Liquidación de Venta (DOCUMENTOS HABILITANTES)
• Certificado de depósito a plazo fijo materializado (DOCUMENTOS HABILITANTES)
• Certificado de información (DOCUMENTOS HABILITANTES)
• Formulario Registros de Negociaciones (DOCUMENTOS HABILITANTES)
• Orden de pago (DOCUMENTOS HABILITANTES)</t>
        </is>
      </c>
      <c r="R13" t="inlineStr">
        <is>
          <t>NO</t>
        </is>
      </c>
      <c r="S13" t="inlineStr">
        <is>
          <t>16-GAU,
17-GAU,
18-GAU,
1-GCA,
2-GCA,
3-GCA,
4-GCA,
5-GCA,
6-GCA,
7-GCA,
8-GCA,
9-GCA,
10-GCA,
11-GCA,
12-GCA,
13-GCA</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f>"• Establecer lineamientos para " &amp; IFERROR(VLOOKUP(A14, 'ANEXO A'!$A$2:$L$94, 2, FALSE), "Este Control") &amp; CHAR(10) &amp; "• Definir roles para el control " &amp; A14 &amp; CHAR(10) &amp; "• Revisar efectividad de " &amp; IFERROR(VLOOKUP(A14, 'ANEXO A'!$A$2:$L$94, 2, FALSE), "Este Control")</f>
        <v/>
      </c>
      <c r="P14" s="107">
        <f>"Asegurar la correcta aplicación de: " &amp; IFERROR(VLOOKUP(A14, 'ANEXO A'!$A$2:$L$94, 2, FALSE), "Este Control") &amp; ". Objetivo central: Proteger la información."</f>
        <v/>
      </c>
      <c r="Q14" t="inlineStr">
        <is>
          <t>• Certificado de depósito a plazo fijo (DOCUMENTOS HABILITANTES)
• Certificación de información.  (DOCUMENTOS HABILITANTES)
• File digital. (INFORMACIÓN DE SOCIOS Y CLIENTES)
• Solicitud de cancelación anticipada (DOCUMENTOS HABILITANTES)
• Orden de pago. (DOCUMENTOS HABILITANTES)
• Solicitud de transferencia
bancaria. (DOCUMENTOS HABILITANTES)
• Formulario de modificación 
de cotitular.  (DOCUMENTOS HABILITANTES)
• Formulario de modificación 
de forma de pago de
intereses. (DOCUMENTOS HABILITANTES)
• Certificado de depósito a plazo fijo (DOCUMENTOS HABILITANTES)
• Solicitud de cancelación
anticipada (DOCUMENTOS HABILITANTES)
• Formulario de reversos, anulación y reimpresión. (COMUNICACIÓN INTERNA)
• Certificado de depósito a
plazo fijo reimpreso. (DOCUMENTOS HABILITANTES)
• Certificado de depósito a plazo fijo anulado. (DOCUMENTOS HABILITANTES)
• Acta Entrega recepción de certificados de DPF. (COMUNICACIÓN INTERNA)
• Reporte Plazos Fijos por Asesor. (COMUNICACIÓN INTERNA)
• Informe de control de operaciones de depósitos a plazo fijo. (DOCUMENTOS TÉCNICOS)</t>
        </is>
      </c>
      <c r="R14" t="inlineStr">
        <is>
          <t>NO</t>
        </is>
      </c>
      <c r="S14" t="inlineStr">
        <is>
          <t>14-GCA,
15-GCA,
16-GCA,
17-GCA,
18-GCA,
19-GCA,
20-GCA,
21-GCA,
22-GCA,
23-GCA,
24-GCA,
25-GCA,
26-GCA,
27-GCA,
28-GCA,
29-GCA</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f>"• Establecer lineamientos para " &amp; IFERROR(VLOOKUP(A15, 'ANEXO A'!$A$2:$L$94, 2, FALSE), "Este Control") &amp; CHAR(10) &amp; "• Definir roles para el control " &amp; A15 &amp; CHAR(10) &amp; "• Revisar efectividad de " &amp; IFERROR(VLOOKUP(A15, 'ANEXO A'!$A$2:$L$94, 2, FALSE), "Este Control")</f>
        <v/>
      </c>
      <c r="P15" s="107">
        <f>"Asegurar la correcta aplicación de: " &amp; IFERROR(VLOOKUP(A15, 'ANEXO A'!$A$2:$L$94, 2, FALSE), "Este Control") &amp; ". Objetivo central: Proteger la información."</f>
        <v/>
      </c>
      <c r="Q15" t="inlineStr">
        <is>
          <t>• Formulario de licitud de fondos (DOCUMENTOS HABILITANTES)
• Documentos de justificación de transacciones (DOCUMENTOS HABILITANTES)
• Contrato de Apertura de Cuentas de Ahorro (DOCUMENTOS HABILITANTES)
• Papeletas para depósito inicial (DOCUMENTOS HABILITANTES)
• File digitalizado de socio/cuenta ahorrista/cliente (DOCUMENTOS HABILITANTES)
• Certificación de información (DOCUMENTOS HABILITANTES)
• Autorización de bloqueo de cuenta (DOCUMENTOS HABILITANTES)
• Carta de cierre de cuenta / Solicitud de cierre de cuenta (DOCUMENTOS HABILITANTES)
• Formulación de consentimiento de liquidación de haberes (DOCUMENTOS HABILITANTES)
• Solicitud de transferencias de certificados de aportación (DOCUMENTOS HABILITANTES)
• Detalle de socios receptores de transferencia de certificados de aportación (INFORMACIÓN DE SOCIOS Y CLIENTES)
• Matriz consolidada de transferencias de certificados de aportación por agencia (INFORMACIÓN DE SOCIOS Y CLIENTES)
• Libreta de ahorros (DOCUMENTOS HABILITANTES)
• Denuncia realizada en la página del Consejo de la Judicatura, Sistema de Documentos Extraviados (INFORMACIÓN DE SOCIOS Y CLIENTES)
• Autorización de débito servicios corporativos (DOCUMENTOS HABILITANTES)
• Registro de datos de nueva libreta (DOCUMENTOS HABILITANTES)</t>
        </is>
      </c>
      <c r="R15" t="inlineStr">
        <is>
          <t>NO</t>
        </is>
      </c>
      <c r="S15" t="inlineStr">
        <is>
          <t>30-GCA,
31-GCA,
32-GCA,
33-GCA,
34-GCA,
35-GCA,
36-GCA,
37-GCA,
38-GCA,
39-GCA,
40-GCA,
41-GCA,
42-GCA,
43-GCA,
44-GCA,
45-GCA</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f>"• Establecer lineamientos para " &amp; IFERROR(VLOOKUP(A16, 'ANEXO A'!$A$2:$L$94, 2, FALSE), "Este Control") &amp; CHAR(10) &amp; "• Definir roles para el control " &amp; A16 &amp; CHAR(10) &amp; "• Revisar efectividad de " &amp; IFERROR(VLOOKUP(A16, 'ANEXO A'!$A$2:$L$94, 2, FALSE), "Este Control")</f>
        <v/>
      </c>
      <c r="P16" s="107">
        <f>"Asegurar la correcta aplicación de: " &amp; IFERROR(VLOOKUP(A16, 'ANEXO A'!$A$2:$L$94, 2, FALSE), "Este Control") &amp; ". Objetivo central: Proteger la información."</f>
        <v/>
      </c>
      <c r="Q16" t="inlineStr">
        <is>
          <t>• Informe de cuentas aperturadas y cerradas (INFORMACIÓN DE SOCIOS Y CLIENTES)
• Reporte de cuentas con saldo inferiores al monto establecido (INFORMACIÓN DE SOCIOS Y CLIENTES)
• File del socio (INFORMACIÓN DE SOCIOS Y CLIENTES)
• Contrato de Apertura de Cuentas de Ahorro (DOCUMENTOS HABILITANTES)
• File del socio (INFORMACIÓN DE SOCIOS Y CLIENTES)
• Contrato de Apertura de Cuentas de Ahorro (DOCUMENTOS HABILITANTES)
• Autorización de cierre de cuenta (DOCUMENTOS HABILITANTES)
• Solicitud de liquidación por cancelación de ahorro programado (DOCUMENTOS HABILITANTES)
• Formulario de mantenimiento usuario web transaccional (DOCUMENTOS HABILITANTES)
• Solicitud de pedido de certificación/Autorización de débito servicios corporativos (DOCUMENTOS HABILITANTES)
• Registro de información del socio (INFORMACIÓN DE SOCIOS Y CLIENTES)
• Certificación de información (DOCUMENTOS HABILITANTES)
• File digitalizado socio/cuenta ahorrista/cliente. (INFORMACIÓN DE SOCIOS Y CLIENTES)
• Equipos de computación  (HARDWARE)
• Jefe de Captaciones (RECURSO HUMANO)
• File de crédito (INFORMACIÓN DE SOCIOS Y CLIENTES)</t>
        </is>
      </c>
      <c r="R16" t="inlineStr">
        <is>
          <t>NO</t>
        </is>
      </c>
      <c r="S16" t="inlineStr">
        <is>
          <t>46-GCA,
47-GCA,
48-GCA,
49-GCA,
50-GCA,
51-GCA,
52-GCA,
53-GCA,
54-GCA,
55-GCA,
56-GCA,
57-GCA,
58-GCA,
65-GCA,
66-GCA,
1-GCO</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f>"• Establecer lineamientos para " &amp; IFERROR(VLOOKUP(A17, 'ANEXO A'!$A$2:$L$94, 2, FALSE), "Este Control") &amp; CHAR(10) &amp; "• Definir roles para el control " &amp; A17 &amp; CHAR(10) &amp; "• Revisar efectividad de " &amp; IFERROR(VLOOKUP(A17, 'ANEXO A'!$A$2:$L$94, 2, FALSE), "Este Control")</f>
        <v/>
      </c>
      <c r="P17" s="107">
        <f>"Asegurar la correcta aplicación de: " &amp; IFERROR(VLOOKUP(A17, 'ANEXO A'!$A$2:$L$94, 2, FALSE), "Este Control") &amp; ". Objetivo central: Proteger la información."</f>
        <v/>
      </c>
      <c r="Q17" t="inlineStr">
        <is>
          <t>• File de crédito / Certificado del DPF (INFORMACIÓN DE SOCIOS Y CLIENTES)
• File de crédito (INFORMACIÓN DE SOCIOS Y CLIENTES)
• Prenda de oro (INFORMACIÓN DE SOCIOS Y CLIENTES)
• Formulario y foro de la prenda para custodia (DOCUMENTOS HABILITANTES)
• File de crédito / Informe de análisis de novación, refinanciamiento y restructuración (INFORMACIÓN DE SOCIOS Y CLIENTES)
• Formulario de destino del crédito (INFORMACIÓN DE SOCIOS Y CLIENTES)
• File de crédito / Formulario previo al otorgamiento del crédito (INFORMACIÓN DE SOCIOS Y CLIENTES)
• File de crédito / Informe de análisis de novación, refinanciamiento y restructuración (INFORMACIÓN DE SOCIOS Y CLIENTES)
• Formulario de destino del crédito (INFORMACIÓN DE SOCIOS Y CLIENTES)
• Registro del sistema (INFORMACIÓN DE SOCIOS Y CLIENTES)
• File de crédito (INFORMACIÓN DE SOCIOS Y CLIENTES)
• Certificación de garantía (INFORMACIÓN DE SOCIOS Y CLIENTES)
• Ticket de aprobación (INFORMACIÓN DE SOCIOS Y CLIENTES)
• Registro del sistema de fábrica de crédito (COMUNICACIÓN INTERNA)
• File de crédito (INFORMACIÓN DE SOCIOS Y CLIENTES)
• Formulario de licitud de fondos (INFORMACIÓN DE SOCIOS Y CLIENTES)</t>
        </is>
      </c>
      <c r="R17" t="inlineStr">
        <is>
          <t>NO</t>
        </is>
      </c>
      <c r="S17" t="inlineStr">
        <is>
          <t>2-GCO,
3-GCO,
4-GCO,
5-GCO,
6-GCO,
7-GCO,
8-GCO,
9-GCO,
10-GCO,
11-GCO,
12-GCO,
13-GCO,
14-GCO,
15-GCO,
16-GCO,
17-GCO</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f>"• Establecer lineamientos para " &amp; IFERROR(VLOOKUP(A18, 'ANEXO A'!$A$2:$L$94, 2, FALSE), "Este Control") &amp; CHAR(10) &amp; "• Definir roles para el control " &amp; A18 &amp; CHAR(10) &amp; "• Revisar efectividad de " &amp; IFERROR(VLOOKUP(A18, 'ANEXO A'!$A$2:$L$94, 2, FALSE), "Este Control")</f>
        <v/>
      </c>
      <c r="P18" s="107">
        <f>"Asegurar la correcta aplicación de: " &amp; IFERROR(VLOOKUP(A18, 'ANEXO A'!$A$2:$L$94, 2, FALSE), "Este Control") &amp; ". Objetivo central: Proteger la información."</f>
        <v/>
      </c>
      <c r="Q18" t="inlineStr">
        <is>
          <t>• Avalúo de los bienes (INFORMACIÓN DE SOCIOS Y CLIENTES)
• Factura del servicio de avalúo/Anexo de los socios debitados (INFORMACIÓN DE SOCIOS Y CLIENTES)
• Formulario de créditos con cupo (DOCUMENTOS TÉCNICOS)
• Reporte recovinculados (DOCUMENTOS TÉCNICOS)
• Reporte de créditos aprobados (DOCUMENTOS TÉCNICOS)
• Cartera transferida (DOCUMENTOS TÉCNICOS)
• Informe de los resultados de la calificación de cartera (DOCUMENTOS TÉCNICOS)
• Reportes de provisión de cartera (DOCUMENTOS TÉCNICOS)
• Registro de entrega de pagarés cancelados (COMUNICACIÓN INTERNA)
• Contratos de Prenda, Escrituras de hipoteca, escritura o el contrato de prenda industrial o de reserva de dominio (DOCUMENTOS HABILITANTES)
• Minuta de levantamiento de hipoteca o prenda (DOCUMENTOS HABILITANTES)
• File de crédito / formulario previo al otorgamiento del crédito (INFORMACIÓN DE SOCIOS Y CLIENTES)
• File de crédito / Informe de análisis de novación, refinanciamiento y restructuración (INFORMACIÓN DE SOCIOS Y CLIENTES)
• Formulario de destino del crédito (INFORMACIÓN DE SOCIOS Y CLIENTES)
• Convenio de compra de cartera (DOCUMENTOS HABILITANTES)
• Informe de riesgos del proveedor (DOCUMENTOS TÉCNICOS)</t>
        </is>
      </c>
      <c r="R18" t="inlineStr">
        <is>
          <t>NO</t>
        </is>
      </c>
      <c r="S18" t="inlineStr">
        <is>
          <t>18-GCO,
19-GCO,
20-GCO,
21-GCO,
22-GCO,
23-GCO,
24-GCO,
25-GCO,
26-GCO,
27-GCO,
28-GCO,
29-GCO,
30-GCO,
31-GCO,
32-GCO,
33-GCO</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f>"• Establecer lineamientos para " &amp; IFERROR(VLOOKUP(A19, 'ANEXO A'!$A$2:$L$94, 2, FALSE), "Este Control") &amp; CHAR(10) &amp; "• Definir roles para el control " &amp; A19 &amp; CHAR(10) &amp; "• Revisar efectividad de " &amp; IFERROR(VLOOKUP(A19, 'ANEXO A'!$A$2:$L$94, 2, FALSE), "Este Control")</f>
        <v/>
      </c>
      <c r="P19" s="107">
        <f>"Asegurar la correcta aplicación de: " &amp; IFERROR(VLOOKUP(A19, 'ANEXO A'!$A$2:$L$94, 2, FALSE), "Este Control") &amp; ". Objetivo central: Proteger la información."</f>
        <v/>
      </c>
      <c r="Q19" t="inlineStr">
        <is>
          <t>• Informe de análisis de costo beneficio de la inversión (DOCUMENTOS TÉCNICOS)
• Informe de riesgos (DOCUMENTOS TÉCNICOS)
• Informes de las áreas (DOCUMENTOS TÉCNICOS)
• Informe de compra de cartera (DOCUMENTOS TÉCNICOS)
• Resolución de consejo de administración (COMUNICACIÓN INTERNA)
• Expedientes físicos (DOCUMENTOS TÉCNICOS)
• Expedientes digitales (DOCUMENTOS TÉCNICOS)
• Operaciones de crédito (DOCUMENTOS TÉCNICOS)
• Pagarés endosados (DOCUMENTOS HABILITANTES)
• Contratos de reserva de dominio (DOCUMENTOS HABILITANTES)
• Pólizas de seguro endosadas (DOCUMENTOS HABILITANTES)
• Pagaré (DOCUMENTOS HABILITANTES)
• Póliza de seguro vehicular (DOCUMENTOS HABILITANTES)
• Cesión de Derechos de los contratos de reserva de dominio (DOCUMENTOS HABILITANTES)
• Reporte de cartera disponible para la venta (DOCUMENTOS TÉCNICOS)
• Informe de riesgos, financiero y de negocios para la venta de cartera (DOCUMENTOS TÉCNICOS)</t>
        </is>
      </c>
      <c r="R19" t="inlineStr">
        <is>
          <t>NO</t>
        </is>
      </c>
      <c r="S19" t="inlineStr">
        <is>
          <t>34-GCO,
35-GCO,
36-GCO,
37-GCO,
38-GCO,
39-GCO,
40-GCO,
41-GCO,
42-GCO,
43-GCO,
44-GCO,
45-GCO,
46-GCO,
47-GCO,
48-GCO,
49-GCO</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f>"• Establecer lineamientos para " &amp; IFERROR(VLOOKUP(A20, 'ANEXO A'!$A$2:$L$94, 2, FALSE), "Este Control") &amp; CHAR(10) &amp; "• Definir roles para el control " &amp; A20 &amp; CHAR(10) &amp; "• Revisar efectividad de " &amp; IFERROR(VLOOKUP(A20, 'ANEXO A'!$A$2:$L$94, 2, FALSE), "Este Control")</f>
        <v/>
      </c>
      <c r="P20" s="107">
        <f>"Asegurar la correcta aplicación de: " &amp; IFERROR(VLOOKUP(A20, 'ANEXO A'!$A$2:$L$94, 2, FALSE), "Este Control") &amp; ". Objetivo central: Proteger la información."</f>
        <v/>
      </c>
      <c r="Q20" t="inlineStr">
        <is>
          <t>• Certificación del consejo de Administración para la venta de cartera (COMUNICACIÓN INTERNA)
• Solicitud de Elaboración de Contrato (COMUNICACIÓN INTERNA)
• Operaciones de crédito vendidas (DOCUMENTOS TÉCNICOS)
• Pagarés endosados para la venta (DOCUMENTOS HABILITANTES)
• Reporte de Cartera Vendida (DOCUMENTOS TÉCNICOS)
• Equipos de computación  (HARDWARE)
• Gerente de Negocios (RECURSO HUMANO)
• Jefe de Negocios (RECURSO HUMANO)
• Plan de Medios (DOCUMENTOS TÉCNICOS)
• Plan de Marketing (DOCUMENTOS TÉCNICOS)
• Brief (Síntesis) de la campaña
publicitaria integral. (DOCUMENTOS TÉCNICOS)
• Campaña publicitaria integral o
específica (DOCUMENTOS TÉCNICOS)
• Certificaciones de Pautaje. (DOCUMENTOS TÉCNICOS)
• Análisis de resultados de
campañas publicitarias. (DOCUMENTOS TÉCNICOS)
• Matriz de revisión de la
publicidad. (DOCUMENTOS TÉCNICOS)
• Acta entrega de material
promocional a oficinas. (DOCUMENTOS TÉCNICOS)</t>
        </is>
      </c>
      <c r="R20" t="inlineStr">
        <is>
          <t>NO</t>
        </is>
      </c>
      <c r="S20" t="inlineStr">
        <is>
          <t>50-GCO,
51-GCO,
52-GCO,
53-GCO,
54-GCO,
55-GCO,
56-GCO,
57-GCO,
1-GNE,
2-GNE,
3-GNE,
4-GNE,
5-GNE,
6-GNE,
7-GNE,
8-GNE</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f>"• Establecer lineamientos para " &amp; IFERROR(VLOOKUP(A21, 'ANEXO A'!$A$2:$L$94, 2, FALSE), "Este Control") &amp; CHAR(10) &amp; "• Definir roles para el control " &amp; A21 &amp; CHAR(10) &amp; "• Revisar efectividad de " &amp; IFERROR(VLOOKUP(A21, 'ANEXO A'!$A$2:$L$94, 2, FALSE), "Este Control")</f>
        <v/>
      </c>
      <c r="P21" s="107">
        <f>"Asegurar la correcta aplicación de: " &amp; IFERROR(VLOOKUP(A21, 'ANEXO A'!$A$2:$L$94, 2, FALSE), "Este Control") &amp; ". Objetivo central: Proteger la información."</f>
        <v/>
      </c>
      <c r="Q21" t="inlineStr">
        <is>
          <t>• Registro
de entrega de promocionales. (DOCUMENTOS TÉCNICOS)
• Kardex del material (DOCUMENTOS TÉCNICOS)
• Formulario de solicitud de
auspicios. (DOCUMENTOS TÉCNICOS)
• Formato de Solicitud de
auspicios (DOCUMENTOS TÉCNICOS)
• Formato de Análisis de 
Solicitud de Auspicio. (DOCUMENTOS TÉCNICOS)
• Acta entrega recepción del auspicio (DOCUMENTOS TÉCNICOS)
• Registro
de números
participantes entregados. (DOCUMENTOS TÉCNICOS)
• Acta entrega recepción de
los premios. (DOCUMENTOS TÉCNICOS)
• Análisis de resultados de
sorteos. (DOCUMENTOS TÉCNICOS)
• Cronograma de eventos y
fechas cívicas. (DOCUMENTOS TÉCNICOS)
• Cronopost (DOCUMENTOS TÉCNICOS)
• Informe
de gestión
de Marketing. (DOCUMENTOS TÉCNICOS)
• Equipos de computación del Jefe de Marketing (HARDWARE)
• Equipos de computación de Analista de Marketing (HARDWARE)
• Jefe de Marketing (RECURSO HUMANO)
• Manual de Usuario del 
Sistema Isabel E (DOCUMENTOS TÉCNICOS)</t>
        </is>
      </c>
      <c r="R21" t="inlineStr">
        <is>
          <t>NO</t>
        </is>
      </c>
      <c r="S21" t="inlineStr">
        <is>
          <t>9-GNE,
10-GNE,
11-GNE,
12-GNE,
13-GNE,
14-GNE,
15-GNE,
16-GNE,
17-GNE,
18-GNE,
19-GNE,
20-GNE,
21-GNE,
22-GNE,
23-GNE,
24-GNE</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f>"• Establecer lineamientos para " &amp; IFERROR(VLOOKUP(A22, 'ANEXO A'!$A$2:$L$94, 2, FALSE), "Este Control") &amp; CHAR(10) &amp; "• Definir roles para el control " &amp; A22 &amp; CHAR(10) &amp; "• Revisar efectividad de " &amp; IFERROR(VLOOKUP(A22, 'ANEXO A'!$A$2:$L$94, 2, FALSE), "Este Control")</f>
        <v/>
      </c>
      <c r="P22" s="107">
        <f>"Asegurar la correcta aplicación de: " &amp; IFERROR(VLOOKUP(A22, 'ANEXO A'!$A$2:$L$94, 2, FALSE), "Este Control") &amp; ". Objetivo central: Proteger la información."</f>
        <v/>
      </c>
      <c r="Q22" t="inlineStr">
        <is>
          <t>• Formulario de Solicitud de
campaña E (INFORMACIÓN DE SOCIOS Y CLIENTES)
• Solicitud
de campañas
telefónicas (NORMATIVA INTERNA)
• Reportes de mensajes del 
Sistema Anyway (INFORMACIÓN DE SOCIOS Y CLIENTES)
• Reporte de cobranza 
preventiva (INFORMACIÓN DE SOCIOS Y CLIENTES)
• Reportes de llamadas del 
Sistema Issabel (INFORMACIÓN DE SOCIOS Y CLIENTES)
• Grabaciones Sistema Issabel (INFORMACIÓN DE SOCIOS Y CLIENTES)
• Reportes de llamadas del 
Sistema Issabel (COMUNICACIÓN INTERNA)
• Grabaciones Sistema Issabel (INFORMACIÓN DE SOCIOS Y CLIENTES)
• Reportes de resultados
campaña (DOCUMENTOS TÉCNICOS)
• Solicitud de campaña (COMUNICACIÓN INTERNA)
• Matriz de requerimientos 
atendidos (INFORMACIÓN DE TERCEROS)
• Reportes de llamadas  (INFORMACIÓN DE SOCIOS Y CLIENTES)
• Grabaciones sistema Issabel (INFORMACIÓN DE SOCIOS Y CLIENTES)
• Reporte
de socios verificados (INFORMACIÓN DE SOCIOS Y CLIENTES)
• Reportes de llamadas (INFORMACIÓN DE SOCIOS Y CLIENTES)
• Grabaciones sistema Issabel (INFORMACIÓN DE SOCIOS Y CLIENTES)</t>
        </is>
      </c>
      <c r="R22" t="inlineStr">
        <is>
          <t>NO</t>
        </is>
      </c>
      <c r="S22" t="inlineStr">
        <is>
          <t>25-GNE,
26-GNE,
27-GNE,
28-GNE,
29-GNE,
30-GNE,
31-GNE,
32-GNE,
33-GNE,
34-GNE,
35-GNE,
36-GNE,
37-GNE,
38-GNE,
39-GNE,
40-GNE</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f>"• Establecer lineamientos para " &amp; IFERROR(VLOOKUP(A23, 'ANEXO A'!$A$2:$L$94, 2, FALSE), "Este Control") &amp; CHAR(10) &amp; "• Definir roles para el control " &amp; A23 &amp; CHAR(10) &amp; "• Revisar efectividad de " &amp; IFERROR(VLOOKUP(A23, 'ANEXO A'!$A$2:$L$94, 2, FALSE), "Este Control")</f>
        <v/>
      </c>
      <c r="P23" s="107">
        <f>"Asegurar la correcta aplicación de: " &amp; IFERROR(VLOOKUP(A23, 'ANEXO A'!$A$2:$L$94, 2, FALSE), "Este Control") &amp; ". Objetivo central: Proteger la información."</f>
        <v/>
      </c>
      <c r="Q23" t="inlineStr">
        <is>
          <t>• Registro de preguntas inusuales (INFORMACIÓN DE SOCIOS Y CLIENTES)
• Registro de usuarios bloqueados (INFORMACIÓN DE SOCIOS Y CLIENTES)
• Reportes del módulo de
Cooperativa Virtual (INFORMACIÓN DE SOCIOS Y CLIENTES)
• Grabaciones sistema Issabel (INFORMACIÓN DE SOCIOS Y CLIENTES)
• Equipos de computación del Jefe de  Contact Center (INFORMACIÓN DE SOCIOS Y CLIENTES)
• Equipos de computación de Analista de Contact Center (INFORMACIÓN DE SOCIOS Y CLIENTES)
• Jefe de Contact Center (RECURSO HUMANO)
• Reporte de transacciones de Tarjetas de Débito (INFORMACIÓN DE SOCIOS Y CLIENTES)
• Registro de metas y resultados del personal (DOCUMENTOS TÉCNICOS)
• Registro de metas y resultados del personal (DOCUMENTOS TÉCNICOS)
• Matriz de remuneración variable (DOCUMENTOS TÉCNICOS)
• Consolidado de ideas del nuevo producto o servicio
(Plan Comercial) (DOCUMENTOS TÉCNICOS)
• Estudio de Mercado (DOCUMENTOS TÉCNICOS)
• Propuesta de Creación de
Productos y Servicios (COMUNICACIÓN INTERNA)
• Formato de Factibilidad para
la creación de Productos y
Servicios (INFORMACIÓN DE TERCEROS)
• Propuesta de creación del 
producto o servicio (DOCUMENTOS TÉCNICOS)</t>
        </is>
      </c>
      <c r="R23" t="inlineStr">
        <is>
          <t>NO</t>
        </is>
      </c>
      <c r="S23" t="inlineStr">
        <is>
          <t>41-GNE,
42-GNE,
43-GNE,
44-GNE,
45-GNE,
46-GNE,
47-GNE,
48-GNE,
49-GNE,
50-GNE,
51-GNE,
52-GNE,
53-GNE,
54-GNE,
55-GNE,
56-GNE</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f>"• Establecer lineamientos para " &amp; IFERROR(VLOOKUP(A24, 'ANEXO A'!$A$2:$L$94, 2, FALSE), "Este Control") &amp; CHAR(10) &amp; "• Definir roles para el control " &amp; A24 &amp; CHAR(10) &amp; "• Revisar efectividad de " &amp; IFERROR(VLOOKUP(A24, 'ANEXO A'!$A$2:$L$94, 2, FALSE), "Este Control")</f>
        <v/>
      </c>
      <c r="P24" s="107">
        <f>"Asegurar la correcta aplicación de: " &amp; IFERROR(VLOOKUP(A24, 'ANEXO A'!$A$2:$L$94, 2, FALSE), "Este Control") &amp; ". Objetivo central: Proteger la información."</f>
        <v/>
      </c>
      <c r="Q24" t="inlineStr">
        <is>
          <t>• Informe de riesgos de lavado 
de activos (DOCUMENTOS TÉCNICOS)
• Informe del Análisis de
Riesgos (DOCUMENTOS TÉCNICOS)
• Resolución CAIR (COMUNICACIÓN INTERNA)
• Matriz de Productos (DOCUMENTOS TÉCNICOS)
• Certificación de Aprobación
del Consejo de
Administración (DOCUMENTOS HABILITANTES)
• Aprobación del Ente de
Control (DOCUMENTOS HABILITANTES)
• Plan de Pruebas/Informe de las pruebas (DOCUMENTOS TÉCNICOS)
• Certificación de pruebas
satisfactorias (DOCUMENTOS HABILITANTES)
• Acta de Capacitación (DOCUMENTOS HABILITANTES)
• Informe de Gestión de
Negocios / Disposición de lanzamiento de nuevos productos servicios (DOCUMENTOS TÉCNICOS)
• Informe sobre la revisión de los posibles fondeadores en las listas de control (DOCUMENTOS TÉCNICOS)
• Informe de Riesgos sobre la viabilidad de la nueva obligación financiera (DOCUMENTOS TÉCNICOS)
• Informe final de análisis de fondeador externo (DOCUMENTOS TÉCNICOS)
• Convenio con fondeador externo (DOCUMENTOS HABILITANTES)
• Solicitud de crédito externo/Solicitud de anticipo/Reporte de operaciones a redescontar (DOCUMENTOS HABILITANTES)
• Pagaré de las obligaciones financieras (DOCUMENTOS TÉCNICOS)</t>
        </is>
      </c>
      <c r="R24" t="inlineStr">
        <is>
          <t>NO</t>
        </is>
      </c>
      <c r="S24" t="inlineStr">
        <is>
          <t>57-GNE,
58-GNE,
59-GNE,
60-GNE,
61-GNE,
62-GNE,
63-GNE,
64-GNE,
65-GNE,
66-GNE,
67-GNE,
68-GNE,
69-GNE,
70-GNE,
71-GNE,
72-GNE</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f>"• Establecer lineamientos para " &amp; IFERROR(VLOOKUP(A25, 'ANEXO A'!$A$2:$L$94, 2, FALSE), "Este Control") &amp; CHAR(10) &amp; "• Definir roles para el control " &amp; A25 &amp; CHAR(10) &amp; "• Revisar efectividad de " &amp; IFERROR(VLOOKUP(A25, 'ANEXO A'!$A$2:$L$94, 2, FALSE), "Este Control")</f>
        <v/>
      </c>
      <c r="P25" s="107">
        <f>"Asegurar la correcta aplicación de: " &amp; IFERROR(VLOOKUP(A25, 'ANEXO A'!$A$2:$L$94, 2, FALSE), "Este Control") &amp; ". Objetivo central: Proteger la información."</f>
        <v/>
      </c>
      <c r="Q25" t="inlineStr">
        <is>
          <t>• Garantías de las obligaciones financieras (DOCUMENTOS TÉCNICOS)
• Confirmación transferencia/Tabla de amortización (DOCUMENTOS TÉCNICOS)
• Pagaré y garantías entregadas al fondeador por la obligación financiera (DOCUMENTOS TÉCNICOS)
• Documentos de levantamiento de cesión de derechos  (DOCUMENTOS TÉCNICOS)
• Pagaré original  (COMUNICACIÓN INTERNA)
• Pagarés (DOCUMENTOS TÉCNICOS)
• Registro de operación cancelada (DOCUMENTOS TÉCNICOS)
• Equipos de computación  (HARDWARE)
• Jegente de Negocios (RECURSO HUMANO)
• Resoluciones ALCO (DOCUMENTOS HABILITANTES)
• Formulario de requerimiento en el sistema (DOCUMENTOS TÉCNICOS)
• Reporte de socios registrados en el Cash Management (DOCUMENTOS TÉCNICOS)
• Reporte de acreditaciones de Cash Management (DOCUMENTOS TÉCNICOS)
• Estructuras de Servipagos (DOCUMENTOS TÉCNICOS)
• Confirmación de recepción Servipagos (DOCUMENTOS TÉCNICOS)
• Reporte de órdenes de pagos interbancarios / Archivo de confirmación de transferencias del BCE (DOCUMENTOS TÉCNICOS)</t>
        </is>
      </c>
      <c r="R25" t="inlineStr">
        <is>
          <t>NO</t>
        </is>
      </c>
      <c r="S25" t="inlineStr">
        <is>
          <t>73-GNE,
74-GNE,
75-GNE,
76-GNE,
77-GNE,
78-GNE,
79-GNE,
80-GNE,
81-GNE,
1-GOP,
2-GOP,
3-GOP,
4-GOP,
5-GOP,
6-GOP,
7-GOP</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f>"• Establecer lineamientos para " &amp; IFERROR(VLOOKUP(A26, 'ANEXO A'!$A$2:$L$94, 2, FALSE), "Este Control") &amp; CHAR(10) &amp; "• Definir roles para el control " &amp; A26 &amp; CHAR(10) &amp; "• Revisar efectividad de " &amp; IFERROR(VLOOKUP(A26, 'ANEXO A'!$A$2:$L$94, 2, FALSE), "Este Control")</f>
        <v/>
      </c>
      <c r="P26" s="107">
        <f>"Asegurar la correcta aplicación de: " &amp; IFERROR(VLOOKUP(A26, 'ANEXO A'!$A$2:$L$94, 2, FALSE), "Este Control") &amp; ". Objetivo central: Proteger la información."</f>
        <v/>
      </c>
      <c r="Q26" t="inlineStr">
        <is>
          <t>• Reporte de confirmación OPE3, el archivo de detalle de transferencias OPE2 (DOCUMENTOS TÉCNICOS)
• Reporte transaccional de transferencias interbancarias (DOCUMENTOS TÉCNICOS)
• Estructuras del corte diario SCI3 (DOCUMENTOS TÉCNICOS)
• Confirmación de las transacciones (DOCUMENTOS TÉCNICOS)
• Reporte de cuentas debitadas por Seguro de Vida (DOCUMENTOS TÉCNICOS)
• Registro de transacciones a regularizar (DOCUMENTOS TÉCNICOS)
• Reporte de cálculo pago al COSEDE (DOCUMENTOS TÉCNICOS)
• Papeles de trabajo (DOCUMENTOS TÉCNICOS)
• Solicitud de ajuste Contable (DOCUMENTOS TÉCNICOS)
• Bitácora de Seguimiento de ajustes contables (DOCUMENTOS TÉCNICOS)
• Prueba departamental (DOCUMENTOS TÉCNICOS)
• Solicitud de ajuste Contable (DOCUMENTOS TÉCNICOS)
• Bitácora de Seguimiento de ajustes contables (DOCUMENTOS TÉCNICOS)
• Prueba departamental (DOCUMENTOS TÉCNICOS)
• Solicitud de ajuste Contable (DOCUMENTOS TÉCNICOS)
• Bitácora de Seguimiento de ajustes contables (DOCUMENTOS TÉCNICOS)</t>
        </is>
      </c>
      <c r="R26" t="inlineStr">
        <is>
          <t>NO</t>
        </is>
      </c>
      <c r="S26" t="inlineStr">
        <is>
          <t>8-GOP,
9-GOP,
10-GOP,
11-GOP,
12-GOP,
13-GOP,
14-GOP,
15-GOP,
16-GOP,
17-GOP,
18-GOP,
19-GOP,
20-GOP,
21-GOP,
22-GOP,
23-GOP</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f>"• Establecer lineamientos para " &amp; IFERROR(VLOOKUP(A27, 'ANEXO A'!$A$2:$L$94, 2, FALSE), "Este Control") &amp; CHAR(10) &amp; "• Definir roles para el control " &amp; A27 &amp; CHAR(10) &amp; "• Revisar efectividad de " &amp; IFERROR(VLOOKUP(A27, 'ANEXO A'!$A$2:$L$94, 2, FALSE), "Este Control")</f>
        <v/>
      </c>
      <c r="P27" s="107">
        <f>"Asegurar la correcta aplicación de: " &amp; IFERROR(VLOOKUP(A27, 'ANEXO A'!$A$2:$L$94, 2, FALSE), "Este Control") &amp; ". Objetivo central: Proteger la información."</f>
        <v/>
      </c>
      <c r="Q27" t="inlineStr">
        <is>
          <t>• Prueba departamental (DOCUMENTOS TÉCNICOS)
• Solicitud de ajuste Contable (DOCUMENTOS TÉCNICOS)
• Bitácora de Seguimiento de ajustes contables (DOCUMENTOS TÉCNICOS)
• Prueba departamental (DOCUMENTOS TÉCNICOS)
• Solicitud de ajuste Contable (DOCUMENTOS TÉCNICOS)
• Bitácora de Seguimiento de ajustes contables (DOCUMENTOS TÉCNICOS)
• Prueba departamental (DOCUMENTOS TÉCNICOS)
• Solicitud de ajuste Contable (DOCUMENTOS TÉCNICOS)
• Bitácora de Seguimiento de ajustes contables (DOCUMENTOS TÉCNICOS)
• Prueba departamental (DOCUMENTOS TÉCNICOS)
• Solicitud de ajuste Contable (DOCUMENTOS TÉCNICOS)
• Bitácora de Seguimiento de ajustes contables (DOCUMENTOS TÉCNICOS)
• Formulario de Corrección de errores (DOCUMENTOS TÉCNICOS)
• Reporte de Transacciones Diarias de Servipagos (DOCUMENTOS TÉCNICOS)
• Planilla de Cuadre Diario de Servipagos (DOCUMENTOS TÉCNICOS)
• Registro de Transacciones de Red Facilito (INFORMACIÓN DE TERCEROS)</t>
        </is>
      </c>
      <c r="R27" t="inlineStr">
        <is>
          <t>NO</t>
        </is>
      </c>
      <c r="S27" t="inlineStr">
        <is>
          <t>24-GOP,
25-GOP,
26-GOP,
27-GOP,
28-GOP,
29-GOP,
30-GOP,
31-GOP,
32-GOP,
33-GOP,
34-GOP,
35-GOP,
36-GOP,
37-GOP,
38-GOP,
39-GOP</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f>"• Establecer lineamientos para " &amp; IFERROR(VLOOKUP(A28, 'ANEXO A'!$A$2:$L$94, 2, FALSE), "Este Control") &amp; CHAR(10) &amp; "• Definir roles para el control " &amp; A28 &amp; CHAR(10) &amp; "• Revisar efectividad de " &amp; IFERROR(VLOOKUP(A28, 'ANEXO A'!$A$2:$L$94, 2, FALSE), "Este Control")</f>
        <v/>
      </c>
      <c r="P28" s="107">
        <f>"Asegurar la correcta aplicación de: " &amp; IFERROR(VLOOKUP(A28, 'ANEXO A'!$A$2:$L$94, 2, FALSE), "Este Control") &amp; ". Objetivo central: Proteger la información."</f>
        <v/>
      </c>
      <c r="Q28" t="inlineStr">
        <is>
          <t>• Formulario de Cuadre de Red Facilito / Reporte de comisiones de Red Facilito (DOCUMENTOS TÉCNICOS)
• Comprobante de transferencia de fondeo de Red Facilito (DOCUMENTOS HABILITANTES)
• Registro de Transacciones de Puntomático / Formulario de cuadre de Puntomático (DOCUMENTOS TÉCNICOS)
• Prueba departamental (DOCUMENTOS TÉCNICOS)
• Solicitud de ajuste Contable (DOCUMENTOS TÉCNICOS)
• Bitácora de Seguimiento de ajustes contables (DOCUMENTOS TÉCNICOS)
• Reportes diarios de cartera titularizada (DOCUMENTOS TÉCNICOS)
• Acuso de recibo de validación de estructuras (DOCUMENTOS HABILITANTES)
• Bitácora de Validación de estructuras (DOCUMENTOS TÉCNICOS)
• Control de ingreso al área de Cajas. (DOCUMENTOS HABILITANTES)
• Comprobante de entrega y/o transferencia de fondos. (DOCUMENTOS TÉCNICOS)
• Control de libretas de ahorros. (DOCUMENTOS TÉCNICOS)
• Solicitud de fondo de bóveda.  (DOCUMENTOS HABILITANTES)
• Registro de entrega recepción de libretas y llaves (DOCUMENTOS TÉCNICOS)
• Reporte de Totales de Centrales. (DOCUMENTOS TÉCNICOS)
• Recibo de remisión. (DOCUMENTOS TÉCNICOS)</t>
        </is>
      </c>
      <c r="R28" t="inlineStr">
        <is>
          <t>NO</t>
        </is>
      </c>
      <c r="S28" t="inlineStr">
        <is>
          <t>40-GOP,
41-GOP,
42-GOP,
43-GOP,
44-GOP,
45-GOP,
46-GOP,
47-GOP,
48-GOP,
49-GOP,
50-GOP,
51-GOP,
52-GOP,
53-GOP,
54-GOP,
55-GOP</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f>"• Establecer lineamientos para " &amp; IFERROR(VLOOKUP(A29, 'ANEXO A'!$A$2:$L$94, 2, FALSE), "Este Control") &amp; CHAR(10) &amp; "• Definir roles para el control " &amp; A29 &amp; CHAR(10) &amp; "• Revisar efectividad de " &amp; IFERROR(VLOOKUP(A29, 'ANEXO A'!$A$2:$L$94, 2, FALSE), "Este Control")</f>
        <v/>
      </c>
      <c r="P29" s="107">
        <f>"Asegurar la correcta aplicación de: " &amp; IFERROR(VLOOKUP(A29, 'ANEXO A'!$A$2:$L$94, 2, FALSE), "Este Control") &amp; ". Objetivo central: Proteger la información."</f>
        <v/>
      </c>
      <c r="Q29" t="inlineStr">
        <is>
          <t>• Registro de ingresos y egresos del centro de acopio (DOCUMENTOS HABILITANTES)
• Papeleta de depósito (DOCUMENTOS HABILITANTES)
• Cheques / Depósito (DOCUMENTOS HABILITANTES)
• Control diario de cheques (DOCUMENTOS HABILITANTES)
• Formulario de licitud de fondos y justificación de ser el caso (DOCUMENTOS HABILITANTES)
• Libreta de Ahorros del socio / Depósito (DOCUMENTOS HABILITANTES)
• Control de billetes de alta denominación (DOCUMENTOS HABILITANTES)
• Papeleta de retiro (DOCUMENTOS HABILITANTES)
• Control de canje de libretas (DOCUMENTOS TÉCNICOS)
• Copia de comprobante de ingreso y egreso a caja (COMUNICACIÓN INTERNA)
• Registro digital de transacciones de cobro (COMUNICACIÓN INTERNA)
• Comprobante de ingreso y egreso de caja (DOCUMENTOS HABILITANTES)
• Libreta de Ahorros del socio (DOCUMENTOS HABILITANTES)
• Solicitud de cierre de cuenta (DOCUMENTOS HABILITANTES)
• Comprobantes de ingreso y egreso de cajas original (DOCUMENTOS HABILITANTES)
• Libreta de Ahorros del socio (DOCUMENTOS HABILITANTES)</t>
        </is>
      </c>
      <c r="R29" t="inlineStr">
        <is>
          <t>NO</t>
        </is>
      </c>
      <c r="S29" t="inlineStr">
        <is>
          <t>56-GOP,
57-GOP,
58-GOP,
59-GOP,
60-GOP,
61-GOP,
62-GOP,
63-GOP,
64-GOP,
65-GOP,
66-GOP,
67-GOP,
68-GOP,
69-GOP,
70-GOP,
71-GOP</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f>"• Establecer lineamientos para " &amp; IFERROR(VLOOKUP(A30, 'ANEXO A'!$A$2:$L$94, 2, FALSE), "Este Control") &amp; CHAR(10) &amp; "• Definir roles para el control " &amp; A30 &amp; CHAR(10) &amp; "• Revisar efectividad de " &amp; IFERROR(VLOOKUP(A30, 'ANEXO A'!$A$2:$L$94, 2, FALSE), "Este Control")</f>
        <v/>
      </c>
      <c r="P30" s="107">
        <f>"Asegurar la correcta aplicación de: " &amp; IFERROR(VLOOKUP(A30, 'ANEXO A'!$A$2:$L$94, 2, FALSE), "Este Control") &amp; ". Objetivo central: Proteger la información."</f>
        <v/>
      </c>
      <c r="Q30" t="inlineStr">
        <is>
          <t>• Formularios de cierre de cuentas (DOCUMENTOS HABILITANTES)
• Planilla de cuadre general (DOCUMENTOS TÉCNICOS)
• Registro de Sobrantes y Faltantes (COMUNICACIÓN INTERNA)
• Cheques (DOCUMENTOS HABILITANTES)
• Formulario de faltantes y sobrantes (COMUNICACIÓN INTERNA)
• Solicitud de transferencia interbancaria (DOCUMENTOS HABILITANTES)
• Documento que identifica el banco (DOCUMENTOS HABILITANTES)
• Documentación de excepción de huella dactilar (DOCUMENTOS HABILITANTES)
• Registro de excepción de transferencias y emisión de cheques (DOCUMENTOS HABILITANTES)
• Solicitud  de retiro en cheque (COMUNICACIÓN INTERNA)
• Formulario de retiro de cheque (DOCUMENTOS HABILITANTES)
• Solicitud de emisión de cheques (COMUNICACIÓN INTERNA)
• Documentación de excepción de huella dactilar / Retiro (DOCUMENTOS HABILITANTES)
• Registro de excepción de transferencias y emisión de cheques / Retiro (DOCUMENTOS HABILITANTES)
• Cheques / Retiro (DOCUMENTOS HABILITANTES)
• Cheques compensados (COMUNICACIÓN INTERNA)</t>
        </is>
      </c>
      <c r="R30" t="inlineStr">
        <is>
          <t>NO</t>
        </is>
      </c>
      <c r="S30" t="inlineStr">
        <is>
          <t>72-GOP,
73-GOP,
74-GOP,
75-GOP,
76-GOP,
77-GOP,
78-GOP,
79-GOP,
80-GOP,
81-GOP,
82-GOP,
83-GOP,
84-GOP,
85-GOP,
86-GOP,
87-GOP</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f>"• Establecer lineamientos para " &amp; IFERROR(VLOOKUP(A31, 'ANEXO A'!$A$2:$L$94, 2, FALSE), "Este Control") &amp; CHAR(10) &amp; "• Definir roles para el control " &amp; A31 &amp; CHAR(10) &amp; "• Revisar efectividad de " &amp; IFERROR(VLOOKUP(A31, 'ANEXO A'!$A$2:$L$94, 2, FALSE), "Este Control")</f>
        <v/>
      </c>
      <c r="P31" s="107">
        <f>"Asegurar la correcta aplicación de: " &amp; IFERROR(VLOOKUP(A31, 'ANEXO A'!$A$2:$L$94, 2, FALSE), "Este Control") &amp; ". Objetivo central: Proteger la información."</f>
        <v/>
      </c>
      <c r="Q31" t="inlineStr">
        <is>
          <t>• Control de ingreso al área de Cajas. (COMUNICACIÓN INTERNA)
• Reporte de arqueo de caja (DOCUMENTOS TÉCNICOS)
• Matriz de registro de Arqueo de Valores de Bóveda (DOCUMENTOS TÉCNICOS)
• Formulario de reversos en cajas (COMUNICACIÓN INTERNA)
• Formulario de especies monetarias falsificadas (DOCUMENTOS TÉCNICOS)
• Documentos de justificación de transacciones (COMUNICACIÓN INTERNA)
• Requerimiento de libretas de ahorro (COMUNICACIÓN INTERNA)
• Acta entrega recepción de libretas de ahorro (DOCUMENTOS TÉCNICOS)
• Formulario de cuadre físico de cajero automático Formulario de cuadre transaccional del cajero automático Bitácora de verificación de cajero automático Tirillas del cajero inicial y final Acta de movimiento del cajero automático (DOCUMENTOS TÉCNICOS)
• Matriz resumen del cuadre (DOCUMENTOS TÉCNICOS)
• Formulario de cuadre de cajero automático  Bitácora de verificación de cajero automático Tirillas del cajero inicial y final Formulario de cuadre transaccional del cajero automático (DOCUMENTOS TÉCNICOS)
• Solicitud de reclamo (DOCUMENTOS TÉCNICOS)
• Notificación de transacción compensada (COMUNICACIÓN INTERNA)
• Registro de la cámara de reclamos (COMUNICACIÓN INTERNA)
• Matriz de sobrantes y reclamos (DOCUMENTOS TÉCNICOS)
• Nota de crédito (INFORMACIÓN DE SOCIOS Y CLIENTES)</t>
        </is>
      </c>
      <c r="R31" t="inlineStr">
        <is>
          <t>NO</t>
        </is>
      </c>
      <c r="S31" t="inlineStr">
        <is>
          <t>88-GOP,
89-GOP,
90-GOP,
91-GOP,
92-GOP,
93-GOP,
94-GOP,
95-GOP,
96-GOP,
97-GOP,
98-GOP,
99-GOP,
100-GOP,
101-GOP,
102-GOP,
103-GOP</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f>"• Establecer lineamientos para " &amp; IFERROR(VLOOKUP(A32, 'ANEXO A'!$A$2:$L$94, 2, FALSE), "Este Control") &amp; CHAR(10) &amp; "• Definir roles para el control " &amp; A32 &amp; CHAR(10) &amp; "• Revisar efectividad de " &amp; IFERROR(VLOOKUP(A32, 'ANEXO A'!$A$2:$L$94, 2, FALSE), "Este Control")</f>
        <v/>
      </c>
      <c r="P32" s="107">
        <f>"Asegurar la correcta aplicación de: " &amp; IFERROR(VLOOKUP(A32, 'ANEXO A'!$A$2:$L$94, 2, FALSE), "Este Control") &amp; ". Objetivo central: Proteger la información."</f>
        <v/>
      </c>
      <c r="Q32" t="inlineStr">
        <is>
          <t>• Matriz de Sobrantes y reclamos entregados (DOCUMENTOS TÉCNICOS)
• Notificación de depósito por confirmar (COMUNICACIÓN INTERNA)
• Nota de crédito (INFORMACIÓN DE SOCIOS Y CLIENTES)
• Compensación de Banred (DOCUMENTOS TÉCNICOS)
• Cuadre general de cajeros automáticos, por oficinas (DOCUMENTOS TÉCNICOS)
• Solicitud de tarjeta de débito (INFORMACIÓN DE SOCIOS Y CLIENTES)
• Contrato de la utilización de la tarjeta de débito (INFORMACIÓN DE SOCIOS Y CLIENTES)
• Formulario de control de tarjeta de débito (INFORMACIÓN DE SOCIOS Y CLIENTES)
• Tarjetas (INFORMACIÓN DE SOCIOS Y CLIENTES)
• Acta entrega recepción de tarjetas (DOCUMENTOS HABILITANTES)
• Solicitud de bloqueo y cierre de tarjeta de débito (DOCUMENTOS HABILITANTES)
• Solicitud de desbloqueo de tarjeta de débito (DOCUMENTOS HABILITANTES)
• Tarjeta de débito cerrada (INFORMACIÓN DE SOCIOS Y CLIENTES)
• Reporte de tarjetas de débito dadas de baja (INFORMACIÓN DE SOCIOS Y CLIENTES)
• Solicitud del Servicio del Cash management (DOCUMENTOS HABILITANTES)
• Contrato y anexos del cash management (DOCUMENTOS HABILITANTES)</t>
        </is>
      </c>
      <c r="R32" t="inlineStr">
        <is>
          <t>NO</t>
        </is>
      </c>
      <c r="S32" t="inlineStr">
        <is>
          <t>104-GOP,
105-GOP,
106-GOP,
107-GOP,
108-GOP,
109-GOP,
110-GOP,
111-GOP,
112-GOP,
113-GOP,
114-GOP,
115-GOP,
116-GOP,
117-GOP,
118-GOP,
119-GOP</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f>"• Establecer lineamientos para " &amp; IFERROR(VLOOKUP(A33, 'ANEXO A'!$A$2:$L$94, 2, FALSE), "Este Control") &amp; CHAR(10) &amp; "• Definir roles para el control " &amp; A33 &amp; CHAR(10) &amp; "• Revisar efectividad de " &amp; IFERROR(VLOOKUP(A33, 'ANEXO A'!$A$2:$L$94, 2, FALSE), "Este Control")</f>
        <v/>
      </c>
      <c r="P33" s="107">
        <f>"Asegurar la correcta aplicación de: " &amp; IFERROR(VLOOKUP(A33, 'ANEXO A'!$A$2:$L$94, 2, FALSE), "Este Control") &amp; ". Objetivo central: Proteger la información."</f>
        <v/>
      </c>
      <c r="Q33" t="inlineStr">
        <is>
          <t>• Matriz de cuadre de los servicios del Cash Management (DOCUMENTOS TÉCNICOS)
• Formulario de creación, cancelación, bloqueo y desbloqueo de usuarios del Cash Management (DOCUMENTOS TÉCNICOS)
• Equipos de computación  (HARDWARE)
• Jefe de Infraestructura Operacional (RECURSO HUMANO)
• Jefe de Front Operativo (RECURSO HUMANO)
• Plan anual de trabajo (DOCUMENTOS TÉCNICOS)
• Certificación CDA (INFORMACIÓN DE TERCEROS)
• Registro SEPS (COMUNICACIÓN INTERNA)
• Informe mensual del departamento (DOCUMENTOS TÉCNICOS)
• Manual de Prevención de Lavado de Activos/Manual de Gestión de Prevención de Lavado de Activos (DOCUMENTOS TÉCNICOS)
• Metodología de Evaluación de Riesgo de Lavado de Activos/ Código de Ética y Comportamiento (DOCUMENTOS TÉCNICOS)
• Listas de Control actualizados (DOCUMENTOS TÉCNICOS)
• Reporte de consulta de listas de control (DOCUMENTOS TÉCNICOS)
• Informe mensual (DOCUMENTOS TÉCNICOS)
• Estructura de resumen de transacciones (DOCUMENTOS TÉCNICOS)
• Reporte de información de socios y clientes (DOCUMENTOS TÉCNICOS)</t>
        </is>
      </c>
      <c r="R33" t="inlineStr">
        <is>
          <t>NO</t>
        </is>
      </c>
      <c r="S33" t="inlineStr">
        <is>
          <t xml:space="preserve">120-GOP,
121-GOP,
122-GOP,
123-GOP,
124-GOP,
1-GPL ,
2-GPL ,
3-GPL ,
4-GPL ,
5-GPL ,
6-GPL ,
7-GPL ,
8-GPL ,
9-GPL ,
10-GPL ,
11-GPL </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f>"• Establecer lineamientos para " &amp; IFERROR(VLOOKUP(A34, 'ANEXO A'!$A$2:$L$94, 2, FALSE), "Este Control") &amp; CHAR(10) &amp; "• Definir roles para el control " &amp; A34 &amp; CHAR(10) &amp; "• Revisar efectividad de " &amp; IFERROR(VLOOKUP(A34, 'ANEXO A'!$A$2:$L$94, 2, FALSE), "Este Control")</f>
        <v/>
      </c>
      <c r="P34" s="107">
        <f>"Asegurar la correcta aplicación de: " &amp; IFERROR(VLOOKUP(A34, 'ANEXO A'!$A$2:$L$94, 2, FALSE), "Este Control") &amp; ". Objetivo central: Proteger la información."</f>
        <v/>
      </c>
      <c r="Q34" t="inlineStr">
        <is>
          <t>• Informe de gestión mensual (DOCUMENTOS TÉCNICOS)
• Análisis transaccional de socios/clientes (DOCUMENTOS TÉCNICOS)
• Informe de las variaciones presentada (DOCUMENTOS TÉCNICOS)
• Informe de evaluación de proveedores calificados (DOCUMENTOS TÉCNICOS)
• Equipos de computación  (HARDWARE)
• Oficial de Seguridad de la Información (RECURSO HUMANO)
• Solicitud de campañas telefónicas (INFORMACIÓN DE SOCIOS Y CLIENTES)
• Registro de acciones de recuperación (DOCUMENTOS TÉCNICOS)
• Notificación de mora (INFORMACIÓN DE SOCIOS Y CLIENTES)
• Recibo usado (DOCUMENTOS HABILITANTES)
• Notificación de mora (INFORMACIÓN DE SOCIOS Y CLIENTES)
• Recibo usado (DOCUMENTOS HABILITANTES)
• Informe de gestión de cobranza de Gestor de Cobranza (DOCUMENTOS TÉCNICOS)
• Resolución del comité de cobranza (DOCUMENTOS HABILITANTES)
• Acta entrega de reciberas (DOCUMENTOS HABILITANTES)
• Memorando (DOCUMENTOS HABILITANTES)</t>
        </is>
      </c>
      <c r="R34" t="inlineStr">
        <is>
          <t>NO</t>
        </is>
      </c>
      <c r="S34" t="inlineStr">
        <is>
          <t xml:space="preserve">12-GPL ,
13-GPL ,
14-GPL ,
15-GPL ,
16-GPL ,
17-GPL ,
1-GRE ,
2-GRE ,
3-GRE ,
4-GRE ,
5-GRE ,
6-GRE ,
7-GRE ,
8-GRE ,
9-GRE ,
10-GRE </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f>"• Establecer lineamientos para " &amp; IFERROR(VLOOKUP(A35, 'ANEXO A'!$A$2:$L$94, 2, FALSE), "Este Control") &amp; CHAR(10) &amp; "• Definir roles para el control " &amp; A35 &amp; CHAR(10) &amp; "• Revisar efectividad de " &amp; IFERROR(VLOOKUP(A35, 'ANEXO A'!$A$2:$L$94, 2, FALSE), "Este Control")</f>
        <v/>
      </c>
      <c r="P35" s="107">
        <f>"Asegurar la correcta aplicación de: " &amp; IFERROR(VLOOKUP(A35, 'ANEXO A'!$A$2:$L$94, 2, FALSE), "Este Control") &amp; ". Objetivo central: Proteger la información."</f>
        <v/>
      </c>
      <c r="Q35" t="inlineStr">
        <is>
          <t>• Procedimiento de pago a proveedores (DOCUMENTOS HABILITANTES)
• Notificación de salida de cartera (INFORMACIÓN DE SOCIOS Y CLIENTES)
• Informe de análisis de viabilidad de castigo (DOCUMENTOS TÉCNICOS)
• Informe de pagos efectuados a operaciones castigadas y judiciales (DOCUMENTOS TÉCNICOS)
• Autorización de la activación de las cuentas de ahorro (DOCUMENTOS HABILITANTES)
• Formulario de condonación de intereses (DOCUMENTOS HABILITANTES)
• Informe de factibilidad de condonación de intereses (DOCUMENTOS TÉCNICOS)
• Autorización de condonación de intereses (DOCUMENTOS HABILITANTES)
• Equipos de computación del Jefe de Cobranza (INFORMACIÓN DE SOCIOS Y CLIENTES)
• Jefe de Cobranza (RECURSO HUMANO)
• Registros en el sistema de las acciones de cobranza (INFORMACIÓN DE SOCIOS Y CLIENTES)
• Autorización de cambio de estado a judicial (COMUNICACIÓN INTERNA)
• Documentos para el inicio de tramites judiciales (DOCUMENTOS TÉCNICOS)
• Acta entrega recepción de documentos (DOCUMENTOS HABILITANTES)
• Anexo de asignación de cartera abogados externos (INFORMACIÓN DE SOCIOS Y CLIENTES)
• Documentos habilitantes para la demanda (DOCUMENTOS HABILITANTES)</t>
        </is>
      </c>
      <c r="R35" t="inlineStr">
        <is>
          <t>NO</t>
        </is>
      </c>
      <c r="S35" t="inlineStr">
        <is>
          <t xml:space="preserve">11-GRE ,
12-GRE ,
13-GRE ,
14-GRE ,
15-GRE ,
16-GRE ,
17-GRE ,
18-GRE ,
19-GRE ,
20-GRE ,
21-GRE ,
22-GRE ,
23-GRE ,
24-GRE ,
25-GRE ,
26-GRE </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f>"• Establecer lineamientos para " &amp; IFERROR(VLOOKUP(A36, 'ANEXO A'!$A$2:$L$94, 2, FALSE), "Este Control") &amp; CHAR(10) &amp; "• Definir roles para el control " &amp; A36 &amp; CHAR(10) &amp; "• Revisar efectividad de " &amp; IFERROR(VLOOKUP(A36, 'ANEXO A'!$A$2:$L$94, 2, FALSE), "Este Control")</f>
        <v/>
      </c>
      <c r="P36" s="107">
        <f>"Asegurar la correcta aplicación de: " &amp; IFERROR(VLOOKUP(A36, 'ANEXO A'!$A$2:$L$94, 2, FALSE), "Este Control") &amp; ". Objetivo central: Proteger la información."</f>
        <v/>
      </c>
      <c r="Q36" t="inlineStr">
        <is>
          <t>• Registro de cartera asignada a abogados externos (INFORMACIÓN DE SOCIOS Y CLIENTES)
• Informe de Juicio Concluido sin Recuperación (DOCUMENTOS TÉCNICOS)
• Informe de análisis costo beneficio de adquisición del bien (DOCUMENTOS TÉCNICOS)
• Escritura de adjudicación del bien (INFORMACIÓN DE SOCIOS Y CLIENTES)
• Informe de sentencia emitida por el Juez en sentencia (DOCUMENTOS TÉCNICOS)
• Autorización de liquidación de saldos de deuda (DOCUMENTOS HABILITANTES)
• Comprobante de depósito/ transferencia (DOCUMENTOS HABILITANTES)
• Reporte de pagos en las operaciones crediticias (COMUNICACIÓN INTERNA)
• Aval Técnico de Recepción, Informe Peritajes y publicaciones y otros gastos judiciales (DOCUMENTOS HABILITANTES)
• Reporte de pagos en las operaciones crediticias (INFORMACIÓN DE SOCIOS Y CLIENTES)
• Informe de evaluación (DOCUMENTOS TÉCNICOS)
• Equipos de computación del Gerente Jurídico (INFORMACIÓN DE SOCIOS Y CLIENTES)
• Gerente Jurídico (RECURSO HUMANO)
• Planificación anual de SSO (DOCUMENTOS TÉCNICOS)
• Informe mensual de actividades de SSO (DOCUMENTOS TÉCNICOS)
• Matriz de identificación de riesgos laborales (DOCUMENTOS TÉCNICOS)</t>
        </is>
      </c>
      <c r="R36" t="inlineStr">
        <is>
          <t>NO</t>
        </is>
      </c>
      <c r="S36" t="inlineStr">
        <is>
          <t>27-GRE ,
28-GRE ,
29-GRE ,
30-GRE ,
31-GRE ,
32-GRE ,
33-GRE ,
34-GRE ,
35-GRE ,
36-GRE ,
37-GRE ,
38-GRE ,
39-GRE ,
1-GTH,
2-GTH,
3-GTH</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f>"• Establecer lineamientos para " &amp; IFERROR(VLOOKUP(A37, 'ANEXO A'!$A$2:$L$94, 2, FALSE), "Este Control") &amp; CHAR(10) &amp; "• Definir roles para el control " &amp; A37 &amp; CHAR(10) &amp; "• Revisar efectividad de " &amp; IFERROR(VLOOKUP(A37, 'ANEXO A'!$A$2:$L$94, 2, FALSE), "Este Control")</f>
        <v/>
      </c>
      <c r="P37" s="107">
        <f>"Asegurar la correcta aplicación de: " &amp; IFERROR(VLOOKUP(A37, 'ANEXO A'!$A$2:$L$94, 2, FALSE), "Este Control") &amp; ". Objetivo central: Proteger la información."</f>
        <v/>
      </c>
      <c r="Q37" t="inlineStr">
        <is>
          <t>• Plan de Mediciones y Evaluación de Riesgos de SSO (DOCUMENTOS TÉCNICOS)
• Informe de Mediciones y Evaluación de Riesgos de SSO (DOCUMENTOS TÉCNICOS)
• Plan de acción de acuerdo a resultados de mediciones (DOCUMENTOS TÉCNICOS)
• Acta entrega de elementos de ergonomía (DOCUMENTOS HABILITANTES)
• Artículos para publicación (COMUNICACIÓN INTERNA)
• Acta Entrega Política y Reglamento SSO (DOCUMENTOS HABILITANTES)
• Registro de asistencia (DOCUMENTOS HABILITANTES)
• Informe de capacitación (DOCUMENTOS TÉCNICOS)
• Bitácora de personal con inducción inicial (DOCUMENTOS HABILITANTES)
• Informe de Investigación de Incidentes y Accidentes de trabajo (DOCUMENTOS TÉCNICOS)
• Informe ampliado del accidente laboral (DOCUMENTOS TÉCNICOS)
• Sumilla de Resoluciones del Comté de SSO (DOCUMENTOS HABILITANTES)
• Certificado médico (OTROS)
• Registro diario de atención médica (OTROS)
• Inspecciones de SSO (DOCUMENTOS TÉCNICOS)
• Informe de inspecciones de SSO (DOCUMENTOS TÉCNICOS)</t>
        </is>
      </c>
      <c r="R37" t="inlineStr">
        <is>
          <t>NO</t>
        </is>
      </c>
      <c r="S37" t="inlineStr">
        <is>
          <t>4-GTH,
5-GTH,
6-GTH,
7-GTH,
8-GTH,
9-GTH,
10-GTH,
11-GTH,
12-GTH,
13-GTH,
14-GTH,
15-GTH,
16-GTH,
17-GTH,
18-GTH,
19-GTH</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f>"• Establecer lineamientos para " &amp; IFERROR(VLOOKUP(A38, 'ANEXO A'!$A$2:$L$94, 2, FALSE), "Este Control") &amp; CHAR(10) &amp; "• Definir roles para el control " &amp; A38 &amp; CHAR(10) &amp; "• Revisar efectividad de " &amp; IFERROR(VLOOKUP(A38, 'ANEXO A'!$A$2:$L$94, 2, FALSE), "Este Control")</f>
        <v/>
      </c>
      <c r="P38" s="107">
        <f>"Asegurar la correcta aplicación de: " &amp; IFERROR(VLOOKUP(A38, 'ANEXO A'!$A$2:$L$94, 2, FALSE), "Este Control") &amp; ". Objetivo central: Proteger la información."</f>
        <v/>
      </c>
      <c r="Q38" t="inlineStr">
        <is>
          <t>• Check list de dispensario médico (DOCUMENTOS TÉCNICOS)
• Check list de batería sanitaria (DOCUMENTOS TÉCNICOS)
• Check list de puntos de hidratación (DOCUMENTOS TÉCNICOS)
• Check list de comedores (DOCUMENTOS TÉCNICOS)
• Inspección y control de EPP (DOCUMENTOS TÉCNICOS)
• Acta entrega recepción de EPP (DOCUMENTOS HABILITANTES)
• Informe de EPP (DOCUMENTOS TÉCNICOS)
• Matriz de EPPs (DOCUMENTOS TÉCNICOS)
• Plan de emergencia (DOCUMENTOS TÉCNICOS)
• Guion del Simulacro (DOCUMENTOS TÉCNICOS)
• Evaluación de Simulacros (DOCUMENTOS TÉCNICOS)
• Informe de Simulacro (DOCUMENTOS TÉCNICOS)
• Evaluación pre ocupacional (DOCUMENTOS TÉCNICOS)
• Certificado de aptitud (DOCUMENTOS TÉCNICOS)
• Cuestionario de drogas y alcohol en espacios laborales (DOCUMENTOS TÉCNICOS)
• Registro diario de atención médica (DOCUMENTOS TÉCNICOS)</t>
        </is>
      </c>
      <c r="R38" t="inlineStr">
        <is>
          <t>NO</t>
        </is>
      </c>
      <c r="S38" t="inlineStr">
        <is>
          <t>20-GTH,
21-GTH,
22-GTH,
23-GTH,
24-GTH,
25-GTH,
26-GTH,
27-GTH,
28-GTH,
29-GTH,
30-GTH,
31-GTH,
32-GTH,
33-GTH,
34-GTH,
35-GTH</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f>"• Establecer lineamientos para " &amp; IFERROR(VLOOKUP(A39, 'ANEXO A'!$A$2:$L$94, 2, FALSE), "Este Control") &amp; CHAR(10) &amp; "• Definir roles para el control " &amp; A39 &amp; CHAR(10) &amp; "• Revisar efectividad de " &amp; IFERROR(VLOOKUP(A39, 'ANEXO A'!$A$2:$L$94, 2, FALSE), "Este Control")</f>
        <v/>
      </c>
      <c r="P39" s="107">
        <f>"Asegurar la correcta aplicación de: " &amp; IFERROR(VLOOKUP(A39, 'ANEXO A'!$A$2:$L$94, 2, FALSE), "Este Control") &amp; ". Objetivo central: Proteger la información."</f>
        <v/>
      </c>
      <c r="Q39" t="inlineStr">
        <is>
          <t>• Matriz de Grupos Prioritarios (INFORMACIÓN DE SOCIOS Y CLIENTES)
• Evaluación de reintegro (DOCUMENTOS TÉCNICOS)
• Evaluación médica de retiro (DOCUMENTOS TÉCNICOS)
• Registro de evolución del paciente (DOCUMENTOS TÉCNICOS)
• Registro de entrega de medicamentos (DOCUMENTOS TÉCNICOS)
• Matriz de medicamentos e insumos consultorio médico (DOCUMENTOS TÉCNICOS)
• Reporte de aviso de enfermedad ocupacional (DOCUMENTOS TÉCNICOS)
• Sumilla de resoluciones (DOCUMENTOS HABILITANTES)
• Calificación de enfermedad ocupacional (DOCUMENTOS TÉCNICOS)
• Notificación de estado de salud (COMUNICACIÓN INTERNA)
• Registro de recolección de desechos del consultorio médico (DOCUMENTOS TÉCNICOS)
• Carta de compromiso de sujeción al tratamiento (DOCUMENTOS TÉCNICOS)
• Acuerdo para cancelar la nómina a los familiares del trabajador rehabilitado. (DOCUMENTOS TÉCNICOS)
• Registro de control de uso de Lactario (COMUNICACIÓN INTERNA)
• Registro de inmunizaciones (DOCUMENTOS TÉCNICOS)
• Equipos de computación de Técnico de SSO (HARDWARE)</t>
        </is>
      </c>
      <c r="R39" t="inlineStr">
        <is>
          <t>NO</t>
        </is>
      </c>
      <c r="S39" t="inlineStr">
        <is>
          <t>36-GTH,
37-GTH,
38-GTH,
39-GTH,
40-GTH,
41-GTH,
42-GTH,
43-GTH,
44-GTH,
45-GTH,
46-GTH,
47-GTH,
48-GTH,
49-GTH,
50-GTH,
51-GTH</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f>"• Establecer lineamientos para " &amp; IFERROR(VLOOKUP(A40, 'ANEXO A'!$A$2:$L$94, 2, FALSE), "Este Control") &amp; CHAR(10) &amp; "• Definir roles para el control " &amp; A40 &amp; CHAR(10) &amp; "• Revisar efectividad de " &amp; IFERROR(VLOOKUP(A40, 'ANEXO A'!$A$2:$L$94, 2, FALSE), "Este Control")</f>
        <v/>
      </c>
      <c r="P40" s="107">
        <f>"Asegurar la correcta aplicación de: " &amp; IFERROR(VLOOKUP(A40, 'ANEXO A'!$A$2:$L$94, 2, FALSE), "Este Control") &amp; ". Objetivo central: Proteger la información."</f>
        <v/>
      </c>
      <c r="Q40" t="inlineStr">
        <is>
          <t>• Técnico de SSO (RECURSO HUMANO)
• Informe de capacidad operativa (DOCUMENTOS TÉCNICOS)
• Solicitud de personal (DOCUMENTOS TÉCNICOS)
• Presupuesto de gasto de personal/Planificación de personal (DOCUMENTOS TÉCNICOS)
• Organigrama posicional y estructural (DOCUMENTOS HABILITANTES)
• Certificación de aprobación de organigrama (DOCUMENTOS HABILITANTES)
• Certificación de aprobación del manual de funciones (DOCUMENTOS HABILITANTES)
• Manual de funciones (DOCUMENTOS TÉCNICOS)
• Actas de resoluciones (DOCUMENTOS HABILITANTES)
• Informe de valoración de cargos / Propuesta de niveles salariales (DOCUMENTOS TÉCNICOS)
• Certificación de aprobación (DOCUMENTOS HABILITANTES)
• Manual de funciones (DOCUMENTOS TÉCNICOS)
• Plan de evaluación de desempeño (DOCUMENTOS TÉCNICOS)
• Evaluaciones de desempeño (DOCUMENTOS TÉCNICOS)
• Informe de evaluación de desempeño (DOCUMENTOS TÉCNICOS)
• Plan de formación y desarrollo (DOCUMENTOS TÉCNICOS)</t>
        </is>
      </c>
      <c r="R40" t="inlineStr">
        <is>
          <t>NO</t>
        </is>
      </c>
      <c r="S40" t="inlineStr">
        <is>
          <t>52-GTH,
53-GTH,
54-GTH,
55-GTH,
56-GTH,
57-GTH,
58-GTH,
59-GTH,
60-GTH,
61-GTH,
62-GTH,
63-GTH,
64-GTH,
65-GTH,
66-GTH,
67-GTH</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f>"• Establecer lineamientos para " &amp; IFERROR(VLOOKUP(A41, 'ANEXO A'!$A$2:$L$94, 2, FALSE), "Este Control") &amp; CHAR(10) &amp; "• Definir roles para el control " &amp; A41 &amp; CHAR(10) &amp; "• Revisar efectividad de " &amp; IFERROR(VLOOKUP(A41, 'ANEXO A'!$A$2:$L$94, 2, FALSE), "Este Control")</f>
        <v/>
      </c>
      <c r="P41" s="107">
        <f>"Asegurar la correcta aplicación de: " &amp; IFERROR(VLOOKUP(A41, 'ANEXO A'!$A$2:$L$94, 2, FALSE), "Este Control") &amp; ". Objetivo central: Proteger la información."</f>
        <v/>
      </c>
      <c r="Q41" t="inlineStr">
        <is>
          <t>• Plan de capacitación anual (DOCUMENTOS TÉCNICOS)
• Certificación plan de capacitación (DOCUMENTOS HABILITANTES)
• Formulario de evaluaciones del evento de capacitación (COMUNICACIÓN INTERNA)
• File de capacitación (DOCUMENTOS TÉCNICOS)
• Matriz de seguimiento de plan de capacitación anual (DOCUMENTOS TÉCNICOS)
• Informe para la promoción de personal por el área requirente (DOCUMENTOS TÉCNICOS)
• Adenda al contrato de trabajo (DOCUMENTOS HABILITANTES)
• Registro de remplazo (DOCUMENTOS HABILITANTES)
• Solicitud de rotación del personal / Acta entrega recepción del cargo (COMUNICACIÓN INTERNA)
• Registros de rol de pagos (DOCUMENTOS HABILITANTES)
• Roles de pago y reportes de sustento (DOCUMENTOS HABILITANTES)
• Reporte de impuesto a la renta en relación de dependencia (DOCUMENTOS TÉCNICOS)
• Solicitud de acreditación de Fondos de Terceros, Jubilaciones Patronales, débitos Gerencia, SUPA. (NORMATIVA INTERNA)
• Formulario de solicitud de viáticos (DOCUMENTOS TÉCNICOS)
• Comprobantes de venta autorizados (DOCUMENTOS TÉCNICOS)
• Comprobantes de depósito (DOCUMENTOS HABILITANTES)</t>
        </is>
      </c>
      <c r="R41" t="inlineStr">
        <is>
          <t>NO</t>
        </is>
      </c>
      <c r="S41" t="inlineStr">
        <is>
          <t>68-GTH,
69-GTH,
70-GTH,
71-GTH,
72-GTH,
73-GTH,
74-GTH,
75-GTH,
76-GTH,
77-GTH,
78-GTH,
79-GTH,
80-GTH,
81-GTH,
82-GTH,
83-GTH</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f>"• Establecer lineamientos para " &amp; IFERROR(VLOOKUP(A42, 'ANEXO A'!$A$2:$L$94, 2, FALSE), "Este Control") &amp; CHAR(10) &amp; "• Definir roles para el control " &amp; A42 &amp; CHAR(10) &amp; "• Revisar efectividad de " &amp; IFERROR(VLOOKUP(A42, 'ANEXO A'!$A$2:$L$94, 2, FALSE), "Este Control")</f>
        <v/>
      </c>
      <c r="P42" s="107">
        <f>"Asegurar la correcta aplicación de: " &amp; IFERROR(VLOOKUP(A42, 'ANEXO A'!$A$2:$L$94, 2, FALSE), "Este Control") &amp; ". Objetivo central: Proteger la información."</f>
        <v/>
      </c>
      <c r="Q42" t="inlineStr">
        <is>
          <t>• Solicitud de anticipo de sueldo (DOCUMENTOS TÉCNICOS)
• Nota de crédito por anticipo de sueldo (DOCUMENTOS HABILITANTES)
• Registro de anticipo de sueldo (DOCUMENTOS HABILITANTES)
• Rol de participación de utilidades (DOCUMENTOS TÉCNICOS)
• Informe individual sobre el pago de utilidades (DOCUMENTOS TÉCNICOS)
• Propuesta de beneficios (DOCUMENTOS TÉCNICOS)
• Certificación del Consejo de Administración (DOCUMENTOS HABILITANTES)
• Rol de decimotercero o decimocuarto sueldo (DOCUMENTOS HABILITANTES)
• Informe individual sobre el pago de decimotercer o decimocuarta remuneración (DOCUMENTOS TÉCNICOS)
• Registro digital del permiso (DOCUMENTOS TÉCNICOS)
• Reporte de asistencias (COMUNICACIÓN INTERNA)
• Reporte de vacaciones (COMUNICACIÓN INTERNA)
• Informe de salida de vacaciones del personal (COMUNICACIÓN INTERNA)
• Análisis para la prevención de lavado de activos de los trabajadores (DOCUMENTOS TÉCNICOS)
• Encuestas (COMUNICACIÓN INTERNA)
• Informe de resultados del clima laboral (DOCUMENTOS TÉCNICOS)</t>
        </is>
      </c>
      <c r="R42" t="inlineStr">
        <is>
          <t>NO</t>
        </is>
      </c>
      <c r="S42" t="inlineStr">
        <is>
          <t>84-GTH,
85-GTH,
86-GTH,
87-GTH,
88-GTH,
89-GTH,
90-GTH,
91-GTH,
92-GTH,
93-GTH,
94-GTH,
95-GTH,
96-GTH,
97-GTH,
98-GTH,
99-GTH</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f>"• Establecer lineamientos para " &amp; IFERROR(VLOOKUP(A43, 'ANEXO A'!$A$2:$L$94, 2, FALSE), "Este Control") &amp; CHAR(10) &amp; "• Definir roles para el control " &amp; A43 &amp; CHAR(10) &amp; "• Revisar efectividad de " &amp; IFERROR(VLOOKUP(A43, 'ANEXO A'!$A$2:$L$94, 2, FALSE), "Este Control")</f>
        <v/>
      </c>
      <c r="P43" s="107">
        <f>"Asegurar la correcta aplicación de: " &amp; IFERROR(VLOOKUP(A43, 'ANEXO A'!$A$2:$L$94, 2, FALSE), "Este Control") &amp; ". Objetivo central: Proteger la información."</f>
        <v/>
      </c>
      <c r="Q43" t="inlineStr">
        <is>
          <t>• Formulario 107 (DOCUMENTOS TÉCNICOS)
• Encuestas (COMUNICACIÓN INTERNA)
• Informes de resultados de las diferentes fases de modelamiento de cultura laboral (DOCUMENTOS TÉCNICOS)
• Plan estratégico y operativo de modelamiento de cultura laboral (DOCUMENTOS TÉCNICOS)
• Hoja de vida de los aspirantes (DOCUMENTOS TÉCNICOS)
• Prueba técnica (DOCUMENTOS TÉCNICOS)
• Formulario de evaluación de entrevistas / Assessment Center (COMUNICACIÓN INTERNA)
• Autorización de central de riesgos (DOCUMENTOS TÉCNICOS)
• Formulario de inhabilitados (DOCUMENTOS TÉCNICOS)
• Pruebas psicométricas (DOCUMENTOS TÉCNICOS)
• Matriz de evaluación de resultados (DOCUMENTOS TÉCNICOS)
• Informe del proceso de selección (COMUNICACIÓN INTERNA)
• Documentos habilitantes del personal seleccionado (DOCUMENTOS TÉCNICOS)
• Hoja de vida de los aspirantes (DOCUMENTOS TÉCNICOS)
• Formulario de evaluación de entrevistas (DOCUMENTOS TÉCNICOS)
• Autorización de central de riesgos (DOCUMENTOS TÉCNICOS)</t>
        </is>
      </c>
      <c r="R43" t="inlineStr">
        <is>
          <t>NO</t>
        </is>
      </c>
      <c r="S43" t="inlineStr">
        <is>
          <t>100-GTH,
101-GTH,
102-GTH,
103-GTH,
104-GTH,
105-GTH,
106-GTH,
107-GTH,
108-GTH,
109-GTH,
110-GTH,
111-GTH,
112-GTH,
113-GTH,
114-GTH,
115-GTH</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f>"• Establecer lineamientos para " &amp; IFERROR(VLOOKUP(A44, 'ANEXO A'!$A$2:$L$94, 2, FALSE), "Este Control") &amp; CHAR(10) &amp; "• Definir roles para el control " &amp; A44 &amp; CHAR(10) &amp; "• Revisar efectividad de " &amp; IFERROR(VLOOKUP(A44, 'ANEXO A'!$A$2:$L$94, 2, FALSE), "Este Control")</f>
        <v/>
      </c>
      <c r="P44" s="107">
        <f>"Asegurar la correcta aplicación de: " &amp; IFERROR(VLOOKUP(A44, 'ANEXO A'!$A$2:$L$94, 2, FALSE), "Este Control") &amp; ". Objetivo central: Proteger la información."</f>
        <v/>
      </c>
      <c r="Q44" t="inlineStr">
        <is>
          <t>• Formulario de inhabilitados (COMUNICACIÓN INTERNA)
• Matriz de evaluación de resultados (DOCUMENTOS TÉCNICOS)
• Informe del proceso de selección (DOCUMENTOS TÉCNICOS)
• Documentos habilitantes del personal seleccionado (DOCUMENTOS TÉCNICOS)
• Contrato laboral (DOCUMENTOS HABILITANTES)
• Lista de verificación de documentos (DOCUMENTOS HABILITANTES)
• Solicitud de tarjeta de acceso físico (DOCUMENTOS HABILITANTES)
• Documentos de administrador establecidos en le lista de verificación del file (DOCUMENTOS HABILITANTES)
• Formulario de inducción y evaluación (DOCUMENTOS TÉCNICOS)
• Formulario de entrenamiento a cajeros (DOCUMENTOS TÉCNICOS)
• Acta entrega recepción (DOCUMENTOS TÉCNICOS)
• Acta de finiquito (DOCUMENTOS TÉCNICOS)
• Aviso de salida (DOCUMENTOS TÉCNICOS)
• Formulario 107 (DOCUMENTOS TÉCNICOS)
• Acta entrega recepción de bienes (DOCUMENTOS TÉCNICOS)
• Ficha socioeconómica (DOCUMENTOS TÉCNICOS)</t>
        </is>
      </c>
      <c r="R44" t="inlineStr">
        <is>
          <t>NO</t>
        </is>
      </c>
      <c r="S44" t="inlineStr">
        <is>
          <t>116-GTH,
117-GTH,
118-GTH,
119-GTH,
120-GTH,
121-GTH,
122-GTH,
123-GTH,
124-GTH,
125-GTH,
126-GTH,
127-GTH,
128-GTH,
129-GTH,
130-GTH,
131-GTH</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f>"• Establecer lineamientos para " &amp; IFERROR(VLOOKUP(A45, 'ANEXO A'!$A$2:$L$94, 2, FALSE), "Este Control") &amp; CHAR(10) &amp; "• Definir roles para el control " &amp; A45 &amp; CHAR(10) &amp; "• Revisar efectividad de " &amp; IFERROR(VLOOKUP(A45, 'ANEXO A'!$A$2:$L$94, 2, FALSE), "Este Control")</f>
        <v/>
      </c>
      <c r="P45" s="107">
        <f>"Asegurar la correcta aplicación de: " &amp; IFERROR(VLOOKUP(A45, 'ANEXO A'!$A$2:$L$94, 2, FALSE), "Este Control") &amp; ". Objetivo central: Proteger la información."</f>
        <v/>
      </c>
      <c r="Q45" t="inlineStr">
        <is>
          <t>• Cronograma de visitas domiciliarias (COMUNICACIÓN INTERNA)
• Informe social (DOCUMENTOS TÉCNICOS)
• Ficha socioeconómica (DOCUMENTOS TÉCNICOS)
• Informe social (DOCUMENTOS TÉCNICOS)
• Informe social / ficha de visita domiciliaria (DOCUMENTOS TÉCNICOS)
• Informe social (DOCUMENTOS TÉCNICOS)
• Proyecto de bienestar social (DOCUMENTOS TÉCNICOS)
• Informe de resultados del proyecto (DOCUMENTOS TÉCNICOS)
• Solicitud de adquisición (DOCUMENTOS TÉCNICOS)
• Registro de entrega de presentes (DOCUMENTOS TÉCNICOS)
• Equipos de computación  (HARDWARE)
• Gerente de Talento Humano (RECURSO HUMANO)
• Analistas de Talento Humano (RECURSO HUMANO)
• Plan estratégico de TI (DOCUMENTOS TÉCNICOS)
• Plan de infraestructura tecnológica (DOCUMENTOS TÉCNICOS)
• Catálogo de servicios (DOCUMENTOS TÉCNICOS)</t>
        </is>
      </c>
      <c r="R45" t="inlineStr">
        <is>
          <t>NO</t>
        </is>
      </c>
      <c r="S45" t="inlineStr">
        <is>
          <t>132-GTH,
133-GTH,
134-GTH,
135-GTH,
136-GTH,
137-GTH,
138-GTH,
139-GTH,
140-GTH,
141-GTH,
142-GTH,
143-GTH,
144-GTH,
1-GTI,
2-GTI,
3-GTI</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f>"• Establecer lineamientos para " &amp; IFERROR(VLOOKUP(A46, 'ANEXO A'!$A$2:$L$94, 2, FALSE), "Este Control") &amp; CHAR(10) &amp; "• Definir roles para el control " &amp; A46 &amp; CHAR(10) &amp; "• Revisar efectividad de " &amp; IFERROR(VLOOKUP(A46, 'ANEXO A'!$A$2:$L$94, 2, FALSE), "Este Control")</f>
        <v/>
      </c>
      <c r="P46" s="107">
        <f>"Asegurar la correcta aplicación de: " &amp; IFERROR(VLOOKUP(A46, 'ANEXO A'!$A$2:$L$94, 2, FALSE), "Este Control") &amp; ". Objetivo central: Proteger la información."</f>
        <v/>
      </c>
      <c r="Q46" t="inlineStr">
        <is>
          <t>• Modelo de gestión de incidentes y peticiones (DOCUMENTOS TÉCNICOS)
• Lista de verificación de configuración de equipos (DOCUMENTOS TÉCNICOS)
• Perfil de hardware y software de usuario (DOCUMENTOS TÉCNICOS)
• Acuerdos de nivel de servicio SLAs (DOCUMENTOS TÉCNICOS)
• Sumilla de resoluciones (DOCUMENTOS TÉCNICOS)
• Informe trimestral (DOCUMENTOS TÉCNICOS)
• Informe de gestión trimestral (DOCUMENTOS TÉCNICOS)
• Requerimiento anual de compras / Solicitud de adquisiciones (DOCUMENTOS TÉCNICOS)
• Catálogo de proveedores (DOCUMENTOS TÉCNICOS)
• Informe de evaluación de proveedores/Control de contratos (DOCUMENTOS TÉCNICOS)
• Check List Fin Día / Fin Mes (DOCUMENTOS TÉCNICOS)
• Notificación de procesamiento batch (COMUNICACIÓN INTERNA)
• Respaldo de información (OTROS)
• Requerimiento de Service desk (OTROS)
• Formulario de pruebas de aceptación de usuario (DOCUMENTOS TÉCNICOS)
• Matriz de incidentes (DOCUMENTOS TÉCNICOS)</t>
        </is>
      </c>
      <c r="R46" t="inlineStr">
        <is>
          <t>NO</t>
        </is>
      </c>
      <c r="S46" t="inlineStr">
        <is>
          <t>4-GTI,
5-GTI,
6-GTI,
7-GTI,
8-GTI,
9-GTI,
10-GTI,
11-GTI,
12-GTI,
13-GTI,
14-GTI,
15-GTI,
16-GTI,
17-GTI,
18-GTI,
19-GTI</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f>"• Establecer lineamientos para " &amp; IFERROR(VLOOKUP(A47, 'ANEXO A'!$A$2:$L$94, 2, FALSE), "Este Control") &amp; CHAR(10) &amp; "• Definir roles para el control " &amp; A47 &amp; CHAR(10) &amp; "• Revisar efectividad de " &amp; IFERROR(VLOOKUP(A47, 'ANEXO A'!$A$2:$L$94, 2, FALSE), "Este Control")</f>
        <v/>
      </c>
      <c r="P47" s="107">
        <f>"Asegurar la correcta aplicación de: " &amp; IFERROR(VLOOKUP(A47, 'ANEXO A'!$A$2:$L$94, 2, FALSE), "Este Control") &amp; ". Objetivo central: Proteger la información."</f>
        <v/>
      </c>
      <c r="Q47" t="inlineStr">
        <is>
          <t>• Reporte de incidentes (DOCUMENTOS TÉCNICOS)
• Registro control de respaldos (DOCUMENTOS TÉCNICOS)
• Formulario de control de respaldos (DOCUMENTOS TÉCNICOS)
• Reportes de monitoreo de la herramienta de software (DOCUMENTOS TÉCNICOS)
• Plan de infraestructura de TI nuevo (DOCUMENTOS TÉCNICOS)
• Matriz de incidentes (DOCUMENTOS TÉCNICOS)
• Plan de cambios (DOCUMENTOS TÉCNICOS)
• Informe mensual (DOCUMENTOS TÉCNICOS)
• Registro de cambios (DOCUMENTOS TÉCNICOS)
• Requerimiento de Service desk (DOCUMENTOS TÉCNICOS)
• Lista de chequeo de configuración de equipos/Perfil de software de usuario (DOCUMENTOS TÉCNICOS)
• Inventario de hardware / software (DOCUMENTOS TÉCNICOS)
• Informe de mantenimiento de equipos (DOCUMENTOS TÉCNICOS)
• Reportes (DOCUMENTOS TÉCNICOS)
• Inventario de software (DOCUMENTOS TÉCNICOS)
• Informe de gestión (DOCUMENTOS TÉCNICOS)</t>
        </is>
      </c>
      <c r="R47" t="inlineStr">
        <is>
          <t>NO</t>
        </is>
      </c>
      <c r="S47" t="inlineStr">
        <is>
          <t>20-GTI,
21-GTI,
22-GTI,
23-GTI,
24-GTI,
25-GTI,
26-GTI,
27-GTI,
28-GTI,
29-GTI,
30-GTI,
31-GTI,
32-GTI,
33-GTI,
34-GTI,
35-GTI</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f>"• Establecer lineamientos para " &amp; IFERROR(VLOOKUP(A48, 'ANEXO A'!$A$2:$L$94, 2, FALSE), "Este Control") &amp; CHAR(10) &amp; "• Definir roles para el control " &amp; A48 &amp; CHAR(10) &amp; "• Revisar efectividad de " &amp; IFERROR(VLOOKUP(A48, 'ANEXO A'!$A$2:$L$94, 2, FALSE), "Este Control")</f>
        <v/>
      </c>
      <c r="P48" s="107">
        <f>"Asegurar la correcta aplicación de: " &amp; IFERROR(VLOOKUP(A48, 'ANEXO A'!$A$2:$L$94, 2, FALSE), "Este Control") &amp; ". Objetivo central: Proteger la información."</f>
        <v/>
      </c>
      <c r="Q48" t="inlineStr">
        <is>
          <t>• Informe de gestión (DOCUMENTOS TÉCNICOS)
• Requerimiento de Service desk (DOCUMENTOS TÉCNICOS)
• Informe de gestión (DOCUMENTOS TÉCNICOS)
• Requerimiento de Service desk (DOCUMENTOS TÉCNICOS)
• Informe de gestión (DOCUMENTOS TÉCNICOS)
• Informe de gestión (DOCUMENTOS TÉCNICOS)
• Informe de gestión (DOCUMENTOS TÉCNICOS)
• Informe de gestión (DOCUMENTOS TÉCNICOS)
• Informe de gestión (DOCUMENTOS TÉCNICOS)
• Informe de gestión (DOCUMENTOS TÉCNICOS)
• Informe de gestión (DOCUMENTOS TÉCNICOS)
• Formulario de requerimiento legalizado (DOCUMENTOS TÉCNICOS)
• Diagramas de diseño del software (DOCUMENTOS TÉCNICOS)
• Diccionario de datos (DOCUMENTOS TÉCNICOS)
• Formulario de pruebas de aceptación (DOCUMENTOS TÉCNICOS)
• Formulario de paso a producción (DOCUMENTOS TÉCNICOS)</t>
        </is>
      </c>
      <c r="R48" t="inlineStr">
        <is>
          <t>NO</t>
        </is>
      </c>
      <c r="S48" t="inlineStr">
        <is>
          <t>36-GTI,
37-GTI,
38-GTI,
39-GTI,
40-GTI,
41-GTI,
42-GTI,
43-GTI,
44-GTI,
45-GTI,
46-GTI,
47-GTI,
48-GTI,
49-GTI,
50-GTI,
51-GTI</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f>"• Establecer lineamientos para " &amp; IFERROR(VLOOKUP(A49, 'ANEXO A'!$A$2:$L$94, 2, FALSE), "Este Control") &amp; CHAR(10) &amp; "• Definir roles para el control " &amp; A49 &amp; CHAR(10) &amp; "• Revisar efectividad de " &amp; IFERROR(VLOOKUP(A49, 'ANEXO A'!$A$2:$L$94, 2, FALSE), "Este Control")</f>
        <v/>
      </c>
      <c r="P49" s="107">
        <f>"Asegurar la correcta aplicación de: " &amp; IFERROR(VLOOKUP(A49, 'ANEXO A'!$A$2:$L$94, 2, FALSE), "Este Control") &amp; ". Objetivo central: Proteger la información."</f>
        <v/>
      </c>
      <c r="Q49" t="inlineStr">
        <is>
          <t>• Manual técnico del software (DOCUMENTOS TÉCNICOS)
• Manual de usuario (DOCUMENTOS TÉCNICOS)
• Paquete de actualizaciones (DOCUMENTOS TÉCNICOS)
• Formulario de paso a producción (DOCUMENTOS TÉCNICOS)
• Formulario de pruebas (DOCUMENTOS TÉCNICOS)
• Manual técnico del software (DOCUMENTOS TÉCNICOS)
• Diccionario de datos (DOCUMENTOS TÉCNICOS)
• Paquete de actualizaciones (DOCUMENTOS TÉCNICOS)
• Formulario de respaldos (DOCUMENTOS TÉCNICOS)
• Formulario de baja de software (DOCUMENTOS TÉCNICOS)
• Resolución del Comité Informático (COMUNICACIÓN INTERNA)
• Home Banking (SOFTWARE)
• Cooperativa Virtual (HARDWARE)
• Sendmail (SOFTWARE)
• correo electronico (HARDWARE)
• Check Point (SOFTWARE)</t>
        </is>
      </c>
      <c r="R49" t="inlineStr">
        <is>
          <t>NO</t>
        </is>
      </c>
      <c r="S49" t="inlineStr">
        <is>
          <t>52-GTI,
53-GTI,
54-GTI,
55-GTI,
56-GTI,
57-GTI,
58-GTI,
59-GTI,
60-GTI,
61-GTI,
62-GTI,
63-GTI,
64-GTI,
65-GTI,
66-GTI,
67-GTI</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f>"• Establecer lineamientos para " &amp; IFERROR(VLOOKUP(A50, 'ANEXO A'!$A$2:$L$94, 2, FALSE), "Este Control") &amp; CHAR(10) &amp; "• Definir roles para el control " &amp; A50 &amp; CHAR(10) &amp; "• Revisar efectividad de " &amp; IFERROR(VLOOKUP(A50, 'ANEXO A'!$A$2:$L$94, 2, FALSE), "Este Control")</f>
        <v/>
      </c>
      <c r="P50" s="107">
        <f>"Asegurar la correcta aplicación de: " &amp; IFERROR(VLOOKUP(A50, 'ANEXO A'!$A$2:$L$94, 2, FALSE), "Este Control") &amp; ". Objetivo central: Proteger la información."</f>
        <v/>
      </c>
      <c r="Q50" t="inlineStr">
        <is>
          <t>• FortiAnalyzer (SOFTWARE)
• UTM Fortinet (SOFTWARE)
• Eset Endpoint Security (SOFTWARE)
• FortiMail (SOFTWARE)
• Informe de gestión (DOCUMENTOS TÉCNICOS)
• Consola ESET (HARDWARE)
• Consola AntiSpam (HARDWARE)
• Consola Firewall (HARDWARE)
• Firewall (HARDWARE)
• Consola FortiAnalizer (HARDWARE)
• FortiGate (HARDWARE)
• Veeam Backup (HARDWARE)
• Administrador de Seguridad Informática (RECURSO HUMANO)
• Administrador de Base de Datos (RECURSO HUMANO)
• Pandora FMS  (SOFTWARE)
• Isabel / pbx-atuntaqui (HARDWARE)</t>
        </is>
      </c>
      <c r="R50" t="inlineStr">
        <is>
          <t>NO</t>
        </is>
      </c>
      <c r="S50" t="inlineStr">
        <is>
          <t>68-GTI,
69-GTI,
70-GTI,
71-GTI,
72-GTI,
73-GTI,
74-GTI,
75-GTI,
76-GTI,
77-GTI,
78-GTI,
79-GTI,
80-GTI,
81-GTI,
82-GTI,
83-GTI</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f>"• Establecer lineamientos para " &amp; IFERROR(VLOOKUP(A51, 'ANEXO A'!$A$2:$L$94, 2, FALSE), "Este Control") &amp; CHAR(10) &amp; "• Definir roles para el control " &amp; A51 &amp; CHAR(10) &amp; "• Revisar efectividad de " &amp; IFERROR(VLOOKUP(A51, 'ANEXO A'!$A$2:$L$94, 2, FALSE), "Este Control")</f>
        <v/>
      </c>
      <c r="P51" s="107">
        <f>"Asegurar la correcta aplicación de: " &amp; IFERROR(VLOOKUP(A51, 'ANEXO A'!$A$2:$L$94, 2, FALSE), "Este Control") &amp; ". Objetivo central: Proteger la información."</f>
        <v/>
      </c>
      <c r="Q51" t="inlineStr">
        <is>
          <t>• Isabel / pbx-ibarra (HARDWARE)
• Ruteador CISCO 1900 Series (02) (REDES)
• Ruteador CISCO 1900 Series (03) (REDES)
• Ruteador CISCO 1900 Series (04) (REDES)
• ATUNPRODU (HARDWARE)
• Ruteador CISCO 880 Series (05) (REDES)
• Ruteador CISCO 1800 Series (06) (REDES)
• Ruteador CISCO 1800 Series (07) (REDES)
• Ruteador CISCO 1800 Series (09) (REDES)
• Ruteador CISCO 1800 Series (08) (REDES)
• Ruteador CISCO 1800 Series (SERVIPAGOS) (REDES)
• Base de datos SYBASE (SERVICIOS)
• STANDBY (HARDWARE)
• Sistema Financiero FIT (SOFTWARE)
• Sistema de Alertas (SERVICIOS)
• SVR Dominio VMSRVHPRECEO
 (HARDWARE)</t>
        </is>
      </c>
      <c r="R51" t="inlineStr">
        <is>
          <t>NO</t>
        </is>
      </c>
      <c r="S51" t="inlineStr">
        <is>
          <t>84-GTI,
85-GTI,
86-GTI,
87-GTI,
88-GTI,
89-GTI,
90-GTI,
91-GTI,
92-GTI,
93-GTI,
94-GTI,
95-GTI,
96-GTI,
97-GTI,
98-GTI,
99-GTI</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f>"• Establecer lineamientos para " &amp; IFERROR(VLOOKUP(A52, 'ANEXO A'!$A$2:$L$94, 2, FALSE), "Este Control") &amp; CHAR(10) &amp; "• Definir roles para el control " &amp; A52 &amp; CHAR(10) &amp; "• Revisar efectividad de " &amp; IFERROR(VLOOKUP(A52, 'ANEXO A'!$A$2:$L$94, 2, FALSE), "Este Control")</f>
        <v/>
      </c>
      <c r="P52" s="107">
        <f>"Asegurar la correcta aplicación de: " &amp; IFERROR(VLOOKUP(A52, 'ANEXO A'!$A$2:$L$94, 2, FALSE), "Este Control") &amp; ". Objetivo central: Proteger la información."</f>
        <v/>
      </c>
      <c r="Q52" t="inlineStr">
        <is>
          <t>• SVR Dominio VMHPCARAPUNGO
 (HARDWARE)
• VB Manual de fin de día (OTROS)
• VB Manual de fin de mes (OTROS)
• Enlaces de Comunicación (REDES)
• SVR Dominio VMSRVATUNTAQUI
 (HARDWARE)
• SVR Dominio NAS-HPE
 (HARDWARE)
• SVR Dominio VMSRVHPOTAVALO
 (HARDWARE)
• SVR Dominio HPPIMAMPIRO
 (HARDWARE)
• SVR Dominio VMHPCOTACA
 (HARDWARE)
• SVR Dominio VMSRVHPAIBARRA
 (HARDWARE)
• SVR Dominio VMSRVHPQUITO
 (HARDWARE)
• SVR Dominio VMSRVHPAMBATO
 (HARDWARE)
• SVR Dominio VMSRVHPCAYAMBE
 (HARDWARE)
• SRVIVR (HARDWARE)
• SWITCH CAJEROS (HARDWARE)
• SERVIDOR VM ESXI (Sistemas Externos, WS/APP Públicos) (HARDWARE)</t>
        </is>
      </c>
      <c r="R52" t="inlineStr">
        <is>
          <t>NO</t>
        </is>
      </c>
      <c r="S52" t="inlineStr">
        <is>
          <t>100-GTI,
101-GTI,
102-GTI,
103-GTI,
104-GTI,
105-GTI,
106-GTI,
107-GTI,
108-GTI,
109-GTI,
110-GTI,
111-GTI,
112-GTI,
113-GTI,
114-GTI,
115-GTI</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f>"• Establecer lineamientos para " &amp; IFERROR(VLOOKUP(A53, 'ANEXO A'!$A$2:$L$94, 2, FALSE), "Este Control") &amp; CHAR(10) &amp; "• Definir roles para el control " &amp; A53 &amp; CHAR(10) &amp; "• Revisar efectividad de " &amp; IFERROR(VLOOKUP(A53, 'ANEXO A'!$A$2:$L$94, 2, FALSE), "Este Control")</f>
        <v/>
      </c>
      <c r="P53" s="107">
        <f>"Asegurar la correcta aplicación de: " &amp; IFERROR(VLOOKUP(A53, 'ANEXO A'!$A$2:$L$94, 2, FALSE), "Este Control") &amp; ". Objetivo central: Proteger la información."</f>
        <v/>
      </c>
      <c r="Q53" t="inlineStr">
        <is>
          <t>• SERVIDOR VM ESXI (SW Cajeros)(VMSRVINTERNOS2) (HARDWARE)
• SERVIDOR VM ESXI (Sistemas, WS Internos) (VMSRVINTERNOS) (HARDWARE)
• SERVIDOR VM ESXI (Sistemas, WS Internos)(VMSREXTERNOS3) (HARDWARE)
• Administrador de Comunicación e Infrestructura (RECURSO HUMANO)
• Administrador de Base de Datos (RECURSO HUMANO)
• Cronograma de trabajo (DOCUMENTOS TÉCNICOS)
• Solicitud de contratación de asesor externo  (DOCUMENTOS TÉCNICOS)
• Email de solicitud de insumos (SERVICIOS)
• Cronograma de trabajo (DOCUMENTOS TÉCNICOS)
• Email de solicitud de insumos (DOCUMENTOS TÉCNICOS)
• Estudios de mercado y de competencia (DOCUMENTOS TÉCNICOS)
• Estudios de clima laboral (DOCUMENTOS TÉCNICOS)
• Estudios de satisfacción al cliente (DOCUMENTOS TÉCNICOS)
• Análisis de Macrotendencias (DOCUMENTOS TÉCNICOS)
• Análisis financiero nacional, del segmento y de la Cooperativa (DOCUMENTOS TÉCNICOS)
• Resultados alcanzados en el Plan Estratégico que fenece (DOCUMENTOS TÉCNICOS)</t>
        </is>
      </c>
      <c r="R53" t="inlineStr">
        <is>
          <t>NO</t>
        </is>
      </c>
      <c r="S53" t="inlineStr">
        <is>
          <t>116-GTI,
117-GTI,
118-GTI,
119-GTI,
120-GTI,
1-GES,
2-GES,
3-GES,
4-GES,
5-GES,
6-GES,
7-GES,
8-GES,
9-GES,
10-GES,
11-GES</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f>"• Establecer lineamientos para " &amp; IFERROR(VLOOKUP(A54, 'ANEXO A'!$A$2:$L$94, 2, FALSE), "Este Control") &amp; CHAR(10) &amp; "• Definir roles para el control " &amp; A54 &amp; CHAR(10) &amp; "• Revisar efectividad de " &amp; IFERROR(VLOOKUP(A54, 'ANEXO A'!$A$2:$L$94, 2, FALSE), "Este Control")</f>
        <v/>
      </c>
      <c r="P54" s="107">
        <f>"Asegurar la correcta aplicación de: " &amp; IFERROR(VLOOKUP(A54, 'ANEXO A'!$A$2:$L$94, 2, FALSE), "Este Control") &amp; ". Objetivo central: Proteger la información."</f>
        <v/>
      </c>
      <c r="Q54" t="inlineStr">
        <is>
          <t>• Necesidades de los Stakeholders (DOCUMENTOS TÉCNICOS)
• FODA por departamento  (DOCUMENTOS TÉCNICOS)
• Resultados de encuestas o entrevistas a los grupos de interés (DOCUMENTOS TÉCNICOS)
• Estudios de mercado y de competencia (DOCUMENTOS TÉCNICOS)
• Estudios de clima laboral (DOCUMENTOS TÉCNICOS)
• Estudios de satisfacción al cliente (DOCUMENTOS TÉCNICOS)
• Análisis de Macrotendencias (DOCUMENTOS TÉCNICOS)
• Análisis financiero nacional, del segmento y de la Cooperativa (DOCUMENTOS TÉCNICOS)
• Resultados alcanzados en el Plan Estratégica que fenece (DOCUMENTOS TÉCNICOS)
• Necesidades de los Stakeholders (DOCUMENTOS TÉCNICOS)
• FODA por departamento  (DOCUMENTOS TÉCNICOS)
• Resultados de encuestas o entrevistas a los grupos de interés (DOCUMENTOS TÉCNICOS)
• Documento resultante de Plan Estratégico Institucional (DOCUMENTOS TÉCNICOS)
• Certificación de aprobación del Consejo de Administración (DOCUMENTOS TÉCNICOS)
• Resolución de la Asamblea de Representantes (DOCUMENTOS TÉCNICOS)
• Plan Estratégico Institucional (DOCUMENTOS TÉCNICOS)</t>
        </is>
      </c>
      <c r="R54" t="inlineStr">
        <is>
          <t>NO</t>
        </is>
      </c>
      <c r="S54" t="inlineStr">
        <is>
          <t>12-GES,
13-GES,
14-GES,
15-GES,
16-GES,
17-GES,
18-GES,
19-GES,
20-GES,
21-GES,
22-GES,
23-GES,
24-GES,
25-GES,
26-GES,
27-GES</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f>"• Establecer lineamientos para " &amp; IFERROR(VLOOKUP(A55, 'ANEXO A'!$A$2:$L$94, 2, FALSE), "Este Control") &amp; CHAR(10) &amp; "• Definir roles para el control " &amp; A55 &amp; CHAR(10) &amp; "• Revisar efectividad de " &amp; IFERROR(VLOOKUP(A55, 'ANEXO A'!$A$2:$L$94, 2, FALSE), "Este Control")</f>
        <v/>
      </c>
      <c r="P55" s="107">
        <f>"Asegurar la correcta aplicación de: " &amp; IFERROR(VLOOKUP(A55, 'ANEXO A'!$A$2:$L$94, 2, FALSE), "Este Control") &amp; ". Objetivo central: Proteger la información."</f>
        <v/>
      </c>
      <c r="Q55" t="inlineStr">
        <is>
          <t>• Matriz de valoración de indicadores estratégicos (DOCUMENTOS TÉCNICOS)
• Informe de Evaluación del Plan Estratégico (DOCUMENTOS TÉCNICOS)
• Informe de Evaluación del Plan Estratégico (DOCUMENTOS TÉCNICOS)
• Plan Estratégico reformado (DOCUMENTOS TÉCNICOS)
• Certificación de aprobación de Plan Estratégico reformado (DOCUMENTOS TÉCNICOS)
• Solicitud de adquisiciones (DOCUMENTOS TÉCNICOS)
• Cronograma de trabajo (DOCUMENTOS TÉCNICOS)
• Cronograma de trabajo (DOCUMENTOS TÉCNICOS)
• Estudios de mercado y de competencia (DOCUMENTOS TÉCNICOS)
• Estudios de clima laboral (DOCUMENTOS TÉCNICOS)
• Estudios de satisfacción al cliente (DOCUMENTOS TÉCNICOS)
• Análisis de Macrotendencias (DOCUMENTOS TÉCNICOS)
• Análisis financiero nacional, del segmento y de la Cooperativa (DOCUMENTOS TÉCNICOS)
• Resultados alcanzados en el Plan Estratégica que fenece (DOCUMENTOS TÉCNICOS)
• Necesidades de los Stakeholders (DOCUMENTOS TÉCNICOS)
• FODA por departamento  (DOCUMENTOS TÉCNICOS)</t>
        </is>
      </c>
      <c r="R55" t="inlineStr">
        <is>
          <t>NO</t>
        </is>
      </c>
      <c r="S55" t="inlineStr">
        <is>
          <t>28-GES,
29-GES,
30-GES,
31-GES,
32-GES,
33-GES,
34-GES,
35-GES,
36-GES,
37-GES,
38-GES,
39-GES,
40-GES,
41-GES,
42-GES,
43-GES</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f>"• Establecer lineamientos para " &amp; IFERROR(VLOOKUP(A56, 'ANEXO A'!$A$2:$L$94, 2, FALSE), "Este Control") &amp; CHAR(10) &amp; "• Definir roles para el control " &amp; A56 &amp; CHAR(10) &amp; "• Revisar efectividad de " &amp; IFERROR(VLOOKUP(A56, 'ANEXO A'!$A$2:$L$94, 2, FALSE), "Este Control")</f>
        <v/>
      </c>
      <c r="P56" s="107">
        <f>"Asegurar la correcta aplicación de: " &amp; IFERROR(VLOOKUP(A56, 'ANEXO A'!$A$2:$L$94, 2, FALSE), "Este Control") &amp; ". Objetivo central: Proteger la información."</f>
        <v/>
      </c>
      <c r="Q56" t="inlineStr">
        <is>
          <t>• Resultados de encuestas o entrevistas a los grupos de interés (DOCUMENTOS TÉCNICOS)
• Plan Estratégico Institucional (DOCUMENTOS TÉCNICOS)
• Estudios de mercado y de competencia (DOCUMENTOS TÉCNICOS)
• Estudios de clima laboral (DOCUMENTOS TÉCNICOS)
• Estudios de satisfacción al cliente (DOCUMENTOS TÉCNICOS)
• Análisis de Macrotendencias (DOCUMENTOS TÉCNICOS)
• Análisis financiero nacional, del segmento y de la Cooperativa (DOCUMENTOS TÉCNICOS)
• Resultados alcanzados en el Plan Estratégica que fenece (DOCUMENTOS TÉCNICOS)
• Necesidades de los Stakeholders (DOCUMENTOS TÉCNICOS)
• FODA por departamento  (DOCUMENTOS TÉCNICOS)
• Resultados de encuestas o entrevistas a los grupos de interés (DOCUMENTOS TÉCNICOS)
• Matriz POA por proyecto (DOCUMENTOS TÉCNICOS)
• Plan Operativo Anual (DOCUMENTOS TÉCNICOS)
• Certificación de aprobación del POA anual  (DOCUMENTOS TÉCNICOS)
• Resolución de Asamblea de Representantes (DOCUMENTOS TÉCNICOS)
• Matriz de evaluación del plan operativo anual (DOCUMENTOS TÉCNICOS)</t>
        </is>
      </c>
      <c r="R56" t="inlineStr">
        <is>
          <t>NO</t>
        </is>
      </c>
      <c r="S56" t="inlineStr">
        <is>
          <t>44-GES,
45-GES,
46-GES,
47-GES,
48-GES,
49-GES,
50-GES,
51-GES,
52-GES,
53-GES,
54-GES,
55-GES,
56-GES,
57-GES,
58-GES,
59-GES</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f>"• Establecer lineamientos para " &amp; IFERROR(VLOOKUP(A57, 'ANEXO A'!$A$2:$L$94, 2, FALSE), "Este Control") &amp; CHAR(10) &amp; "• Definir roles para el control " &amp; A57 &amp; CHAR(10) &amp; "• Revisar efectividad de " &amp; IFERROR(VLOOKUP(A57, 'ANEXO A'!$A$2:$L$94, 2, FALSE), "Este Control")</f>
        <v/>
      </c>
      <c r="P57" s="107">
        <f>"Asegurar la correcta aplicación de: " &amp; IFERROR(VLOOKUP(A57, 'ANEXO A'!$A$2:$L$94, 2, FALSE), "Este Control") &amp; ". Objetivo central: Proteger la información."</f>
        <v/>
      </c>
      <c r="Q57" t="inlineStr">
        <is>
          <t>• Plan Operativo Anual (DOCUMENTOS TÉCNICOS)
• Matriz de evaluación del Plan Operativo Anual (DOCUMENTOS TÉCNICOS)
• Documentos de Sustento POA (DOCUMENTOS TÉCNICOS)
• Matriz de evaluación del Plan Operativo Anual (DOCUMENTOS TÉCNICOS)
• Informe de evaluación Plan Operativo  (DOCUMENTOS TÉCNICOS)
• Evaluación del gasto en el Plan Operativo Anual  (DOCUMENTOS TÉCNICOS)
• Acta de evaluación del Plan Operativo Anual  (DOCUMENTOS TÉCNICOS)
• Acta del Comité de Planificación, Procesos e Innovación  (DOCUMENTOS TÉCNICOS)
• Informe trimestral de Evaluación del Plan Operativo (DOCUMENTOS TÉCNICOS)
• Acta del Comité de Planificación, Procesos e Innovación (DOCUMENTOS TÉCNICOS)
• Matriz POA por proyecto  (DOCUMENTOS TÉCNICOS)
• Oficio y sustentos de restructuración de proyectos POA (DOCUMENTOS TÉCNICOS)
• Matriz de evaluación del Plan Operativo actualizada   (DOCUMENTOS TÉCNICOS)
• Plan Operativo (DOCUMENTOS TÉCNICOS)
• Plan de Negocios (DOCUMENTOS TÉCNICOS)
• Plan de Infraestructura (DOCUMENTOS TÉCNICOS)</t>
        </is>
      </c>
      <c r="R57" t="inlineStr">
        <is>
          <t>NO</t>
        </is>
      </c>
      <c r="S57" t="inlineStr">
        <is>
          <t>60-GES,
61-GES,
62-GES,
63-GES,
64-GES,
65-GES,
66-GES,
67-GES,
68-GES,
69-GES,
70-GES,
71-GES,
72-GES,
73-GES,
74-GES,
75-GES</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f>"• Establecer lineamientos para " &amp; IFERROR(VLOOKUP(A58, 'ANEXO A'!$A$2:$L$94, 2, FALSE), "Este Control") &amp; CHAR(10) &amp; "• Definir roles para el control " &amp; A58 &amp; CHAR(10) &amp; "• Revisar efectividad de " &amp; IFERROR(VLOOKUP(A58, 'ANEXO A'!$A$2:$L$94, 2, FALSE), "Este Control")</f>
        <v/>
      </c>
      <c r="P58" s="107">
        <f>"Asegurar la correcta aplicación de: " &amp; IFERROR(VLOOKUP(A58, 'ANEXO A'!$A$2:$L$94, 2, FALSE), "Este Control") &amp; ". Objetivo central: Proteger la información."</f>
        <v/>
      </c>
      <c r="Q58" t="inlineStr">
        <is>
          <t>• Estudio de mercado (DOCUMENTOS TÉCNICOS)
• Acta de validación inicial del proyecto y conformación de equipo (DOCUMENTOS TÉCNICOS)
• Proyecto (Plantilla de Elaboración de Proyectos) (DOCUMENTOS TÉCNICOS)
• Resolución de aprobación del proyecto (DOCUMENTOS TÉCNICOS)
• Proyecto (DOCUMENTOS TÉCNICOS)
• Certificación de aprobación (DOCUMENTOS TÉCNICOS)
• Acta de validación inicial del proyecto y conformación de equipo (DOCUMENTOS TÉCNICOS)
• Matriz de historias de usuario (DOCUMENTOS TÉCNICOS)
• Matriz de planificación y seguimiento del Proyecto por sprints (DOCUMENTOS TÉCNICOS)
• Plan de dirección del proyecto (DOCUMENTOS TÉCNICOS)
• Matriz de historias de usuario (DOCUMENTOS TÉCNICOS)
• Matriz de planificación y seguimiento del Proyecto por sprints (DOCUMENTOS TÉCNICOS)
• Entregables o hitos del proyecto (DOCUMENTOS TÉCNICOS)
• Entregables o hitos del proyecto  (DOCUMENTOS TÉCNICOS)
• Matriz de historias de usuario (DOCUMENTOS TÉCNICOS)
• Matriz de planificación y seguimiento del Proyecto por sprints (DOCUMENTOS TÉCNICOS)</t>
        </is>
      </c>
      <c r="R58" t="inlineStr">
        <is>
          <t>NO</t>
        </is>
      </c>
      <c r="S58" t="inlineStr">
        <is>
          <t>76-GES,
77-GES,
78-GES,
79-GES,
80-GES,
81-GES,
82-GES,
83-GES,
84-GES,
85-GES,
86-GES,
87-GES,
88-GES,
89-GES,
90-GES,
91-GES</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f>"• Establecer lineamientos para " &amp; IFERROR(VLOOKUP(A59, 'ANEXO A'!$A$2:$L$94, 2, FALSE), "Este Control") &amp; CHAR(10) &amp; "• Definir roles para el control " &amp; A59 &amp; CHAR(10) &amp; "• Revisar efectividad de " &amp; IFERROR(VLOOKUP(A59, 'ANEXO A'!$A$2:$L$94, 2, FALSE), "Este Control")</f>
        <v/>
      </c>
      <c r="P59" s="107">
        <f>"Asegurar la correcta aplicación de: " &amp; IFERROR(VLOOKUP(A59, 'ANEXO A'!$A$2:$L$94, 2, FALSE), "Este Control") &amp; ". Objetivo central: Proteger la información."</f>
        <v/>
      </c>
      <c r="Q59" t="inlineStr">
        <is>
          <t>• Informe de evaluación (DOCUMENTOS TÉCNICOS)
• Plan de dirección del proyecto (DOCUMENTOS TÉCNICOS)
• Matriz de seguimiento al cumplimiento de proyectos  (DOCUMENTOS TÉCNICOS)
• Informe de Gestión Mensual para Gerencia (DOCUMENTOS TÉCNICOS)
• Resolución No. SB-2018-771 (DOCUMENTOS TÉCNICOS)
• Metodología PMBOK (DOCUMENTOS TÉCNICOS)
• SCRUM study SBOK Guide 4th edition Spanish (DOCUMENTOS TÉCNICOS)
• Metodología para la Gestión de Proyectos  (DOCUMENTOS TÉCNICOS)
• Registro y Comprobante Contable Diario (INFORMACIÓN DE SOCIOS Y CLIENTES)
• Mayor contable diario (OTROS)
• Registro y comprobante contable mensual (OTROS)
• Mayor contable mensual (OTROS)
• Registro contable de ajustes (DOCUMENTOS HABILITANTES)
• Comprobante contable de ajustes (COMUNICACIÓN INTERNA)
• Solicitud de acreditación de
fondos (caja chica, judicial y
vehicular) (COMUNICACIÓN INTERNA)
• Registro y comprobante contable creación y reposición de fondos caja chica (OTROS)</t>
        </is>
      </c>
      <c r="R59" t="inlineStr">
        <is>
          <t>NO</t>
        </is>
      </c>
      <c r="S59" t="inlineStr">
        <is>
          <t>92-GES,
93-GES,
94-GES,
95-GES,
96-GES,
97-GES,
98-GES,
99-GES,
1-GFI,
2-GFI,
3-GFI,
4-GFI,
5-GFI,
6-GFI,
7-GFI,
8-GFI</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f>"• Establecer lineamientos para " &amp; IFERROR(VLOOKUP(A60, 'ANEXO A'!$A$2:$L$94, 2, FALSE), "Este Control") &amp; CHAR(10) &amp; "• Definir roles para el control " &amp; A60 &amp; CHAR(10) &amp; "• Revisar efectividad de " &amp; IFERROR(VLOOKUP(A60, 'ANEXO A'!$A$2:$L$94, 2, FALSE), "Este Control")</f>
        <v/>
      </c>
      <c r="P60" s="107">
        <f>"Asegurar la correcta aplicación de: " &amp; IFERROR(VLOOKUP(A60, 'ANEXO A'!$A$2:$L$94, 2, FALSE), "Este Control") &amp; ". Objetivo central: Proteger la información."</f>
        <v/>
      </c>
      <c r="Q60" t="inlineStr">
        <is>
          <t>• Escrituras del Bien inmueble/ Autorizaciones de Gerencia (DOCUMENTOS HABILITANTES)
• Cheque (DOCUMENTOS HABILITANTES)
• Orden de liquidación (DOCUMENTOS HABILITANTES)
• Comprobantes electrónico de retención electrónica (COMUNICACIÓN INTERNA)
• Registro contable automático (INFORMACIÓN DE SOCIOS Y CLIENTES)
• Solicitud de liquidación de viáticos  (DOCUMENTOS HABILITANTES)
• Acta transaccional de entrega de fondos global (DOCUMENTOS HABILITANTES)
• Solicitud de pago de pensión mensual (DOCUMENTOS HABILITANTES)
• Cuadre contable (DOCUMENTOS TÉCNICOS)
• Comprobantes digitales (DOCUMENTOS HABILITANTES)
• Registros de Ventas (DOCUMENTOS HABILITANTES)
• Registros Cuentas por Pagar generadas por Módulos (COMUNICACIÓN INTERNA)
• Registros de Lotes masivos (COMUNICACIÓN INTERNA)
• Requerimientos de parametrización y certificación de pruebas (COMUNICACIÓN INTERNA)
• Balance (DOCUMENTOS TÉCNICOS)
• Estado de flujo de efectivo y evolución patrimonial (DOCUMENTOS TÉCNICOS)</t>
        </is>
      </c>
      <c r="R60" t="inlineStr">
        <is>
          <t>NO</t>
        </is>
      </c>
      <c r="S60" t="inlineStr">
        <is>
          <t>9-GFI,
10-GFI,
11-GFI,
12-GFI,
13-GFI,
14-GFI,
15-GFI,
16-GFI,
17-GFI,
18-GFI,
19-GFI,
20-GFI,
21-GFI,
22-GFI,
23-GFI,
24-GFI</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f>"• Establecer lineamientos para " &amp; IFERROR(VLOOKUP(A61, 'ANEXO A'!$A$2:$L$94, 2, FALSE), "Este Control") &amp; CHAR(10) &amp; "• Definir roles para el control " &amp; A61 &amp; CHAR(10) &amp; "• Revisar efectividad de " &amp; IFERROR(VLOOKUP(A61, 'ANEXO A'!$A$2:$L$94, 2, FALSE), "Este Control")</f>
        <v/>
      </c>
      <c r="P61" s="107">
        <f>"Asegurar la correcta aplicación de: " &amp; IFERROR(VLOOKUP(A61, 'ANEXO A'!$A$2:$L$94, 2, FALSE), "Este Control") &amp; ". Objetivo central: Proteger la información."</f>
        <v/>
      </c>
      <c r="Q61" t="inlineStr">
        <is>
          <t>• Balance de comprobación (DOCUMENTOS TÉCNICOS)
• Notas a los estados financieros (COMUNICACIÓN INTERNA)
• Estructura B13 (DOCUMENTOS TÉCNICOS)
• Sectorialización (DOCUMENTOS TÉCNICOS)
• Estructura B11 (DOCUMENTOS TÉCNICOS)
• Patrimonio Técnico (DOCUMENTOS TÉCNICOS)
• Reporte 231 (DOCUMENTOS TÉCNICOS)
• Anexos contables (DOCUMENTOS TÉCNICOS)
• Estados de cuenta de los bancos (DOCUMENTOS TÉCNICOS)
• Conciliación bancaria (DOCUMENTOS TÉCNICOS)
• Estados de cuenta de los bancos (DOCUMENTOS TÉCNICOS)
• Conciliación bancaria (DOCUMENTOS TÉCNICOS)
• Reporte de cuadre de impuestos (DOCUMENTOS TÉCNICOS)
• Formularios tributarios 101, 103, 104, 109, 110, 115 (DOCUMENTOS TÉCNICOS)
• Comprobantes de pago tributario (DOCUMENTOS HABILITANTES)
• Registro de conciliación tributaria (DOCUMENTOS HABILITANTES)</t>
        </is>
      </c>
      <c r="R61" t="inlineStr">
        <is>
          <t>NO</t>
        </is>
      </c>
      <c r="S61" t="inlineStr">
        <is>
          <t>25-GFI,
26-GFI,
27-GFI,
28-GFI,
29-GFI,
30-GFI,
31-GFI,
32-GFI,
33-GFI,
34-GFI,
35-GFI,
36-GFI,
37-GFI,
38-GFI,
39-GFI,
40-GFI</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f>"• Establecer lineamientos para " &amp; IFERROR(VLOOKUP(A62, 'ANEXO A'!$A$2:$L$94, 2, FALSE), "Este Control") &amp; CHAR(10) &amp; "• Definir roles para el control " &amp; A62 &amp; CHAR(10) &amp; "• Revisar efectividad de " &amp; IFERROR(VLOOKUP(A62, 'ANEXO A'!$A$2:$L$94, 2, FALSE), "Este Control")</f>
        <v/>
      </c>
      <c r="P62" s="107">
        <f>"Asegurar la correcta aplicación de: " &amp; IFERROR(VLOOKUP(A62, 'ANEXO A'!$A$2:$L$94, 2, FALSE), "Este Control") &amp; ". Objetivo central: Proteger la información."</f>
        <v/>
      </c>
      <c r="Q62" t="inlineStr">
        <is>
          <t>• Anexo transaccional / Anexo de movimiento internacional de divisas / Anexo de Retenciones en la fuente bajo relación de dependencia (DOCUMENTOS TÉCNICOS)
• Equipos de computación  (HARDWARE)
• Gerente Financiero (RECURSO HUMANO)
• Contador General (RECURSO HUMANO)
• Propuesta de apertura de inversiones (DOCUMENTOS TÉCNICOS)
• Resolución del Comité ALCO (COMUNICACIÓN INTERNA)
• Carta de instrucciones (COMUNICACIÓN INTERNA)
• Certificado de Depósito a Plazo (DOCUMENTOS HABILITANTES)
• Reporte de portafolio de inversiones (DOCUMENTOS TÉCNICOS)
• Propuesta de renovación de inversiones (DOCUMENTOS TÉCNICOS)
• Resolución del comité ALCO (COMUNICACIÓN INTERNA)
• Reporte de vencimiento de inversiones (DOCUMENTOS TÉCNICOS)
• Reporte de portafolio de inversiones (DOCUMENTOS TÉCNICOS)
• Resolución Comité alco (COMUNICACIÓN INTERNA)
• Reporte de intereses del Fondo de Liquidez (COMUNICACIÓN INTERNA)
• Reporte de cuadre para el fondo de liquidez /Reporte de cálculo para el requerimiento de encaje bancario (DOCUMENTOS TÉCNICOS)</t>
        </is>
      </c>
      <c r="R62" t="inlineStr">
        <is>
          <t>NO</t>
        </is>
      </c>
      <c r="S62" t="inlineStr">
        <is>
          <t>41-GFI,
42-GFI,
43-GFI,
44-GFI,
45-GFI,
46-GFI,
47-GFI,
48-GFI,
49-GFI,
50-GFI,
51-GFI,
52-GFI,
53-GFI,
54-GFI,
55-GFI,
56-GFI</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f>"• Establecer lineamientos para " &amp; IFERROR(VLOOKUP(A63, 'ANEXO A'!$A$2:$L$94, 2, FALSE), "Este Control") &amp; CHAR(10) &amp; "• Definir roles para el control " &amp; A63 &amp; CHAR(10) &amp; "• Revisar efectividad de " &amp; IFERROR(VLOOKUP(A63, 'ANEXO A'!$A$2:$L$94, 2, FALSE), "Este Control")</f>
        <v/>
      </c>
      <c r="P63" s="107">
        <f>"Asegurar la correcta aplicación de: " &amp; IFERROR(VLOOKUP(A63, 'ANEXO A'!$A$2:$L$94, 2, FALSE), "Este Control") &amp; ". Objetivo central: Proteger la información."</f>
        <v/>
      </c>
      <c r="Q63" t="inlineStr">
        <is>
          <t>• Requerimiento de encaje bancario (DOCUMENTOS TÉCNICOS)
• Cumplimiento de encaje bancario (DOCUMENTOS TÉCNICOS)
• Registro de firmas (DOCUMENTOS HABILITANTES)
• Documentos de sustento de registro o eliminación de firmas (DOCUMENTOS HABILITANTES)
• Notificación de vinculación, desvinculación o cambio de funciones (COMUNICACIÓN INTERNA)
• Actas de entrega recepción de chequeras (DOCUMENTOS HABILITANTES)
• Solicitud de requerimiento de chequera (COMUNICACIÓN INTERNA)
• Comprobante de transferencia de fondos propios (DOCUMENTOS HABILITANTES)
• Comprobante de transferencias cash managment / BCE (DOCUMENTOS HABILITANTES)
• Comprobante de transferencia varias (COMUNICACIÓN INTERNA)
• Archivo de Flujo de caja (DOCUMENTOS TÉCNICOS)
• Oficio para requerir fondos al banco (DOCUMENTOS HABILITANTES)
• Solicitud de fondeo y depósitos de excedente (COMUNICACIÓN INTERNA)
• Papeleta de depósito/Guía de remisión (DOCUMENTOS HABILITANTES)
• Factura del servicio de transporte de valores (DOCUMENTOS HABILITANTES)
• Reporte de cuadre de transporte de valores (DOCUMENTOS TÉCNICOS)</t>
        </is>
      </c>
      <c r="R63" t="inlineStr">
        <is>
          <t>NO</t>
        </is>
      </c>
      <c r="S63" t="inlineStr">
        <is>
          <t>57-GFI,
58-GFI,
59-GFI,
60-GFI,
61-GFI,
62-GFI,
63-GFI,
64-GFI,
65-GFI,
66-GFI,
67-GFI,
68-GFI,
69-GFI,
70-GFI,
71-GFI,
72-GFI</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f>"• Establecer lineamientos para " &amp; IFERROR(VLOOKUP(A64, 'ANEXO A'!$A$2:$L$94, 2, FALSE), "Este Control") &amp; CHAR(10) &amp; "• Definir roles para el control " &amp; A64 &amp; CHAR(10) &amp; "• Revisar efectividad de " &amp; IFERROR(VLOOKUP(A64, 'ANEXO A'!$A$2:$L$94, 2, FALSE), "Este Control")</f>
        <v/>
      </c>
      <c r="P64" s="107">
        <f>"Asegurar la correcta aplicación de: " &amp; IFERROR(VLOOKUP(A64, 'ANEXO A'!$A$2:$L$94, 2, FALSE), "Este Control") &amp; ". Objetivo central: Proteger la información."</f>
        <v/>
      </c>
      <c r="Q64" t="inlineStr">
        <is>
          <t>• Reporte de contratos vencidos (DOCUMENTOS TÉCNICOS)
• Registro de garantías recibidas (DOCUMENTOS TÉCNICOS)
• Acta entrega recepción (DOCUMENTOS HABILITANTES)
• Estructura RML. I01, I02 (DOCUMENTOS TÉCNICOS)
• Equipos de computación  (HARDWARE)
• Tesorero (RECURSO HUMANO)
• Contrato (DOCUMENTOS TÉCNICOS)
• Inventario de contratos (DOCUMENTOS TÉCNICOS)
• Control de entrega de documentos contractuales (COMUNICACIÓN INTERNA)
• Adendum (DOCUMENTOS HABILITANTES)
• Convenio (DOCUMENTOS HABILITANTES)
• Requerimiento de contratación (DOCUMENTOS TÉCNICOS)
• Certificación de Consejo de Administración (COMUNICACIÓN INTERNA)
• Escritura Notariada de Otorgamiento de Poderes o Procuración Judicial (DOCUMENTOS HABILITANTES)
• Escritura Notariada de Revocatoria de Poderes (DOCUMENTOS HABILITANTES)
• Oficio de respuesta (DOCUMENTOS HABILITANTES)</t>
        </is>
      </c>
      <c r="R64" t="inlineStr">
        <is>
          <t>NO</t>
        </is>
      </c>
      <c r="S64" t="inlineStr">
        <is>
          <t>73-GFI,
74-GFI,
75-GFI,
76-GFI,
77-GFI,
78-GFI,
1-GJU,
2-GJU,
3-GJU,
4-GJU,
5-GJU,
6-GJU,
7-GJU,
8-GJU,
9-GJU,
10-GJU</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f>"• Establecer lineamientos para " &amp; IFERROR(VLOOKUP(A65, 'ANEXO A'!$A$2:$L$94, 2, FALSE), "Este Control") &amp; CHAR(10) &amp; "• Definir roles para el control " &amp; A65 &amp; CHAR(10) &amp; "• Revisar efectividad de " &amp; IFERROR(VLOOKUP(A65, 'ANEXO A'!$A$2:$L$94, 2, FALSE), "Este Control")</f>
        <v/>
      </c>
      <c r="P65" s="107">
        <f>"Asegurar la correcta aplicación de: " &amp; IFERROR(VLOOKUP(A65, 'ANEXO A'!$A$2:$L$94, 2, FALSE), "Este Control") &amp; ". Objetivo central: Proteger la información."</f>
        <v/>
      </c>
      <c r="Q65" t="inlineStr">
        <is>
          <t>• Sumilla de viabilidad legal (DOCUMENTOS HABILITANTES)
• Informe de control de providencias judiciales y coactivas (DOCUMENTOS TÉCNICOS)
• Bitácora de normativa (DOCUMENTOS TÉCNICOS)
• Cesión de derechos (DOCUMENTOS HABILITANTES)
• Informes mensuales (DOCUMENTOS TÉCNICOS)
• Oficio de contestación (DOCUMENTOS HABILITANTES)
• Póliza de Seguros revisada (DOCUMENTOS HABILITANTES)
• Contrato o adenda (DOCUMENTOS HABILITANTES)
• Solicitud de acreditación del fondo judicial/registro contrable (COMUNICACIÓN INTERNA)
• Recibos del fondo judicial / Facturas de diligencias judiciales (DOCUMENTOS HABILITANTES)
• Reporte de ingreso de cuentas por cobrar (DOCUMENTOS TÉCNICOS)
• Cuadre del fondo judicial /Solicitud de reposición del fondo / Registro contable de reposición del fondo (DOCUMENTOS TÉCNICOS)
• Equipos de computación  (HARDWARE)
• Gerente Jurídico (RECURSO HUMANO)
• Normas para Administración Integral de Riesgos. (OTROS)
• Balances diarios (DOCUMENTOS TÉCNICOS)</t>
        </is>
      </c>
      <c r="R65" t="inlineStr">
        <is>
          <t>NO</t>
        </is>
      </c>
      <c r="S65" t="inlineStr">
        <is>
          <t>11-GJU,
12-GJU,
13-GJU,
14-GJU,
15-GJU,
16-GJU,
17-GJU,
18-GJU,
19-GJU,
20-GJU,
21-GJU,
22-GJU,
23-GJU,
24-GJU,
1-GRI,
2-GRI</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f>"• Establecer lineamientos para " &amp; IFERROR(VLOOKUP(A66, 'ANEXO A'!$A$2:$L$94, 2, FALSE), "Este Control") &amp; CHAR(10) &amp; "• Definir roles para el control " &amp; A66 &amp; CHAR(10) &amp; "• Revisar efectividad de " &amp; IFERROR(VLOOKUP(A66, 'ANEXO A'!$A$2:$L$94, 2, FALSE), "Este Control")</f>
        <v/>
      </c>
      <c r="P66" s="107">
        <f>"Asegurar la correcta aplicación de: " &amp; IFERROR(VLOOKUP(A66, 'ANEXO A'!$A$2:$L$94, 2, FALSE), "Este Control") &amp; ". Objetivo central: Proteger la información."</f>
        <v/>
      </c>
      <c r="Q66" t="inlineStr">
        <is>
          <t>• Registros de información de la liquidez (SOFTWARE)
• Herramienta de Liquidez Estructural (DOCUMENTOS TÉCNICOS)
• Reporte de Liquidez Estructural  (DOCUMENTOS TÉCNICOS)
• Registro de definición indicadores y límites de riesgos. (DOCUMENTOS TÉCNICOS)
• Balances diarios  (DOCUMENTOS TÉCNICOS)
• Herramienta de Liquidez Diaria (DOCUMENTOS TÉCNICOS)
• Reporte de liquidez y volatilidad diaria (DOCUMENTOS TÉCNICOS)
• Registros de información de liquidez (SOFTWARE)
• Herramienta de Brechas de Liquidez (SOFTWARE)
• Reporte de Brechas de Liquidez Contractual, Esperado y Dinámico (DOCUMENTOS TÉCNICOS)
• Estructura de Información L02 (DOCUMENTOS TÉCNICOS)
• Reporte de Supuestos (DOCUMENTOS TÉCNICOS)
• Reporte de obligaciones con el público (cuentas de ahorros y DPF) (DOCUMENTOS TÉCNICOS)
• Registros de información de liquidez (DOCUMENTOS TÉCNICOS)
• Balance mensual (DOCUMENTOS TÉCNICOS)
• Registros de información de liquidez (DOCUMENTOS TÉCNICOS)</t>
        </is>
      </c>
      <c r="R66" t="inlineStr">
        <is>
          <t>NO</t>
        </is>
      </c>
      <c r="S66" t="inlineStr">
        <is>
          <t>3-GRI,
4-GRI,
5-GRI,
7-GRI,
8-GRI,
9-GRI,
10-GRI,
11-GRI,
12-GRI,
13-GRI,
14-GRI,
15-GRI,
16-GRI,
17-GRI,
19-GRI,
20-GRI</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f>"• Establecer lineamientos para " &amp; IFERROR(VLOOKUP(A67, 'ANEXO A'!$A$2:$L$94, 2, FALSE), "Este Control") &amp; CHAR(10) &amp; "• Definir roles para el control " &amp; A67 &amp; CHAR(10) &amp; "• Revisar efectividad de " &amp; IFERROR(VLOOKUP(A67, 'ANEXO A'!$A$2:$L$94, 2, FALSE), "Este Control")</f>
        <v/>
      </c>
      <c r="P67" s="107">
        <f>"Asegurar la correcta aplicación de: " &amp; IFERROR(VLOOKUP(A67, 'ANEXO A'!$A$2:$L$94, 2, FALSE), "Este Control") &amp; ". Objetivo central: Proteger la información."</f>
        <v/>
      </c>
      <c r="Q67" t="inlineStr">
        <is>
          <t>• Reporte de obligaciones con el público (cuentas de ahorros y DPF  ) (DOCUMENTOS TÉCNICOS)
• Reporte de Anexos B1, B2 y restringidos de las captaciones por monto de las cuentas 2101, 2103 y 2105. (DOCUMENTOS TÉCNICOS)
• Balance mensual (DOCUMENTOS TÉCNICOS)
• Reporte de Obligaciones Financieras (DOCUMENTOS TÉCNICOS)
• Reporte Anexo B3 Obligaciones Financieras (DOCUMENTOS TÉCNICOS)
• Boletines Mensuales de la SEPS y SB (INFORMACIÓN DE TERCEROS)
• Herramienta de Análisis de indicadores de tesorería. (DOCUMENTOS TÉCNICOS)
• Hojas de trabajo  (DOCUMENTOS TÉCNICOS)
• Reporte de niveles de riesgo de entidades financieras (DOCUMENTOS TÉCNICOS)
• Reporte de concentración de inversiones (COMUNICACIÓN INTERNA)
• Herramienta para valoración del portafolio de inversiones (DOCUMENTOS TÉCNICOS)
• Reporte Valoración de Inversiones  (DOCUMENTOS TÉCNICOS)
• Herramienta para el cálculo de la perdida esperada del portafolio de inversiones (DOCUMENTOS TÉCNICOS)
• Base histórica de calificaciones de riesgo (SEPS y SB) (DOCUMENTOS TÉCNICOS)
• Reporte de pérdidas esperadas del portafolio de inversiones.  (DOCUMENTOS TÉCNICOS)
• Balance mensual (DOCUMENTOS TÉCNICOS)</t>
        </is>
      </c>
      <c r="R67" t="inlineStr">
        <is>
          <t>NO</t>
        </is>
      </c>
      <c r="S67" t="inlineStr">
        <is>
          <t>21-GRI,
22-GRI,
23-GRI,
24-GRI,
25-GRI,
26-GRI,
27-GRI,
28-GRI,
29-GRI,
30-GRI,
31-GRI,
32-GRI,
33-GRI,
34-GRI,
35-GRI,
36-GRI</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f>"• Establecer lineamientos para " &amp; IFERROR(VLOOKUP(A68, 'ANEXO A'!$A$2:$L$94, 2, FALSE), "Este Control") &amp; CHAR(10) &amp; "• Definir roles para el control " &amp; A68 &amp; CHAR(10) &amp; "• Revisar efectividad de " &amp; IFERROR(VLOOKUP(A68, 'ANEXO A'!$A$2:$L$94, 2, FALSE), "Este Control")</f>
        <v/>
      </c>
      <c r="P68" s="107">
        <f>"Asegurar la correcta aplicación de: " &amp; IFERROR(VLOOKUP(A68, 'ANEXO A'!$A$2:$L$94, 2, FALSE), "Este Control") &amp; ". Objetivo central: Proteger la información."</f>
        <v/>
      </c>
      <c r="Q68" t="inlineStr">
        <is>
          <t>• Herramienta de Liquidez Estructural (DOCUMENTOS TÉCNICOS)
• Reporte concentración fondos disponibles (DOCUMENTOS TÉCNICOS)
• Base de indicadores históricos del Reporte de liquidez y volatilidad diaria (DOCUMENTOS TÉCNICOS)
• Base de indicadores históricos del Reporte de Alertas Tempranas de Liquidez (DOCUMENTOS TÉCNICOS)
• Balance General Presupuestado (DOCUMENTOS TÉCNICOS)
• Estado de Resultados Presupuestado (DOCUMENTOS TÉCNICOS)
• Hojas de Trabajo  (DOCUMENTOS TÉCNICOS)
• Registro de definición indicadores y límites de riesgos. (DOCUMENTOS TÉCNICOS)
• Balance mensual (DOCUMENTOS TÉCNICOS)
• Registro de definición indicadores y límites de riesgos. (DOCUMENTOS TÉCNICOS)
• Herramienta de Liquidez Diaria (DOCUMENTOS TÉCNICOS)
• Herramienta de Sistema de alertas temprana (DOCUMENTOS TÉCNICOS)
• Hojas de Trabajo (DOCUMENTOS TÉCNICOS)
• Reporte de Alertas Tempranas de Liquidez (DOCUMENTOS TÉCNICOS)
• Hojas de Trabajo (DOCUMENTOS TÉCNICOS)
• Balance mensual  (DOCUMENTOS TÉCNICOS)</t>
        </is>
      </c>
      <c r="R68" t="inlineStr">
        <is>
          <t>NO</t>
        </is>
      </c>
      <c r="S68" t="inlineStr">
        <is>
          <t>37-GRI,
38-GRI,
39-GRI,
40-GRI,
41-GRI,
42-GRI,
43-GRI,
44-GRI,
45-GRI,
46-GRI,
47-GRI,
48-GRI,
49-GRI,
50-GRI,
51-GRI,
52-GRI</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f>"• Establecer lineamientos para " &amp; IFERROR(VLOOKUP(A69, 'ANEXO A'!$A$2:$L$94, 2, FALSE), "Este Control") &amp; CHAR(10) &amp; "• Definir roles para el control " &amp; A69 &amp; CHAR(10) &amp; "• Revisar efectividad de " &amp; IFERROR(VLOOKUP(A69, 'ANEXO A'!$A$2:$L$94, 2, FALSE), "Este Control")</f>
        <v/>
      </c>
      <c r="P69" s="107">
        <f>"Asegurar la correcta aplicación de: " &amp; IFERROR(VLOOKUP(A69, 'ANEXO A'!$A$2:$L$94, 2, FALSE), "Este Control") &amp; ". Objetivo central: Proteger la información."</f>
        <v/>
      </c>
      <c r="Q69" t="inlineStr">
        <is>
          <t>• Registros de información de liquidez (DOCUMENTOS TÉCNICOS)
• Balances diarios históricos (DOCUMENTOS TÉCNICOS)
• Herramienta de Brechas de Liquidez (DOCUMENTOS TÉCNICOS)
• Reporte de Estrés de Liquidez  (DOCUMENTOS TÉCNICOS)
• Reporte de Brechas de liquidez dinámico (DOCUMENTOS TÉCNICOS)
• Registros de información de liquidez (DOCUMENTOS TÉCNICOS)
• Balance mensual (DOCUMENTOS TÉCNICOS)
• Base de datos históricos (DOCUMENTOS TÉCNICOS)
• Herramienta de Brechas de Liquidez (SOFTWARE)
• Reporte de Backtesting de Liquidez (DOCUMENTOS TÉCNICOS)
• Reporte de Liquidez Estructural  (DOCUMENTOS TÉCNICOS)
• Reporte de liquidez y volatilidad diaria (DOCUMENTOS TÉCNICOS)
• Reporte de Brechas de Liquidez Contractual, Esperado, Dinámico, Reporte de Supuestos. (DOCUMENTOS TÉCNICOS)
• Anexo A de los 100 mayores depositantes (DOCUMENTOS TÉCNICOS)
• Reporte de Anexos B1, B2 y restringidos de las captaciones por monto de la cuenta 2101, 2103 y 2105. (DOCUMENTOS TÉCNICOS)
• Reporte Anexo B3 Obligaciones Financieras (DOCUMENTOS TÉCNICOS)</t>
        </is>
      </c>
      <c r="R69" t="inlineStr">
        <is>
          <t>NO</t>
        </is>
      </c>
      <c r="S69" t="inlineStr">
        <is>
          <t>53-GRI,
54-GRI,
55-GRI,
56-GRI,
57-GRI,
58-GRI,
59-GRI,
60-GRI,
61-GRI,
62-GRI,
63-GRI,
64-GRI,
65-GRI,
66-GRI,
67-GRI,
68-GRI</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f>"• Establecer lineamientos para " &amp; IFERROR(VLOOKUP(A70, 'ANEXO A'!$A$2:$L$94, 2, FALSE), "Este Control") &amp; CHAR(10) &amp; "• Definir roles para el control " &amp; A70 &amp; CHAR(10) &amp; "• Revisar efectividad de " &amp; IFERROR(VLOOKUP(A70, 'ANEXO A'!$A$2:$L$94, 2, FALSE), "Este Control")</f>
        <v/>
      </c>
      <c r="P70" s="107">
        <f>"Asegurar la correcta aplicación de: " &amp; IFERROR(VLOOKUP(A70, 'ANEXO A'!$A$2:$L$94, 2, FALSE), "Este Control") &amp; ". Objetivo central: Proteger la información."</f>
        <v/>
      </c>
      <c r="Q70" t="inlineStr">
        <is>
          <t>• Reporte de concentración de inversiones (DOCUMENTOS TÉCNICOS)
• Reporte de perdidas esperadas del portafolio de inversiones  (DOCUMENTOS TÉCNICOS)
• Reporte concentración fondos disponibles (DOCUMENTOS TÉCNICOS)
• Reporte de Alertas Tempranas de Liquidez (DOCUMENTOS TÉCNICOS)
• Reportes de stress testing de liquidez, Reportes de backtesting. (DOCUMENTOS TÉCNICOS)
• Reportes de backtesting de liquidez. (DOCUMENTOS TÉCNICOS)
• Hojas de trabajo (DOCUMENTOS TÉCNICOS)
• Informe de gestión de riesgos (DOCUMENTOS TÉCNICOS)
• Informe de gestión de riesgos (DOCUMENTOS TÉCNICOS)
• Acta del CAIR  (OTROS)
• Resolución del Consejo de Administración (OTROS)
• Registro de definición indicadores y límites de riesgos. (DOCUMENTOS TÉCNICOS)
• Plan de Contingencia de Liquidez 
 (NORMATIVA INTERNA)
• Anexo de activos para la venta (NORMATIVA INTERNA)
• Metodologías de Riesgo de Liquidez (NORMATIVA INTERNA)
• Plan de Gestión de Riesgo de Liquidez  (NORMATIVA INTERNA)</t>
        </is>
      </c>
      <c r="R70" t="inlineStr">
        <is>
          <t>NO</t>
        </is>
      </c>
      <c r="S70" t="inlineStr">
        <is>
          <t>69-GRI,
70-GRI,
71-GRI,
72-GRI,
73-GRI,
74-GRI,
75-GRI,
76-GRI,
77-GRI,
78-GRI,
79-GRI,
80-GRI,
81-GRI,
82-GRI,
83-GRI,
84-GRI</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f>"• Establecer lineamientos para " &amp; IFERROR(VLOOKUP(A71, 'ANEXO A'!$A$2:$L$94, 2, FALSE), "Este Control") &amp; CHAR(10) &amp; "• Definir roles para el control " &amp; A71 &amp; CHAR(10) &amp; "• Revisar efectividad de " &amp; IFERROR(VLOOKUP(A71, 'ANEXO A'!$A$2:$L$94, 2, FALSE), "Este Control")</f>
        <v/>
      </c>
      <c r="P71" s="107">
        <f>"Asegurar la correcta aplicación de: " &amp; IFERROR(VLOOKUP(A71, 'ANEXO A'!$A$2:$L$94, 2, FALSE), "Este Control") &amp; ". Objetivo central: Proteger la información."</f>
        <v/>
      </c>
      <c r="Q71" t="inlineStr">
        <is>
          <t>• Reporte de Quejas y Reclamos (DOCUMENTOS TÉCNICOS)
• Registro de eventos de riesgo de conducta de mercado (DOCUMENTOS TÉCNICOS)
• 
Matriz consolidada de riesgo de conducta de mercado. (DOCUMENTOS TÉCNICOS)
• Matriz consolidada de riesgo de conducta de mercado. (DOCUMENTOS TÉCNICOS)
• Informe de evaluación de aspectos de conducta de mercado. (DOCUMENTOS TÉCNICOS)
• Informe mensual (DOCUMENTOS TÉCNICOS)
• Acta CAIR (OTROS)
• Acta del Consejo de Administración (OTROS)
• Acta del Consejo de Vigilancia (OTROS)
• Registro de información del mercado (DOCUMENTOS TÉCNICOS)
• Reporte de Brechas de Sensibilidad (DOCUMENTOS TÉCNICOS)
• Tasa activa y pasiva referencial del BCE. (INFORMACIÓN DE TERCEROS)
• Patrimonio Técnico Constituido del formulario 229. (DOCUMENTOS TÉCNICOS)
• Registros de información del mercado. (SOFTWARE)
• Reportes de sensibilidad al margen financiero y valor patrimonial (DOCUMENTOS TÉCNICOS)
• Patrimonio Técnico Constituido del formulario 229. (DOCUMENTOS TÉCNICOS)</t>
        </is>
      </c>
      <c r="R71" t="inlineStr">
        <is>
          <t>NO</t>
        </is>
      </c>
      <c r="S71" t="inlineStr">
        <is>
          <t>85-GRI,
86-GRI,
87-GRI,
88-GRI,
89-GRI,
90-GRI,
91-GRI,
92-GRI,
93-GRI,
94-GRI,
95-GRI,
96-GRI,
97-GRI,
98-GRI,
99-GRI,
100-GRI</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f>"• Establecer lineamientos para " &amp; IFERROR(VLOOKUP(A72, 'ANEXO A'!$A$2:$L$94, 2, FALSE), "Este Control") &amp; CHAR(10) &amp; "• Definir roles para el control " &amp; A72 &amp; CHAR(10) &amp; "• Revisar efectividad de " &amp; IFERROR(VLOOKUP(A72, 'ANEXO A'!$A$2:$L$94, 2, FALSE), "Este Control")</f>
        <v/>
      </c>
      <c r="P72" s="107">
        <f>"Asegurar la correcta aplicación de: " &amp; IFERROR(VLOOKUP(A72, 'ANEXO A'!$A$2:$L$94, 2, FALSE), "Este Control") &amp; ". Objetivo central: Proteger la información."</f>
        <v/>
      </c>
      <c r="Q72" t="inlineStr">
        <is>
          <t>• Registros de información del mercado (SOFTWARE)
• Reportes estresados de sensibilidad al margen financiero y valor patrimonial (DOCUMENTOS TÉCNICOS)
• Boletín Financiero Segmento 1 (INFORMACIÓN DE TERCEROS)
• Boletín Patrimonio Técnico Segmento 1 (INFORMACIÓN DE TERCEROS)
• Herramienta de Power BI. (SOFTWARE)
• Base Histórica de Indicadores y Saldos del Segmento 1. (INFORMACIÓN DE TERCEROS)
• Reporte de las tasas de interés activa y pasiva referenciales del BCE. (INFORMACIÓN DE TERCEROS)
• Reporte de Captaciones, Crédito, Inversiones y Obligaciones Financieras. (DOCUMENTOS TÉCNICOS)
• Reporte de tasas (DOCUMENTOS TÉCNICOS)
• Reporte de tasas
 (DOCUMENTOS TÉCNICOS)
• Base histórica de balances
 (DOCUMENTOS TÉCNICOS)
• Tasas activas efectivas máximas por segmento del BCE (INFORMACIÓN DE TERCEROS)
• Base Histórica de Indicadores y Saldos del Segmento 1 (INFORMACIÓN DE TERCEROS)
• Herramienta de Tasas de Interés (DOCUMENTOS TÉCNICOS)
• Reporte de brechas de sensibilidad (DOCUMENTOS TÉCNICOS)
• Reportes sensibilidad al margen financiero y valor patrimonial (DOCUMENTOS TÉCNICOS)</t>
        </is>
      </c>
      <c r="R72" t="inlineStr">
        <is>
          <t>NO</t>
        </is>
      </c>
      <c r="S72" t="inlineStr">
        <is>
          <t>101-GRI,
102-GRI,
103-GRI,
104-GRI,
105-GRI,
106-GRI,
107-GRI,
108-GRI,
109-GRI,
110-GRI,
111-GRI,
112-GRI,
113-GRI,
114-GRI,
115-GRI,
116-GRI</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f>"• Establecer lineamientos para " &amp; IFERROR(VLOOKUP(A73, 'ANEXO A'!$A$2:$L$94, 2, FALSE), "Este Control") &amp; CHAR(10) &amp; "• Definir roles para el control " &amp; A73 &amp; CHAR(10) &amp; "• Revisar efectividad de " &amp; IFERROR(VLOOKUP(A73, 'ANEXO A'!$A$2:$L$94, 2, FALSE), "Este Control")</f>
        <v/>
      </c>
      <c r="P73" s="107">
        <f>"Asegurar la correcta aplicación de: " &amp; IFERROR(VLOOKUP(A73, 'ANEXO A'!$A$2:$L$94, 2, FALSE), "Este Control") &amp; ". Objetivo central: Proteger la información."</f>
        <v/>
      </c>
      <c r="Q73" t="inlineStr">
        <is>
          <t>• Reportes estresados de sensibilidad al margen financiero y valor patrimonial (DOCUMENTOS TÉCNICOS)
• Reporte de tasas (DOCUMENTOS TÉCNICOS)
• Formulario 229 (DOCUMENTOS TÉCNICOS)
• Reportes de la Inflación del consumidor (INFORMACIÓN DE TERCEROS)
• Reportes de la canasta básica familiar y canasta vital. (INFORMACIÓN DE TERCEROS)
• Boletines Mensuales de la SEPS. (INFORMACIÓN DE TERCEROS)
• Informe de Riesgos  (DOCUMENTOS TÉCNICOS)
• Informe de Riesgos (DOCUMENTOS TÉCNICOS)
• Acta del CAIR  (OTROS)
• Acta del Consejo de Administración  (OTROS)
• Registro de eventos de riesgo operativo (DOCUMENTOS TÉCNICOS)
• Matriz de Riesgo Operativo (DOCUMENTOS TÉCNICOS)
• Matriz de Riesgo operativo de eventos materializados (DOCUMENTOS TÉCNICOS)
• Matriz de resultados de las visitas a oficinas (DOCUMENTOS TÉCNICOS)
• Manuales de Procesos (DOCUMENTOS TÉCNICOS)
• Matriz de Riesgos Institucional (DOCUMENTOS TÉCNICOS)</t>
        </is>
      </c>
      <c r="R73" t="inlineStr">
        <is>
          <t>NO</t>
        </is>
      </c>
      <c r="S73" t="inlineStr">
        <is>
          <t>117-GRI,
118-GRI,
119-GRI,
120-GRI,
121-GRI,
122-GRI,
123-GRI,
124-GRI,
125-GRI,
126-GRI,
127-GRI,
128-GRI,
129-GRI,
130-GRI,
131-GRI,
132-GRI</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f>"• Establecer lineamientos para " &amp; IFERROR(VLOOKUP(A74, 'ANEXO A'!$A$2:$L$94, 2, FALSE), "Este Control") &amp; CHAR(10) &amp; "• Definir roles para el control " &amp; A74 &amp; CHAR(10) &amp; "• Revisar efectividad de " &amp; IFERROR(VLOOKUP(A74, 'ANEXO A'!$A$2:$L$94, 2, FALSE), "Este Control")</f>
        <v/>
      </c>
      <c r="P74" s="107">
        <f>"Asegurar la correcta aplicación de: " &amp; IFERROR(VLOOKUP(A74, 'ANEXO A'!$A$2:$L$94, 2, FALSE), "Este Control") &amp; ". Objetivo central: Proteger la información."</f>
        <v/>
      </c>
      <c r="Q74" t="inlineStr">
        <is>
          <t>• Informe de resultado de las matrices de riesgo. (DOCUMENTOS TÉCNICOS)
• Seguimento de planes de acción  (DOCUMENTOS TÉCNICOS)
• Informe del departamento Jurídico 
 (DOCUMENTOS TÉCNICOS)
• Matriz de Riesgo Legal (DOCUMENTOS TÉCNICOS)
• Reporte de análisis a los procesos legales (DOCUMENTOS TÉCNICOS)
• Propuesta de creación de productos y servicios   (DOCUMENTOS TÉCNICOS)
• Informe de Riesgos (DOCUMENTOS TÉCNICOS)
• Matriz de Riesgo operativo de eventos materializados (DOCUMENTOS TÉCNICOS)
• Matriz de resultados de las visitas a oficinas (DOCUMENTOS TÉCNICOS)
• Reporte de análisis a los procesos legales (DOCUMENTOS TÉCNICOS)
• Informe mensual de Riesgos (DOCUMENTOS TÉCNICOS)
• Informe de resultado de las matrices de riesgo.
 (DOCUMENTOS TÉCNICOS)
• Informe mensual de Riesgos  (DOCUMENTOS TÉCNICOS)
• Acta del CAIR (DOCUMENTOS TÉCNICOS)
• Acta del Consejo de Administración  (DOCUMENTOS TÉCNICOS)
• Informe de resultado de la capacitación  (DOCUMENTOS TÉCNICOS)</t>
        </is>
      </c>
      <c r="R74" t="inlineStr">
        <is>
          <t>NO</t>
        </is>
      </c>
      <c r="S74" t="inlineStr">
        <is>
          <t>133-GRI,
134-GRI,
135-GRI,
136-GRI,
137-GRI,
138-GRI,
139-GRI,
140-GRI,
141-GRI,
142-GRI,
143-GRI,
144-GRI,
145-GRI,
146-GRI,
147-GRI,
148-GRI</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f>"• Establecer lineamientos para " &amp; IFERROR(VLOOKUP(A75, 'ANEXO A'!$A$2:$L$94, 2, FALSE), "Este Control") &amp; CHAR(10) &amp; "• Definir roles para el control " &amp; A75 &amp; CHAR(10) &amp; "• Revisar efectividad de " &amp; IFERROR(VLOOKUP(A75, 'ANEXO A'!$A$2:$L$94, 2, FALSE), "Este Control")</f>
        <v/>
      </c>
      <c r="P75" s="107">
        <f>"Asegurar la correcta aplicación de: " &amp; IFERROR(VLOOKUP(A75, 'ANEXO A'!$A$2:$L$94, 2, FALSE), "Este Control") &amp; ". Objetivo central: Proteger la información."</f>
        <v/>
      </c>
      <c r="Q75" t="inlineStr">
        <is>
          <t>• Referencias Normativas (DOCUMENTOS TÉCNICOS)
• Ficha calificación procesos criticos (DOCUMENTOS TÉCNICOS)
• Ficha de recursos de procesos criticos (DOCUMENTOS TÉCNICOS)
• Ficha de tiempos y aplicaciones requeridas (DOCUMENTOS TÉCNICOS)
• Anexos detalle de información de equipos (DOCUMENTOS TÉCNICOS)
• Anexo de proveedores criticos (DOCUMENTOS TÉCNICOS)
• Determinación de Potecial de impacto económico (DOCUMENTOS TÉCNICOS)
• Analisis de evaluación de Riesgos (DOCUMENTOS TÉCNICOS)
• Planificación Estratégica (DOCUMENTOS TÉCNICOS)
• Inventario de Procesos   (DOCUMENTOS TÉCNICOS)
• Referencias Normativas (DOCUMENTOS TÉCNICOS)
• Informe de Análisis de Riesgos, Resolución CAIR  (DOCUMENTOS TÉCNICOS)
• Informe de Análisis de Riesgos (DOCUMENTOS TÉCNICOS)
• Informe de Análisis de Riesgos, Resolución CAIR (DOCUMENTOS TÉCNICOS)
• Resolución del CAIR  (DOCUMENTOS TÉCNICOS)
• Informe de Análisis de Riesgos (DOCUMENTOS TÉCNICOS)</t>
        </is>
      </c>
      <c r="R75" t="inlineStr">
        <is>
          <t>NO</t>
        </is>
      </c>
      <c r="S75" t="inlineStr">
        <is>
          <t>149-GRI,
150-GRI,
151-GRI,
152-GRI,
153-GRI,
154-GRI,
155-GRI,
156-GRI,
157-GRI,
158-GRI,
159-GRI,
160-GRI,
161-GRI,
162-GRI,
163-GRI,
164-GRI</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f>"• Establecer lineamientos para " &amp; IFERROR(VLOOKUP(A76, 'ANEXO A'!$A$2:$L$94, 2, FALSE), "Este Control") &amp; CHAR(10) &amp; "• Definir roles para el control " &amp; A76 &amp; CHAR(10) &amp; "• Revisar efectividad de " &amp; IFERROR(VLOOKUP(A76, 'ANEXO A'!$A$2:$L$94, 2, FALSE), "Este Control")</f>
        <v/>
      </c>
      <c r="P76" s="107">
        <f>"Asegurar la correcta aplicación de: " &amp; IFERROR(VLOOKUP(A76, 'ANEXO A'!$A$2:$L$94, 2, FALSE), "Este Control") &amp; ". Objetivo central: Proteger la información."</f>
        <v/>
      </c>
      <c r="Q76" t="inlineStr">
        <is>
          <t>• Cronograma sobre la planificación de la actualización de los documentos de continuidad del Negocio. (DOCUMENTOS TÉCNICOS)
• RIE-2023-110 Pruebas mantenimiento y difusiónBCP (DOCUMENTOS TÉCNICOS)
• Plan de Continuidad del Negocio (DOCUMENTOS TÉCNICOS)
• Manual de Gestión de Continuidad del Negocio (DOCUMENTOS TÉCNICOS)
• Metodología para la Gestión de Continuidad del Negocio (DOCUMENTOS TÉCNICOS)
• Metodología BIA (DOCUMENTOS TÉCNICOS)
• Plan de Contingencia Tecnología de la Información (DOCUMENTOS TÉCNICOS)
• Plan de Comunicación en Crisis (DOCUMENTOS TÉCNICOS)
• Plan de Contingencia Operaciones - Trans. Ventanilla (DOCUMENTOS TÉCNICOS)
• Plan de Contingencia por Cierre de Carreteras y Suspensión de Transporte (DOCUMENTOS TÉCNICOS)
• Plan de Contingencia Riesgo de Mercado (DOCUMENTOS TÉCNICOS)
• Plan de Contingencia - Pandemias (DOCUMENTOS TÉCNICOS)
• Plan de Contingencia frente a Robo y Asalto (DOCUMENTOS TÉCNICOS)
• Plan de Contingencia ante la Erupción del Volcán Cotopaxi (DOCUMENTOS TÉCNICOS)
• Plan de Contingencias Riesgo de Liquidez (DOCUMENTOS TÉCNICOS)
• Plan de Contingencias de Tesorería (DOCUMENTOS TÉCNICOS)</t>
        </is>
      </c>
      <c r="R76" t="inlineStr">
        <is>
          <t>NO</t>
        </is>
      </c>
      <c r="S76" t="inlineStr">
        <is>
          <t>165-GRI,
166-GRI,
167-GRI,
168-GRI,
169-GRI,
170-GRI,
171-GRI,
172-GRI,
173-GRI,
174-GRI,
175-GRI,
176-GRI,
177-GRI,
178-GRI,
179-GRI,
180-GRI</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f>"• Establecer lineamientos para " &amp; IFERROR(VLOOKUP(A77, 'ANEXO A'!$A$2:$L$94, 2, FALSE), "Este Control") &amp; CHAR(10) &amp; "• Definir roles para el control " &amp; A77 &amp; CHAR(10) &amp; "• Revisar efectividad de " &amp; IFERROR(VLOOKUP(A77, 'ANEXO A'!$A$2:$L$94, 2, FALSE), "Este Control")</f>
        <v/>
      </c>
      <c r="P77" s="107">
        <f>"Asegurar la correcta aplicación de: " &amp; IFERROR(VLOOKUP(A77, 'ANEXO A'!$A$2:$L$94, 2, FALSE), "Este Control") &amp; ". Objetivo central: Proteger la información."</f>
        <v/>
      </c>
      <c r="Q77" t="inlineStr">
        <is>
          <t>• Plan de Emergencia Oficina Matriz (DOCUMENTOS TÉCNICOS)
• Plan de Emergencia Suc. Ibarra (DOCUMENTOS TÉCNICOS)
• Plan de Emergencia Suc. Otavalo (DOCUMENTOS TÉCNICOS)
• Plan de Emergencia Ag. Pimampiro (DOCUMENTOS TÉCNICOS)
• Plan de Emergencia Ag. Cotacachi (DOCUMENTOS TÉCNICOS)
• Plan de Emergencia Ag. Ibarra (DOCUMENTOS TÉCNICOS)
• Plan de Emergencia Ag. Ejido (DOCUMENTOS TÉCNICOS)
• Plan de Emergencia Ag. Villaflora (DOCUMENTOS TÉCNICOS)
• Plan de Emergencia Ag. Carapungo (DOCUMENTOS TÉCNICOS)
• Plan de Emergencia Agencia Cayambe (DOCUMENTOS TÉCNICOS)
• Plan de Emergencia Ag. Ambato (DOCUMENTOS TÉCNICOS)
• Plan de Viabilidad (DOCUMENTOS TÉCNICOS)
• Plan de Acción Fenómeno de "El Niño" (DOCUMENTOS TÉCNICOS)
• Matriz de Actualización de documentos de la Gestión de Continuidad (DOCUMENTOS TÉCNICOS)
• Cronograma sobre la planificación de la actualización de los documentos de continuidad del Negocio. (DOCUMENTOS TÉCNICOS)
• Cronograma de pruebas de Continuidad del Negocio (DOCUMENTOS TÉCNICOS)</t>
        </is>
      </c>
      <c r="R77" t="inlineStr">
        <is>
          <t>NO</t>
        </is>
      </c>
      <c r="S77" t="inlineStr">
        <is>
          <t>181-GRI,
182-GRI,
183-GRI,
184-GRI,
185-GRI,
186-GRI,
187-GRI,
188-GRI,
189-GRI,
190-GRI,
191-GRI,
192-GRI,
193-GRI,
194-GRI,
195-GRI,
196-GRI</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f>"• Establecer lineamientos para " &amp; IFERROR(VLOOKUP(A78, 'ANEXO A'!$A$2:$L$94, 2, FALSE), "Este Control") &amp; CHAR(10) &amp; "• Definir roles para el control " &amp; A78 &amp; CHAR(10) &amp; "• Revisar efectividad de " &amp; IFERROR(VLOOKUP(A78, 'ANEXO A'!$A$2:$L$94, 2, FALSE), "Este Control")</f>
        <v/>
      </c>
      <c r="P78" s="107">
        <f>"Asegurar la correcta aplicación de: " &amp; IFERROR(VLOOKUP(A78, 'ANEXO A'!$A$2:$L$94, 2, FALSE), "Este Control") &amp; ". Objetivo central: Proteger la información."</f>
        <v/>
      </c>
      <c r="Q78" t="inlineStr">
        <is>
          <t>• Certificación de Consejo de Administración  (DOCUMENTOS TÉCNICOS)
• Cronograma de capacitación (DOCUMENTOS TÉCNICOS)
• Evaluación de continuidad del negocio (DOCUMENTOS TÉCNICOS)
• Sistema RDS (SOFTWARE)
• Gerente de Riesgos (RECURSO HUMANO)
• Oficial Analista Integral de Riegos  (RECURSO HUMANO)
• Analista de Riesgo de Credito (RECURSO HUMANO)
• analista de Riesgo Operativo (RECURSO HUMANO)
• Analista de Riesgo del Mercado (RECURSO HUMANO)
• Metodologías para la Administración de Riesgo de Crédito (DOCUMENTOS TÉCNICOS)
• Manuales de la Gestión de Colocación (DOCUMENTOS TÉCNICOS)
• Manuales de la Gestión de Recuperación (DOCUMENTOS TÉCNICOS)
• Instructivo de Procesos Mensuales Software de Riesgo de Crédito HCRisk (SOFTWARE)
• Reporte basetransición (DOCUMENTOS TÉCNICOS)
• Reporte de Matrices de Transición (DOCUMENTOS TÉCNICOS)
• Reporte Matriz de Transición y Cosechas para Negocios. (DOCUMENTOS TÉCNICOS)</t>
        </is>
      </c>
      <c r="R78" t="inlineStr">
        <is>
          <t>NO</t>
        </is>
      </c>
      <c r="S78" t="inlineStr">
        <is>
          <t>197-GRI,
198-GRI,
199-GRI,
200-GRI,
201-GRI,
202-GRI,
203-GRI,
204-GRI,
205-GRI,
206-GRI,
207-GRI,
208-GRI,
209-GRI,
210-GRI,
211-GRI,
212-GRI</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f>"• Establecer lineamientos para " &amp; IFERROR(VLOOKUP(A79, 'ANEXO A'!$A$2:$L$94, 2, FALSE), "Este Control") &amp; CHAR(10) &amp; "• Definir roles para el control " &amp; A79 &amp; CHAR(10) &amp; "• Revisar efectividad de " &amp; IFERROR(VLOOKUP(A79, 'ANEXO A'!$A$2:$L$94, 2, FALSE), "Este Control")</f>
        <v/>
      </c>
      <c r="P79" s="107">
        <f>"Asegurar la correcta aplicación de: " &amp; IFERROR(VLOOKUP(A79, 'ANEXO A'!$A$2:$L$94, 2, FALSE), "Este Control") &amp; ". Objetivo central: Proteger la información."</f>
        <v/>
      </c>
      <c r="Q79" t="inlineStr">
        <is>
          <t>• Reporte Credireport (DOCUMENTOS TÉCNICOS)
• Reporte de Cosechas (DOCUMENTOS TÉCNICOS)
• Reporte Matriz de Transición y Cosechas para Negocios. (DOCUMENTOS TÉCNICOS)
• Reporte Credireport (DOCUMENTOS TÉCNICOS)
• Reporte de Alturas de Vida (DOCUMENTOS TÉCNICOS)
• Reporte Cali_Of (DOCUMENTOS TÉCNICOS)
• Reporte Cartera_Total (DOCUMENTOS TÉCNICOS)
• Reporte Credireport (DOCUMENTOS TÉCNICOS)
• Balance del mes actual (DOCUMENTOS TÉCNICOS)
• Reporte Cali_tot (DOCUMENTOS TÉCNICOS)
• Reporte de Calificación de Reestructurados y Refinanciados (DOCUMENTOS TÉCNICOS)
• Reporte Cartera Provisión (DOCUMENTOS TÉCNICOS)
• Reporte Aux Contable (DOCUMENTOS TÉCNICOS)
• Informe de activos de riesgos y constitución de provisiones (DOCUMENTOS TÉCNICOS)
• Reporte Cadetaca (DOCUMENTOS TÉCNICOS)
• Reporte de calificación y provisión semanal  (DOCUMENTOS TÉCNICOS)</t>
        </is>
      </c>
      <c r="R79" t="inlineStr">
        <is>
          <t>NO</t>
        </is>
      </c>
      <c r="S79" t="inlineStr">
        <is>
          <t>213-GRI,
214-GRI,
215-GRI,
216-GRI,
217-GRI,
218-GRI,
219-GRI,
220-GRI,
221-GRI,
222-GRI,
223-GRI,
224-GRI,
225-GRI,
226-GRI,
227-GRI,
228-GRI</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f>"• Establecer lineamientos para " &amp; IFERROR(VLOOKUP(A80, 'ANEXO A'!$A$2:$L$94, 2, FALSE), "Este Control") &amp; CHAR(10) &amp; "• Definir roles para el control " &amp; A80 &amp; CHAR(10) &amp; "• Revisar efectividad de " &amp; IFERROR(VLOOKUP(A80, 'ANEXO A'!$A$2:$L$94, 2, FALSE), "Este Control")</f>
        <v/>
      </c>
      <c r="P80" s="107">
        <f>"Asegurar la correcta aplicación de: " &amp; IFERROR(VLOOKUP(A80, 'ANEXO A'!$A$2:$L$94, 2, FALSE), "Este Control") &amp; ". Objetivo central: Proteger la información."</f>
        <v/>
      </c>
      <c r="Q80" t="inlineStr">
        <is>
          <t>• Tabla rc_cliente_variable (DOCUMENTOS TÉCNICOS)
• Indicadores y Reportes para: Seguimiento y Control Rentabilidad ajustada al riesgo Requerimiento de Capital Reforzar el otorgamiento (SOFTWARE)
• Reporte de Matrices de Transición (DOCUMENTOS TÉCNICOS)
• Reporte de Cosechas (DOCUMENTOS TÉCNICOS)
• Reporte Cartera_Total (DOCUMENTOS TÉCNICOS)
• Hoja de Trabajo de Revisión de Créditos vigentes Normativa Interna (DOCUMENTOS TÉCNICOS)
• Reporte Cartera_Total (DOCUMENTOS TÉCNICOS)
• Reporte de vinculados y familiares de las personas reportadas en el formulario 250 (DOCUMENTOS TÉCNICOS)
• Formulario 250B (DOCUMENTOS TÉCNICOS)
• Reporte de Gestión de Recuperación de Créditos Vinculados (DOCUMENTOS TÉCNICOS)
• Reporte Credireport (DOCUMENTOS TÉCNICOS)
• Reporte de Vinculados (DOCUMENTOS TÉCNICOS)
• Reporte de validación del listado 250  (DOCUMENTOS TÉCNICOS)
• Reporte restrucfin (DOCUMENTOS TÉCNICOS)
• Reporte de calificación créditos restructurados y refinanciados (DOCUMENTOS TÉCNICOS)
• Solicitud de Crédito de operaciones Reestructuras y Refinanciadas  (DOCUMENTOS TÉCNICOS)</t>
        </is>
      </c>
      <c r="R80" t="inlineStr">
        <is>
          <t>NO</t>
        </is>
      </c>
      <c r="S80" t="inlineStr">
        <is>
          <t>229-GRI,
230-GRI,
231-GRI,
232-GRI,
233-GRI,
234-GRI,
235-GRI,
236-GRI,
237-GRI,
238-GRI,
239-GRI,
240-GRI,
241-GRI,
242-GRI,
243-GRI,
244-GRI</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f>"• Establecer lineamientos para " &amp; IFERROR(VLOOKUP(A81, 'ANEXO A'!$A$2:$L$94, 2, FALSE), "Este Control") &amp; CHAR(10) &amp; "• Definir roles para el control " &amp; A81 &amp; CHAR(10) &amp; "• Revisar efectividad de " &amp; IFERROR(VLOOKUP(A81, 'ANEXO A'!$A$2:$L$94, 2, FALSE), "Este Control")</f>
        <v/>
      </c>
      <c r="P81" s="107">
        <f>"Asegurar la correcta aplicación de: " &amp; IFERROR(VLOOKUP(A81, 'ANEXO A'!$A$2:$L$94, 2, FALSE), "Este Control") &amp; ". Objetivo central: Proteger la información."</f>
        <v/>
      </c>
      <c r="Q81" t="inlineStr">
        <is>
          <t>• Reporte de Seguimiento Reestr-Ref (DOCUMENTOS TÉCNICOS)
• Recomendación de aprobación o negación de las operaciones reestructuradas y refinanciadas  (DOCUMENTOS TÉCNICOS)
• Balance Mensual validado (DOCUMENTOS TÉCNICOS)
• Registro de definición indicadores y límites de riesgos (DOCUMENTOS TÉCNICOS)
• Reporte Cartera_Vigente (DOCUMENTOS TÉCNICOS)
• Reporte Credireport (DOCUMENTOS TÉCNICOS)
• Reporte de Alertas Tempranas de Crédito (DOCUMENTOS TÉCNICOS)
• Reporte de Seguimiento de límites (DOCUMENTOS TÉCNICOS)
• Reporte Maduración de Cartera  (DOCUMENTOS TÉCNICOS)
• Reporte de Matrices de Transición (DOCUMENTOS TÉCNICOS)
• Reporte de Cosechas (DOCUMENTOS TÉCNICOS)
• Reporte de Alturas de Vida (DOCUMENTOS TÉCNICOS)
• Resumen de Cumplimiento de políticas y normativa interna (DOCUMENTOS TÉCNICOS)
• Reporte de Vinculados  (DOCUMENTOS TÉCNICOS)
• Reporte de validación del listado 250  (DOCUMENTOS TÉCNICOS)
• Reporte de Seguimiento Reestr-Ref (DOCUMENTOS TÉCNICOS)</t>
        </is>
      </c>
      <c r="R81" t="inlineStr">
        <is>
          <t>NO</t>
        </is>
      </c>
      <c r="S81" t="inlineStr">
        <is>
          <t>245-GRI,
246-GRI,
247-GRI,
248-GRI,
249-GRI,
250-GRI,
251-GRI,
252-GRI,
253-GRI,
254-GRI,
255-GRI,
256-GRI,
257-GRI,
258-GRI,
259-GRI,
260-GRI</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f>"• Establecer lineamientos para " &amp; IFERROR(VLOOKUP(A82, 'ANEXO A'!$A$2:$L$94, 2, FALSE), "Este Control") &amp; CHAR(10) &amp; "• Definir roles para el control " &amp; A82 &amp; CHAR(10) &amp; "• Revisar efectividad de " &amp; IFERROR(VLOOKUP(A82, 'ANEXO A'!$A$2:$L$94, 2, FALSE), "Este Control")</f>
        <v/>
      </c>
      <c r="P82" s="107">
        <f>"Asegurar la correcta aplicación de: " &amp; IFERROR(VLOOKUP(A82, 'ANEXO A'!$A$2:$L$94, 2, FALSE), "Este Control") &amp; ". Objetivo central: Proteger la información."</f>
        <v/>
      </c>
      <c r="Q82" t="inlineStr">
        <is>
          <t>• Reporte de Alertas Tempranas de Crédito (DOCUMENTOS TÉCNICOS)
• Balances Mensuales (DOCUMENTOS TÉCNICOS)
• Reporte Seguimiento de Límites (DOCUMENTOS TÉCNICOS)
• Reporte Credireport (DOCUMENTOS TÉCNICOS)
• Reporte Cartera_vig (DOCUMENTOS TÉCNICOS)
• Indicadores de Riesgos, seguimiento y rentabilidad generados en el Software de Riesgo de Crédito HCRISK (DOCUMENTOS TÉCNICOS)
• Reporte Aux Contable (DOCUMENTOS TÉCNICOS)
• Reporte Gestión Crédito (DOCUMENTOS TÉCNICOS)
• Reporte Mora Asesores (DOCUMENTOS TÉCNICOS)
• Reporte Colocación (DOCUMENTOS TÉCNICOS)
• Hojas de Trabajo (DOCUMENTOS TÉCNICOS)
• Informe mensual del Departamento de Riesgos (DOCUMENTOS TÉCNICOS)
• Informe mensual del Departamento de Riesgos (DOCUMENTOS TÉCNICOS)
• Resolución del CAIR (DOCUMENTOS TÉCNICOS)
• Resolución del Consejo de Administración (DOCUMENTOS TÉCNICOS)
• Resolución del Consejo de Vigilancia (DOCUMENTOS TÉCNICOS)</t>
        </is>
      </c>
      <c r="R82" t="inlineStr">
        <is>
          <t>NO</t>
        </is>
      </c>
      <c r="S82" t="inlineStr">
        <is>
          <t>261-GRI,
262-GRI,
263-GRI,
264-GRI,
265-GRI,
266-GRI,
267-GRI,
268-GRI,
269-GRI,
270-GRI,
271-GRI,
272-GRI,
273-GRI,
274-GRI,
275-GRI,
276-GRI</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f>"• Establecer lineamientos para " &amp; IFERROR(VLOOKUP(A83, 'ANEXO A'!$A$2:$L$94, 2, FALSE), "Este Control") &amp; CHAR(10) &amp; "• Definir roles para el control " &amp; A83 &amp; CHAR(10) &amp; "• Revisar efectividad de " &amp; IFERROR(VLOOKUP(A83, 'ANEXO A'!$A$2:$L$94, 2, FALSE), "Este Control")</f>
        <v/>
      </c>
      <c r="P83" s="107">
        <f>"Asegurar la correcta aplicación de: " &amp; IFERROR(VLOOKUP(A83, 'ANEXO A'!$A$2:$L$94, 2, FALSE), "Este Control") &amp; ". Objetivo central: Proteger la información."</f>
        <v/>
      </c>
      <c r="Q83" t="inlineStr">
        <is>
          <t>• Solicitud de calificación de empresa proveedora (COMUNICACIÓN INTERNA)
• Matriz de Evaluación al Proveedor (DOCUMENTOS TÉCNICOS)
• Informe de Calificación de Empresas para la compra de cartera (DOCUMENTOS TÉCNICOS)
• Files de Crédito de las Operaciones posibles de compra (OTROS)
• Revisión Buró de Crédito (DOCUMENTOS TÉCNICOS)
• Matriz de revisión para Comprar de Cartera (DOCUMENTOS TÉCNICOS)
• Informe de Compra de Cartera (DOCUMENTOS TÉCNICOS)
• Informes de gestión del área de Cobranza  (DOCUMENTOS TÉCNICOS)
• Informes de gestión del Departamento Jurídico  (DOCUMENTOS TÉCNICOS)
• Reporte Cartera_Total (DOCUMENTOS TÉCNICOS)
• Reporte Cartera_Vig (DOCUMENTOS TÉCNICOS)
• Reporte de Castigos  (DOCUMENTOS TÉCNICOS)
• Informe de Operaciones a Castigar (DOCUMENTOS TÉCNICOS)
• Resolución SEPS-IGT-IGS-IGJ-INFMR-INR-INGINT-2022-003 (OTROS)
• Código Orgánico del Ambiente (OTROS)
• Categorización Ambiental Nacional (CCAN) (OTROS)</t>
        </is>
      </c>
      <c r="R83" t="inlineStr">
        <is>
          <t>NO</t>
        </is>
      </c>
      <c r="S83" t="inlineStr">
        <is>
          <t>277-GRI,
278-GRI,
279-GRI,
280-GRI,
281-GRI,
282-GRI,
283-GRI,
284-GRI,
285-GRI,
286-GRI,
287-GRI,
288-GRI,
289-GRI,
290-GRI,
291-GRI,
292-GRI</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f>"• Establecer lineamientos para " &amp; IFERROR(VLOOKUP(A84, 'ANEXO A'!$A$2:$L$94, 2, FALSE), "Este Control") &amp; CHAR(10) &amp; "• Definir roles para el control " &amp; A84 &amp; CHAR(10) &amp; "• Revisar efectividad de " &amp; IFERROR(VLOOKUP(A84, 'ANEXO A'!$A$2:$L$94, 2, FALSE), "Este Control")</f>
        <v/>
      </c>
      <c r="P84" s="107">
        <f>"Asegurar la correcta aplicación de: " &amp; IFERROR(VLOOKUP(A84, 'ANEXO A'!$A$2:$L$94, 2, FALSE), "Este Control") &amp; ". Objetivo central: Proteger la información."</f>
        <v/>
      </c>
      <c r="Q84" t="inlineStr">
        <is>
          <t>• Sistema Único de información Ambiental-SUIA (OTROS)
• Normas de desempeño de la Corporación Financiera Internacional-IFC (OTROS)
• Sistema de gestión Ambiental y social (SGAS)- MIPYMES (OTROS)
• Metodología para la administración del riesgo ambiental y social  (DOCUMENTOS TÉCNICOS)
• Anexo 2: Categorización por Actividad Económica – Ecuador (DOCUMENTOS TÉCNICOS)
• Lista de Exclusión (DOCUMENTOS TÉCNICOS)
• Anexo 2: Categorización por Actividad Económica – Ecuador (DOCUMENTOS TÉCNICOS)
• Metodología SARAS (DOCUMENTOS TÉCNICOS)
• Metodología de categorización de riesgos (DOCUMENTOS TÉCNICOS)
• Resultado de la aplicación de la metodología (DOCUMENTOS TÉCNICOS)
• Resultado de la aplicación de la metodología (DOCUMENTOS TÉCNICOS)
• Matriz de verificación mínima del desempeño ambiental y social (DOCUMENTOS TÉCNICOS)
• Matriz de verificación mínima del desempeño ambiental y social (DOCUMENTOS TÉCNICOS)
• Matriz de verificación mínima del desempeño ambiental y social  (DOCUMENTOS TÉCNICOS)
• Plan de Acción (DOCUMENTOS TÉCNICOS)
• Plan de Acción (DOCUMENTOS TÉCNICOS)</t>
        </is>
      </c>
      <c r="R84" t="inlineStr">
        <is>
          <t>NO</t>
        </is>
      </c>
      <c r="S84" t="inlineStr">
        <is>
          <t>293-GRI,
294-GRI,
295-GRI,
296-GRI,
297-GRI,
298-GRI,
299-GRI,
300-GRI,
301-GRI,
302-GRI,
303-GRI,
304-GRI,
305-GRI,
306-GRI,
307-GRI,
308-GRI</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f>"• Establecer lineamientos para " &amp; IFERROR(VLOOKUP(A85, 'ANEXO A'!$A$2:$L$94, 2, FALSE), "Este Control") &amp; CHAR(10) &amp; "• Definir roles para el control " &amp; A85 &amp; CHAR(10) &amp; "• Revisar efectividad de " &amp; IFERROR(VLOOKUP(A85, 'ANEXO A'!$A$2:$L$94, 2, FALSE), "Este Control")</f>
        <v/>
      </c>
      <c r="P85" s="107">
        <f>"Asegurar la correcta aplicación de: " &amp; IFERROR(VLOOKUP(A85, 'ANEXO A'!$A$2:$L$94, 2, FALSE), "Este Control") &amp; ". Objetivo central: Proteger la información."</f>
        <v/>
      </c>
      <c r="Q85" t="inlineStr">
        <is>
          <t>• File del crédito (DOCUMENTOS TÉCNICOS)
• Panel del Power BI (DOCUMENTOS TÉCNICOS)
• Formulario de Preguntas, Quejas, Reclamos y Sugerencias (DOCUMENTOS TÉCNICOS)
• Reporte de quejas por SARAS (SOFTWARE)
• Reporte de operaciones de crédito concedidas  (DOCUMENTOS TÉCNICOS)
• Detalle de capacitaciones de SARAS efectuadas (DOCUMENTOS TÉCNICOS)
• Reporte de quejas por SARAS (DOCUMENTOS TÉCNICOS)
• Informe Mensual de Riesgos (DOCUMENTOS TÉCNICOS)
• Informe Anual de Gestión de Riesgo Ambiental y Social (DOCUMENTOS TÉCNICOS)
• Acta de Consejo de Administración con la aprobación del informe (DOCUMENTOS TÉCNICOS)
• Matriz de evaluación de riesgos físicos (DOCUMENTOS TÉCNICOS)
• Herramienta de Análisis de Vulnerabilidades (DOCUMENTOS TÉCNICOS)
• Herramienta de Evaluación del Perfil de Seguridad (SOFTWARE)
• Estudio de Seguridad de las instalaciones (DOCUMENTOS TÉCNICOS)
• Certificación de las instalaciones (DOCUMENTOS HABILITANTES)
• Plan anual de seguridad física (DOCUMENTOS TÉCNICOS)</t>
        </is>
      </c>
      <c r="R85" t="inlineStr">
        <is>
          <t>NO</t>
        </is>
      </c>
      <c r="S85" t="inlineStr">
        <is>
          <t>309-GRI,
310-GRI,
311-GRI,
312-GRI,
313-GRI,
314-GRI,
315-GRI,
316-GRI,
317-GRI,
318-GRI,
1-GSO,
2-GSO,
3-GSO,
4-GSO,
5-GSO,
6-GSO</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f>"• Establecer lineamientos para " &amp; IFERROR(VLOOKUP(A86, 'ANEXO A'!$A$2:$L$94, 2, FALSE), "Este Control") &amp; CHAR(10) &amp; "• Definir roles para el control " &amp; A86 &amp; CHAR(10) &amp; "• Revisar efectividad de " &amp; IFERROR(VLOOKUP(A86, 'ANEXO A'!$A$2:$L$94, 2, FALSE), "Este Control")</f>
        <v/>
      </c>
      <c r="P86" s="107">
        <f>"Asegurar la correcta aplicación de: " &amp; IFERROR(VLOOKUP(A86, 'ANEXO A'!$A$2:$L$94, 2, FALSE), "Este Control") &amp; ". Objetivo central: Proteger la información."</f>
        <v/>
      </c>
      <c r="Q86" t="inlineStr">
        <is>
          <t>• Reporte de accesos físicos asignados (DOCUMENTOS TÉCNICOS)
• Formulario de entrega de tarjeta (DOCUMENTOS HABILITANTES)
• Informe mensual de Gestión de Seguridad Física (DOCUMENTOS TÉCNICOS)
• Justificativos (DOCUMENTOS TÉCNICOS)
• Sobres lacrados con claves de contingencia (DOCUMENTOS TÉCNICOS)
• Actas entrega recepción de claves de bóveda y caja fuerte (DOCUMENTOS HABILITANTES)
• Actas entrega recepción remitido por el proveedor (DOCUMENTOS HABILITANTES)
• Informe técnico de mantenimiento (DOCUMENTOS TÉCNICOS)
• Registro de incidentes de seguridad (DOCUMENTOS TÉCNICOS)
• Informe de eventos (DOCUMENTOS TÉCNICOS)
• Informe mensual de Gestión (DOCUMENTOS TÉCNICOS)
• Informe técnico de mantenimiento (DOCUMENTOS TÉCNICOS)
• Formulario de verificación de funcionamiento de CCTV (DOCUMENTOS TÉCNICOS)
• Bitácora de registro de novedades (DOCUMENTOS TÉCNICOS)
• Reporte de apertura de oficinas (DOCUMENTOS TÉCNICOS)
• Bitácora de registro de novedades (DOCUMENTOS TÉCNICOS)</t>
        </is>
      </c>
      <c r="R86" t="inlineStr">
        <is>
          <t>NO</t>
        </is>
      </c>
      <c r="S86" t="inlineStr">
        <is>
          <t>7-GSO,
8-GSO,
9-GSO,
10-GSO,
11-GSO,
12-GSO,
13-GSO,
14-GSO,
15-GSO,
16-GSO,
17-GSO,
18-GSO,
19-GSO,
20-GSO,
21-GSO,
22-GSO</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f>"• Establecer lineamientos para " &amp; IFERROR(VLOOKUP(A87, 'ANEXO A'!$A$2:$L$94, 2, FALSE), "Este Control") &amp; CHAR(10) &amp; "• Definir roles para el control " &amp; A87 &amp; CHAR(10) &amp; "• Revisar efectividad de " &amp; IFERROR(VLOOKUP(A87, 'ANEXO A'!$A$2:$L$94, 2, FALSE), "Este Control")</f>
        <v/>
      </c>
      <c r="P87" s="107">
        <f>"Asegurar la correcta aplicación de: " &amp; IFERROR(VLOOKUP(A87, 'ANEXO A'!$A$2:$L$94, 2, FALSE), "Este Control") &amp; ". Objetivo central: Proteger la información."</f>
        <v/>
      </c>
      <c r="Q87" t="inlineStr">
        <is>
          <t>• Registro de incidentes de seguridad (DOCUMENTOS TÉCNICOS)
• Bitácora de registro de novedades (DOCUMENTOS TÉCNICOS)
• Acta entrega recepción del usuario de bóveda pulmón (DOCUMENTOS HABILITANTES)
• Registro de emisión de claves OTP (DOCUMENTOS TÉCNICOS)
• Registro de autenticación de usuarios bóveda pulmón (DOCUMENTOS TÉCNICOS)
• Formulario evaluación de políticas de seguridad (DOCUMENTOS TÉCNICOS)
• Reporte de novedades (DOCUMENTOS TÉCNICOS)
• Informe de eventos producidos (DOCUMENTOS TÉCNICOS)
• Bitácora de registro de novedades (DOCUMENTOS TÉCNICOS)
• Formulario de autorización de accesos de proveedores (DOCUMENTOS TÉCNICOS)
• Bitácora de registro de novedades (DOCUMENTOS TÉCNICOS)
• Formulario de salida de activos (DOCUMENTOS TÉCNICOS)
• Bitácora de registro de novedades (DOCUMENTOS TÉCNICOS)
• Cuestionario de evaluación de políticas de seguridad (DOCUMENTOS TÉCNICOS)
• Solicitud de Adquisiciones (DOCUMENTOS TÉCNICOS)
• Informe de satisfacción del servicio de vigilancia (DOCUMENTOS TÉCNICOS)</t>
        </is>
      </c>
      <c r="R87" t="inlineStr">
        <is>
          <t>NO</t>
        </is>
      </c>
      <c r="S87" t="inlineStr">
        <is>
          <t>23-GSO,
24-GSO,
25-GSO,
26-GSO,
27-GSO,
28-GSO,
29-GSO,
30-GSO,
31-GSO,
32-GSO,
33-GSO,
34-GSO,
35-GSO,
36-GSO,
37-GSO,
38-GSO</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f>"• Establecer lineamientos para " &amp; IFERROR(VLOOKUP(A88, 'ANEXO A'!$A$2:$L$94, 2, FALSE), "Este Control") &amp; CHAR(10) &amp; "• Definir roles para el control " &amp; A88 &amp; CHAR(10) &amp; "• Revisar efectividad de " &amp; IFERROR(VLOOKUP(A88, 'ANEXO A'!$A$2:$L$94, 2, FALSE), "Este Control")</f>
        <v/>
      </c>
      <c r="P88" s="107">
        <f>"Asegurar la correcta aplicación de: " &amp; IFERROR(VLOOKUP(A88, 'ANEXO A'!$A$2:$L$94, 2, FALSE), "Este Control") &amp; ". Objetivo central: Proteger la información."</f>
        <v/>
      </c>
      <c r="Q88" t="inlineStr">
        <is>
          <t>• Factura (COMUNICACIÓN INTERNA)
• Equipos de computación  (HARDWARE)
• Oficial de Seguridad Física (RECURSO HUMANO)
• Bitácora de seguridades de la Información (DOCUMENTOS TÉCNICOS)
• Bitácora de seguridades de la Información (DOCUMENTOS TÉCNICOS)
• Bitácora de seguridades de la Información (DOCUMENTOS TÉCNICOS)
• Bitácora de seguridades de la Información (DOCUMENTOS TÉCNICOS)
• Bitácora de seguridades de la Información (DOCUMENTOS TÉCNICOS)
• Matriz de roles y perfiles (DOCUMENTOS TÉCNICOS)
• Matriz de transacciones por rol (DOCUMENTOS TÉCNICOS)
• Plan de acción (DOCUMENTOS TÉCNICOS)
• Matriz de roles y perfiles (DOCUMENTOS TÉCNICOS)
• Requerimiento de Servicie Desk (DOCUMENTOS TÉCNICOS)
• Formulario de cambio de claves críticas (DOCUMENTOS TÉCNICOS)
• Acta entrega recepción (DOCUMENTOS HABILITANTES)
• Llaves criptográficas (DOCUMENTOS TÉCNICOS)</t>
        </is>
      </c>
      <c r="R88" t="inlineStr">
        <is>
          <t>NO</t>
        </is>
      </c>
      <c r="S88" t="inlineStr">
        <is>
          <t>39-GSO,
40-GSO,
41-GSO,
42-GSO,
43-GSO,
44-GSO,
45-GSO,
46-GSO,
47-GSO,
48-GSO,
49-GSO,
50-GSO,
51-GSO,
52-GSO,
53-GSO,
54-GSO</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f>"• Establecer lineamientos para " &amp; IFERROR(VLOOKUP(A89, 'ANEXO A'!$A$2:$L$94, 2, FALSE), "Este Control") &amp; CHAR(10) &amp; "• Definir roles para el control " &amp; A89 &amp; CHAR(10) &amp; "• Revisar efectividad de " &amp; IFERROR(VLOOKUP(A89, 'ANEXO A'!$A$2:$L$94, 2, FALSE), "Este Control")</f>
        <v/>
      </c>
      <c r="P89" s="107">
        <f>"Asegurar la correcta aplicación de: " &amp; IFERROR(VLOOKUP(A89, 'ANEXO A'!$A$2:$L$94, 2, FALSE), "Este Control") &amp; ". Objetivo central: Proteger la información."</f>
        <v/>
      </c>
      <c r="Q89" t="inlineStr">
        <is>
          <t>• Matriz de riesgos de Seguridad de la Información (DOCUMENTOS TÉCNICOS)
• Formulario activación o desactivación de la auditoria (DOCUMENTOS TÉCNICOS)
• Informe de incidentes (DOCUMENTOS TÉCNICOS)
• Informe de revisión y monitoreo de políticas de seguridad de la información (DOCUMENTOS TÉCNICOS)
• Informe de escaneo de tarjeta habiente (DOCUMENTOS TÉCNICOS)
• Informe de análisis de redes Wireless (DOCUMENTOS TÉCNICOS)
• Informe de vulnerabilidades y acciones (DOCUMENTOS TÉCNICOS)
• Informe Ethical Hacking (DOCUMENTOS TÉCNICOS)
• Plan de acción (DOCUMENTOS TÉCNICOS)
• Informe de gestión mensual (DOCUMENTOS TÉCNICOS)
• Equipos de computación  (HARDWARE)
• Oficial de Seguridad de la Información (RECURSO HUMANO)</t>
        </is>
      </c>
      <c r="R89" t="inlineStr">
        <is>
          <t>NO</t>
        </is>
      </c>
      <c r="S89" t="inlineStr">
        <is>
          <t>55-GSO,
56-GSO,
57-GSO,
58-GSO,
59-GSO,
60-GSO,
61-GSO,
62-GSO,
63-GSO,
64-GSO,
65-GSO,
66-GSO</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f>"• Establecer lineamientos para " &amp; IFERROR(VLOOKUP(A90, 'ANEXO A'!$A$2:$L$94, 2, FALSE), "Este Control") &amp; CHAR(10) &amp; "• Definir roles para el control " &amp; A90 &amp; CHAR(10) &amp; "• Revisar efectividad de " &amp; IFERROR(VLOOKUP(A90, 'ANEXO A'!$A$2:$L$94, 2, FALSE), "Este Control")</f>
        <v/>
      </c>
      <c r="P90" s="107">
        <f>"Asegurar la correcta aplicación de: " &amp; IFERROR(VLOOKUP(A90, 'ANEXO A'!$A$2:$L$94, 2, FALSE), "Este Control") &amp; ". Objetivo central: Proteger la información."</f>
        <v/>
      </c>
      <c r="Q90" t="inlineStr"/>
      <c r="R90" t="inlineStr">
        <is>
          <t>NO</t>
        </is>
      </c>
      <c r="S90" t="inlineStr"/>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f>"• Establecer lineamientos para " &amp; IFERROR(VLOOKUP(A91, 'ANEXO A'!$A$2:$L$94, 2, FALSE), "Este Control") &amp; CHAR(10) &amp; "• Definir roles para el control " &amp; A91 &amp; CHAR(10) &amp; "• Revisar efectividad de " &amp; IFERROR(VLOOKUP(A91, 'ANEXO A'!$A$2:$L$94, 2, FALSE), "Este Control")</f>
        <v/>
      </c>
      <c r="P91" s="107">
        <f>"Asegurar la correcta aplicación de: " &amp; IFERROR(VLOOKUP(A91, 'ANEXO A'!$A$2:$L$94, 2, FALSE), "Este Control") &amp; ". Objetivo central: Proteger la información."</f>
        <v/>
      </c>
      <c r="Q91" t="inlineStr"/>
      <c r="R91" t="inlineStr">
        <is>
          <t>NO</t>
        </is>
      </c>
      <c r="S91" t="inlineStr"/>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f>"• Establecer lineamientos para " &amp; IFERROR(VLOOKUP(A92, 'ANEXO A'!$A$2:$L$94, 2, FALSE), "Este Control") &amp; CHAR(10) &amp; "• Definir roles para el control " &amp; A92 &amp; CHAR(10) &amp; "• Revisar efectividad de " &amp; IFERROR(VLOOKUP(A92, 'ANEXO A'!$A$2:$L$94, 2, FALSE), "Este Control")</f>
        <v/>
      </c>
      <c r="P92" s="107">
        <f>"Asegurar la correcta aplicación de: " &amp; IFERROR(VLOOKUP(A92, 'ANEXO A'!$A$2:$L$94, 2, FALSE), "Este Control") &amp; ". Objetivo central: Proteger la información."</f>
        <v/>
      </c>
      <c r="Q92" t="inlineStr"/>
      <c r="R92" t="inlineStr">
        <is>
          <t>NO</t>
        </is>
      </c>
      <c r="S92" t="inlineStr"/>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f>"• Establecer lineamientos para " &amp; IFERROR(VLOOKUP(A93, 'ANEXO A'!$A$2:$L$94, 2, FALSE), "Este Control") &amp; CHAR(10) &amp; "• Definir roles para el control " &amp; A93 &amp; CHAR(10) &amp; "• Revisar efectividad de " &amp; IFERROR(VLOOKUP(A93, 'ANEXO A'!$A$2:$L$94, 2, FALSE), "Este Control")</f>
        <v/>
      </c>
      <c r="P93" s="107">
        <f>"Asegurar la correcta aplicación de: " &amp; IFERROR(VLOOKUP(A93, 'ANEXO A'!$A$2:$L$94, 2, FALSE), "Este Control") &amp; ". Objetivo central: Proteger la información."</f>
        <v/>
      </c>
      <c r="Q93" t="inlineStr"/>
      <c r="R93" t="inlineStr">
        <is>
          <t>NO</t>
        </is>
      </c>
      <c r="S93" t="inlineStr"/>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f>"• Establecer lineamientos para " &amp; IFERROR(VLOOKUP(A94, 'ANEXO A'!$A$2:$L$94, 2, FALSE), "Este Control") &amp; CHAR(10) &amp; "• Definir roles para el control " &amp; A94 &amp; CHAR(10) &amp; "• Revisar efectividad de " &amp; IFERROR(VLOOKUP(A94, 'ANEXO A'!$A$2:$L$94, 2, FALSE), "Este Control")</f>
        <v/>
      </c>
      <c r="P94" s="107">
        <f>"Asegurar la correcta aplicación de: " &amp; IFERROR(VLOOKUP(A94, 'ANEXO A'!$A$2:$L$94, 2, FALSE), "Este Control") &amp; ". Objetivo central: Proteger la información."</f>
        <v/>
      </c>
      <c r="Q94" t="inlineStr"/>
      <c r="R94" t="inlineStr">
        <is>
          <t>NO</t>
        </is>
      </c>
      <c r="S94" t="inlineStr"/>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2026-08-31T18:08:00Z</dcterms:modified>
  <cp:lastModifiedBy>SEGURIDAD DE LA INFORMACION</cp:lastModifiedBy>
  <cp:lastPrinted>2025-09-10T17:26:07Z</cp:lastPrinted>
</cp:coreProperties>
</file>