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1">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
      <color rgb="000563C1"/>
      <u val="single"/>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9">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xf numFmtId="0" fontId="10" fillId="0" borderId="0" applyAlignment="1" pivotButton="0" quotePrefix="0" xfId="0">
      <alignment horizontal="center" vertical="center"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t>
        </is>
      </c>
      <c r="Q1" s="106" t="inlineStr">
        <is>
          <t>Control</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f>"• Establecer lineamientos para " &amp; IFERROR(VLOOKUP(A2, 'ANEXO A'!$A$2:$L$94, 2, FALSE), "Este Control") &amp; CHAR(10) &amp; "• Definir roles para el control " &amp; A2 &amp; CHAR(10) &amp; "• Revisar efectividad de " &amp; IFERROR(VLOOKUP(A2, 'ANEXO A'!$A$2:$L$94, 2, FALSE), "Este Control")</f>
        <v/>
      </c>
      <c r="P2" s="107"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Q2" s="107" t="inlineStr">
        <is>
          <t>La organización deberá implementar, registrar y monitorear operativamente todos los protocolos relacionados a Políticas para la seguridad de la información, estableciendo políticas técnicas correspondientes bajo la ISO/IEC 27002:2022.</t>
        </is>
      </c>
      <c r="R2" t="inlineStr">
        <is>
          <t>NO</t>
        </is>
      </c>
      <c r="S2" s="108">
        <f>HYPERLINK("#INVENTARIO!A3", "1-GAD, 2-GAD, 3-GAD, 4-GAD, 5-GAD, 6-GAD, 7-GAD, 8-GAD, 9-GAD, 10-GAD, 11-GAD, 12-GAD, 13-GAD, 14-GAD, 15-GAD, 16-GAD")</f>
        <v/>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f>"• Establecer lineamientos para " &amp; IFERROR(VLOOKUP(A3, 'ANEXO A'!$A$2:$L$94, 2, FALSE), "Este Control") &amp; CHAR(10) &amp; "• Definir roles para el control " &amp; A3 &amp; CHAR(10) &amp; "• Revisar efectividad de " &amp; IFERROR(VLOOKUP(A3, 'ANEXO A'!$A$2:$L$94, 2, FALSE), "Este Control")</f>
        <v/>
      </c>
      <c r="P3" s="107"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Q3" s="107" t="inlineStr">
        <is>
          <t>La organización deberá implementar, registrar y monitorear operativamente todos los protocolos relacionados a Funciones y responsabilidades de seguridad de la información, estableciendo políticas técnicas correspondientes bajo la ISO/IEC 27002:2022.</t>
        </is>
      </c>
      <c r="R3" t="inlineStr">
        <is>
          <t>NO</t>
        </is>
      </c>
      <c r="S3" s="108">
        <f>HYPERLINK("#INVENTARIO!A19", "17-GAD, 18-GAD, 19-GAD, 20-GAD, 21-GAD, 22-GAD, 23-GAD, 24-GAD, 25-GAD, 26-GAD, 27-GAD, 28-GAD, 29-GAD, 30-GAD, 31-GAD, 32-GAD")</f>
        <v/>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f>"• Establecer lineamientos para " &amp; IFERROR(VLOOKUP(A4, 'ANEXO A'!$A$2:$L$94, 2, FALSE), "Este Control") &amp; CHAR(10) &amp; "• Definir roles para el control " &amp; A4 &amp; CHAR(10) &amp; "• Revisar efectividad de " &amp; IFERROR(VLOOKUP(A4, 'ANEXO A'!$A$2:$L$94, 2, FALSE), "Este Control")</f>
        <v/>
      </c>
      <c r="P4" s="107" t="inlineStr">
        <is>
          <t>Asegurar el cumplimiento, control y resguardo continuo de los procesos de Segregación de funciones a fin de mitigar riesgos y mantener la alineación a los principios de confidencialidad, integridad y disponibilidad aplicables a este dominio.</t>
        </is>
      </c>
      <c r="Q4" s="107" t="inlineStr">
        <is>
          <t>La organización deberá implementar, registrar y monitorear operativamente todos los protocolos relacionados a Segregación de funciones, estableciendo políticas técnicas correspondientes bajo la ISO/IEC 27002:2022.</t>
        </is>
      </c>
      <c r="R4" t="inlineStr">
        <is>
          <t>NO</t>
        </is>
      </c>
      <c r="S4" s="108">
        <f>HYPERLINK("#INVENTARIO!A35", "33-GAD, 34-GAD, 35-GAD, 36-GAD, 37-GAD, 38-GAD, 39-GAD, 40-GAD, 41-GAD, 42-GAD, 43-GAD, 44-GAD, 45-GAD, 46-GAD, 47-GAD, 48-GAD")</f>
        <v/>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f>"• Establecer lineamientos para " &amp; IFERROR(VLOOKUP(A5, 'ANEXO A'!$A$2:$L$94, 2, FALSE), "Este Control") &amp; CHAR(10) &amp; "• Definir roles para el control " &amp; A5 &amp; CHAR(10) &amp; "• Revisar efectividad de " &amp; IFERROR(VLOOKUP(A5, 'ANEXO A'!$A$2:$L$94, 2, FALSE), "Este Control")</f>
        <v/>
      </c>
      <c r="P5" s="107" t="inlineStr">
        <is>
          <t>Asegurar el cumplimiento, control y resguardo continuo de los procesos de Responsabilidades de la dirección a fin de mitigar riesgos y mantener la alineación a los principios de confidencialidad, integridad y disponibilidad aplicables a este dominio.</t>
        </is>
      </c>
      <c r="Q5" s="107" t="inlineStr">
        <is>
          <t>La organización deberá implementar, registrar y monitorear operativamente todos los protocolos relacionados a Responsabilidades de la dirección, estableciendo políticas técnicas correspondientes bajo la ISO/IEC 27002:2022.</t>
        </is>
      </c>
      <c r="R5" t="inlineStr">
        <is>
          <t>NO</t>
        </is>
      </c>
      <c r="S5" s="108">
        <f>HYPERLINK("#INVENTARIO!A51", "49-GAD, 50-GAD, 51-GAD, 52-GAD, 53-GAD, 54-GAD, 55-GAD, 56-GAD, 57-GAD, 58-GAD, 59-GAD, 60-GAD, 61-GAD, 62-GAD, 63-GAD, 64-GAD")</f>
        <v/>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f>"• Establecer lineamientos para " &amp; IFERROR(VLOOKUP(A6, 'ANEXO A'!$A$2:$L$94, 2, FALSE), "Este Control") &amp; CHAR(10) &amp; "• Definir roles para el control " &amp; A6 &amp; CHAR(10) &amp; "• Revisar efectividad de " &amp; IFERROR(VLOOKUP(A6, 'ANEXO A'!$A$2:$L$94, 2, FALSE), "Este Control")</f>
        <v/>
      </c>
      <c r="P6" s="107" t="inlineStr">
        <is>
          <t>Asegurar el cumplimiento, control y resguardo continuo de los procesos de Contacto con las autoridades a fin de mitigar riesgos y mantener la alineación a los principios de confidencialidad, integridad y disponibilidad aplicables a este dominio.</t>
        </is>
      </c>
      <c r="Q6" s="107" t="inlineStr">
        <is>
          <t>La organización deberá implementar, registrar y monitorear operativamente todos los protocolos relacionados a Contacto con las autoridades, estableciendo políticas técnicas correspondientes bajo la ISO/IEC 27002:2022.</t>
        </is>
      </c>
      <c r="R6" t="inlineStr">
        <is>
          <t>NO</t>
        </is>
      </c>
      <c r="S6" s="108">
        <f>HYPERLINK("#INVENTARIO!A67", "65-GAD, 66-GAD, 67-GAD, 68-GAD, 69-GAD, 70-GAD, 71-GAD, 72-GAD, 73-GAD, 74-GAD, 75-GAD, 76-GAD, 77-GAD, 78-GAD, 79-GAD, 80-GAD")</f>
        <v/>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f>"• Establecer lineamientos para " &amp; IFERROR(VLOOKUP(A7, 'ANEXO A'!$A$2:$L$94, 2, FALSE), "Este Control") &amp; CHAR(10) &amp; "• Definir roles para el control " &amp; A7 &amp; CHAR(10) &amp; "• Revisar efectividad de " &amp; IFERROR(VLOOKUP(A7, 'ANEXO A'!$A$2:$L$94, 2, FALSE), "Este Control")</f>
        <v/>
      </c>
      <c r="P7" s="107"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Q7" s="107" t="inlineStr">
        <is>
          <t>La organización deberá implementar, registrar y monitorear operativamente todos los protocolos relacionados a Contacto con grupos de interés especial, estableciendo políticas técnicas correspondientes bajo la ISO/IEC 27002:2022.</t>
        </is>
      </c>
      <c r="R7" t="inlineStr">
        <is>
          <t>NO</t>
        </is>
      </c>
      <c r="S7" s="108">
        <f>HYPERLINK("#INVENTARIO!A83", "81-GAD, 82-GAD, 83-GAD, 84-GAD, 1-GCP, 2-GCP, 3-GCP, 4-GCP, 5-GCP, 6-GCP, 7-GCP, 8-GCP, 9-GCP, 10-GCP, 11-GCP, 12-GCP")</f>
        <v/>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f>"• Establecer lineamientos para " &amp; IFERROR(VLOOKUP(A8, 'ANEXO A'!$A$2:$L$94, 2, FALSE), "Este Control") &amp; CHAR(10) &amp; "• Definir roles para el control " &amp; A8 &amp; CHAR(10) &amp; "• Revisar efectividad de " &amp; IFERROR(VLOOKUP(A8, 'ANEXO A'!$A$2:$L$94, 2, FALSE), "Este Control")</f>
        <v/>
      </c>
      <c r="P8" s="107" t="inlineStr">
        <is>
          <t>Asegurar el cumplimiento, control y resguardo continuo de los procesos de Inteligencia de amenazas a fin de mitigar riesgos y mantener la alineación a los principios de confidencialidad, integridad y disponibilidad aplicables a este dominio.</t>
        </is>
      </c>
      <c r="Q8" s="107" t="inlineStr">
        <is>
          <t>La organización deberá implementar, registrar y monitorear operativamente todos los protocolos relacionados a Inteligencia de amenazas, estableciendo políticas técnicas correspondientes bajo la ISO/IEC 27002:2022.</t>
        </is>
      </c>
      <c r="R8" t="inlineStr">
        <is>
          <t>NO</t>
        </is>
      </c>
      <c r="S8" s="108">
        <f>HYPERLINK("#INVENTARIO!A99", "13-GCP, 14-GCP, 15-GCP, 16-GCP, 17-GCP, 18-GCP, 19-GCP, 20-GCP, 21-GCP, 22-GCP, 23-GCP, 24-GCP, 25-GCP, 26-GCP, 27-GCP, 28-GCP")</f>
        <v/>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f>"• Establecer lineamientos para " &amp; IFERROR(VLOOKUP(A9, 'ANEXO A'!$A$2:$L$94, 2, FALSE), "Este Control") &amp; CHAR(10) &amp; "• Definir roles para el control " &amp; A9 &amp; CHAR(10) &amp; "• Revisar efectividad de " &amp; IFERROR(VLOOKUP(A9, 'ANEXO A'!$A$2:$L$94, 2, FALSE), "Este Control")</f>
        <v/>
      </c>
      <c r="P9" s="107"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Q9" s="107" t="inlineStr">
        <is>
          <t>La organización deberá implementar, registrar y monitorear operativamente todos los protocolos relacionados a Seguridad de la información en la gestión de proyectos, estableciendo políticas técnicas correspondientes bajo la ISO/IEC 27002:2022.</t>
        </is>
      </c>
      <c r="R9" t="inlineStr">
        <is>
          <t>NO</t>
        </is>
      </c>
      <c r="S9" s="108">
        <f>HYPERLINK("#INVENTARIO!A115", "29-GCP, 30-GCP, 31-GCP, 32-GCP, 33-GCP, 34-GCP, 35-GCP, 36-GCP, 37-GCS, 38-GCS, 39-GCS, 40-GCS, 41-GCS, 42-GCS, 43-GCS, 44-GCS")</f>
        <v/>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f>"• Establecer lineamientos para " &amp; IFERROR(VLOOKUP(A10, 'ANEXO A'!$A$2:$L$94, 2, FALSE), "Este Control") &amp; CHAR(10) &amp; "• Definir roles para el control " &amp; A10 &amp; CHAR(10) &amp; "• Revisar efectividad de " &amp; IFERROR(VLOOKUP(A10, 'ANEXO A'!$A$2:$L$94, 2, FALSE), "Este Control")</f>
        <v/>
      </c>
      <c r="P10" s="107"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Q10" s="107" t="inlineStr">
        <is>
          <t>La organización deberá implementar, registrar y monitorear operativamente todos los protocolos relacionados a Inventario de información y otros activos asociados, estableciendo políticas técnicas correspondientes bajo la ISO/IEC 27002:2022.</t>
        </is>
      </c>
      <c r="R10" t="inlineStr">
        <is>
          <t>NO</t>
        </is>
      </c>
      <c r="S10" s="108">
        <f>HYPERLINK("#INVENTARIO!A131", "45-GCS, 46-GCS, 47-GCS, 48-GCS, 49-GCS, 50-GCS, 51-GCS, 52-GCS, 53-GCS, 54-GCS, 55-GCS, 56-GCS, 57-GCS, 58-GCS, 59-GCS, 60-GCS")</f>
        <v/>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f>"• Establecer lineamientos para " &amp; IFERROR(VLOOKUP(A11, 'ANEXO A'!$A$2:$L$94, 2, FALSE), "Este Control") &amp; CHAR(10) &amp; "• Definir roles para el control " &amp; A11 &amp; CHAR(10) &amp; "• Revisar efectividad de " &amp; IFERROR(VLOOKUP(A11, 'ANEXO A'!$A$2:$L$94, 2, FALSE), "Este Control")</f>
        <v/>
      </c>
      <c r="P11" s="107"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Q11" s="107" t="inlineStr">
        <is>
          <t>La organización deberá implementar, registrar y monitorear operativamente todos los protocolos relacionados a Uso aceptable de la información y otros activos asociados, estableciendo políticas técnicas correspondientes bajo la ISO/IEC 27002:2022.</t>
        </is>
      </c>
      <c r="R11" t="inlineStr">
        <is>
          <t>NO</t>
        </is>
      </c>
      <c r="S11" s="108">
        <f>HYPERLINK("#INVENTARIO!A147", "61-GCS, 62-GCS, 63-GCS, 64-GRS, 65-GRS, 66-GRS, 67-GRS, 68-GRS, 69-GRS, 70-GRS, 71-GRS, 72-GRS, 73-GRS, 74-GRS, 75-GRS, 76-GRS")</f>
        <v/>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f>"• Establecer lineamientos para " &amp; IFERROR(VLOOKUP(A12, 'ANEXO A'!$A$2:$L$94, 2, FALSE), "Este Control") &amp; CHAR(10) &amp; "• Definir roles para el control " &amp; A12 &amp; CHAR(10) &amp; "• Revisar efectividad de " &amp; IFERROR(VLOOKUP(A12, 'ANEXO A'!$A$2:$L$94, 2, FALSE), "Este Control")</f>
        <v/>
      </c>
      <c r="P12" s="107" t="inlineStr">
        <is>
          <t>Asegurar el cumplimiento, control y resguardo continuo de los procesos de Devolución de activos a fin de mitigar riesgos y mantener la alineación a los principios de confidencialidad, integridad y disponibilidad aplicables a este dominio.</t>
        </is>
      </c>
      <c r="Q12" s="107" t="inlineStr">
        <is>
          <t>La organización deberá implementar, registrar y monitorear operativamente todos los protocolos relacionados a Devolución de activos, estableciendo políticas técnicas correspondientes bajo la ISO/IEC 27002:2022.</t>
        </is>
      </c>
      <c r="R12" t="inlineStr">
        <is>
          <t>NO</t>
        </is>
      </c>
      <c r="S12" s="108">
        <f>HYPERLINK("#INVENTARIO!A163", "77-GRS, 1-GAU, 2-GAU, 3-GAU, 4-GAU, 5-GAU, 6-GAU, 7-GAU, 8-GAU, 9-GAU, 10-GAU, 11-GAU, 12-GAU, 13-GAU, 14-GAU, 15-GAU")</f>
        <v/>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f>"• Establecer lineamientos para " &amp; IFERROR(VLOOKUP(A13, 'ANEXO A'!$A$2:$L$94, 2, FALSE), "Este Control") &amp; CHAR(10) &amp; "• Definir roles para el control " &amp; A13 &amp; CHAR(10) &amp; "• Revisar efectividad de " &amp; IFERROR(VLOOKUP(A13, 'ANEXO A'!$A$2:$L$94, 2, FALSE), "Este Control")</f>
        <v/>
      </c>
      <c r="P13" s="107" t="inlineStr">
        <is>
          <t>Asegurar el cumplimiento, control y resguardo continuo de los procesos de Clasificación de la información a fin de mitigar riesgos y mantener la alineación a los principios de confidencialidad, integridad y disponibilidad aplicables a este dominio.</t>
        </is>
      </c>
      <c r="Q13" s="107" t="inlineStr">
        <is>
          <t>La organización deberá implementar, registrar y monitorear operativamente todos los protocolos relacionados a Clasificación de la información, estableciendo políticas técnicas correspondientes bajo la ISO/IEC 27002:2022.</t>
        </is>
      </c>
      <c r="R13" t="inlineStr">
        <is>
          <t>NO</t>
        </is>
      </c>
      <c r="S13" s="108">
        <f>HYPERLINK("#INVENTARIO!A179", "16-GAU, 17-GAU, 18-GAU, 1-GCA, 2-GCA, 3-GCA, 4-GCA, 5-GCA, 6-GCA, 7-GCA, 8-GCA, 9-GCA, 10-GCA, 11-GCA, 12-GCA, 13-GCA")</f>
        <v/>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f>"• Establecer lineamientos para " &amp; IFERROR(VLOOKUP(A14, 'ANEXO A'!$A$2:$L$94, 2, FALSE), "Este Control") &amp; CHAR(10) &amp; "• Definir roles para el control " &amp; A14 &amp; CHAR(10) &amp; "• Revisar efectividad de " &amp; IFERROR(VLOOKUP(A14, 'ANEXO A'!$A$2:$L$94, 2, FALSE), "Este Control")</f>
        <v/>
      </c>
      <c r="P14" s="107" t="inlineStr">
        <is>
          <t>Asegurar el cumplimiento, control y resguardo continuo de los procesos de Etiquetado de la información a fin de mitigar riesgos y mantener la alineación a los principios de confidencialidad, integridad y disponibilidad aplicables a este dominio.</t>
        </is>
      </c>
      <c r="Q14" s="107" t="inlineStr">
        <is>
          <t>La organización deberá implementar, registrar y monitorear operativamente todos los protocolos relacionados a Etiquetado de la información, estableciendo políticas técnicas correspondientes bajo la ISO/IEC 27002:2022.</t>
        </is>
      </c>
      <c r="R14" t="inlineStr">
        <is>
          <t>NO</t>
        </is>
      </c>
      <c r="S14" s="108">
        <f>HYPERLINK("#INVENTARIO!A195", "14-GCA, 15-GCA, 16-GCA, 17-GCA, 18-GCA, 19-GCA, 20-GCA, 21-GCA, 22-GCA, 23-GCA, 24-GCA, 25-GCA, 26-GCA, 27-GCA, 28-GCA, 29-GCA")</f>
        <v/>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f>"• Establecer lineamientos para " &amp; IFERROR(VLOOKUP(A15, 'ANEXO A'!$A$2:$L$94, 2, FALSE), "Este Control") &amp; CHAR(10) &amp; "• Definir roles para el control " &amp; A15 &amp; CHAR(10) &amp; "• Revisar efectividad de " &amp; IFERROR(VLOOKUP(A15, 'ANEXO A'!$A$2:$L$94, 2, FALSE), "Este Control")</f>
        <v/>
      </c>
      <c r="P15" s="107" t="inlineStr">
        <is>
          <t>Asegurar el cumplimiento, control y resguardo continuo de los procesos de Transferencia de información a fin de mitigar riesgos y mantener la alineación a los principios de confidencialidad, integridad y disponibilidad aplicables a este dominio.</t>
        </is>
      </c>
      <c r="Q15" s="107" t="inlineStr">
        <is>
          <t>La organización deberá implementar, registrar y monitorear operativamente todos los protocolos relacionados a Transferencia de información, estableciendo políticas técnicas correspondientes bajo la ISO/IEC 27002:2022.</t>
        </is>
      </c>
      <c r="R15" t="inlineStr">
        <is>
          <t>NO</t>
        </is>
      </c>
      <c r="S15" s="108">
        <f>HYPERLINK("#INVENTARIO!A211", "30-GCA, 31-GCA, 32-GCA, 33-GCA, 34-GCA, 35-GCA, 36-GCA, 37-GCA, 38-GCA, 39-GCA, 40-GCA, 41-GCA, 42-GCA, 43-GCA, 44-GCA, 45-GCA")</f>
        <v/>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f>"• Establecer lineamientos para " &amp; IFERROR(VLOOKUP(A16, 'ANEXO A'!$A$2:$L$94, 2, FALSE), "Este Control") &amp; CHAR(10) &amp; "• Definir roles para el control " &amp; A16 &amp; CHAR(10) &amp; "• Revisar efectividad de " &amp; IFERROR(VLOOKUP(A16, 'ANEXO A'!$A$2:$L$94, 2, FALSE), "Este Control")</f>
        <v/>
      </c>
      <c r="P16" s="107" t="inlineStr">
        <is>
          <t>Asegurar el cumplimiento, control y resguardo continuo de los procesos de Control de acceso a fin de mitigar riesgos y mantener la alineación a los principios de confidencialidad, integridad y disponibilidad aplicables a este dominio.</t>
        </is>
      </c>
      <c r="Q16" s="107" t="inlineStr">
        <is>
          <t>La organización deberá implementar, registrar y monitorear operativamente todos los protocolos relacionados a Control de acceso, estableciendo políticas técnicas correspondientes bajo la ISO/IEC 27002:2022.</t>
        </is>
      </c>
      <c r="R16" t="inlineStr">
        <is>
          <t>NO</t>
        </is>
      </c>
      <c r="S16" s="108">
        <f>HYPERLINK("#INVENTARIO!A227", "46-GCA, 47-GCA, 48-GCA, 49-GCA, 50-GCA, 51-GCA, 52-GCA, 53-GCA, 54-GCA, 55-GCA, 56-GCA, 57-GCA, 58-GCA, 65-GCA, 66-GCA, 1-GCO")</f>
        <v/>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f>"• Establecer lineamientos para " &amp; IFERROR(VLOOKUP(A17, 'ANEXO A'!$A$2:$L$94, 2, FALSE), "Este Control") &amp; CHAR(10) &amp; "• Definir roles para el control " &amp; A17 &amp; CHAR(10) &amp; "• Revisar efectividad de " &amp; IFERROR(VLOOKUP(A17, 'ANEXO A'!$A$2:$L$94, 2, FALSE), "Este Control")</f>
        <v/>
      </c>
      <c r="P17" s="107" t="inlineStr">
        <is>
          <t>Asegurar el cumplimiento, control y resguardo continuo de los procesos de Gestión de identidades a fin de mitigar riesgos y mantener la alineación a los principios de confidencialidad, integridad y disponibilidad aplicables a este dominio.</t>
        </is>
      </c>
      <c r="Q17" s="107" t="inlineStr">
        <is>
          <t>La organización deberá implementar, registrar y monitorear operativamente todos los protocolos relacionados a Gestión de identidades, estableciendo políticas técnicas correspondientes bajo la ISO/IEC 27002:2022.</t>
        </is>
      </c>
      <c r="R17" t="inlineStr">
        <is>
          <t>NO</t>
        </is>
      </c>
      <c r="S17" s="108">
        <f>HYPERLINK("#INVENTARIO!A243", "2-GCO, 3-GCO, 4-GCO, 5-GCO, 6-GCO, 7-GCO, 8-GCO, 9-GCO, 10-GCO, 11-GCO, 12-GCO, 13-GCO, 14-GCO, 15-GCO, 16-GCO, 17-GCO")</f>
        <v/>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f>"• Establecer lineamientos para " &amp; IFERROR(VLOOKUP(A18, 'ANEXO A'!$A$2:$L$94, 2, FALSE), "Este Control") &amp; CHAR(10) &amp; "• Definir roles para el control " &amp; A18 &amp; CHAR(10) &amp; "• Revisar efectividad de " &amp; IFERROR(VLOOKUP(A18, 'ANEXO A'!$A$2:$L$94, 2, FALSE), "Este Control")</f>
        <v/>
      </c>
      <c r="P18" s="107" t="inlineStr">
        <is>
          <t>Asegurar el cumplimiento, control y resguardo continuo de los procesos de Información de autenticación a fin de mitigar riesgos y mantener la alineación a los principios de confidencialidad, integridad y disponibilidad aplicables a este dominio.</t>
        </is>
      </c>
      <c r="Q18" s="107" t="inlineStr">
        <is>
          <t>La organización deberá implementar, registrar y monitorear operativamente todos los protocolos relacionados a Información de autenticación, estableciendo políticas técnicas correspondientes bajo la ISO/IEC 27002:2022.</t>
        </is>
      </c>
      <c r="R18" t="inlineStr">
        <is>
          <t>NO</t>
        </is>
      </c>
      <c r="S18" s="108">
        <f>HYPERLINK("#INVENTARIO!A259", "18-GCO, 19-GCO, 20-GCO, 21-GCO, 22-GCO, 23-GCO, 24-GCO, 25-GCO, 26-GCO, 27-GCO, 28-GCO, 29-GCO, 30-GCO, 31-GCO, 32-GCO, 33-GCO")</f>
        <v/>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f>"• Establecer lineamientos para " &amp; IFERROR(VLOOKUP(A19, 'ANEXO A'!$A$2:$L$94, 2, FALSE), "Este Control") &amp; CHAR(10) &amp; "• Definir roles para el control " &amp; A19 &amp; CHAR(10) &amp; "• Revisar efectividad de " &amp; IFERROR(VLOOKUP(A19, 'ANEXO A'!$A$2:$L$94, 2, FALSE), "Este Control")</f>
        <v/>
      </c>
      <c r="P19" s="107" t="inlineStr">
        <is>
          <t>Asegurar el cumplimiento, control y resguardo continuo de los procesos de Derechos de acceso a fin de mitigar riesgos y mantener la alineación a los principios de confidencialidad, integridad y disponibilidad aplicables a este dominio.</t>
        </is>
      </c>
      <c r="Q19" s="107" t="inlineStr">
        <is>
          <t>La organización deberá implementar, registrar y monitorear operativamente todos los protocolos relacionados a Derechos de acceso, estableciendo políticas técnicas correspondientes bajo la ISO/IEC 27002:2022.</t>
        </is>
      </c>
      <c r="R19" t="inlineStr">
        <is>
          <t>NO</t>
        </is>
      </c>
      <c r="S19" s="108">
        <f>HYPERLINK("#INVENTARIO!A275", "34-GCO, 35-GCO, 36-GCO, 37-GCO, 38-GCO, 39-GCO, 40-GCO, 41-GCO, 42-GCO, 43-GCO, 44-GCO, 45-GCO, 46-GCO, 47-GCO, 48-GCO, 49-GCO")</f>
        <v/>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f>"• Establecer lineamientos para " &amp; IFERROR(VLOOKUP(A20, 'ANEXO A'!$A$2:$L$94, 2, FALSE), "Este Control") &amp; CHAR(10) &amp; "• Definir roles para el control " &amp; A20 &amp; CHAR(10) &amp; "• Revisar efectividad de " &amp; IFERROR(VLOOKUP(A20, 'ANEXO A'!$A$2:$L$94, 2, FALSE), "Este Control")</f>
        <v/>
      </c>
      <c r="P20" s="107"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Q20" s="107" t="inlineStr">
        <is>
          <t>La organización deberá implementar, registrar y monitorear operativamente todos los protocolos relacionados a Seguridad de la información en las relaciones con los proveedores, estableciendo políticas técnicas correspondientes bajo la ISO/IEC 27002:2022.</t>
        </is>
      </c>
      <c r="R20" t="inlineStr">
        <is>
          <t>NO</t>
        </is>
      </c>
      <c r="S20" s="108">
        <f>HYPERLINK("#INVENTARIO!A291", "50-GCO, 51-GCO, 52-GCO, 53-GCO, 54-GCO, 55-GCO, 56-GCO, 57-GCO, 1-GNE, 2-GNE, 3-GNE, 4-GNE, 5-GNE, 6-GNE, 7-GNE, 8-GNE")</f>
        <v/>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f>"• Establecer lineamientos para " &amp; IFERROR(VLOOKUP(A21, 'ANEXO A'!$A$2:$L$94, 2, FALSE), "Este Control") &amp; CHAR(10) &amp; "• Definir roles para el control " &amp; A21 &amp; CHAR(10) &amp; "• Revisar efectividad de " &amp; IFERROR(VLOOKUP(A21, 'ANEXO A'!$A$2:$L$94, 2, FALSE), "Este Control")</f>
        <v/>
      </c>
      <c r="P21" s="107"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Q21" s="107" t="inlineStr">
        <is>
          <t>La organización deberá implementar, registrar y monitorear operativamente todos los protocolos relacionados a Tratamiento de la seguridad de la información en los acuerdos con los proveedores, estableciendo políticas técnicas correspondientes bajo la ISO/IEC 27002:2022.</t>
        </is>
      </c>
      <c r="R21" t="inlineStr">
        <is>
          <t>NO</t>
        </is>
      </c>
      <c r="S21" s="108">
        <f>HYPERLINK("#INVENTARIO!A307", "9-GNE, 10-GNE, 11-GNE, 12-GNE, 13-GNE, 14-GNE, 15-GNE, 16-GNE, 17-GNE, 18-GNE, 19-GNE, 20-GNE, 21-GNE, 22-GNE, 23-GNE, 24-GNE")</f>
        <v/>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f>"• Establecer lineamientos para " &amp; IFERROR(VLOOKUP(A22, 'ANEXO A'!$A$2:$L$94, 2, FALSE), "Este Control") &amp; CHAR(10) &amp; "• Definir roles para el control " &amp; A22 &amp; CHAR(10) &amp; "• Revisar efectividad de " &amp; IFERROR(VLOOKUP(A22, 'ANEXO A'!$A$2:$L$94, 2, FALSE), "Este Control")</f>
        <v/>
      </c>
      <c r="P22" s="107"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Q22" s="107" t="inlineStr">
        <is>
          <t>La organización deberá implementar, registrar y monitorear operativamente todos los protocolos relacionados a Gestión de la seguridad de la información en la cadena de suministro de TIC, estableciendo políticas técnicas correspondientes bajo la ISO/IEC 27002:2022.</t>
        </is>
      </c>
      <c r="R22" t="inlineStr">
        <is>
          <t>NO</t>
        </is>
      </c>
      <c r="S22" s="108">
        <f>HYPERLINK("#INVENTARIO!A323", "25-GNE, 26-GNE, 27-GNE, 28-GNE, 29-GNE, 30-GNE, 31-GNE, 32-GNE, 33-GNE, 34-GNE, 35-GNE, 36-GNE, 37-GNE, 38-GNE, 39-GNE, 40-GNE")</f>
        <v/>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f>"• Establecer lineamientos para " &amp; IFERROR(VLOOKUP(A23, 'ANEXO A'!$A$2:$L$94, 2, FALSE), "Este Control") &amp; CHAR(10) &amp; "• Definir roles para el control " &amp; A23 &amp; CHAR(10) &amp; "• Revisar efectividad de " &amp; IFERROR(VLOOKUP(A23, 'ANEXO A'!$A$2:$L$94, 2, FALSE), "Este Control")</f>
        <v/>
      </c>
      <c r="P23" s="107"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Q23" s="107" t="inlineStr">
        <is>
          <t>La organización deberá implementar, registrar y monitorear operativamente todos los protocolos relacionados a Seguimiento, revisión y gestión de cambios en los servicios de los proveedores, estableciendo políticas técnicas correspondientes bajo la ISO/IEC 27002:2022.</t>
        </is>
      </c>
      <c r="R23" t="inlineStr">
        <is>
          <t>NO</t>
        </is>
      </c>
      <c r="S23" s="108">
        <f>HYPERLINK("#INVENTARIO!A339", "41-GNE, 42-GNE, 43-GNE, 44-GNE, 45-GNE, 46-GNE, 47-GNE, 48-GNE, 49-GNE, 50-GNE, 51-GNE, 52-GNE, 53-GNE, 54-GNE, 55-GNE, 56-GNE")</f>
        <v/>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f>"• Establecer lineamientos para " &amp; IFERROR(VLOOKUP(A24, 'ANEXO A'!$A$2:$L$94, 2, FALSE), "Este Control") &amp; CHAR(10) &amp; "• Definir roles para el control " &amp; A24 &amp; CHAR(10) &amp; "• Revisar efectividad de " &amp; IFERROR(VLOOKUP(A24, 'ANEXO A'!$A$2:$L$94, 2, FALSE), "Este Control")</f>
        <v/>
      </c>
      <c r="P24" s="107"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Q24" s="107" t="inlineStr">
        <is>
          <t>La organización deberá implementar, registrar y monitorear operativamente todos los protocolos relacionados a Seguridad de la información en el uso de servicios en la nube, estableciendo políticas técnicas correspondientes bajo la ISO/IEC 27002:2022.</t>
        </is>
      </c>
      <c r="R24" t="inlineStr">
        <is>
          <t>NO</t>
        </is>
      </c>
      <c r="S24" s="108">
        <f>HYPERLINK("#INVENTARIO!A355", "57-GNE, 58-GNE, 59-GNE, 60-GNE, 61-GNE, 62-GNE, 63-GNE, 64-GNE, 65-GNE, 66-GNE, 67-GNE, 68-GNE, 69-GNE, 70-GNE, 71-GNE, 72-GNE")</f>
        <v/>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f>"• Establecer lineamientos para " &amp; IFERROR(VLOOKUP(A25, 'ANEXO A'!$A$2:$L$94, 2, FALSE), "Este Control") &amp; CHAR(10) &amp; "• Definir roles para el control " &amp; A25 &amp; CHAR(10) &amp; "• Revisar efectividad de " &amp; IFERROR(VLOOKUP(A25, 'ANEXO A'!$A$2:$L$94, 2, FALSE), "Este Control")</f>
        <v/>
      </c>
      <c r="P25" s="107"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Q25" s="107" t="inlineStr">
        <is>
          <t>La organización deberá implementar, registrar y monitorear operativamente todos los protocolos relacionados a Planificación y preparación de la gestión de incidentes, estableciendo políticas técnicas correspondientes bajo la ISO/IEC 27002:2022.</t>
        </is>
      </c>
      <c r="R25" t="inlineStr">
        <is>
          <t>NO</t>
        </is>
      </c>
      <c r="S25" s="108">
        <f>HYPERLINK("#INVENTARIO!A371", "73-GNE, 74-GNE, 75-GNE, 76-GNE, 77-GNE, 78-GNE, 79-GNE, 80-GNE, 81-GNE, 1-GOP, 2-GOP, 3-GOP, 4-GOP, 5-GOP, 6-GOP, 7-GOP")</f>
        <v/>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f>"• Establecer lineamientos para " &amp; IFERROR(VLOOKUP(A26, 'ANEXO A'!$A$2:$L$94, 2, FALSE), "Este Control") &amp; CHAR(10) &amp; "• Definir roles para el control " &amp; A26 &amp; CHAR(10) &amp; "• Revisar efectividad de " &amp; IFERROR(VLOOKUP(A26, 'ANEXO A'!$A$2:$L$94, 2, FALSE), "Este Control")</f>
        <v/>
      </c>
      <c r="P26" s="107"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Q26" s="107" t="inlineStr">
        <is>
          <t>La organización deberá implementar, registrar y monitorear operativamente todos los protocolos relacionados a Evaluación y decisión sobre los eventos de seguridad, estableciendo políticas técnicas correspondientes bajo la ISO/IEC 27002:2022.</t>
        </is>
      </c>
      <c r="R26" t="inlineStr">
        <is>
          <t>NO</t>
        </is>
      </c>
      <c r="S26" s="108">
        <f>HYPERLINK("#INVENTARIO!A387", "8-GOP, 9-GOP, 10-GOP, 11-GOP, 12-GOP, 13-GOP, 14-GOP, 15-GOP, 16-GOP, 17-GOP, 18-GOP, 19-GOP, 20-GOP, 21-GOP, 22-GOP, 23-GOP")</f>
        <v/>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f>"• Establecer lineamientos para " &amp; IFERROR(VLOOKUP(A27, 'ANEXO A'!$A$2:$L$94, 2, FALSE), "Este Control") &amp; CHAR(10) &amp; "• Definir roles para el control " &amp; A27 &amp; CHAR(10) &amp; "• Revisar efectividad de " &amp; IFERROR(VLOOKUP(A27, 'ANEXO A'!$A$2:$L$94, 2, FALSE), "Este Control")</f>
        <v/>
      </c>
      <c r="P27" s="107"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Q27" s="107" t="inlineStr">
        <is>
          <t>La organización deberá implementar, registrar y monitorear operativamente todos los protocolos relacionados a Respuesta a los incidentes de seguridad de la información, estableciendo políticas técnicas correspondientes bajo la ISO/IEC 27002:2022.</t>
        </is>
      </c>
      <c r="R27" t="inlineStr">
        <is>
          <t>NO</t>
        </is>
      </c>
      <c r="S27" s="108">
        <f>HYPERLINK("#INVENTARIO!A403", "24-GOP, 25-GOP, 26-GOP, 27-GOP, 28-GOP, 29-GOP, 30-GOP, 31-GOP, 32-GOP, 33-GOP, 34-GOP, 35-GOP, 36-GOP, 37-GOP, 38-GOP, 39-GOP")</f>
        <v/>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f>"• Establecer lineamientos para " &amp; IFERROR(VLOOKUP(A28, 'ANEXO A'!$A$2:$L$94, 2, FALSE), "Este Control") &amp; CHAR(10) &amp; "• Definir roles para el control " &amp; A28 &amp; CHAR(10) &amp; "• Revisar efectividad de " &amp; IFERROR(VLOOKUP(A28, 'ANEXO A'!$A$2:$L$94, 2, FALSE), "Este Control")</f>
        <v/>
      </c>
      <c r="P28" s="107"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Q28" s="107" t="inlineStr">
        <is>
          <t>La organización deberá implementar, registrar y monitorear operativamente todos los protocolos relacionados a Aprendizaje de los incidentes de seguridad de la información, estableciendo políticas técnicas correspondientes bajo la ISO/IEC 27002:2022.</t>
        </is>
      </c>
      <c r="R28" t="inlineStr">
        <is>
          <t>NO</t>
        </is>
      </c>
      <c r="S28" s="108">
        <f>HYPERLINK("#INVENTARIO!A419", "40-GOP, 41-GOP, 42-GOP, 43-GOP, 44-GOP, 45-GOP, 46-GOP, 47-GOP, 48-GOP, 49-GOP, 50-GOP, 51-GOP, 52-GOP, 53-GOP, 54-GOP, 55-GOP")</f>
        <v/>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f>"• Establecer lineamientos para " &amp; IFERROR(VLOOKUP(A29, 'ANEXO A'!$A$2:$L$94, 2, FALSE), "Este Control") &amp; CHAR(10) &amp; "• Definir roles para el control " &amp; A29 &amp; CHAR(10) &amp; "• Revisar efectividad de " &amp; IFERROR(VLOOKUP(A29, 'ANEXO A'!$A$2:$L$94, 2, FALSE), "Este Control")</f>
        <v/>
      </c>
      <c r="P29" s="107" t="inlineStr">
        <is>
          <t>Asegurar el cumplimiento, control y resguardo continuo de los procesos de Recolección de evidencias a fin de mitigar riesgos y mantener la alineación a los principios de confidencialidad, integridad y disponibilidad aplicables a este dominio.</t>
        </is>
      </c>
      <c r="Q29" s="107" t="inlineStr">
        <is>
          <t>La organización deberá implementar, registrar y monitorear operativamente todos los protocolos relacionados a Recolección de evidencias, estableciendo políticas técnicas correspondientes bajo la ISO/IEC 27002:2022.</t>
        </is>
      </c>
      <c r="R29" t="inlineStr">
        <is>
          <t>NO</t>
        </is>
      </c>
      <c r="S29" s="108">
        <f>HYPERLINK("#INVENTARIO!A435", "56-GOP, 57-GOP, 58-GOP, 59-GOP, 60-GOP, 61-GOP, 62-GOP, 63-GOP, 64-GOP, 65-GOP, 66-GOP, 67-GOP, 68-GOP, 69-GOP, 70-GOP, 71-GOP")</f>
        <v/>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f>"• Establecer lineamientos para " &amp; IFERROR(VLOOKUP(A30, 'ANEXO A'!$A$2:$L$94, 2, FALSE), "Este Control") &amp; CHAR(10) &amp; "• Definir roles para el control " &amp; A30 &amp; CHAR(10) &amp; "• Revisar efectividad de " &amp; IFERROR(VLOOKUP(A30, 'ANEXO A'!$A$2:$L$94, 2, FALSE), "Este Control")</f>
        <v/>
      </c>
      <c r="P30" s="107"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Q30" s="107" t="inlineStr">
        <is>
          <t>La organización deberá implementar, registrar y monitorear operativamente todos los protocolos relacionados a Seguridad de la información durante la interrupción, estableciendo políticas técnicas correspondientes bajo la ISO/IEC 27002:2022.</t>
        </is>
      </c>
      <c r="R30" t="inlineStr">
        <is>
          <t>NO</t>
        </is>
      </c>
      <c r="S30" s="108">
        <f>HYPERLINK("#INVENTARIO!A451", "72-GOP, 73-GOP, 74-GOP, 75-GOP, 76-GOP, 77-GOP, 78-GOP, 79-GOP, 80-GOP, 81-GOP, 82-GOP, 83-GOP, 84-GOP, 85-GOP, 86-GOP, 87-GOP")</f>
        <v/>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f>"• Establecer lineamientos para " &amp; IFERROR(VLOOKUP(A31, 'ANEXO A'!$A$2:$L$94, 2, FALSE), "Este Control") &amp; CHAR(10) &amp; "• Definir roles para el control " &amp; A31 &amp; CHAR(10) &amp; "• Revisar efectividad de " &amp; IFERROR(VLOOKUP(A31, 'ANEXO A'!$A$2:$L$94, 2, FALSE), "Este Control")</f>
        <v/>
      </c>
      <c r="P31" s="107"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Q31" s="107" t="inlineStr">
        <is>
          <t>La organización deberá implementar, registrar y monitorear operativamente todos los protocolos relacionados a Preparación de las TIC para la continuidad del negocio, estableciendo políticas técnicas correspondientes bajo la ISO/IEC 27002:2022.</t>
        </is>
      </c>
      <c r="R31" t="inlineStr">
        <is>
          <t>NO</t>
        </is>
      </c>
      <c r="S31" s="108">
        <f>HYPERLINK("#INVENTARIO!A467", "88-GOP, 89-GOP, 90-GOP, 91-GOP, 92-GOP, 93-GOP, 94-GOP, 95-GOP, 96-GOP, 97-GOP, 98-GOP, 99-GOP, 100-GOP, 101-GOP, 102-GOP, 103-GOP")</f>
        <v/>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f>"• Establecer lineamientos para " &amp; IFERROR(VLOOKUP(A32, 'ANEXO A'!$A$2:$L$94, 2, FALSE), "Este Control") &amp; CHAR(10) &amp; "• Definir roles para el control " &amp; A32 &amp; CHAR(10) &amp; "• Revisar efectividad de " &amp; IFERROR(VLOOKUP(A32, 'ANEXO A'!$A$2:$L$94, 2, FALSE), "Este Control")</f>
        <v/>
      </c>
      <c r="P32" s="107"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Q32" s="107" t="inlineStr">
        <is>
          <t>La organización deberá implementar, registrar y monitorear operativamente todos los protocolos relacionados a Requisitos legales, estatutarios, reglamentarios y contractuales, estableciendo políticas técnicas correspondientes bajo la ISO/IEC 27002:2022.</t>
        </is>
      </c>
      <c r="R32" t="inlineStr">
        <is>
          <t>NO</t>
        </is>
      </c>
      <c r="S32" s="108">
        <f>HYPERLINK("#INVENTARIO!A483", "104-GOP, 105-GOP, 106-GOP, 107-GOP, 108-GOP, 109-GOP, 110-GOP, 111-GOP, 112-GOP, 113-GOP, 114-GOP, 115-GOP, 116-GOP, 117-GOP, 118-GOP, 119-GOP")</f>
        <v/>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f>"• Establecer lineamientos para " &amp; IFERROR(VLOOKUP(A33, 'ANEXO A'!$A$2:$L$94, 2, FALSE), "Este Control") &amp; CHAR(10) &amp; "• Definir roles para el control " &amp; A33 &amp; CHAR(10) &amp; "• Revisar efectividad de " &amp; IFERROR(VLOOKUP(A33, 'ANEXO A'!$A$2:$L$94, 2, FALSE), "Este Control")</f>
        <v/>
      </c>
      <c r="P33" s="107" t="inlineStr">
        <is>
          <t>Asegurar el cumplimiento, control y resguardo continuo de los procesos de Derechos de propiedad intelectual a fin de mitigar riesgos y mantener la alineación a los principios de confidencialidad, integridad y disponibilidad aplicables a este dominio.</t>
        </is>
      </c>
      <c r="Q33" s="107" t="inlineStr">
        <is>
          <t>La organización deberá implementar, registrar y monitorear operativamente todos los protocolos relacionados a Derechos de propiedad intelectual, estableciendo políticas técnicas correspondientes bajo la ISO/IEC 27002:2022.</t>
        </is>
      </c>
      <c r="R33" t="inlineStr">
        <is>
          <t>NO</t>
        </is>
      </c>
      <c r="S33" s="108">
        <f>HYPERLINK("#INVENTARIO!A499", "120-GOP, 121-GOP, 122-GOP, 123-GOP, 124-GOP, 1-GPL , 2-GPL , 3-GPL , 4-GPL , 5-GPL , 6-GPL , 7-GPL , 8-GPL , 9-GPL , 10-GPL , 11-GPL ")</f>
        <v/>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f>"• Establecer lineamientos para " &amp; IFERROR(VLOOKUP(A34, 'ANEXO A'!$A$2:$L$94, 2, FALSE), "Este Control") &amp; CHAR(10) &amp; "• Definir roles para el control " &amp; A34 &amp; CHAR(10) &amp; "• Revisar efectividad de " &amp; IFERROR(VLOOKUP(A34, 'ANEXO A'!$A$2:$L$94, 2, FALSE), "Este Control")</f>
        <v/>
      </c>
      <c r="P34" s="107" t="inlineStr">
        <is>
          <t>Asegurar el cumplimiento, control y resguardo continuo de los procesos de Protección de los registros a fin de mitigar riesgos y mantener la alineación a los principios de confidencialidad, integridad y disponibilidad aplicables a este dominio.</t>
        </is>
      </c>
      <c r="Q34" s="107" t="inlineStr">
        <is>
          <t>La organización deberá implementar, registrar y monitorear operativamente todos los protocolos relacionados a Protección de los registros, estableciendo políticas técnicas correspondientes bajo la ISO/IEC 27002:2022.</t>
        </is>
      </c>
      <c r="R34" t="inlineStr">
        <is>
          <t>NO</t>
        </is>
      </c>
      <c r="S34" s="108">
        <f>HYPERLINK("#INVENTARIO!A515", "12-GPL , 13-GPL , 14-GPL , 15-GPL , 16-GPL , 17-GPL , 1-GRE , 2-GRE , 3-GRE , 4-GRE , 5-GRE , 6-GRE , 7-GRE , 8-GRE , 9-GRE , 10-GRE ")</f>
        <v/>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f>"• Establecer lineamientos para " &amp; IFERROR(VLOOKUP(A35, 'ANEXO A'!$A$2:$L$94, 2, FALSE), "Este Control") &amp; CHAR(10) &amp; "• Definir roles para el control " &amp; A35 &amp; CHAR(10) &amp; "• Revisar efectividad de " &amp; IFERROR(VLOOKUP(A35, 'ANEXO A'!$A$2:$L$94, 2, FALSE), "Este Control")</f>
        <v/>
      </c>
      <c r="P35" s="107"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Q35" s="107" t="inlineStr">
        <is>
          <t>La organización deberá implementar, registrar y monitorear operativamente todos los protocolos relacionados a Privacidad y protección de la información de identificación personal (PII), estableciendo políticas técnicas correspondientes bajo la ISO/IEC 27002:2022.</t>
        </is>
      </c>
      <c r="R35" t="inlineStr">
        <is>
          <t>NO</t>
        </is>
      </c>
      <c r="S35" s="108">
        <f>HYPERLINK("#INVENTARIO!A531", "11-GRE , 12-GRE , 13-GRE , 14-GRE , 15-GRE , 16-GRE , 17-GRE , 18-GRE , 19-GRE , 20-GRE , 21-GRE , 22-GRE , 23-GRE , 24-GRE , 25-GRE , 26-GRE ")</f>
        <v/>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f>"• Establecer lineamientos para " &amp; IFERROR(VLOOKUP(A36, 'ANEXO A'!$A$2:$L$94, 2, FALSE), "Este Control") &amp; CHAR(10) &amp; "• Definir roles para el control " &amp; A36 &amp; CHAR(10) &amp; "• Revisar efectividad de " &amp; IFERROR(VLOOKUP(A36, 'ANEXO A'!$A$2:$L$94, 2, FALSE), "Este Control")</f>
        <v/>
      </c>
      <c r="P36" s="107"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Q36" s="107" t="inlineStr">
        <is>
          <t>La organización deberá implementar, registrar y monitorear operativamente todos los protocolos relacionados a Revisión independiente de la seguridad de la información, estableciendo políticas técnicas correspondientes bajo la ISO/IEC 27002:2022.</t>
        </is>
      </c>
      <c r="R36" t="inlineStr">
        <is>
          <t>NO</t>
        </is>
      </c>
      <c r="S36" s="108">
        <f>HYPERLINK("#INVENTARIO!A547", "27-GRE , 28-GRE , 29-GRE , 30-GRE , 31-GRE , 32-GRE , 33-GRE , 34-GRE , 35-GRE , 36-GRE , 37-GRE , 38-GRE , 39-GRE , 1-GTH, 2-GTH, 3-GTH")</f>
        <v/>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f>"• Establecer lineamientos para " &amp; IFERROR(VLOOKUP(A37, 'ANEXO A'!$A$2:$L$94, 2, FALSE), "Este Control") &amp; CHAR(10) &amp; "• Definir roles para el control " &amp; A37 &amp; CHAR(10) &amp; "• Revisar efectividad de " &amp; IFERROR(VLOOKUP(A37, 'ANEXO A'!$A$2:$L$94, 2, FALSE), "Este Control")</f>
        <v/>
      </c>
      <c r="P37" s="107"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Q37" s="107" t="inlineStr">
        <is>
          <t>La organización deberá implementar, registrar y monitorear operativamente todos los protocolos relacionados a Cumplimiento de las políticas, normas y estándares de seguridad, estableciendo políticas técnicas correspondientes bajo la ISO/IEC 27002:2022.</t>
        </is>
      </c>
      <c r="R37" t="inlineStr">
        <is>
          <t>NO</t>
        </is>
      </c>
      <c r="S37" s="108">
        <f>HYPERLINK("#INVENTARIO!A563", "4-GTH, 5-GTH, 6-GTH, 7-GTH, 8-GTH, 9-GTH, 10-GTH, 11-GTH, 12-GTH, 13-GTH, 14-GTH, 15-GTH, 16-GTH, 17-GTH, 18-GTH, 19-GTH")</f>
        <v/>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f>"• Establecer lineamientos para " &amp; IFERROR(VLOOKUP(A38, 'ANEXO A'!$A$2:$L$94, 2, FALSE), "Este Control") &amp; CHAR(10) &amp; "• Definir roles para el control " &amp; A38 &amp; CHAR(10) &amp; "• Revisar efectividad de " &amp; IFERROR(VLOOKUP(A38, 'ANEXO A'!$A$2:$L$94, 2, FALSE), "Este Control")</f>
        <v/>
      </c>
      <c r="P38" s="107" t="inlineStr">
        <is>
          <t>Asegurar el cumplimiento, control y resguardo continuo de los procesos de Procedimientos operativos documentados a fin de mitigar riesgos y mantener la alineación a los principios de confidencialidad, integridad y disponibilidad aplicables a este dominio.</t>
        </is>
      </c>
      <c r="Q38" s="107" t="inlineStr">
        <is>
          <t>La organización deberá implementar, registrar y monitorear operativamente todos los protocolos relacionados a Procedimientos operativos documentados, estableciendo políticas técnicas correspondientes bajo la ISO/IEC 27002:2022.</t>
        </is>
      </c>
      <c r="R38" t="inlineStr">
        <is>
          <t>NO</t>
        </is>
      </c>
      <c r="S38" s="108">
        <f>HYPERLINK("#INVENTARIO!A579", "20-GTH, 21-GTH, 22-GTH, 23-GTH, 24-GTH, 25-GTH, 26-GTH, 27-GTH, 28-GTH, 29-GTH, 30-GTH, 31-GTH, 32-GTH, 33-GTH, 34-GTH, 35-GTH")</f>
        <v/>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f>"• Establecer lineamientos para " &amp; IFERROR(VLOOKUP(A39, 'ANEXO A'!$A$2:$L$94, 2, FALSE), "Este Control") &amp; CHAR(10) &amp; "• Definir roles para el control " &amp; A39 &amp; CHAR(10) &amp; "• Revisar efectividad de " &amp; IFERROR(VLOOKUP(A39, 'ANEXO A'!$A$2:$L$94, 2, FALSE), "Este Control")</f>
        <v/>
      </c>
      <c r="P39" s="107" t="inlineStr">
        <is>
          <t>Asegurar el cumplimiento, control y resguardo continuo de los procesos de Investigación de antecedentes a fin de mitigar riesgos y mantener la alineación a los principios de confidencialidad, integridad y disponibilidad aplicables a este dominio.</t>
        </is>
      </c>
      <c r="Q39" s="107" t="inlineStr">
        <is>
          <t>La organización deberá implementar, registrar y monitorear operativamente todos los protocolos relacionados a Investigación de antecedentes, estableciendo políticas técnicas correspondientes bajo la ISO/IEC 27002:2022.</t>
        </is>
      </c>
      <c r="R39" t="inlineStr">
        <is>
          <t>NO</t>
        </is>
      </c>
      <c r="S39" s="108">
        <f>HYPERLINK("#INVENTARIO!A595", "36-GTH, 37-GTH, 38-GTH, 39-GTH, 40-GTH, 41-GTH, 42-GTH, 43-GTH, 44-GTH, 45-GTH, 46-GTH, 47-GTH, 48-GTH, 49-GTH, 50-GTH, 51-GTH")</f>
        <v/>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f>"• Establecer lineamientos para " &amp; IFERROR(VLOOKUP(A40, 'ANEXO A'!$A$2:$L$94, 2, FALSE), "Este Control") &amp; CHAR(10) &amp; "• Definir roles para el control " &amp; A40 &amp; CHAR(10) &amp; "• Revisar efectividad de " &amp; IFERROR(VLOOKUP(A40, 'ANEXO A'!$A$2:$L$94, 2, FALSE), "Este Control")</f>
        <v/>
      </c>
      <c r="P40" s="107" t="inlineStr">
        <is>
          <t>Asegurar el cumplimiento, control y resguardo continuo de los procesos de Términos y condiciones de empleo a fin de mitigar riesgos y mantener la alineación a los principios de confidencialidad, integridad y disponibilidad aplicables a este dominio.</t>
        </is>
      </c>
      <c r="Q40" s="107" t="inlineStr">
        <is>
          <t>La organización deberá implementar, registrar y monitorear operativamente todos los protocolos relacionados a Términos y condiciones de empleo, estableciendo políticas técnicas correspondientes bajo la ISO/IEC 27002:2022.</t>
        </is>
      </c>
      <c r="R40" t="inlineStr">
        <is>
          <t>NO</t>
        </is>
      </c>
      <c r="S40" s="108">
        <f>HYPERLINK("#INVENTARIO!A611", "52-GTH, 53-GTH, 54-GTH, 55-GTH, 56-GTH, 57-GTH, 58-GTH, 59-GTH, 60-GTH, 61-GTH, 62-GTH, 63-GTH, 64-GTH, 65-GTH, 66-GTH, 67-GTH")</f>
        <v/>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f>"• Establecer lineamientos para " &amp; IFERROR(VLOOKUP(A41, 'ANEXO A'!$A$2:$L$94, 2, FALSE), "Este Control") &amp; CHAR(10) &amp; "• Definir roles para el control " &amp; A41 &amp; CHAR(10) &amp; "• Revisar efectividad de " &amp; IFERROR(VLOOKUP(A41, 'ANEXO A'!$A$2:$L$94, 2, FALSE), "Este Control")</f>
        <v/>
      </c>
      <c r="P41" s="107"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Q41" s="107" t="inlineStr">
        <is>
          <t>La organización deberá implementar, registrar y monitorear operativamente todos los protocolos relacionados a Concienciación, educación y capacitación, estableciendo políticas técnicas correspondientes bajo la ISO/IEC 27002:2022.</t>
        </is>
      </c>
      <c r="R41" t="inlineStr">
        <is>
          <t>NO</t>
        </is>
      </c>
      <c r="S41" s="108">
        <f>HYPERLINK("#INVENTARIO!A627", "68-GTH, 69-GTH, 70-GTH, 71-GTH, 72-GTH, 73-GTH, 74-GTH, 75-GTH, 76-GTH, 77-GTH, 78-GTH, 79-GTH, 80-GTH, 81-GTH, 82-GTH, 83-GTH")</f>
        <v/>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f>"• Establecer lineamientos para " &amp; IFERROR(VLOOKUP(A42, 'ANEXO A'!$A$2:$L$94, 2, FALSE), "Este Control") &amp; CHAR(10) &amp; "• Definir roles para el control " &amp; A42 &amp; CHAR(10) &amp; "• Revisar efectividad de " &amp; IFERROR(VLOOKUP(A42, 'ANEXO A'!$A$2:$L$94, 2, FALSE), "Este Control")</f>
        <v/>
      </c>
      <c r="P42" s="107" t="inlineStr">
        <is>
          <t>Asegurar el cumplimiento, control y resguardo continuo de los procesos de Proceso disciplinario a fin de mitigar riesgos y mantener la alineación a los principios de confidencialidad, integridad y disponibilidad aplicables a este dominio.</t>
        </is>
      </c>
      <c r="Q42" s="107" t="inlineStr">
        <is>
          <t>La organización deberá implementar, registrar y monitorear operativamente todos los protocolos relacionados a Proceso disciplinario, estableciendo políticas técnicas correspondientes bajo la ISO/IEC 27002:2022.</t>
        </is>
      </c>
      <c r="R42" t="inlineStr">
        <is>
          <t>NO</t>
        </is>
      </c>
      <c r="S42" s="108">
        <f>HYPERLINK("#INVENTARIO!A643", "84-GTH, 85-GTH, 86-GTH, 87-GTH, 88-GTH, 89-GTH, 90-GTH, 91-GTH, 92-GTH, 93-GTH, 94-GTH, 95-GTH, 96-GTH, 97-GTH, 98-GTH, 99-GTH")</f>
        <v/>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f>"• Establecer lineamientos para " &amp; IFERROR(VLOOKUP(A43, 'ANEXO A'!$A$2:$L$94, 2, FALSE), "Este Control") &amp; CHAR(10) &amp; "• Definir roles para el control " &amp; A43 &amp; CHAR(10) &amp; "• Revisar efectividad de " &amp; IFERROR(VLOOKUP(A43, 'ANEXO A'!$A$2:$L$94, 2, FALSE), "Este Control")</f>
        <v/>
      </c>
      <c r="P43" s="107"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Q43" s="107" t="inlineStr">
        <is>
          <t>La organización deberá implementar, registrar y monitorear operativamente todos los protocolos relacionados a Responsabilidades después de la terminación o cambio de empleo, estableciendo políticas técnicas correspondientes bajo la ISO/IEC 27002:2022.</t>
        </is>
      </c>
      <c r="R43" t="inlineStr">
        <is>
          <t>NO</t>
        </is>
      </c>
      <c r="S43" s="108">
        <f>HYPERLINK("#INVENTARIO!A659", "100-GTH, 101-GTH, 102-GTH, 103-GTH, 104-GTH, 105-GTH, 106-GTH, 107-GTH, 108-GTH, 109-GTH, 110-GTH, 111-GTH, 112-GTH, 113-GTH, 114-GTH, 115-GTH")</f>
        <v/>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f>"• Establecer lineamientos para " &amp; IFERROR(VLOOKUP(A44, 'ANEXO A'!$A$2:$L$94, 2, FALSE), "Este Control") &amp; CHAR(10) &amp; "• Definir roles para el control " &amp; A44 &amp; CHAR(10) &amp; "• Revisar efectividad de " &amp; IFERROR(VLOOKUP(A44, 'ANEXO A'!$A$2:$L$94, 2, FALSE), "Este Control")</f>
        <v/>
      </c>
      <c r="P44" s="107"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Q44" s="107" t="inlineStr">
        <is>
          <t>La organización deberá implementar, registrar y monitorear operativamente todos los protocolos relacionados a Acuerdos de confidencialidad o no divulgación, estableciendo políticas técnicas correspondientes bajo la ISO/IEC 27002:2022.</t>
        </is>
      </c>
      <c r="R44" t="inlineStr">
        <is>
          <t>NO</t>
        </is>
      </c>
      <c r="S44" s="108">
        <f>HYPERLINK("#INVENTARIO!A675", "116-GTH, 117-GTH, 118-GTH, 119-GTH, 120-GTH, 121-GTH, 122-GTH, 123-GTH, 124-GTH, 125-GTH, 126-GTH, 127-GTH, 128-GTH, 129-GTH, 130-GTH, 131-GTH")</f>
        <v/>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f>"• Establecer lineamientos para " &amp; IFERROR(VLOOKUP(A45, 'ANEXO A'!$A$2:$L$94, 2, FALSE), "Este Control") &amp; CHAR(10) &amp; "• Definir roles para el control " &amp; A45 &amp; CHAR(10) &amp; "• Revisar efectividad de " &amp; IFERROR(VLOOKUP(A45, 'ANEXO A'!$A$2:$L$94, 2, FALSE), "Este Control")</f>
        <v/>
      </c>
      <c r="P45" s="107" t="inlineStr">
        <is>
          <t>Asegurar el cumplimiento, control y resguardo continuo de los procesos de Trabajo a distancia a fin de mitigar riesgos y mantener la alineación a los principios de confidencialidad, integridad y disponibilidad aplicables a este dominio.</t>
        </is>
      </c>
      <c r="Q45" s="107" t="inlineStr">
        <is>
          <t>La organización deberá implementar, registrar y monitorear operativamente todos los protocolos relacionados a Trabajo a distancia, estableciendo políticas técnicas correspondientes bajo la ISO/IEC 27002:2022.</t>
        </is>
      </c>
      <c r="R45" t="inlineStr">
        <is>
          <t>NO</t>
        </is>
      </c>
      <c r="S45" s="108">
        <f>HYPERLINK("#INVENTARIO!A691", "132-GTH, 133-GTH, 134-GTH, 135-GTH, 136-GTH, 137-GTH, 138-GTH, 139-GTH, 140-GTH, 141-GTH, 142-GTH, 143-GTH, 144-GTH, 1-GTI, 2-GTI, 3-GTI")</f>
        <v/>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f>"• Establecer lineamientos para " &amp; IFERROR(VLOOKUP(A46, 'ANEXO A'!$A$2:$L$94, 2, FALSE), "Este Control") &amp; CHAR(10) &amp; "• Definir roles para el control " &amp; A46 &amp; CHAR(10) &amp; "• Revisar efectividad de " &amp; IFERROR(VLOOKUP(A46, 'ANEXO A'!$A$2:$L$94, 2, FALSE), "Este Control")</f>
        <v/>
      </c>
      <c r="P46" s="107"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Q46" s="107" t="inlineStr">
        <is>
          <t>La organización deberá implementar, registrar y monitorear operativamente todos los protocolos relacionados a Notificación de eventos de seguridad de la información, estableciendo políticas técnicas correspondientes bajo la ISO/IEC 27002:2022.</t>
        </is>
      </c>
      <c r="R46" t="inlineStr">
        <is>
          <t>NO</t>
        </is>
      </c>
      <c r="S46" s="108">
        <f>HYPERLINK("#INVENTARIO!A707", "4-GTI, 5-GTI, 6-GTI, 7-GTI, 8-GTI, 9-GTI, 10-GTI, 11-GTI, 12-GTI, 13-GTI, 14-GTI, 15-GTI, 16-GTI, 17-GTI, 18-GTI, 19-GTI")</f>
        <v/>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f>"• Establecer lineamientos para " &amp; IFERROR(VLOOKUP(A47, 'ANEXO A'!$A$2:$L$94, 2, FALSE), "Este Control") &amp; CHAR(10) &amp; "• Definir roles para el control " &amp; A47 &amp; CHAR(10) &amp; "• Revisar efectividad de " &amp; IFERROR(VLOOKUP(A47, 'ANEXO A'!$A$2:$L$94, 2, FALSE), "Este Control")</f>
        <v/>
      </c>
      <c r="P47" s="107" t="inlineStr">
        <is>
          <t>Asegurar el cumplimiento, control y resguardo continuo de los procesos de Perímetros de seguridad física a fin de mitigar riesgos y mantener la alineación a los principios de confidencialidad, integridad y disponibilidad aplicables a este dominio.</t>
        </is>
      </c>
      <c r="Q47" s="107" t="inlineStr">
        <is>
          <t>La organización deberá implementar, registrar y monitorear operativamente todos los protocolos relacionados a Perímetros de seguridad física, estableciendo políticas técnicas correspondientes bajo la ISO/IEC 27002:2022.</t>
        </is>
      </c>
      <c r="R47" t="inlineStr">
        <is>
          <t>NO</t>
        </is>
      </c>
      <c r="S47" s="108">
        <f>HYPERLINK("#INVENTARIO!A723", "20-GTI, 21-GTI, 22-GTI, 23-GTI, 24-GTI, 25-GTI, 26-GTI, 27-GTI, 28-GTI, 29-GTI, 30-GTI, 31-GTI, 32-GTI, 33-GTI, 34-GTI, 35-GTI")</f>
        <v/>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f>"• Establecer lineamientos para " &amp; IFERROR(VLOOKUP(A48, 'ANEXO A'!$A$2:$L$94, 2, FALSE), "Este Control") &amp; CHAR(10) &amp; "• Definir roles para el control " &amp; A48 &amp; CHAR(10) &amp; "• Revisar efectividad de " &amp; IFERROR(VLOOKUP(A48, 'ANEXO A'!$A$2:$L$94, 2, FALSE), "Este Control")</f>
        <v/>
      </c>
      <c r="P48" s="107" t="inlineStr">
        <is>
          <t>Asegurar el cumplimiento, control y resguardo continuo de los procesos de Controles de entrada física a fin de mitigar riesgos y mantener la alineación a los principios de confidencialidad, integridad y disponibilidad aplicables a este dominio.</t>
        </is>
      </c>
      <c r="Q48" s="107" t="inlineStr">
        <is>
          <t>La organización deberá implementar, registrar y monitorear operativamente todos los protocolos relacionados a Controles de entrada física, estableciendo políticas técnicas correspondientes bajo la ISO/IEC 27002:2022.</t>
        </is>
      </c>
      <c r="R48" t="inlineStr">
        <is>
          <t>NO</t>
        </is>
      </c>
      <c r="S48" s="108">
        <f>HYPERLINK("#INVENTARIO!A739", "36-GTI, 37-GTI, 38-GTI, 39-GTI, 40-GTI, 41-GTI, 42-GTI, 43-GTI, 44-GTI, 45-GTI, 46-GTI, 47-GTI, 48-GTI, 49-GTI, 50-GTI, 51-GTI")</f>
        <v/>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f>"• Establecer lineamientos para " &amp; IFERROR(VLOOKUP(A49, 'ANEXO A'!$A$2:$L$94, 2, FALSE), "Este Control") &amp; CHAR(10) &amp; "• Definir roles para el control " &amp; A49 &amp; CHAR(10) &amp; "• Revisar efectividad de " &amp; IFERROR(VLOOKUP(A49, 'ANEXO A'!$A$2:$L$94, 2, FALSE), "Este Control")</f>
        <v/>
      </c>
      <c r="P49" s="107"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Q49" s="107" t="inlineStr">
        <is>
          <t>La organización deberá implementar, registrar y monitorear operativamente todos los protocolos relacionados a Seguridad de oficinas, despachos e instalaciones, estableciendo políticas técnicas correspondientes bajo la ISO/IEC 27002:2022.</t>
        </is>
      </c>
      <c r="R49" t="inlineStr">
        <is>
          <t>NO</t>
        </is>
      </c>
      <c r="S49" s="108">
        <f>HYPERLINK("#INVENTARIO!A755", "52-GTI, 53-GTI, 54-GTI, 55-GTI, 56-GTI, 57-GTI, 58-GTI, 59-GTI, 60-GTI, 61-GTI, 62-GTI, 63-GTI, 64-GTI, 65-GTI, 66-GTI, 67-GTI")</f>
        <v/>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f>"• Establecer lineamientos para " &amp; IFERROR(VLOOKUP(A50, 'ANEXO A'!$A$2:$L$94, 2, FALSE), "Este Control") &amp; CHAR(10) &amp; "• Definir roles para el control " &amp; A50 &amp; CHAR(10) &amp; "• Revisar efectividad de " &amp; IFERROR(VLOOKUP(A50, 'ANEXO A'!$A$2:$L$94, 2, FALSE), "Este Control")</f>
        <v/>
      </c>
      <c r="P50" s="107" t="inlineStr">
        <is>
          <t>Asegurar el cumplimiento, control y resguardo continuo de los procesos de Supervisión de la seguridad física a fin de mitigar riesgos y mantener la alineación a los principios de confidencialidad, integridad y disponibilidad aplicables a este dominio.</t>
        </is>
      </c>
      <c r="Q50" s="107" t="inlineStr">
        <is>
          <t>La organización deberá implementar, registrar y monitorear operativamente todos los protocolos relacionados a Supervisión de la seguridad física, estableciendo políticas técnicas correspondientes bajo la ISO/IEC 27002:2022.</t>
        </is>
      </c>
      <c r="R50" t="inlineStr">
        <is>
          <t>NO</t>
        </is>
      </c>
      <c r="S50" s="108">
        <f>HYPERLINK("#INVENTARIO!A771", "68-GTI, 69-GTI, 70-GTI, 71-GTI, 72-GTI, 73-GTI, 74-GTI, 75-GTI, 76-GTI, 77-GTI, 78-GTI, 79-GTI, 80-GTI, 81-GTI, 82-GTI, 83-GTI")</f>
        <v/>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f>"• Establecer lineamientos para " &amp; IFERROR(VLOOKUP(A51, 'ANEXO A'!$A$2:$L$94, 2, FALSE), "Este Control") &amp; CHAR(10) &amp; "• Definir roles para el control " &amp; A51 &amp; CHAR(10) &amp; "• Revisar efectividad de " &amp; IFERROR(VLOOKUP(A51, 'ANEXO A'!$A$2:$L$94, 2, FALSE), "Este Control")</f>
        <v/>
      </c>
      <c r="P51" s="107"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Q51" s="107" t="inlineStr">
        <is>
          <t>La organización deberá implementar, registrar y monitorear operativamente todos los protocolos relacionados a Protección contra amenazas físicas y ambientales, estableciendo políticas técnicas correspondientes bajo la ISO/IEC 27002:2022.</t>
        </is>
      </c>
      <c r="R51" t="inlineStr">
        <is>
          <t>NO</t>
        </is>
      </c>
      <c r="S51" s="108">
        <f>HYPERLINK("#INVENTARIO!A787", "84-GTI, 85-GTI, 86-GTI, 87-GTI, 88-GTI, 89-GTI, 90-GTI, 91-GTI, 92-GTI, 93-GTI, 94-GTI, 95-GTI, 96-GTI, 97-GTI, 98-GTI, 99-GTI")</f>
        <v/>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f>"• Establecer lineamientos para " &amp; IFERROR(VLOOKUP(A52, 'ANEXO A'!$A$2:$L$94, 2, FALSE), "Este Control") &amp; CHAR(10) &amp; "• Definir roles para el control " &amp; A52 &amp; CHAR(10) &amp; "• Revisar efectividad de " &amp; IFERROR(VLOOKUP(A52, 'ANEXO A'!$A$2:$L$94, 2, FALSE), "Este Control")</f>
        <v/>
      </c>
      <c r="P52" s="107" t="inlineStr">
        <is>
          <t>Asegurar el cumplimiento, control y resguardo continuo de los procesos de Trabajo en áreas seguras a fin de mitigar riesgos y mantener la alineación a los principios de confidencialidad, integridad y disponibilidad aplicables a este dominio.</t>
        </is>
      </c>
      <c r="Q52" s="107" t="inlineStr">
        <is>
          <t>La organización deberá implementar, registrar y monitorear operativamente todos los protocolos relacionados a Trabajo en áreas seguras, estableciendo políticas técnicas correspondientes bajo la ISO/IEC 27002:2022.</t>
        </is>
      </c>
      <c r="R52" t="inlineStr">
        <is>
          <t>NO</t>
        </is>
      </c>
      <c r="S52" s="108">
        <f>HYPERLINK("#INVENTARIO!A803", "100-GTI, 101-GTI, 102-GTI, 103-GTI, 104-GTI, 105-GTI, 106-GTI, 107-GTI, 108-GTI, 109-GTI, 110-GTI, 111-GTI, 112-GTI, 113-GTI, 114-GTI, 115-GTI")</f>
        <v/>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f>"• Establecer lineamientos para " &amp; IFERROR(VLOOKUP(A53, 'ANEXO A'!$A$2:$L$94, 2, FALSE), "Este Control") &amp; CHAR(10) &amp; "• Definir roles para el control " &amp; A53 &amp; CHAR(10) &amp; "• Revisar efectividad de " &amp; IFERROR(VLOOKUP(A53, 'ANEXO A'!$A$2:$L$94, 2, FALSE), "Este Control")</f>
        <v/>
      </c>
      <c r="P53" s="107"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Q53" s="107" t="inlineStr">
        <is>
          <t>La organización deberá implementar, registrar y monitorear operativamente todos los protocolos relacionados a Política de escritorio despejado y pantalla despejada, estableciendo políticas técnicas correspondientes bajo la ISO/IEC 27002:2022.</t>
        </is>
      </c>
      <c r="R53" t="inlineStr">
        <is>
          <t>NO</t>
        </is>
      </c>
      <c r="S53" s="108">
        <f>HYPERLINK("#INVENTARIO!A819", "116-GTI, 117-GTI, 118-GTI, 119-GTI, 120-GTI, 1-GES, 2-GES, 3-GES, 4-GES, 5-GES, 6-GES, 7-GES, 8-GES, 9-GES, 10-GES, 11-GES")</f>
        <v/>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f>"• Establecer lineamientos para " &amp; IFERROR(VLOOKUP(A54, 'ANEXO A'!$A$2:$L$94, 2, FALSE), "Este Control") &amp; CHAR(10) &amp; "• Definir roles para el control " &amp; A54 &amp; CHAR(10) &amp; "• Revisar efectividad de " &amp; IFERROR(VLOOKUP(A54, 'ANEXO A'!$A$2:$L$94, 2, FALSE), "Este Control")</f>
        <v/>
      </c>
      <c r="P54" s="107" t="inlineStr">
        <is>
          <t>Asegurar el cumplimiento, control y resguardo continuo de los procesos de Emplazamiento y protección de equipos a fin de mitigar riesgos y mantener la alineación a los principios de confidencialidad, integridad y disponibilidad aplicables a este dominio.</t>
        </is>
      </c>
      <c r="Q54" s="107" t="inlineStr">
        <is>
          <t>La organización deberá implementar, registrar y monitorear operativamente todos los protocolos relacionados a Emplazamiento y protección de equipos, estableciendo políticas técnicas correspondientes bajo la ISO/IEC 27002:2022.</t>
        </is>
      </c>
      <c r="R54" t="inlineStr">
        <is>
          <t>NO</t>
        </is>
      </c>
      <c r="S54" s="108">
        <f>HYPERLINK("#INVENTARIO!A835", "12-GES, 13-GES, 14-GES, 15-GES, 16-GES, 17-GES, 18-GES, 19-GES, 20-GES, 21-GES, 22-GES, 23-GES, 24-GES, 25-GES, 26-GES, 27-GES")</f>
        <v/>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f>"• Establecer lineamientos para " &amp; IFERROR(VLOOKUP(A55, 'ANEXO A'!$A$2:$L$94, 2, FALSE), "Este Control") &amp; CHAR(10) &amp; "• Definir roles para el control " &amp; A55 &amp; CHAR(10) &amp; "• Revisar efectividad de " &amp; IFERROR(VLOOKUP(A55, 'ANEXO A'!$A$2:$L$94, 2, FALSE), "Este Control")</f>
        <v/>
      </c>
      <c r="P55" s="107"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Q55" s="107" t="inlineStr">
        <is>
          <t>La organización deberá implementar, registrar y monitorear operativamente todos los protocolos relacionados a Seguridad de los activos fuera de las instalaciones, estableciendo políticas técnicas correspondientes bajo la ISO/IEC 27002:2022.</t>
        </is>
      </c>
      <c r="R55" t="inlineStr">
        <is>
          <t>NO</t>
        </is>
      </c>
      <c r="S55" s="108">
        <f>HYPERLINK("#INVENTARIO!A851", "28-GES, 29-GES, 30-GES, 31-GES, 32-GES, 33-GES, 34-GES, 35-GES, 36-GES, 37-GES, 38-GES, 39-GES, 40-GES, 41-GES, 42-GES, 43-GES")</f>
        <v/>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f>"• Establecer lineamientos para " &amp; IFERROR(VLOOKUP(A56, 'ANEXO A'!$A$2:$L$94, 2, FALSE), "Este Control") &amp; CHAR(10) &amp; "• Definir roles para el control " &amp; A56 &amp; CHAR(10) &amp; "• Revisar efectividad de " &amp; IFERROR(VLOOKUP(A56, 'ANEXO A'!$A$2:$L$94, 2, FALSE), "Este Control")</f>
        <v/>
      </c>
      <c r="P56" s="107" t="inlineStr">
        <is>
          <t>Asegurar el cumplimiento, control y resguardo continuo de los procesos de Soportes de almacenamiento a fin de mitigar riesgos y mantener la alineación a los principios de confidencialidad, integridad y disponibilidad aplicables a este dominio.</t>
        </is>
      </c>
      <c r="Q56" s="107" t="inlineStr">
        <is>
          <t>La organización deberá implementar, registrar y monitorear operativamente todos los protocolos relacionados a Soportes de almacenamiento, estableciendo políticas técnicas correspondientes bajo la ISO/IEC 27002:2022.</t>
        </is>
      </c>
      <c r="R56" t="inlineStr">
        <is>
          <t>NO</t>
        </is>
      </c>
      <c r="S56" s="108">
        <f>HYPERLINK("#INVENTARIO!A867", "44-GES, 45-GES, 46-GES, 47-GES, 48-GES, 49-GES, 50-GES, 51-GES, 52-GES, 53-GES, 54-GES, 55-GES, 56-GES, 57-GES, 58-GES, 59-GES")</f>
        <v/>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f>"• Establecer lineamientos para " &amp; IFERROR(VLOOKUP(A57, 'ANEXO A'!$A$2:$L$94, 2, FALSE), "Este Control") &amp; CHAR(10) &amp; "• Definir roles para el control " &amp; A57 &amp; CHAR(10) &amp; "• Revisar efectividad de " &amp; IFERROR(VLOOKUP(A57, 'ANEXO A'!$A$2:$L$94, 2, FALSE), "Este Control")</f>
        <v/>
      </c>
      <c r="P57" s="107" t="inlineStr">
        <is>
          <t>Asegurar el cumplimiento, control y resguardo continuo de los procesos de Servicios públicos a fin de mitigar riesgos y mantener la alineación a los principios de confidencialidad, integridad y disponibilidad aplicables a este dominio.</t>
        </is>
      </c>
      <c r="Q57" s="107" t="inlineStr">
        <is>
          <t>La organización deberá implementar, registrar y monitorear operativamente todos los protocolos relacionados a Servicios públicos, estableciendo políticas técnicas correspondientes bajo la ISO/IEC 27002:2022.</t>
        </is>
      </c>
      <c r="R57" t="inlineStr">
        <is>
          <t>NO</t>
        </is>
      </c>
      <c r="S57" s="108">
        <f>HYPERLINK("#INVENTARIO!A883", "60-GES, 61-GES, 62-GES, 63-GES, 64-GES, 65-GES, 66-GES, 67-GES, 68-GES, 69-GES, 70-GES, 71-GES, 72-GES, 73-GES, 74-GES, 75-GES")</f>
        <v/>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f>"• Establecer lineamientos para " &amp; IFERROR(VLOOKUP(A58, 'ANEXO A'!$A$2:$L$94, 2, FALSE), "Este Control") &amp; CHAR(10) &amp; "• Definir roles para el control " &amp; A58 &amp; CHAR(10) &amp; "• Revisar efectividad de " &amp; IFERROR(VLOOKUP(A58, 'ANEXO A'!$A$2:$L$94, 2, FALSE), "Este Control")</f>
        <v/>
      </c>
      <c r="P58" s="107" t="inlineStr">
        <is>
          <t>Asegurar el cumplimiento, control y resguardo continuo de los procesos de Seguridad del cableado a fin de mitigar riesgos y mantener la alineación a los principios de confidencialidad, integridad y disponibilidad aplicables a este dominio.</t>
        </is>
      </c>
      <c r="Q58" s="107" t="inlineStr">
        <is>
          <t>La organización deberá implementar, registrar y monitorear operativamente todos los protocolos relacionados a Seguridad del cableado, estableciendo políticas técnicas correspondientes bajo la ISO/IEC 27002:2022.</t>
        </is>
      </c>
      <c r="R58" t="inlineStr">
        <is>
          <t>NO</t>
        </is>
      </c>
      <c r="S58" s="108">
        <f>HYPERLINK("#INVENTARIO!A899", "76-GES, 77-GES, 78-GES, 79-GES, 80-GES, 81-GES, 82-GES, 83-GES, 84-GES, 85-GES, 86-GES, 87-GES, 88-GES, 89-GES, 90-GES, 91-GES")</f>
        <v/>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f>"• Establecer lineamientos para " &amp; IFERROR(VLOOKUP(A59, 'ANEXO A'!$A$2:$L$94, 2, FALSE), "Este Control") &amp; CHAR(10) &amp; "• Definir roles para el control " &amp; A59 &amp; CHAR(10) &amp; "• Revisar efectividad de " &amp; IFERROR(VLOOKUP(A59, 'ANEXO A'!$A$2:$L$94, 2, FALSE), "Este Control")</f>
        <v/>
      </c>
      <c r="P59" s="107" t="inlineStr">
        <is>
          <t>Asegurar el cumplimiento, control y resguardo continuo de los procesos de Mantenimiento de equipos a fin de mitigar riesgos y mantener la alineación a los principios de confidencialidad, integridad y disponibilidad aplicables a este dominio.</t>
        </is>
      </c>
      <c r="Q59" s="107" t="inlineStr">
        <is>
          <t>La organización deberá implementar, registrar y monitorear operativamente todos los protocolos relacionados a Mantenimiento de equipos, estableciendo políticas técnicas correspondientes bajo la ISO/IEC 27002:2022.</t>
        </is>
      </c>
      <c r="R59" t="inlineStr">
        <is>
          <t>NO</t>
        </is>
      </c>
      <c r="S59" s="108">
        <f>HYPERLINK("#INVENTARIO!A915", "92-GES, 93-GES, 94-GES, 95-GES, 96-GES, 97-GES, 98-GES, 99-GES, 1-GFI, 2-GFI, 3-GFI, 4-GFI, 5-GFI, 6-GFI, 7-GFI, 8-GFI")</f>
        <v/>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f>"• Establecer lineamientos para " &amp; IFERROR(VLOOKUP(A60, 'ANEXO A'!$A$2:$L$94, 2, FALSE), "Este Control") &amp; CHAR(10) &amp; "• Definir roles para el control " &amp; A60 &amp; CHAR(10) &amp; "• Revisar efectividad de " &amp; IFERROR(VLOOKUP(A60, 'ANEXO A'!$A$2:$L$94, 2, FALSE), "Este Control")</f>
        <v/>
      </c>
      <c r="P60" s="107"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Q60" s="107" t="inlineStr">
        <is>
          <t>La organización deberá implementar, registrar y monitorear operativamente todos los protocolos relacionados a Eliminación segura o reutilización de equipos, estableciendo políticas técnicas correspondientes bajo la ISO/IEC 27002:2022.</t>
        </is>
      </c>
      <c r="R60" t="inlineStr">
        <is>
          <t>NO</t>
        </is>
      </c>
      <c r="S60" s="108">
        <f>HYPERLINK("#INVENTARIO!A931", "9-GFI, 10-GFI, 11-GFI, 12-GFI, 13-GFI, 14-GFI, 15-GFI, 16-GFI, 17-GFI, 18-GFI, 19-GFI, 20-GFI, 21-GFI, 22-GFI, 23-GFI, 24-GFI")</f>
        <v/>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f>"• Establecer lineamientos para " &amp; IFERROR(VLOOKUP(A61, 'ANEXO A'!$A$2:$L$94, 2, FALSE), "Este Control") &amp; CHAR(10) &amp; "• Definir roles para el control " &amp; A61 &amp; CHAR(10) &amp; "• Revisar efectividad de " &amp; IFERROR(VLOOKUP(A61, 'ANEXO A'!$A$2:$L$94, 2, FALSE), "Este Control")</f>
        <v/>
      </c>
      <c r="P61" s="107" t="inlineStr">
        <is>
          <t>Asegurar el cumplimiento, control y resguardo continuo de los procesos de Dispositivos de punto final de usuario a fin de mitigar riesgos y mantener la alineación a los principios de confidencialidad, integridad y disponibilidad aplicables a este dominio.</t>
        </is>
      </c>
      <c r="Q61" s="107" t="inlineStr">
        <is>
          <t>La organización deberá implementar, registrar y monitorear operativamente todos los protocolos relacionados a Dispositivos de punto final de usuario, estableciendo políticas técnicas correspondientes bajo la ISO/IEC 27002:2022.</t>
        </is>
      </c>
      <c r="R61" t="inlineStr">
        <is>
          <t>NO</t>
        </is>
      </c>
      <c r="S61" s="108">
        <f>HYPERLINK("#INVENTARIO!A947", "25-GFI, 26-GFI, 27-GFI, 28-GFI, 29-GFI, 30-GFI, 31-GFI, 32-GFI, 33-GFI, 34-GFI, 35-GFI, 36-GFI, 37-GFI, 38-GFI, 39-GFI, 40-GFI")</f>
        <v/>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f>"• Establecer lineamientos para " &amp; IFERROR(VLOOKUP(A62, 'ANEXO A'!$A$2:$L$94, 2, FALSE), "Este Control") &amp; CHAR(10) &amp; "• Definir roles para el control " &amp; A62 &amp; CHAR(10) &amp; "• Revisar efectividad de " &amp; IFERROR(VLOOKUP(A62, 'ANEXO A'!$A$2:$L$94, 2, FALSE), "Este Control")</f>
        <v/>
      </c>
      <c r="P62" s="107" t="inlineStr">
        <is>
          <t>Asegurar el cumplimiento, control y resguardo continuo de los procesos de Derechos de acceso privilegiado a fin de mitigar riesgos y mantener la alineación a los principios de confidencialidad, integridad y disponibilidad aplicables a este dominio.</t>
        </is>
      </c>
      <c r="Q62" s="107" t="inlineStr">
        <is>
          <t>La organización deberá implementar, registrar y monitorear operativamente todos los protocolos relacionados a Derechos de acceso privilegiado, estableciendo políticas técnicas correspondientes bajo la ISO/IEC 27002:2022.</t>
        </is>
      </c>
      <c r="R62" t="inlineStr">
        <is>
          <t>NO</t>
        </is>
      </c>
      <c r="S62" s="108">
        <f>HYPERLINK("#INVENTARIO!A963", "41-GFI, 42-GFI, 43-GFI, 44-GFI, 45-GFI, 46-GFI, 47-GFI, 48-GFI, 49-GFI, 50-GFI, 51-GFI, 52-GFI, 53-GFI, 54-GFI, 55-GFI, 56-GFI")</f>
        <v/>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f>"• Establecer lineamientos para " &amp; IFERROR(VLOOKUP(A63, 'ANEXO A'!$A$2:$L$94, 2, FALSE), "Este Control") &amp; CHAR(10) &amp; "• Definir roles para el control " &amp; A63 &amp; CHAR(10) &amp; "• Revisar efectividad de " &amp; IFERROR(VLOOKUP(A63, 'ANEXO A'!$A$2:$L$94, 2, FALSE), "Este Control")</f>
        <v/>
      </c>
      <c r="P63" s="107"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Q63" s="107" t="inlineStr">
        <is>
          <t>La organización deberá implementar, registrar y monitorear operativamente todos los protocolos relacionados a Restricción del acceso a la información, estableciendo políticas técnicas correspondientes bajo la ISO/IEC 27002:2022.</t>
        </is>
      </c>
      <c r="R63" t="inlineStr">
        <is>
          <t>NO</t>
        </is>
      </c>
      <c r="S63" s="108">
        <f>HYPERLINK("#INVENTARIO!A979", "57-GFI, 58-GFI, 59-GFI, 60-GFI, 61-GFI, 62-GFI, 63-GFI, 64-GFI, 65-GFI, 66-GFI, 67-GFI, 68-GFI, 69-GFI, 70-GFI, 71-GFI, 72-GFI")</f>
        <v/>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f>"• Establecer lineamientos para " &amp; IFERROR(VLOOKUP(A64, 'ANEXO A'!$A$2:$L$94, 2, FALSE), "Este Control") &amp; CHAR(10) &amp; "• Definir roles para el control " &amp; A64 &amp; CHAR(10) &amp; "• Revisar efectividad de " &amp; IFERROR(VLOOKUP(A64, 'ANEXO A'!$A$2:$L$94, 2, FALSE), "Este Control")</f>
        <v/>
      </c>
      <c r="P64" s="107" t="inlineStr">
        <is>
          <t>Asegurar el cumplimiento, control y resguardo continuo de los procesos de Acceso al código fuente a fin de mitigar riesgos y mantener la alineación a los principios de confidencialidad, integridad y disponibilidad aplicables a este dominio.</t>
        </is>
      </c>
      <c r="Q64" s="107" t="inlineStr">
        <is>
          <t>La organización deberá implementar, registrar y monitorear operativamente todos los protocolos relacionados a Acceso al código fuente, estableciendo políticas técnicas correspondientes bajo la ISO/IEC 27002:2022.</t>
        </is>
      </c>
      <c r="R64" t="inlineStr">
        <is>
          <t>NO</t>
        </is>
      </c>
      <c r="S64" s="108">
        <f>HYPERLINK("#INVENTARIO!A995", "73-GFI, 74-GFI, 75-GFI, 76-GFI, 77-GFI, 78-GFI, 1-GJU, 2-GJU, 3-GJU, 4-GJU, 5-GJU, 6-GJU, 7-GJU, 8-GJU, 9-GJU, 10-GJU")</f>
        <v/>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f>"• Establecer lineamientos para " &amp; IFERROR(VLOOKUP(A65, 'ANEXO A'!$A$2:$L$94, 2, FALSE), "Este Control") &amp; CHAR(10) &amp; "• Definir roles para el control " &amp; A65 &amp; CHAR(10) &amp; "• Revisar efectividad de " &amp; IFERROR(VLOOKUP(A65, 'ANEXO A'!$A$2:$L$94, 2, FALSE), "Este Control")</f>
        <v/>
      </c>
      <c r="P65" s="107" t="inlineStr">
        <is>
          <t>Asegurar el cumplimiento, control y resguardo continuo de los procesos de Autenticación segura a fin de mitigar riesgos y mantener la alineación a los principios de confidencialidad, integridad y disponibilidad aplicables a este dominio.</t>
        </is>
      </c>
      <c r="Q65" s="107" t="inlineStr">
        <is>
          <t>La organización deberá implementar, registrar y monitorear operativamente todos los protocolos relacionados a Autenticación segura, estableciendo políticas técnicas correspondientes bajo la ISO/IEC 27002:2022.</t>
        </is>
      </c>
      <c r="R65" t="inlineStr">
        <is>
          <t>NO</t>
        </is>
      </c>
      <c r="S65" s="108">
        <f>HYPERLINK("#INVENTARIO!A1011", "11-GJU, 12-GJU, 13-GJU, 14-GJU, 15-GJU, 16-GJU, 17-GJU, 18-GJU, 19-GJU, 20-GJU, 21-GJU, 22-GJU, 23-GJU, 24-GJU, 1-GRI, 2-GRI")</f>
        <v/>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f>"• Establecer lineamientos para " &amp; IFERROR(VLOOKUP(A66, 'ANEXO A'!$A$2:$L$94, 2, FALSE), "Este Control") &amp; CHAR(10) &amp; "• Definir roles para el control " &amp; A66 &amp; CHAR(10) &amp; "• Revisar efectividad de " &amp; IFERROR(VLOOKUP(A66, 'ANEXO A'!$A$2:$L$94, 2, FALSE), "Este Control")</f>
        <v/>
      </c>
      <c r="P66" s="107" t="inlineStr">
        <is>
          <t>Asegurar el cumplimiento, control y resguardo continuo de los procesos de Gestión de capacidad a fin de mitigar riesgos y mantener la alineación a los principios de confidencialidad, integridad y disponibilidad aplicables a este dominio.</t>
        </is>
      </c>
      <c r="Q66" s="107" t="inlineStr">
        <is>
          <t>La organización deberá implementar, registrar y monitorear operativamente todos los protocolos relacionados a Gestión de capacidad, estableciendo políticas técnicas correspondientes bajo la ISO/IEC 27002:2022.</t>
        </is>
      </c>
      <c r="R66" t="inlineStr">
        <is>
          <t>NO</t>
        </is>
      </c>
      <c r="S66" s="108">
        <f>HYPERLINK("#INVENTARIO!A1027", "3-GRI, 4-GRI, 5-GRI, 7-GRI, 8-GRI, 9-GRI, 10-GRI, 11-GRI, 12-GRI, 13-GRI, 14-GRI, 15-GRI, 16-GRI, 17-GRI, 19-GRI, 20-GRI")</f>
        <v/>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f>"• Establecer lineamientos para " &amp; IFERROR(VLOOKUP(A67, 'ANEXO A'!$A$2:$L$94, 2, FALSE), "Este Control") &amp; CHAR(10) &amp; "• Definir roles para el control " &amp; A67 &amp; CHAR(10) &amp; "• Revisar efectividad de " &amp; IFERROR(VLOOKUP(A67, 'ANEXO A'!$A$2:$L$94, 2, FALSE), "Este Control")</f>
        <v/>
      </c>
      <c r="P67" s="107" t="inlineStr">
        <is>
          <t>Asegurar el cumplimiento, control y resguardo continuo de los procesos de Protección contra malware a fin de mitigar riesgos y mantener la alineación a los principios de confidencialidad, integridad y disponibilidad aplicables a este dominio.</t>
        </is>
      </c>
      <c r="Q67" s="107" t="inlineStr">
        <is>
          <t>La organización deberá implementar, registrar y monitorear operativamente todos los protocolos relacionados a Protección contra malware, estableciendo políticas técnicas correspondientes bajo la ISO/IEC 27002:2022.</t>
        </is>
      </c>
      <c r="R67" t="inlineStr">
        <is>
          <t>NO</t>
        </is>
      </c>
      <c r="S67" s="108">
        <f>HYPERLINK("#INVENTARIO!A1043", "21-GRI, 22-GRI, 23-GRI, 24-GRI, 25-GRI, 26-GRI, 27-GRI, 28-GRI, 29-GRI, 30-GRI, 31-GRI, 32-GRI, 33-GRI, 34-GRI, 35-GRI, 36-GRI")</f>
        <v/>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f>"• Establecer lineamientos para " &amp; IFERROR(VLOOKUP(A68, 'ANEXO A'!$A$2:$L$94, 2, FALSE), "Este Control") &amp; CHAR(10) &amp; "• Definir roles para el control " &amp; A68 &amp; CHAR(10) &amp; "• Revisar efectividad de " &amp; IFERROR(VLOOKUP(A68, 'ANEXO A'!$A$2:$L$94, 2, FALSE), "Este Control")</f>
        <v/>
      </c>
      <c r="P68" s="107" t="inlineStr">
        <is>
          <t>Asegurar el cumplimiento, control y resguardo continuo de los procesos de Gestión de vulnerabilidades técnicas a fin de mitigar riesgos y mantener la alineación a los principios de confidencialidad, integridad y disponibilidad aplicables a este dominio.</t>
        </is>
      </c>
      <c r="Q68" s="107" t="inlineStr">
        <is>
          <t>La organización deberá implementar, registrar y monitorear operativamente todos los protocolos relacionados a Gestión de vulnerabilidades técnicas, estableciendo políticas técnicas correspondientes bajo la ISO/IEC 27002:2022.</t>
        </is>
      </c>
      <c r="R68" t="inlineStr">
        <is>
          <t>NO</t>
        </is>
      </c>
      <c r="S68" s="108">
        <f>HYPERLINK("#INVENTARIO!A1059", "37-GRI, 38-GRI, 39-GRI, 40-GRI, 41-GRI, 42-GRI, 43-GRI, 44-GRI, 45-GRI, 46-GRI, 47-GRI, 48-GRI, 49-GRI, 50-GRI, 51-GRI, 52-GRI")</f>
        <v/>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f>"• Establecer lineamientos para " &amp; IFERROR(VLOOKUP(A69, 'ANEXO A'!$A$2:$L$94, 2, FALSE), "Este Control") &amp; CHAR(10) &amp; "• Definir roles para el control " &amp; A69 &amp; CHAR(10) &amp; "• Revisar efectividad de " &amp; IFERROR(VLOOKUP(A69, 'ANEXO A'!$A$2:$L$94, 2, FALSE), "Este Control")</f>
        <v/>
      </c>
      <c r="P69" s="107" t="inlineStr">
        <is>
          <t>Asegurar el cumplimiento, control y resguardo continuo de los procesos de Gestión de la configuración a fin de mitigar riesgos y mantener la alineación a los principios de confidencialidad, integridad y disponibilidad aplicables a este dominio.</t>
        </is>
      </c>
      <c r="Q69" s="107" t="inlineStr">
        <is>
          <t>La organización deberá implementar, registrar y monitorear operativamente todos los protocolos relacionados a Gestión de la configuración, estableciendo políticas técnicas correspondientes bajo la ISO/IEC 27002:2022.</t>
        </is>
      </c>
      <c r="R69" t="inlineStr">
        <is>
          <t>NO</t>
        </is>
      </c>
      <c r="S69" s="108">
        <f>HYPERLINK("#INVENTARIO!A1075", "53-GRI, 54-GRI, 55-GRI, 56-GRI, 57-GRI, 58-GRI, 59-GRI, 60-GRI, 61-GRI, 62-GRI, 63-GRI, 64-GRI, 65-GRI, 66-GRI, 67-GRI, 68-GRI")</f>
        <v/>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f>"• Establecer lineamientos para " &amp; IFERROR(VLOOKUP(A70, 'ANEXO A'!$A$2:$L$94, 2, FALSE), "Este Control") &amp; CHAR(10) &amp; "• Definir roles para el control " &amp; A70 &amp; CHAR(10) &amp; "• Revisar efectividad de " &amp; IFERROR(VLOOKUP(A70, 'ANEXO A'!$A$2:$L$94, 2, FALSE), "Este Control")</f>
        <v/>
      </c>
      <c r="P70" s="107" t="inlineStr">
        <is>
          <t>Asegurar el cumplimiento, control y resguardo continuo de los procesos de Eliminación de información a fin de mitigar riesgos y mantener la alineación a los principios de confidencialidad, integridad y disponibilidad aplicables a este dominio.</t>
        </is>
      </c>
      <c r="Q70" s="107" t="inlineStr">
        <is>
          <t>La organización deberá implementar, registrar y monitorear operativamente todos los protocolos relacionados a Eliminación de información, estableciendo políticas técnicas correspondientes bajo la ISO/IEC 27002:2022.</t>
        </is>
      </c>
      <c r="R70" t="inlineStr">
        <is>
          <t>NO</t>
        </is>
      </c>
      <c r="S70" s="108">
        <f>HYPERLINK("#INVENTARIO!A1091", "69-GRI, 70-GRI, 71-GRI, 72-GRI, 73-GRI, 74-GRI, 75-GRI, 76-GRI, 77-GRI, 78-GRI, 79-GRI, 80-GRI, 81-GRI, 82-GRI, 83-GRI, 84-GRI")</f>
        <v/>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f>"• Establecer lineamientos para " &amp; IFERROR(VLOOKUP(A71, 'ANEXO A'!$A$2:$L$94, 2, FALSE), "Este Control") &amp; CHAR(10) &amp; "• Definir roles para el control " &amp; A71 &amp; CHAR(10) &amp; "• Revisar efectividad de " &amp; IFERROR(VLOOKUP(A71, 'ANEXO A'!$A$2:$L$94, 2, FALSE), "Este Control")</f>
        <v/>
      </c>
      <c r="P71" s="107" t="inlineStr">
        <is>
          <t>Asegurar el cumplimiento, control y resguardo continuo de los procesos de Enmascaramiento de datos a fin de mitigar riesgos y mantener la alineación a los principios de confidencialidad, integridad y disponibilidad aplicables a este dominio.</t>
        </is>
      </c>
      <c r="Q71" s="107" t="inlineStr">
        <is>
          <t>La organización deberá implementar, registrar y monitorear operativamente todos los protocolos relacionados a Enmascaramiento de datos, estableciendo políticas técnicas correspondientes bajo la ISO/IEC 27002:2022.</t>
        </is>
      </c>
      <c r="R71" t="inlineStr">
        <is>
          <t>NO</t>
        </is>
      </c>
      <c r="S71" s="108">
        <f>HYPERLINK("#INVENTARIO!A1107", "85-GRI, 86-GRI, 87-GRI, 88-GRI, 89-GRI, 90-GRI, 91-GRI, 92-GRI, 93-GRI, 94-GRI, 95-GRI, 96-GRI, 97-GRI, 98-GRI, 99-GRI, 100-GRI")</f>
        <v/>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f>"• Establecer lineamientos para " &amp; IFERROR(VLOOKUP(A72, 'ANEXO A'!$A$2:$L$94, 2, FALSE), "Este Control") &amp; CHAR(10) &amp; "• Definir roles para el control " &amp; A72 &amp; CHAR(10) &amp; "• Revisar efectividad de " &amp; IFERROR(VLOOKUP(A72, 'ANEXO A'!$A$2:$L$94, 2, FALSE), "Este Control")</f>
        <v/>
      </c>
      <c r="P72" s="107" t="inlineStr">
        <is>
          <t>Asegurar el cumplimiento, control y resguardo continuo de los procesos de Prevención de fuga de datos a fin de mitigar riesgos y mantener la alineación a los principios de confidencialidad, integridad y disponibilidad aplicables a este dominio.</t>
        </is>
      </c>
      <c r="Q72" s="107" t="inlineStr">
        <is>
          <t>La organización deberá implementar, registrar y monitorear operativamente todos los protocolos relacionados a Prevención de fuga de datos, estableciendo políticas técnicas correspondientes bajo la ISO/IEC 27002:2022.</t>
        </is>
      </c>
      <c r="R72" t="inlineStr">
        <is>
          <t>NO</t>
        </is>
      </c>
      <c r="S72" s="108">
        <f>HYPERLINK("#INVENTARIO!A1123", "101-GRI, 102-GRI, 103-GRI, 104-GRI, 105-GRI, 106-GRI, 107-GRI, 108-GRI, 109-GRI, 110-GRI, 111-GRI, 112-GRI, 113-GRI, 114-GRI, 115-GRI, 116-GRI")</f>
        <v/>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f>"• Establecer lineamientos para " &amp; IFERROR(VLOOKUP(A73, 'ANEXO A'!$A$2:$L$94, 2, FALSE), "Este Control") &amp; CHAR(10) &amp; "• Definir roles para el control " &amp; A73 &amp; CHAR(10) &amp; "• Revisar efectividad de " &amp; IFERROR(VLOOKUP(A73, 'ANEXO A'!$A$2:$L$94, 2, FALSE), "Este Control")</f>
        <v/>
      </c>
      <c r="P73" s="107" t="inlineStr">
        <is>
          <t>Asegurar el cumplimiento, control y resguardo continuo de los procesos de Copias de seguridad de la información a fin de mitigar riesgos y mantener la alineación a los principios de confidencialidad, integridad y disponibilidad aplicables a este dominio.</t>
        </is>
      </c>
      <c r="Q73" s="107" t="inlineStr">
        <is>
          <t>La organización deberá implementar, registrar y monitorear operativamente todos los protocolos relacionados a Copias de seguridad de la información, estableciendo políticas técnicas correspondientes bajo la ISO/IEC 27002:2022.</t>
        </is>
      </c>
      <c r="R73" t="inlineStr">
        <is>
          <t>NO</t>
        </is>
      </c>
      <c r="S73" s="108">
        <f>HYPERLINK("#INVENTARIO!A1139", "117-GRI, 118-GRI, 119-GRI, 120-GRI, 121-GRI, 122-GRI, 123-GRI, 124-GRI, 125-GRI, 126-GRI, 127-GRI, 128-GRI, 129-GRI, 130-GRI, 131-GRI, 132-GRI")</f>
        <v/>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f>"• Establecer lineamientos para " &amp; IFERROR(VLOOKUP(A74, 'ANEXO A'!$A$2:$L$94, 2, FALSE), "Este Control") &amp; CHAR(10) &amp; "• Definir roles para el control " &amp; A74 &amp; CHAR(10) &amp; "• Revisar efectividad de " &amp; IFERROR(VLOOKUP(A74, 'ANEXO A'!$A$2:$L$94, 2, FALSE), "Este Control")</f>
        <v/>
      </c>
      <c r="P74" s="107"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Q74" s="107" t="inlineStr">
        <is>
          <t>La organización deberá implementar, registrar y monitorear operativamente todos los protocolos relacionados a Redundancia de las instalaciones de procesamiento de información, estableciendo políticas técnicas correspondientes bajo la ISO/IEC 27002:2022.</t>
        </is>
      </c>
      <c r="R74" t="inlineStr">
        <is>
          <t>NO</t>
        </is>
      </c>
      <c r="S74" s="108">
        <f>HYPERLINK("#INVENTARIO!A1155", "133-GRI, 134-GRI, 135-GRI, 136-GRI, 137-GRI, 138-GRI, 139-GRI, 140-GRI, 141-GRI, 142-GRI, 143-GRI, 144-GRI, 145-GRI, 146-GRI, 147-GRI, 148-GRI")</f>
        <v/>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f>"• Establecer lineamientos para " &amp; IFERROR(VLOOKUP(A75, 'ANEXO A'!$A$2:$L$94, 2, FALSE), "Este Control") &amp; CHAR(10) &amp; "• Definir roles para el control " &amp; A75 &amp; CHAR(10) &amp; "• Revisar efectividad de " &amp; IFERROR(VLOOKUP(A75, 'ANEXO A'!$A$2:$L$94, 2, FALSE), "Este Control")</f>
        <v/>
      </c>
      <c r="P75" s="107" t="inlineStr">
        <is>
          <t>Asegurar el cumplimiento, control y resguardo continuo de los procesos de Registro de eventos (Logging) a fin de mitigar riesgos y mantener la alineación a los principios de confidencialidad, integridad y disponibilidad aplicables a este dominio.</t>
        </is>
      </c>
      <c r="Q75" s="107" t="inlineStr">
        <is>
          <t>La organización deberá implementar, registrar y monitorear operativamente todos los protocolos relacionados a Registro de eventos (Logging), estableciendo políticas técnicas correspondientes bajo la ISO/IEC 27002:2022.</t>
        </is>
      </c>
      <c r="R75" t="inlineStr">
        <is>
          <t>NO</t>
        </is>
      </c>
      <c r="S75" s="108">
        <f>HYPERLINK("#INVENTARIO!A1171", "149-GRI, 150-GRI, 151-GRI, 152-GRI, 153-GRI, 154-GRI, 155-GRI, 156-GRI, 157-GRI, 158-GRI, 159-GRI, 160-GRI, 161-GRI, 162-GRI, 163-GRI, 164-GRI")</f>
        <v/>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f>"• Establecer lineamientos para " &amp; IFERROR(VLOOKUP(A76, 'ANEXO A'!$A$2:$L$94, 2, FALSE), "Este Control") &amp; CHAR(10) &amp; "• Definir roles para el control " &amp; A76 &amp; CHAR(10) &amp; "• Revisar efectividad de " &amp; IFERROR(VLOOKUP(A76, 'ANEXO A'!$A$2:$L$94, 2, FALSE), "Este Control")</f>
        <v/>
      </c>
      <c r="P76" s="107" t="inlineStr">
        <is>
          <t>Asegurar el cumplimiento, control y resguardo continuo de los procesos de Actividades de seguimiento (Monitoring) a fin de mitigar riesgos y mantener la alineación a los principios de confidencialidad, integridad y disponibilidad aplicables a este dominio.</t>
        </is>
      </c>
      <c r="Q76" s="107" t="inlineStr">
        <is>
          <t>La organización deberá implementar, registrar y monitorear operativamente todos los protocolos relacionados a Actividades de seguimiento (Monitoring), estableciendo políticas técnicas correspondientes bajo la ISO/IEC 27002:2022.</t>
        </is>
      </c>
      <c r="R76" t="inlineStr">
        <is>
          <t>NO</t>
        </is>
      </c>
      <c r="S76" s="108">
        <f>HYPERLINK("#INVENTARIO!A1187", "165-GRI, 166-GRI, 167-GRI, 168-GRI, 169-GRI, 170-GRI, 171-GRI, 172-GRI, 173-GRI, 174-GRI, 175-GRI, 176-GRI, 177-GRI, 178-GRI, 179-GRI, 180-GRI")</f>
        <v/>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f>"• Establecer lineamientos para " &amp; IFERROR(VLOOKUP(A77, 'ANEXO A'!$A$2:$L$94, 2, FALSE), "Este Control") &amp; CHAR(10) &amp; "• Definir roles para el control " &amp; A77 &amp; CHAR(10) &amp; "• Revisar efectividad de " &amp; IFERROR(VLOOKUP(A77, 'ANEXO A'!$A$2:$L$94, 2, FALSE), "Este Control")</f>
        <v/>
      </c>
      <c r="P77" s="107" t="inlineStr">
        <is>
          <t>Asegurar el cumplimiento, control y resguardo continuo de los procesos de Sincronización de relojes a fin de mitigar riesgos y mantener la alineación a los principios de confidencialidad, integridad y disponibilidad aplicables a este dominio.</t>
        </is>
      </c>
      <c r="Q77" s="107" t="inlineStr">
        <is>
          <t>La organización deberá implementar, registrar y monitorear operativamente todos los protocolos relacionados a Sincronización de relojes, estableciendo políticas técnicas correspondientes bajo la ISO/IEC 27002:2022.</t>
        </is>
      </c>
      <c r="R77" t="inlineStr">
        <is>
          <t>NO</t>
        </is>
      </c>
      <c r="S77" s="108">
        <f>HYPERLINK("#INVENTARIO!A1203", "181-GRI, 182-GRI, 183-GRI, 184-GRI, 185-GRI, 186-GRI, 187-GRI, 188-GRI, 189-GRI, 190-GRI, 191-GRI, 192-GRI, 193-GRI, 194-GRI, 195-GRI, 196-GRI")</f>
        <v/>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f>"• Establecer lineamientos para " &amp; IFERROR(VLOOKUP(A78, 'ANEXO A'!$A$2:$L$94, 2, FALSE), "Este Control") &amp; CHAR(10) &amp; "• Definir roles para el control " &amp; A78 &amp; CHAR(10) &amp; "• Revisar efectividad de " &amp; IFERROR(VLOOKUP(A78, 'ANEXO A'!$A$2:$L$94, 2, FALSE), "Este Control")</f>
        <v/>
      </c>
      <c r="P78" s="107"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Q78" s="107" t="inlineStr">
        <is>
          <t>La organización deberá implementar, registrar y monitorear operativamente todos los protocolos relacionados a Uso de programas de utilidad privilegiados, estableciendo políticas técnicas correspondientes bajo la ISO/IEC 27002:2022.</t>
        </is>
      </c>
      <c r="R78" t="inlineStr">
        <is>
          <t>NO</t>
        </is>
      </c>
      <c r="S78" s="108">
        <f>HYPERLINK("#INVENTARIO!A1219", "197-GRI, 198-GRI, 199-GRI, 200-GRI, 201-GRI, 202-GRI, 203-GRI, 204-GRI, 205-GRI, 206-GRI, 207-GRI, 208-GRI, 209-GRI, 210-GRI, 211-GRI, 212-GRI")</f>
        <v/>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f>"• Establecer lineamientos para " &amp; IFERROR(VLOOKUP(A79, 'ANEXO A'!$A$2:$L$94, 2, FALSE), "Este Control") &amp; CHAR(10) &amp; "• Definir roles para el control " &amp; A79 &amp; CHAR(10) &amp; "• Revisar efectividad de " &amp; IFERROR(VLOOKUP(A79, 'ANEXO A'!$A$2:$L$94, 2, FALSE), "Este Control")</f>
        <v/>
      </c>
      <c r="P79" s="107"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Q79" s="107" t="inlineStr">
        <is>
          <t>La organización deberá implementar, registrar y monitorear operativamente todos los protocolos relacionados a Instalación de software en sistemas operativos, estableciendo políticas técnicas correspondientes bajo la ISO/IEC 27002:2022.</t>
        </is>
      </c>
      <c r="R79" t="inlineStr">
        <is>
          <t>NO</t>
        </is>
      </c>
      <c r="S79" s="108">
        <f>HYPERLINK("#INVENTARIO!A1235", "213-GRI, 214-GRI, 215-GRI, 216-GRI, 217-GRI, 218-GRI, 219-GRI, 220-GRI, 221-GRI, 222-GRI, 223-GRI, 224-GRI, 225-GRI, 226-GRI, 227-GRI, 228-GRI")</f>
        <v/>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f>"• Establecer lineamientos para " &amp; IFERROR(VLOOKUP(A80, 'ANEXO A'!$A$2:$L$94, 2, FALSE), "Este Control") &amp; CHAR(10) &amp; "• Definir roles para el control " &amp; A80 &amp; CHAR(10) &amp; "• Revisar efectividad de " &amp; IFERROR(VLOOKUP(A80, 'ANEXO A'!$A$2:$L$94, 2, FALSE), "Este Control")</f>
        <v/>
      </c>
      <c r="P80" s="107" t="inlineStr">
        <is>
          <t>Asegurar el cumplimiento, control y resguardo continuo de los procesos de Seguridad de las redes a fin de mitigar riesgos y mantener la alineación a los principios de confidencialidad, integridad y disponibilidad aplicables a este dominio.</t>
        </is>
      </c>
      <c r="Q80" s="107" t="inlineStr">
        <is>
          <t>La organización deberá implementar, registrar y monitorear operativamente todos los protocolos relacionados a Seguridad de las redes, estableciendo políticas técnicas correspondientes bajo la ISO/IEC 27002:2022.</t>
        </is>
      </c>
      <c r="R80" t="inlineStr">
        <is>
          <t>NO</t>
        </is>
      </c>
      <c r="S80" s="108">
        <f>HYPERLINK("#INVENTARIO!A1251", "229-GRI, 230-GRI, 231-GRI, 232-GRI, 233-GRI, 234-GRI, 235-GRI, 236-GRI, 237-GRI, 238-GRI, 239-GRI, 240-GRI, 241-GRI, 242-GRI, 243-GRI, 244-GRI")</f>
        <v/>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f>"• Establecer lineamientos para " &amp; IFERROR(VLOOKUP(A81, 'ANEXO A'!$A$2:$L$94, 2, FALSE), "Este Control") &amp; CHAR(10) &amp; "• Definir roles para el control " &amp; A81 &amp; CHAR(10) &amp; "• Revisar efectividad de " &amp; IFERROR(VLOOKUP(A81, 'ANEXO A'!$A$2:$L$94, 2, FALSE), "Este Control")</f>
        <v/>
      </c>
      <c r="P81" s="107" t="inlineStr">
        <is>
          <t>Asegurar el cumplimiento, control y resguardo continuo de los procesos de Seguridad de los servicios de red a fin de mitigar riesgos y mantener la alineación a los principios de confidencialidad, integridad y disponibilidad aplicables a este dominio.</t>
        </is>
      </c>
      <c r="Q81" s="107" t="inlineStr">
        <is>
          <t>La organización deberá implementar, registrar y monitorear operativamente todos los protocolos relacionados a Seguridad de los servicios de red, estableciendo políticas técnicas correspondientes bajo la ISO/IEC 27002:2022.</t>
        </is>
      </c>
      <c r="R81" t="inlineStr">
        <is>
          <t>NO</t>
        </is>
      </c>
      <c r="S81" s="108">
        <f>HYPERLINK("#INVENTARIO!A1267", "245-GRI, 246-GRI, 247-GRI, 248-GRI, 249-GRI, 250-GRI, 251-GRI, 252-GRI, 253-GRI, 254-GRI, 255-GRI, 256-GRI, 257-GRI, 258-GRI, 259-GRI, 260-GRI")</f>
        <v/>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f>"• Establecer lineamientos para " &amp; IFERROR(VLOOKUP(A82, 'ANEXO A'!$A$2:$L$94, 2, FALSE), "Este Control") &amp; CHAR(10) &amp; "• Definir roles para el control " &amp; A82 &amp; CHAR(10) &amp; "• Revisar efectividad de " &amp; IFERROR(VLOOKUP(A82, 'ANEXO A'!$A$2:$L$94, 2, FALSE), "Este Control")</f>
        <v/>
      </c>
      <c r="P82" s="107" t="inlineStr">
        <is>
          <t>Asegurar el cumplimiento, control y resguardo continuo de los procesos de Segregación de redes a fin de mitigar riesgos y mantener la alineación a los principios de confidencialidad, integridad y disponibilidad aplicables a este dominio.</t>
        </is>
      </c>
      <c r="Q82" s="107" t="inlineStr">
        <is>
          <t>La organización deberá implementar, registrar y monitorear operativamente todos los protocolos relacionados a Segregación de redes, estableciendo políticas técnicas correspondientes bajo la ISO/IEC 27002:2022.</t>
        </is>
      </c>
      <c r="R82" t="inlineStr">
        <is>
          <t>NO</t>
        </is>
      </c>
      <c r="S82" s="108">
        <f>HYPERLINK("#INVENTARIO!A1283", "261-GRI, 262-GRI, 263-GRI, 264-GRI, 265-GRI, 266-GRI, 267-GRI, 268-GRI, 269-GRI, 270-GRI, 271-GRI, 272-GRI, 273-GRI, 274-GRI, 275-GRI, 276-GRI")</f>
        <v/>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f>"• Establecer lineamientos para " &amp; IFERROR(VLOOKUP(A83, 'ANEXO A'!$A$2:$L$94, 2, FALSE), "Este Control") &amp; CHAR(10) &amp; "• Definir roles para el control " &amp; A83 &amp; CHAR(10) &amp; "• Revisar efectividad de " &amp; IFERROR(VLOOKUP(A83, 'ANEXO A'!$A$2:$L$94, 2, FALSE), "Este Control")</f>
        <v/>
      </c>
      <c r="P83" s="107" t="inlineStr">
        <is>
          <t>Asegurar el cumplimiento, control y resguardo continuo de los procesos de Filtrado web a fin de mitigar riesgos y mantener la alineación a los principios de confidencialidad, integridad y disponibilidad aplicables a este dominio.</t>
        </is>
      </c>
      <c r="Q83" s="107" t="inlineStr">
        <is>
          <t>La organización deberá implementar, registrar y monitorear operativamente todos los protocolos relacionados a Filtrado web, estableciendo políticas técnicas correspondientes bajo la ISO/IEC 27002:2022.</t>
        </is>
      </c>
      <c r="R83" t="inlineStr">
        <is>
          <t>NO</t>
        </is>
      </c>
      <c r="S83" s="108">
        <f>HYPERLINK("#INVENTARIO!A1299", "277-GRI, 278-GRI, 279-GRI, 280-GRI, 281-GRI, 282-GRI, 283-GRI, 284-GRI, 285-GRI, 286-GRI, 287-GRI, 288-GRI, 289-GRI, 290-GRI, 291-GRI, 292-GRI")</f>
        <v/>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f>"• Establecer lineamientos para " &amp; IFERROR(VLOOKUP(A84, 'ANEXO A'!$A$2:$L$94, 2, FALSE), "Este Control") &amp; CHAR(10) &amp; "• Definir roles para el control " &amp; A84 &amp; CHAR(10) &amp; "• Revisar efectividad de " &amp; IFERROR(VLOOKUP(A84, 'ANEXO A'!$A$2:$L$94, 2, FALSE), "Este Control")</f>
        <v/>
      </c>
      <c r="P84" s="107" t="inlineStr">
        <is>
          <t>Asegurar el cumplimiento, control y resguardo continuo de los procesos de Uso de criptografía a fin de mitigar riesgos y mantener la alineación a los principios de confidencialidad, integridad y disponibilidad aplicables a este dominio.</t>
        </is>
      </c>
      <c r="Q84" s="107" t="inlineStr">
        <is>
          <t>La organización deberá implementar, registrar y monitorear operativamente todos los protocolos relacionados a Uso de criptografía, estableciendo políticas técnicas correspondientes bajo la ISO/IEC 27002:2022.</t>
        </is>
      </c>
      <c r="R84" t="inlineStr">
        <is>
          <t>NO</t>
        </is>
      </c>
      <c r="S84" s="108">
        <f>HYPERLINK("#INVENTARIO!A1315", "293-GRI, 294-GRI, 295-GRI, 296-GRI, 297-GRI, 298-GRI, 299-GRI, 300-GRI, 301-GRI, 302-GRI, 303-GRI, 304-GRI, 305-GRI, 306-GRI, 307-GRI, 308-GRI")</f>
        <v/>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f>"• Establecer lineamientos para " &amp; IFERROR(VLOOKUP(A85, 'ANEXO A'!$A$2:$L$94, 2, FALSE), "Este Control") &amp; CHAR(10) &amp; "• Definir roles para el control " &amp; A85 &amp; CHAR(10) &amp; "• Revisar efectividad de " &amp; IFERROR(VLOOKUP(A85, 'ANEXO A'!$A$2:$L$94, 2, FALSE), "Este Control")</f>
        <v/>
      </c>
      <c r="P85" s="107" t="inlineStr">
        <is>
          <t>Asegurar el cumplimiento, control y resguardo continuo de los procesos de Ciclo de vida del desarrollo seguro a fin de mitigar riesgos y mantener la alineación a los principios de confidencialidad, integridad y disponibilidad aplicables a este dominio.</t>
        </is>
      </c>
      <c r="Q85" s="107" t="inlineStr">
        <is>
          <t>La organización deberá implementar, registrar y monitorear operativamente todos los protocolos relacionados a Ciclo de vida del desarrollo seguro, estableciendo políticas técnicas correspondientes bajo la ISO/IEC 27002:2022.</t>
        </is>
      </c>
      <c r="R85" t="inlineStr">
        <is>
          <t>NO</t>
        </is>
      </c>
      <c r="S85" s="108">
        <f>HYPERLINK("#INVENTARIO!A1331", "309-GRI, 310-GRI, 311-GRI, 312-GRI, 313-GRI, 314-GRI, 315-GRI, 316-GRI, 317-GRI, 318-GRI, 1-GSO, 2-GSO, 3-GSO, 4-GSO, 5-GSO, 6-GSO")</f>
        <v/>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f>"• Establecer lineamientos para " &amp; IFERROR(VLOOKUP(A86, 'ANEXO A'!$A$2:$L$94, 2, FALSE), "Este Control") &amp; CHAR(10) &amp; "• Definir roles para el control " &amp; A86 &amp; CHAR(10) &amp; "• Revisar efectividad de " &amp; IFERROR(VLOOKUP(A86, 'ANEXO A'!$A$2:$L$94, 2, FALSE), "Este Control")</f>
        <v/>
      </c>
      <c r="P86" s="107"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Q86" s="107" t="inlineStr">
        <is>
          <t>La organización deberá implementar, registrar y monitorear operativamente todos los protocolos relacionados a Requisitos de seguridad de las aplicaciones, estableciendo políticas técnicas correspondientes bajo la ISO/IEC 27002:2022.</t>
        </is>
      </c>
      <c r="R86" t="inlineStr">
        <is>
          <t>NO</t>
        </is>
      </c>
      <c r="S86" s="108">
        <f>HYPERLINK("#INVENTARIO!A1347", "7-GSO, 8-GSO, 9-GSO, 10-GSO, 11-GSO, 12-GSO, 13-GSO, 14-GSO, 15-GSO, 16-GSO, 17-GSO, 18-GSO, 19-GSO, 20-GSO, 21-GSO, 22-GSO")</f>
        <v/>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f>"• Establecer lineamientos para " &amp; IFERROR(VLOOKUP(A87, 'ANEXO A'!$A$2:$L$94, 2, FALSE), "Este Control") &amp; CHAR(10) &amp; "• Definir roles para el control " &amp; A87 &amp; CHAR(10) &amp; "• Revisar efectividad de " &amp; IFERROR(VLOOKUP(A87, 'ANEXO A'!$A$2:$L$94, 2, FALSE), "Este Control")</f>
        <v/>
      </c>
      <c r="P87" s="107"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Q87" s="107" t="inlineStr">
        <is>
          <t>La organización deberá implementar, registrar y monitorear operativamente todos los protocolos relacionados a Arquitectura de sistemas seguros y principios de ingeniería, estableciendo políticas técnicas correspondientes bajo la ISO/IEC 27002:2022.</t>
        </is>
      </c>
      <c r="R87" t="inlineStr">
        <is>
          <t>NO</t>
        </is>
      </c>
      <c r="S87" s="108">
        <f>HYPERLINK("#INVENTARIO!A1363", "23-GSO, 24-GSO, 25-GSO, 26-GSO, 27-GSO, 28-GSO, 29-GSO, 30-GSO, 31-GSO, 32-GSO, 33-GSO, 34-GSO, 35-GSO, 36-GSO, 37-GSO, 38-GSO")</f>
        <v/>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f>"• Establecer lineamientos para " &amp; IFERROR(VLOOKUP(A88, 'ANEXO A'!$A$2:$L$94, 2, FALSE), "Este Control") &amp; CHAR(10) &amp; "• Definir roles para el control " &amp; A88 &amp; CHAR(10) &amp; "• Revisar efectividad de " &amp; IFERROR(VLOOKUP(A88, 'ANEXO A'!$A$2:$L$94, 2, FALSE), "Este Control")</f>
        <v/>
      </c>
      <c r="P88" s="107" t="inlineStr">
        <is>
          <t>Asegurar el cumplimiento, control y resguardo continuo de los procesos de Codificación segura a fin de mitigar riesgos y mantener la alineación a los principios de confidencialidad, integridad y disponibilidad aplicables a este dominio.</t>
        </is>
      </c>
      <c r="Q88" s="107" t="inlineStr">
        <is>
          <t>La organización deberá implementar, registrar y monitorear operativamente todos los protocolos relacionados a Codificación segura, estableciendo políticas técnicas correspondientes bajo la ISO/IEC 27002:2022.</t>
        </is>
      </c>
      <c r="R88" t="inlineStr">
        <is>
          <t>NO</t>
        </is>
      </c>
      <c r="S88" s="108">
        <f>HYPERLINK("#INVENTARIO!A1379", "39-GSO, 40-GSO, 41-GSO, 42-GSO, 43-GSO, 44-GSO, 45-GSO, 46-GSO, 47-GSO, 48-GSO, 49-GSO, 50-GSO, 51-GSO, 52-GSO, 53-GSO, 54-GSO")</f>
        <v/>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f>"• Establecer lineamientos para " &amp; IFERROR(VLOOKUP(A89, 'ANEXO A'!$A$2:$L$94, 2, FALSE), "Este Control") &amp; CHAR(10) &amp; "• Definir roles para el control " &amp; A89 &amp; CHAR(10) &amp; "• Revisar efectividad de " &amp; IFERROR(VLOOKUP(A89, 'ANEXO A'!$A$2:$L$94, 2, FALSE), "Este Control")</f>
        <v/>
      </c>
      <c r="P89" s="107"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Q89" s="107" t="inlineStr">
        <is>
          <t>La organización deberá implementar, registrar y monitorear operativamente todos los protocolos relacionados a Pruebas de seguridad en el desarrollo y la aceptación, estableciendo políticas técnicas correspondientes bajo la ISO/IEC 27002:2022.</t>
        </is>
      </c>
      <c r="R89" t="inlineStr">
        <is>
          <t>NO</t>
        </is>
      </c>
      <c r="S89" s="108">
        <f>HYPERLINK("#INVENTARIO!A1395", "55-GSO, 56-GSO, 57-GSO, 58-GSO, 59-GSO, 60-GSO, 61-GSO, 62-GSO, 63-GSO, 64-GSO, 65-GSO, 66-GSO")</f>
        <v/>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f>"• Establecer lineamientos para " &amp; IFERROR(VLOOKUP(A90, 'ANEXO A'!$A$2:$L$94, 2, FALSE), "Este Control") &amp; CHAR(10) &amp; "• Definir roles para el control " &amp; A90 &amp; CHAR(10) &amp; "• Revisar efectividad de " &amp; IFERROR(VLOOKUP(A90, 'ANEXO A'!$A$2:$L$94, 2, FALSE), "Este Control")</f>
        <v/>
      </c>
      <c r="P90" s="107" t="inlineStr">
        <is>
          <t>Asegurar el cumplimiento, control y resguardo continuo de los procesos de Desarrollo externalizado a fin de mitigar riesgos y mantener la alineación a los principios de confidencialidad, integridad y disponibilidad aplicables a este dominio.</t>
        </is>
      </c>
      <c r="Q90" s="107" t="inlineStr">
        <is>
          <t>La organización deberá implementar, registrar y monitorear operativamente todos los protocolos relacionados a Desarrollo externalizado, estableciendo políticas técnicas correspondientes bajo la ISO/IEC 27002:2022.</t>
        </is>
      </c>
      <c r="R90" t="inlineStr">
        <is>
          <t>NO</t>
        </is>
      </c>
      <c r="S90" s="108">
        <f>HYPERLINK("#INVENTARIO!A398", "19-GOP, 20-GOP, 21-GOP")</f>
        <v/>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f>"• Establecer lineamientos para " &amp; IFERROR(VLOOKUP(A91, 'ANEXO A'!$A$2:$L$94, 2, FALSE), "Este Control") &amp; CHAR(10) &amp; "• Definir roles para el control " &amp; A91 &amp; CHAR(10) &amp; "• Revisar efectividad de " &amp; IFERROR(VLOOKUP(A91, 'ANEXO A'!$A$2:$L$94, 2, FALSE), "Este Control")</f>
        <v/>
      </c>
      <c r="P91" s="107"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Q91" s="107" t="inlineStr">
        <is>
          <t>La organización deberá implementar, registrar y monitorear operativamente todos los protocolos relacionados a Separación de entornos de desarrollo, pruebas y producción, estableciendo políticas técnicas correspondientes bajo la ISO/IEC 27002:2022.</t>
        </is>
      </c>
      <c r="R91" t="inlineStr">
        <is>
          <t>NO</t>
        </is>
      </c>
      <c r="S91" s="108">
        <f>HYPERLINK("#INVENTARIO!A401", "22-GOP, 23-GOP, 24-GOP")</f>
        <v/>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f>"• Establecer lineamientos para " &amp; IFERROR(VLOOKUP(A92, 'ANEXO A'!$A$2:$L$94, 2, FALSE), "Este Control") &amp; CHAR(10) &amp; "• Definir roles para el control " &amp; A92 &amp; CHAR(10) &amp; "• Revisar efectividad de " &amp; IFERROR(VLOOKUP(A92, 'ANEXO A'!$A$2:$L$94, 2, FALSE), "Este Control")</f>
        <v/>
      </c>
      <c r="P92" s="107" t="inlineStr">
        <is>
          <t>Asegurar el cumplimiento, control y resguardo continuo de los procesos de Gestión de cambios a fin de mitigar riesgos y mantener la alineación a los principios de confidencialidad, integridad y disponibilidad aplicables a este dominio.</t>
        </is>
      </c>
      <c r="Q92" s="107" t="inlineStr">
        <is>
          <t>La organización deberá implementar, registrar y monitorear operativamente todos los protocolos relacionados a Gestión de cambios, estableciendo políticas técnicas correspondientes bajo la ISO/IEC 27002:2022.</t>
        </is>
      </c>
      <c r="R92" t="inlineStr">
        <is>
          <t>NO</t>
        </is>
      </c>
      <c r="S92" s="108">
        <f>HYPERLINK("#INVENTARIO!A404", "25-GOP, 26-GOP, 27-GOP")</f>
        <v/>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f>"• Establecer lineamientos para " &amp; IFERROR(VLOOKUP(A93, 'ANEXO A'!$A$2:$L$94, 2, FALSE), "Este Control") &amp; CHAR(10) &amp; "• Definir roles para el control " &amp; A93 &amp; CHAR(10) &amp; "• Revisar efectividad de " &amp; IFERROR(VLOOKUP(A93, 'ANEXO A'!$A$2:$L$94, 2, FALSE), "Este Control")</f>
        <v/>
      </c>
      <c r="P93" s="107" t="inlineStr">
        <is>
          <t>Asegurar el cumplimiento, control y resguardo continuo de los procesos de Información de prueba a fin de mitigar riesgos y mantener la alineación a los principios de confidencialidad, integridad y disponibilidad aplicables a este dominio.</t>
        </is>
      </c>
      <c r="Q93" s="107" t="inlineStr">
        <is>
          <t>La organización deberá implementar, registrar y monitorear operativamente todos los protocolos relacionados a Información de prueba, estableciendo políticas técnicas correspondientes bajo la ISO/IEC 27002:2022.</t>
        </is>
      </c>
      <c r="R93" t="inlineStr">
        <is>
          <t>NO</t>
        </is>
      </c>
      <c r="S93" s="108">
        <f>HYPERLINK("#INVENTARIO!A407", "28-GOP, 29-GOP, 30-GOP")</f>
        <v/>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f>"• Establecer lineamientos para " &amp; IFERROR(VLOOKUP(A94, 'ANEXO A'!$A$2:$L$94, 2, FALSE), "Este Control") &amp; CHAR(10) &amp; "• Definir roles para el control " &amp; A94 &amp; CHAR(10) &amp; "• Revisar efectividad de " &amp; IFERROR(VLOOKUP(A94, 'ANEXO A'!$A$2:$L$94, 2, FALSE), "Este Control")</f>
        <v/>
      </c>
      <c r="P94" s="107"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Q94" s="107" t="inlineStr">
        <is>
          <t>La organización deberá implementar, registrar y monitorear operativamente todos los protocolos relacionados a Protección de los sistemas de información durante las pruebas de auditoría, estableciendo políticas técnicas correspondientes bajo la ISO/IEC 27002:2022.</t>
        </is>
      </c>
      <c r="R94" t="inlineStr">
        <is>
          <t>NO</t>
        </is>
      </c>
      <c r="S94" s="108">
        <f>HYPERLINK("#INVENTARIO!A410", "31-GOP, 32-GOP, 33-GOP")</f>
        <v/>
      </c>
    </row>
  </sheetData>
  <autoFilter ref="A1:S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2026-09-01T13:46:10Z</dcterms:modified>
  <cp:lastModifiedBy>SEGURIDAD DE LA INFORMACION</cp:lastModifiedBy>
  <cp:lastPrinted>2025-09-10T17:26:07Z</cp:lastPrinted>
</cp:coreProperties>
</file>