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741" firstSheet="10" activeTab="11"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Documentación Aplicabilidad" sheetId="12" state="visible" r:id="rId12"/>
    <sheet name="Resumen Criticidad" sheetId="13" state="visible" r:id="rId13"/>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'Documentación Aplicabilidad'!$A$1:$L$94</definedName>
  </definedNames>
  <calcPr calcId="191029" fullCalcOnLoad="1"/>
  <pivotCaches>
    <pivotCache cacheId="7" r:id="rId14"/>
    <pivotCache cacheId="6" r:id="rId15"/>
  </pivotCaches>
</workbook>
</file>

<file path=xl/styles.xml><?xml version="1.0" encoding="utf-8"?>
<styleSheet xmlns="http://schemas.openxmlformats.org/spreadsheetml/2006/main">
  <numFmts count="0"/>
  <fonts count="12">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name val="Arial"/>
      <b val="1"/>
      <color rgb="FFFFFFFF"/>
      <sz val="8"/>
    </font>
    <font>
      <b val="1"/>
      <color rgb="00FFFFFF"/>
    </font>
    <font>
      <b val="1"/>
      <color rgb="00000080"/>
      <sz val="14"/>
    </font>
  </fonts>
  <fills count="19">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10">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7" fillId="16" borderId="0" applyAlignment="1" pivotButton="0" quotePrefix="0" xfId="0">
      <alignment horizontal="center" vertical="center" wrapText="1"/>
    </xf>
    <xf numFmtId="0" fontId="9" fillId="17" borderId="0" applyAlignment="1" pivotButton="0" quotePrefix="0" xfId="0">
      <alignment horizontal="center"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9" fillId="17" borderId="0" applyAlignment="1" pivotButton="0" quotePrefix="0" xfId="0">
      <alignment horizontal="left" vertical="center" wrapText="1"/>
    </xf>
    <xf numFmtId="0" fontId="10" fillId="18" borderId="0" applyAlignment="1" pivotButton="0" quotePrefix="0" xfId="0">
      <alignment horizontal="center" vertical="center" wrapText="1"/>
    </xf>
    <xf numFmtId="0" fontId="0" fillId="0" borderId="0" applyAlignment="1" pivotButton="0" quotePrefix="0" xfId="0">
      <alignment vertical="top" wrapText="1"/>
    </xf>
    <xf numFmtId="0" fontId="11" fillId="0" borderId="0" pivotButton="0" quotePrefix="0" xfId="0"/>
    <xf numFmtId="0" fontId="10" fillId="18" borderId="0" pivotButton="0" quotePrefix="0" xfId="0"/>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pivotCacheDefinition" Target="/xl/pivotCache/pivotCacheDefinition1.xml" Id="rId14" /><Relationship Type="http://schemas.openxmlformats.org/officeDocument/2006/relationships/pivotCacheDefinition" Target="/xl/pivotCache/pivotCacheDefinition2.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pivotSource>
    <name>[V3GESTION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[V3GESTION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[V3GESTION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[V3GESTION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8"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9"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7"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5" cacheId="6"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1"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6"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7"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C1406"/>
  <sheetViews>
    <sheetView topLeftCell="A486" workbookViewId="0">
      <selection activeCell="A515" sqref="A515"/>
    </sheetView>
  </sheetViews>
  <sheetFormatPr baseColWidth="10" defaultRowHeight="11.25"/>
  <cols>
    <col hidden="1" width="19.1640625" customWidth="1" style="103" min="2" max="2"/>
    <col hidden="1" width="26" customWidth="1" style="103" min="3" max="3"/>
    <col hidden="1" width="26.1640625" customWidth="1" style="103" min="4" max="4"/>
    <col hidden="1" width="41.6640625" customWidth="1" style="103" min="5" max="5"/>
    <col hidden="1" width="15.1640625" customWidth="1" style="103" min="6" max="6"/>
    <col hidden="1" width="31" customWidth="1" style="103" min="7" max="7"/>
    <col width="40.1640625" customWidth="1" style="103" min="8" max="8"/>
    <col width="44.6640625" customWidth="1" style="103" min="9" max="9"/>
    <col hidden="1" width="16.1640625" customWidth="1" style="103" min="10" max="10"/>
    <col hidden="1" width="19.1640625" customWidth="1" style="103" min="11" max="11"/>
    <col width="18.5" customWidth="1" style="103" min="12" max="12"/>
    <col width="26.1640625" customWidth="1" style="103" min="13" max="13"/>
    <col width="17.6640625" customWidth="1" style="103" min="14" max="14"/>
    <col width="33.1640625" bestFit="1" customWidth="1" style="103" min="15" max="15"/>
    <col width="20.5" customWidth="1" style="103" min="16" max="16"/>
    <col width="13.6640625" customWidth="1" style="103" min="17" max="17"/>
    <col width="17.1640625" customWidth="1" style="103" min="18" max="18"/>
    <col width="15.1640625" customWidth="1" style="103" min="19" max="19"/>
    <col width="13.5" customWidth="1" style="103" min="20" max="20"/>
    <col width="19.1640625" customWidth="1" style="103" min="21" max="21"/>
    <col width="21.1640625" customWidth="1" style="103" min="22" max="22"/>
    <col width="19" customWidth="1" style="103" min="23" max="23"/>
    <col width="27.6640625" customWidth="1" style="103" min="24" max="24"/>
  </cols>
  <sheetData>
    <row r="1">
      <c r="A1" s="94" t="n"/>
      <c r="B1" s="94" t="inlineStr">
        <is>
          <t>PROCESO/PROCEDIMIENTO</t>
        </is>
      </c>
      <c r="C1" s="95" t="n"/>
      <c r="D1" s="95" t="n"/>
      <c r="E1" s="95" t="n"/>
      <c r="F1" s="95" t="n"/>
      <c r="G1" s="96" t="n"/>
      <c r="H1" s="94" t="n"/>
      <c r="I1" s="94" t="n"/>
      <c r="J1" s="94" t="n"/>
      <c r="K1" s="94" t="n"/>
      <c r="L1" s="94" t="n"/>
      <c r="M1" s="94" t="n"/>
      <c r="N1" s="27" t="n"/>
      <c r="O1" s="94" t="n"/>
      <c r="P1" s="94" t="inlineStr">
        <is>
          <t>CLASIFICACIÓN</t>
        </is>
      </c>
      <c r="Q1" s="95" t="n"/>
      <c r="R1" s="96" t="n"/>
      <c r="S1" s="94" t="inlineStr">
        <is>
          <t>CRITICIDAD</t>
        </is>
      </c>
      <c r="T1" s="96" t="n"/>
      <c r="U1" s="94" t="n"/>
      <c r="V1" s="94" t="n"/>
      <c r="W1" s="94" t="n"/>
    </row>
    <row r="2" ht="24" customHeight="1" s="103">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c r="Y2" s="106" t="inlineStr">
        <is>
          <t>Estado de Implementación</t>
        </is>
      </c>
      <c r="Z2" s="106" t="inlineStr">
        <is>
          <t>Tipo de Protección</t>
        </is>
      </c>
      <c r="AA2" s="106" t="inlineStr">
        <is>
          <t>Nivel de Madurez / Efectividad</t>
        </is>
      </c>
      <c r="AB2" s="106" t="inlineStr">
        <is>
          <t>Riesgos / Amenazas que Mitiga</t>
        </is>
      </c>
      <c r="AC2" s="106" t="inlineStr">
        <is>
          <t>Evidencia / Documentación Asociada</t>
        </is>
      </c>
    </row>
    <row r="3">
      <c r="A3" s="96"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101">
        <f>+IFERROR(IF(VLOOKUP(Tabla2[[#This Row],[ID]],'EVALUACION DE RIESGO'!A:A,1,FALSE)=Tabla2[[#This Row],[ID]],"SI","NO"),"NO")</f>
        <v/>
      </c>
      <c r="Y3" s="107" t="inlineStr">
        <is>
          <t>Implementado</t>
        </is>
      </c>
      <c r="Z3" s="107" t="inlineStr">
        <is>
          <t>[PR] Prevención</t>
        </is>
      </c>
      <c r="AA3" s="107" t="inlineStr">
        <is>
          <t>L2: Reproducible</t>
        </is>
      </c>
      <c r="AB3" s="107" t="inlineStr">
        <is>
          <t>T2: Fuga de información</t>
        </is>
      </c>
      <c r="AC3" s="107" t="inlineStr">
        <is>
          <t>Manual de Operaciones</t>
        </is>
      </c>
    </row>
    <row r="4">
      <c r="A4" s="96"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c r="Y4" s="107" t="inlineStr">
        <is>
          <t>Implementado</t>
        </is>
      </c>
      <c r="Z4" s="107" t="inlineStr">
        <is>
          <t>[PR] Prevención</t>
        </is>
      </c>
      <c r="AA4" s="107" t="inlineStr">
        <is>
          <t>L3: Proceso Definido</t>
        </is>
      </c>
      <c r="AB4" s="107" t="inlineStr">
        <is>
          <t>T2: Fuga de información</t>
        </is>
      </c>
      <c r="AC4" s="107" t="inlineStr">
        <is>
          <t>Manual de Operaciones</t>
        </is>
      </c>
    </row>
    <row r="5">
      <c r="A5" s="96"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c r="Y5" s="107" t="inlineStr">
        <is>
          <t>No Implementado</t>
        </is>
      </c>
      <c r="Z5" s="107" t="inlineStr">
        <is>
          <t>[PR] Prevención</t>
        </is>
      </c>
      <c r="AA5" s="107" t="inlineStr">
        <is>
          <t>L2: Reproducible</t>
        </is>
      </c>
      <c r="AB5" s="107" t="inlineStr">
        <is>
          <t>T2: Fuga de información</t>
        </is>
      </c>
      <c r="AC5" s="107" t="inlineStr">
        <is>
          <t>Manual de Operaciones</t>
        </is>
      </c>
    </row>
    <row r="6">
      <c r="A6" s="96"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c r="Y6" s="107" t="inlineStr">
        <is>
          <t>Implementado</t>
        </is>
      </c>
      <c r="Z6" s="107" t="inlineStr">
        <is>
          <t>[PR] Prevención</t>
        </is>
      </c>
      <c r="AA6" s="107" t="inlineStr">
        <is>
          <t>L5: Optimizado</t>
        </is>
      </c>
      <c r="AB6" s="107" t="inlineStr">
        <is>
          <t>T2: Fuga de información</t>
        </is>
      </c>
      <c r="AC6" s="107" t="inlineStr">
        <is>
          <t>Manual de Operaciones</t>
        </is>
      </c>
    </row>
    <row r="7">
      <c r="A7" s="96"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c r="Y7" s="107" t="inlineStr">
        <is>
          <t>Implementado</t>
        </is>
      </c>
      <c r="Z7" s="107" t="inlineStr">
        <is>
          <t>[PR] Prevención</t>
        </is>
      </c>
      <c r="AA7" s="107" t="inlineStr">
        <is>
          <t>L2: Reproducible</t>
        </is>
      </c>
      <c r="AB7" s="107" t="inlineStr">
        <is>
          <t>T2: Fuga de información</t>
        </is>
      </c>
      <c r="AC7" s="107" t="inlineStr">
        <is>
          <t>Manual de Operaciones</t>
        </is>
      </c>
    </row>
    <row r="8">
      <c r="A8" s="96"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c r="Y8" s="107" t="inlineStr">
        <is>
          <t>En Proceso</t>
        </is>
      </c>
      <c r="Z8" s="107" t="inlineStr">
        <is>
          <t>[PR] Prevención</t>
        </is>
      </c>
      <c r="AA8" s="107" t="inlineStr">
        <is>
          <t>L2: Reproducible</t>
        </is>
      </c>
      <c r="AB8" s="107" t="inlineStr">
        <is>
          <t>T2: Fuga de información</t>
        </is>
      </c>
      <c r="AC8" s="107" t="inlineStr">
        <is>
          <t>Manual de Operaciones</t>
        </is>
      </c>
    </row>
    <row r="9">
      <c r="A9" s="96"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c r="Y9" s="107" t="inlineStr">
        <is>
          <t>Planificado</t>
        </is>
      </c>
      <c r="Z9" s="107" t="inlineStr">
        <is>
          <t>[MN] Monitorización</t>
        </is>
      </c>
      <c r="AA9" s="107" t="inlineStr">
        <is>
          <t>L2: Reproducible</t>
        </is>
      </c>
      <c r="AB9" s="107" t="inlineStr">
        <is>
          <t>T2: Fuga de información</t>
        </is>
      </c>
      <c r="AC9" s="107" t="inlineStr">
        <is>
          <t>Registro Físico</t>
        </is>
      </c>
    </row>
    <row r="10">
      <c r="A10" s="96"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c r="Y10" s="107" t="inlineStr">
        <is>
          <t>Implementado</t>
        </is>
      </c>
      <c r="Z10" s="107" t="inlineStr">
        <is>
          <t>[MN] Monitorización</t>
        </is>
      </c>
      <c r="AA10" s="107" t="inlineStr">
        <is>
          <t>L3: Proceso Definido</t>
        </is>
      </c>
      <c r="AB10" s="107" t="inlineStr">
        <is>
          <t>T2: Fuga de información</t>
        </is>
      </c>
      <c r="AC10" s="107" t="inlineStr">
        <is>
          <t>Registro Físico</t>
        </is>
      </c>
    </row>
    <row r="11">
      <c r="A11" s="96"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c r="Y11" s="107" t="inlineStr">
        <is>
          <t>Implementado</t>
        </is>
      </c>
      <c r="Z11" s="107" t="inlineStr">
        <is>
          <t>[PR] Prevención</t>
        </is>
      </c>
      <c r="AA11" s="107" t="inlineStr">
        <is>
          <t>L3: Proceso Definido</t>
        </is>
      </c>
      <c r="AB11" s="107" t="inlineStr">
        <is>
          <t>T2: Fuga de información</t>
        </is>
      </c>
      <c r="AC11" s="107" t="inlineStr">
        <is>
          <t>Manual de Operaciones</t>
        </is>
      </c>
    </row>
    <row r="12">
      <c r="A12" s="96"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c r="Y12" s="107" t="inlineStr">
        <is>
          <t>Planificado</t>
        </is>
      </c>
      <c r="Z12" s="107" t="inlineStr">
        <is>
          <t>[PR] Prevención</t>
        </is>
      </c>
      <c r="AA12" s="107" t="inlineStr">
        <is>
          <t>L4: Gestionado</t>
        </is>
      </c>
      <c r="AB12" s="107" t="inlineStr">
        <is>
          <t>T2: Fuga de información</t>
        </is>
      </c>
      <c r="AC12" s="107" t="inlineStr">
        <is>
          <t>Manual de Operaciones</t>
        </is>
      </c>
    </row>
    <row r="13">
      <c r="A13" s="96"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c r="Y13" s="107" t="inlineStr">
        <is>
          <t>Implementado</t>
        </is>
      </c>
      <c r="Z13" s="107" t="inlineStr">
        <is>
          <t>[PR] Prevención</t>
        </is>
      </c>
      <c r="AA13" s="107" t="inlineStr">
        <is>
          <t>L2: Reproducible</t>
        </is>
      </c>
      <c r="AB13" s="107" t="inlineStr">
        <is>
          <t>T2: Fuga de información</t>
        </is>
      </c>
      <c r="AC13" s="107" t="inlineStr">
        <is>
          <t>Manual de Operaciones</t>
        </is>
      </c>
    </row>
    <row r="14">
      <c r="A14" s="96"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c r="Y14" s="107" t="inlineStr">
        <is>
          <t>Implementado</t>
        </is>
      </c>
      <c r="Z14" s="107" t="inlineStr">
        <is>
          <t>[PR] Prevención</t>
        </is>
      </c>
      <c r="AA14" s="107" t="inlineStr">
        <is>
          <t>L3: Proceso Definido</t>
        </is>
      </c>
      <c r="AB14" s="107" t="inlineStr">
        <is>
          <t>T2: Fuga de información</t>
        </is>
      </c>
      <c r="AC14" s="107" t="inlineStr">
        <is>
          <t>Manual de Operaciones</t>
        </is>
      </c>
    </row>
    <row r="15">
      <c r="A15" s="96"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c r="Y15" s="107" t="inlineStr">
        <is>
          <t>Implementado</t>
        </is>
      </c>
      <c r="Z15" s="107" t="inlineStr">
        <is>
          <t>[PR] Prevención</t>
        </is>
      </c>
      <c r="AA15" s="107" t="inlineStr">
        <is>
          <t>L5: Optimizado</t>
        </is>
      </c>
      <c r="AB15" s="107" t="inlineStr">
        <is>
          <t>T2: Fuga de información</t>
        </is>
      </c>
      <c r="AC15" s="107" t="inlineStr">
        <is>
          <t>Manual de Operaciones</t>
        </is>
      </c>
    </row>
    <row r="16">
      <c r="A16" s="96"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c r="Y16" s="107" t="inlineStr">
        <is>
          <t>Implementado</t>
        </is>
      </c>
      <c r="Z16" s="107" t="inlineStr">
        <is>
          <t>[PR] Prevención</t>
        </is>
      </c>
      <c r="AA16" s="107" t="inlineStr">
        <is>
          <t>L4: Gestionado</t>
        </is>
      </c>
      <c r="AB16" s="107" t="inlineStr">
        <is>
          <t>T2: Fuga de información</t>
        </is>
      </c>
      <c r="AC16" s="107" t="inlineStr">
        <is>
          <t>Manual de Operaciones</t>
        </is>
      </c>
    </row>
    <row r="17">
      <c r="A17" s="96"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c r="Y17" s="107" t="inlineStr">
        <is>
          <t>Implementado</t>
        </is>
      </c>
      <c r="Z17" s="107" t="inlineStr">
        <is>
          <t>[PR] Prevención</t>
        </is>
      </c>
      <c r="AA17" s="107" t="inlineStr">
        <is>
          <t>L2: Reproducible</t>
        </is>
      </c>
      <c r="AB17" s="107" t="inlineStr">
        <is>
          <t>T2: Fuga de información</t>
        </is>
      </c>
      <c r="AC17" s="107" t="inlineStr">
        <is>
          <t>Manual de Operaciones</t>
        </is>
      </c>
    </row>
    <row r="18">
      <c r="A18" s="96"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c r="Y18" s="107" t="inlineStr">
        <is>
          <t>Implementado</t>
        </is>
      </c>
      <c r="Z18" s="107" t="inlineStr">
        <is>
          <t>[PR] Prevención</t>
        </is>
      </c>
      <c r="AA18" s="107" t="inlineStr">
        <is>
          <t>L3: Proceso Definido</t>
        </is>
      </c>
      <c r="AB18" s="107" t="inlineStr">
        <is>
          <t>T2: Fuga de información</t>
        </is>
      </c>
      <c r="AC18" s="107" t="inlineStr">
        <is>
          <t>Manual de Operaciones</t>
        </is>
      </c>
    </row>
    <row r="19">
      <c r="A19" s="96"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c r="Y19" s="107" t="inlineStr">
        <is>
          <t>Implementado</t>
        </is>
      </c>
      <c r="Z19" s="107" t="inlineStr">
        <is>
          <t>[PR] Prevención</t>
        </is>
      </c>
      <c r="AA19" s="107" t="inlineStr">
        <is>
          <t>L3: Proceso Definido</t>
        </is>
      </c>
      <c r="AB19" s="107" t="inlineStr">
        <is>
          <t>T2: Fuga de información</t>
        </is>
      </c>
      <c r="AC19" s="107" t="inlineStr">
        <is>
          <t>Manual de Operaciones</t>
        </is>
      </c>
    </row>
    <row r="20">
      <c r="A20" s="96"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c r="Y20" s="107" t="inlineStr">
        <is>
          <t>En Proceso</t>
        </is>
      </c>
      <c r="Z20" s="107" t="inlineStr">
        <is>
          <t>[PR] Prevención</t>
        </is>
      </c>
      <c r="AA20" s="107" t="inlineStr">
        <is>
          <t>L2: Reproducible</t>
        </is>
      </c>
      <c r="AB20" s="107" t="inlineStr">
        <is>
          <t>T2: Fuga de información</t>
        </is>
      </c>
      <c r="AC20" s="107" t="inlineStr">
        <is>
          <t>Manual de Operaciones</t>
        </is>
      </c>
    </row>
    <row r="21">
      <c r="A21" s="96"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c r="Y21" s="107" t="inlineStr">
        <is>
          <t>Implementado</t>
        </is>
      </c>
      <c r="Z21" s="107" t="inlineStr">
        <is>
          <t>[EL] Eliminación</t>
        </is>
      </c>
      <c r="AA21" s="107" t="inlineStr">
        <is>
          <t>L3: Proceso Definido</t>
        </is>
      </c>
      <c r="AB21" s="107" t="inlineStr">
        <is>
          <t>T2: Fuga de información</t>
        </is>
      </c>
      <c r="AC21" s="107" t="inlineStr">
        <is>
          <t>Registro Físico</t>
        </is>
      </c>
    </row>
    <row r="22">
      <c r="A22" s="96"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c r="Y22" s="107" t="inlineStr">
        <is>
          <t>Implementado</t>
        </is>
      </c>
      <c r="Z22" s="107" t="inlineStr">
        <is>
          <t>[MN] Monitorización</t>
        </is>
      </c>
      <c r="AA22" s="107" t="inlineStr">
        <is>
          <t>L3: Proceso Definido</t>
        </is>
      </c>
      <c r="AB22" s="107" t="inlineStr">
        <is>
          <t>T2: Fuga de información</t>
        </is>
      </c>
      <c r="AC22" s="107" t="inlineStr">
        <is>
          <t>Registro Físico</t>
        </is>
      </c>
    </row>
    <row r="23">
      <c r="A23" s="96"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c r="Y23" s="107" t="inlineStr">
        <is>
          <t>Implementado</t>
        </is>
      </c>
      <c r="Z23" s="107" t="inlineStr">
        <is>
          <t>[PR] Prevención</t>
        </is>
      </c>
      <c r="AA23" s="107" t="inlineStr">
        <is>
          <t>L2: Reproducible</t>
        </is>
      </c>
      <c r="AB23" s="107" t="inlineStr">
        <is>
          <t>T2: Fuga de información</t>
        </is>
      </c>
      <c r="AC23" s="107" t="inlineStr">
        <is>
          <t>Manual de Operaciones</t>
        </is>
      </c>
    </row>
    <row r="24">
      <c r="A24" s="96"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c r="Y24" s="107" t="inlineStr">
        <is>
          <t>Implementado</t>
        </is>
      </c>
      <c r="Z24" s="107" t="inlineStr">
        <is>
          <t>[PR] Prevención</t>
        </is>
      </c>
      <c r="AA24" s="107" t="inlineStr">
        <is>
          <t>L5: Optimizado</t>
        </is>
      </c>
      <c r="AB24" s="107" t="inlineStr">
        <is>
          <t>T2: Fuga de información</t>
        </is>
      </c>
      <c r="AC24" s="107" t="inlineStr">
        <is>
          <t>Manual de Operaciones</t>
        </is>
      </c>
    </row>
    <row r="25">
      <c r="A25" s="96"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c r="Y25" s="107" t="inlineStr">
        <is>
          <t>Implementado</t>
        </is>
      </c>
      <c r="Z25" s="107" t="inlineStr">
        <is>
          <t>[PR] Prevención</t>
        </is>
      </c>
      <c r="AA25" s="107" t="inlineStr">
        <is>
          <t>L5: Optimizado</t>
        </is>
      </c>
      <c r="AB25" s="107" t="inlineStr">
        <is>
          <t>T2: Fuga de información</t>
        </is>
      </c>
      <c r="AC25" s="107" t="inlineStr">
        <is>
          <t>Manual de Operaciones</t>
        </is>
      </c>
    </row>
    <row r="26">
      <c r="A26" s="96"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c r="Y26" s="107" t="inlineStr">
        <is>
          <t>Implementado</t>
        </is>
      </c>
      <c r="Z26" s="107" t="inlineStr">
        <is>
          <t>[PR] Prevención</t>
        </is>
      </c>
      <c r="AA26" s="107" t="inlineStr">
        <is>
          <t>L2: Reproducible</t>
        </is>
      </c>
      <c r="AB26" s="107" t="inlineStr">
        <is>
          <t>T2: Fuga de información</t>
        </is>
      </c>
      <c r="AC26" s="107" t="inlineStr">
        <is>
          <t>Manual de Operaciones</t>
        </is>
      </c>
    </row>
    <row r="27">
      <c r="A27" s="96"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c r="Y27" s="107" t="inlineStr">
        <is>
          <t>Implementado</t>
        </is>
      </c>
      <c r="Z27" s="107" t="inlineStr">
        <is>
          <t>[PR] Prevención</t>
        </is>
      </c>
      <c r="AA27" s="107" t="inlineStr">
        <is>
          <t>L5: Optimizado</t>
        </is>
      </c>
      <c r="AB27" s="107" t="inlineStr">
        <is>
          <t>T2: Fuga de información</t>
        </is>
      </c>
      <c r="AC27" s="107" t="inlineStr">
        <is>
          <t>Manual de Operaciones</t>
        </is>
      </c>
    </row>
    <row r="28">
      <c r="A28" s="96"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c r="Y28" s="107" t="inlineStr">
        <is>
          <t>Implementado</t>
        </is>
      </c>
      <c r="Z28" s="107" t="inlineStr">
        <is>
          <t>[CR] Corrección</t>
        </is>
      </c>
      <c r="AA28" s="107" t="inlineStr">
        <is>
          <t>L5: Optimizado</t>
        </is>
      </c>
      <c r="AB28" s="107" t="inlineStr">
        <is>
          <t>T2: Fuga de información</t>
        </is>
      </c>
      <c r="AC28" s="107" t="inlineStr">
        <is>
          <t>Registro Físico</t>
        </is>
      </c>
    </row>
    <row r="29">
      <c r="A29" s="96"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c r="Y29" s="107" t="inlineStr">
        <is>
          <t>Implementado</t>
        </is>
      </c>
      <c r="Z29" s="107" t="inlineStr">
        <is>
          <t>[PR] Prevención</t>
        </is>
      </c>
      <c r="AA29" s="107" t="inlineStr">
        <is>
          <t>L4: Gestionado</t>
        </is>
      </c>
      <c r="AB29" s="107" t="inlineStr">
        <is>
          <t>T2: Fuga de información</t>
        </is>
      </c>
      <c r="AC29" s="107" t="inlineStr">
        <is>
          <t>Manual de Operaciones</t>
        </is>
      </c>
    </row>
    <row r="30">
      <c r="A30" s="96"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c r="Y30" s="107" t="inlineStr">
        <is>
          <t>No Implementado</t>
        </is>
      </c>
      <c r="Z30" s="107" t="inlineStr">
        <is>
          <t>[PR] Prevención</t>
        </is>
      </c>
      <c r="AA30" s="107" t="inlineStr">
        <is>
          <t>L3: Proceso Definido</t>
        </is>
      </c>
      <c r="AB30" s="107" t="inlineStr">
        <is>
          <t>T2: Fuga de información</t>
        </is>
      </c>
      <c r="AC30" s="107" t="inlineStr">
        <is>
          <t>Manual de Operaciones</t>
        </is>
      </c>
    </row>
    <row r="31">
      <c r="A31" s="96"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c r="Y31" s="107" t="inlineStr">
        <is>
          <t>Implementado</t>
        </is>
      </c>
      <c r="Z31" s="107" t="inlineStr">
        <is>
          <t>[PR] Prevención</t>
        </is>
      </c>
      <c r="AA31" s="107" t="inlineStr">
        <is>
          <t>L3: Proceso Definido</t>
        </is>
      </c>
      <c r="AB31" s="107" t="inlineStr">
        <is>
          <t>T2: Fuga de información</t>
        </is>
      </c>
      <c r="AC31" s="107" t="inlineStr">
        <is>
          <t>Manual de Operaciones</t>
        </is>
      </c>
    </row>
    <row r="32">
      <c r="A32" s="96"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c r="Y32" s="107" t="inlineStr">
        <is>
          <t>Implementado</t>
        </is>
      </c>
      <c r="Z32" s="107" t="inlineStr">
        <is>
          <t>[MN] Monitorización</t>
        </is>
      </c>
      <c r="AA32" s="107" t="inlineStr">
        <is>
          <t>L2: Reproducible</t>
        </is>
      </c>
      <c r="AB32" s="107" t="inlineStr">
        <is>
          <t>T2: Fuga de información</t>
        </is>
      </c>
      <c r="AC32" s="107" t="inlineStr">
        <is>
          <t>Registro Físico</t>
        </is>
      </c>
    </row>
    <row r="33">
      <c r="A33" s="96"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c r="Y33" s="107" t="inlineStr">
        <is>
          <t>Planificado</t>
        </is>
      </c>
      <c r="Z33" s="107" t="inlineStr">
        <is>
          <t>[PR] Prevención</t>
        </is>
      </c>
      <c r="AA33" s="107" t="inlineStr">
        <is>
          <t>L3: Proceso Definido</t>
        </is>
      </c>
      <c r="AB33" s="107" t="inlineStr">
        <is>
          <t>T2: Fuga de información</t>
        </is>
      </c>
      <c r="AC33" s="107" t="inlineStr">
        <is>
          <t>Manual de Operaciones</t>
        </is>
      </c>
    </row>
    <row r="34">
      <c r="A34" s="96"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c r="Y34" s="107" t="inlineStr">
        <is>
          <t>Implementado</t>
        </is>
      </c>
      <c r="Z34" s="107" t="inlineStr">
        <is>
          <t>[PR] Prevención</t>
        </is>
      </c>
      <c r="AA34" s="107" t="inlineStr">
        <is>
          <t>L4: Gestionado</t>
        </is>
      </c>
      <c r="AB34" s="107" t="inlineStr">
        <is>
          <t>T2: Fuga de información</t>
        </is>
      </c>
      <c r="AC34" s="107" t="inlineStr">
        <is>
          <t>Manual de Operaciones</t>
        </is>
      </c>
    </row>
    <row r="35">
      <c r="A35" s="96"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c r="Y35" s="107" t="inlineStr">
        <is>
          <t>Implementado</t>
        </is>
      </c>
      <c r="Z35" s="107" t="inlineStr">
        <is>
          <t>[PR] Prevención</t>
        </is>
      </c>
      <c r="AA35" s="107" t="inlineStr">
        <is>
          <t>L2: Reproducible</t>
        </is>
      </c>
      <c r="AB35" s="107" t="inlineStr">
        <is>
          <t>T2: Fuga de información</t>
        </is>
      </c>
      <c r="AC35" s="107" t="inlineStr">
        <is>
          <t>Manual de Operaciones</t>
        </is>
      </c>
    </row>
    <row r="36">
      <c r="A36" s="96"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c r="Y36" s="107" t="inlineStr">
        <is>
          <t>Implementado</t>
        </is>
      </c>
      <c r="Z36" s="107" t="inlineStr">
        <is>
          <t>[PR] Prevención</t>
        </is>
      </c>
      <c r="AA36" s="107" t="inlineStr">
        <is>
          <t>L2: Reproducible</t>
        </is>
      </c>
      <c r="AB36" s="107" t="inlineStr">
        <is>
          <t>T2: Fuga de información</t>
        </is>
      </c>
      <c r="AC36" s="107" t="inlineStr">
        <is>
          <t>Manual de Operaciones</t>
        </is>
      </c>
    </row>
    <row r="37">
      <c r="A37" s="96"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c r="Y37" s="107" t="inlineStr">
        <is>
          <t>Implementado</t>
        </is>
      </c>
      <c r="Z37" s="107" t="inlineStr">
        <is>
          <t>[PR] Prevención</t>
        </is>
      </c>
      <c r="AA37" s="107" t="inlineStr">
        <is>
          <t>L2: Reproducible</t>
        </is>
      </c>
      <c r="AB37" s="107" t="inlineStr">
        <is>
          <t>T2: Fuga de información</t>
        </is>
      </c>
      <c r="AC37" s="107" t="inlineStr">
        <is>
          <t>Manual de Operaciones</t>
        </is>
      </c>
    </row>
    <row r="38">
      <c r="A38" s="96"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c r="Y38" s="107" t="inlineStr">
        <is>
          <t>Implementado</t>
        </is>
      </c>
      <c r="Z38" s="107" t="inlineStr">
        <is>
          <t>[PR] Prevención</t>
        </is>
      </c>
      <c r="AA38" s="107" t="inlineStr">
        <is>
          <t>L4: Gestionado</t>
        </is>
      </c>
      <c r="AB38" s="107" t="inlineStr">
        <is>
          <t>T2: Fuga de información</t>
        </is>
      </c>
      <c r="AC38" s="107" t="inlineStr">
        <is>
          <t>Manual de Operaciones</t>
        </is>
      </c>
    </row>
    <row r="39">
      <c r="A39" s="96"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c r="Y39" s="107" t="inlineStr">
        <is>
          <t>En Proceso</t>
        </is>
      </c>
      <c r="Z39" s="107" t="inlineStr">
        <is>
          <t>[PR] Prevención</t>
        </is>
      </c>
      <c r="AA39" s="107" t="inlineStr">
        <is>
          <t>L3: Proceso Definido</t>
        </is>
      </c>
      <c r="AB39" s="107" t="inlineStr">
        <is>
          <t>T2: Fuga de información</t>
        </is>
      </c>
      <c r="AC39" s="107" t="inlineStr">
        <is>
          <t>Manual de Operaciones</t>
        </is>
      </c>
    </row>
    <row r="40">
      <c r="A40" s="96"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c r="Y40" s="107" t="inlineStr">
        <is>
          <t>Implementado</t>
        </is>
      </c>
      <c r="Z40" s="107" t="inlineStr">
        <is>
          <t>[PR] Prevención</t>
        </is>
      </c>
      <c r="AA40" s="107" t="inlineStr">
        <is>
          <t>L3: Proceso Definido</t>
        </is>
      </c>
      <c r="AB40" s="107" t="inlineStr">
        <is>
          <t>T2: Fuga de información</t>
        </is>
      </c>
      <c r="AC40" s="107" t="inlineStr">
        <is>
          <t>Manual de Operaciones</t>
        </is>
      </c>
    </row>
    <row r="41">
      <c r="A41" s="96"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c r="Y41" s="107" t="inlineStr">
        <is>
          <t>Implementado</t>
        </is>
      </c>
      <c r="Z41" s="107" t="inlineStr">
        <is>
          <t>[PR] Prevención</t>
        </is>
      </c>
      <c r="AA41" s="107" t="inlineStr">
        <is>
          <t>L3: Proceso Definido</t>
        </is>
      </c>
      <c r="AB41" s="107" t="inlineStr">
        <is>
          <t>T2: Fuga de información</t>
        </is>
      </c>
      <c r="AC41" s="107" t="inlineStr">
        <is>
          <t>Manual de Operaciones</t>
        </is>
      </c>
    </row>
    <row r="42">
      <c r="A42" s="96"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c r="Y42" s="107" t="inlineStr">
        <is>
          <t>En Proceso</t>
        </is>
      </c>
      <c r="Z42" s="107" t="inlineStr">
        <is>
          <t>[PR] Prevención</t>
        </is>
      </c>
      <c r="AA42" s="107" t="inlineStr">
        <is>
          <t>L4: Gestionado</t>
        </is>
      </c>
      <c r="AB42" s="107" t="inlineStr">
        <is>
          <t>T2: Fuga de información</t>
        </is>
      </c>
      <c r="AC42" s="107" t="inlineStr">
        <is>
          <t>Manual de Operaciones</t>
        </is>
      </c>
    </row>
    <row r="43">
      <c r="A43" s="96"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c r="Y43" s="107" t="inlineStr">
        <is>
          <t>Planificado</t>
        </is>
      </c>
      <c r="Z43" s="107" t="inlineStr">
        <is>
          <t>[PR] Prevención</t>
        </is>
      </c>
      <c r="AA43" s="107" t="inlineStr">
        <is>
          <t>L2: Reproducible</t>
        </is>
      </c>
      <c r="AB43" s="107" t="inlineStr">
        <is>
          <t>T2: Fuga de información</t>
        </is>
      </c>
      <c r="AC43" s="107" t="inlineStr">
        <is>
          <t>Manual de Operaciones</t>
        </is>
      </c>
    </row>
    <row r="44">
      <c r="A44" s="96"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c r="Y44" s="107" t="inlineStr">
        <is>
          <t>Implementado</t>
        </is>
      </c>
      <c r="Z44" s="107" t="inlineStr">
        <is>
          <t>[RC] Recuperación</t>
        </is>
      </c>
      <c r="AA44" s="107" t="inlineStr">
        <is>
          <t>L2: Reproducible</t>
        </is>
      </c>
      <c r="AB44" s="107" t="inlineStr">
        <is>
          <t>T2: Fuga de información</t>
        </is>
      </c>
      <c r="AC44" s="107" t="inlineStr">
        <is>
          <t>Registro Físico</t>
        </is>
      </c>
    </row>
    <row r="45">
      <c r="A45" s="96"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c r="Y45" s="107" t="inlineStr">
        <is>
          <t>Implementado</t>
        </is>
      </c>
      <c r="Z45" s="107" t="inlineStr">
        <is>
          <t>[PR] Prevención</t>
        </is>
      </c>
      <c r="AA45" s="107" t="inlineStr">
        <is>
          <t>L5: Optimizado</t>
        </is>
      </c>
      <c r="AB45" s="107" t="inlineStr">
        <is>
          <t>T2: Fuga de información</t>
        </is>
      </c>
      <c r="AC45" s="107" t="inlineStr">
        <is>
          <t>Manual de Operaciones</t>
        </is>
      </c>
    </row>
    <row r="46">
      <c r="A46" s="96"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c r="Y46" s="107" t="inlineStr">
        <is>
          <t>Implementado</t>
        </is>
      </c>
      <c r="Z46" s="107" t="inlineStr">
        <is>
          <t>[PR] Prevención</t>
        </is>
      </c>
      <c r="AA46" s="107" t="inlineStr">
        <is>
          <t>L3: Proceso Definido</t>
        </is>
      </c>
      <c r="AB46" s="107" t="inlineStr">
        <is>
          <t>T2: Fuga de información</t>
        </is>
      </c>
      <c r="AC46" s="107" t="inlineStr">
        <is>
          <t>Manual de Operaciones</t>
        </is>
      </c>
    </row>
    <row r="47">
      <c r="A47" s="96"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c r="Y47" s="107" t="inlineStr">
        <is>
          <t>Implementado</t>
        </is>
      </c>
      <c r="Z47" s="107" t="inlineStr">
        <is>
          <t>[PR] Prevención</t>
        </is>
      </c>
      <c r="AA47" s="107" t="inlineStr">
        <is>
          <t>L2: Reproducible</t>
        </is>
      </c>
      <c r="AB47" s="107" t="inlineStr">
        <is>
          <t>T2: Fuga de información</t>
        </is>
      </c>
      <c r="AC47" s="107" t="inlineStr">
        <is>
          <t>Manual de Operaciones</t>
        </is>
      </c>
    </row>
    <row r="48">
      <c r="A48" s="96"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c r="Y48" s="107" t="inlineStr">
        <is>
          <t>No Implementado</t>
        </is>
      </c>
      <c r="Z48" s="107" t="inlineStr">
        <is>
          <t>[PR] Prevención</t>
        </is>
      </c>
      <c r="AA48" s="107" t="inlineStr">
        <is>
          <t>L3: Proceso Definido</t>
        </is>
      </c>
      <c r="AB48" s="107" t="inlineStr">
        <is>
          <t>T2: Fuga de información</t>
        </is>
      </c>
      <c r="AC48" s="107" t="inlineStr">
        <is>
          <t>Manual de Operaciones</t>
        </is>
      </c>
    </row>
    <row r="49">
      <c r="A49" s="96"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c r="Y49" s="107" t="inlineStr">
        <is>
          <t>Implementado</t>
        </is>
      </c>
      <c r="Z49" s="107" t="inlineStr">
        <is>
          <t>[PR] Prevención</t>
        </is>
      </c>
      <c r="AA49" s="107" t="inlineStr">
        <is>
          <t>L4: Gestionado</t>
        </is>
      </c>
      <c r="AB49" s="107" t="inlineStr">
        <is>
          <t>T2: Fuga de información</t>
        </is>
      </c>
      <c r="AC49" s="107" t="inlineStr">
        <is>
          <t>Manual de Operaciones</t>
        </is>
      </c>
    </row>
    <row r="50">
      <c r="A50" s="96"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c r="Y50" s="107" t="inlineStr">
        <is>
          <t>Implementado</t>
        </is>
      </c>
      <c r="Z50" s="107" t="inlineStr">
        <is>
          <t>[PR] Prevención</t>
        </is>
      </c>
      <c r="AA50" s="107" t="inlineStr">
        <is>
          <t>L5: Optimizado</t>
        </is>
      </c>
      <c r="AB50" s="107" t="inlineStr">
        <is>
          <t>T2: Fuga de información</t>
        </is>
      </c>
      <c r="AC50" s="107" t="inlineStr">
        <is>
          <t>Manual de Operaciones</t>
        </is>
      </c>
    </row>
    <row r="51">
      <c r="A51" s="96"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c r="Y51" s="107" t="inlineStr">
        <is>
          <t>Implementado</t>
        </is>
      </c>
      <c r="Z51" s="107" t="inlineStr">
        <is>
          <t>[IM] Minimización</t>
        </is>
      </c>
      <c r="AA51" s="107" t="inlineStr">
        <is>
          <t>L4: Gestionado</t>
        </is>
      </c>
      <c r="AB51" s="107" t="inlineStr">
        <is>
          <t>T2: Fuga de información</t>
        </is>
      </c>
      <c r="AC51" s="107" t="inlineStr">
        <is>
          <t>Registro Físico</t>
        </is>
      </c>
    </row>
    <row r="52">
      <c r="A52" s="96"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c r="Y52" s="107" t="inlineStr">
        <is>
          <t>En Proceso</t>
        </is>
      </c>
      <c r="Z52" s="107" t="inlineStr">
        <is>
          <t>[PR] Prevención</t>
        </is>
      </c>
      <c r="AA52" s="107" t="inlineStr">
        <is>
          <t>L2: Reproducible</t>
        </is>
      </c>
      <c r="AB52" s="107" t="inlineStr">
        <is>
          <t>T2: Fuga de información</t>
        </is>
      </c>
      <c r="AC52" s="107" t="inlineStr">
        <is>
          <t>Manual de Operaciones</t>
        </is>
      </c>
    </row>
    <row r="53">
      <c r="A53" s="96"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c r="Y53" s="107" t="inlineStr">
        <is>
          <t>Implementado</t>
        </is>
      </c>
      <c r="Z53" s="107" t="inlineStr">
        <is>
          <t>[EL] Eliminación</t>
        </is>
      </c>
      <c r="AA53" s="107" t="inlineStr">
        <is>
          <t>L4: Gestionado</t>
        </is>
      </c>
      <c r="AB53" s="107" t="inlineStr">
        <is>
          <t>T2: Fuga de información</t>
        </is>
      </c>
      <c r="AC53" s="107" t="inlineStr">
        <is>
          <t>Registro Físico</t>
        </is>
      </c>
    </row>
    <row r="54">
      <c r="A54" s="96"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c r="Y54" s="107" t="inlineStr">
        <is>
          <t>Implementado</t>
        </is>
      </c>
      <c r="Z54" s="107" t="inlineStr">
        <is>
          <t>[EL] Eliminación</t>
        </is>
      </c>
      <c r="AA54" s="107" t="inlineStr">
        <is>
          <t>L3: Proceso Definido</t>
        </is>
      </c>
      <c r="AB54" s="107" t="inlineStr">
        <is>
          <t>T2: Fuga de información</t>
        </is>
      </c>
      <c r="AC54" s="107" t="inlineStr">
        <is>
          <t>Registro Físico</t>
        </is>
      </c>
    </row>
    <row r="55">
      <c r="A55" s="96"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c r="Y55" s="107" t="inlineStr">
        <is>
          <t>Implementado</t>
        </is>
      </c>
      <c r="Z55" s="107" t="inlineStr">
        <is>
          <t>[PR] Prevención</t>
        </is>
      </c>
      <c r="AA55" s="107" t="inlineStr">
        <is>
          <t>L3: Proceso Definido</t>
        </is>
      </c>
      <c r="AB55" s="107" t="inlineStr">
        <is>
          <t>T2: Fuga de información</t>
        </is>
      </c>
      <c r="AC55" s="107" t="inlineStr">
        <is>
          <t>Manual de Operaciones</t>
        </is>
      </c>
    </row>
    <row r="56">
      <c r="A56" s="96"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c r="Y56" s="107" t="inlineStr">
        <is>
          <t>Implementado</t>
        </is>
      </c>
      <c r="Z56" s="107" t="inlineStr">
        <is>
          <t>[MN] Monitorización</t>
        </is>
      </c>
      <c r="AA56" s="107" t="inlineStr">
        <is>
          <t>L5: Optimizado</t>
        </is>
      </c>
      <c r="AB56" s="107" t="inlineStr">
        <is>
          <t>T2: Fuga de información</t>
        </is>
      </c>
      <c r="AC56" s="107" t="inlineStr">
        <is>
          <t>Registro Físico</t>
        </is>
      </c>
    </row>
    <row r="57">
      <c r="A57" s="96"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c r="Y57" s="107" t="inlineStr">
        <is>
          <t>Implementado</t>
        </is>
      </c>
      <c r="Z57" s="107" t="inlineStr">
        <is>
          <t>[IM] Minimización</t>
        </is>
      </c>
      <c r="AA57" s="107" t="inlineStr">
        <is>
          <t>L5: Optimizado</t>
        </is>
      </c>
      <c r="AB57" s="107" t="inlineStr">
        <is>
          <t>T2: Fuga de información</t>
        </is>
      </c>
      <c r="AC57" s="107" t="inlineStr">
        <is>
          <t>Registro Físico</t>
        </is>
      </c>
    </row>
    <row r="58">
      <c r="A58" s="96"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c r="Y58" s="107" t="inlineStr">
        <is>
          <t>Implementado</t>
        </is>
      </c>
      <c r="Z58" s="107" t="inlineStr">
        <is>
          <t>[PR] Prevención</t>
        </is>
      </c>
      <c r="AA58" s="107" t="inlineStr">
        <is>
          <t>L5: Optimizado</t>
        </is>
      </c>
      <c r="AB58" s="107" t="inlineStr">
        <is>
          <t>T2: Fuga de información</t>
        </is>
      </c>
      <c r="AC58" s="107" t="inlineStr">
        <is>
          <t>Manual de Operaciones</t>
        </is>
      </c>
    </row>
    <row r="59">
      <c r="A59" s="96"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c r="Y59" s="107" t="inlineStr">
        <is>
          <t>Implementado</t>
        </is>
      </c>
      <c r="Z59" s="107" t="inlineStr">
        <is>
          <t>[PR] Prevención</t>
        </is>
      </c>
      <c r="AA59" s="107" t="inlineStr">
        <is>
          <t>L2: Reproducible</t>
        </is>
      </c>
      <c r="AB59" s="107" t="inlineStr">
        <is>
          <t>T2: Fuga de información</t>
        </is>
      </c>
      <c r="AC59" s="107" t="inlineStr">
        <is>
          <t>Manual de Operaciones</t>
        </is>
      </c>
    </row>
    <row r="60">
      <c r="A60" s="96"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c r="Y60" s="107" t="inlineStr">
        <is>
          <t>Planificado</t>
        </is>
      </c>
      <c r="Z60" s="107" t="inlineStr">
        <is>
          <t>[PR] Prevención</t>
        </is>
      </c>
      <c r="AA60" s="107" t="inlineStr">
        <is>
          <t>L5: Optimizado</t>
        </is>
      </c>
      <c r="AB60" s="107" t="inlineStr">
        <is>
          <t>T2: Fuga de información</t>
        </is>
      </c>
      <c r="AC60" s="107" t="inlineStr">
        <is>
          <t>Manual de Operaciones</t>
        </is>
      </c>
    </row>
    <row r="61">
      <c r="A61" s="96"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c r="Y61" s="107" t="inlineStr">
        <is>
          <t>Implementado</t>
        </is>
      </c>
      <c r="Z61" s="107" t="inlineStr">
        <is>
          <t>[PR] Prevención</t>
        </is>
      </c>
      <c r="AA61" s="107" t="inlineStr">
        <is>
          <t>L5: Optimizado</t>
        </is>
      </c>
      <c r="AB61" s="107" t="inlineStr">
        <is>
          <t>T2: Fuga de información</t>
        </is>
      </c>
      <c r="AC61" s="107" t="inlineStr">
        <is>
          <t>Manual de Operaciones</t>
        </is>
      </c>
    </row>
    <row r="62">
      <c r="A62" s="96"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c r="Y62" s="107" t="inlineStr">
        <is>
          <t>Implementado</t>
        </is>
      </c>
      <c r="Z62" s="107" t="inlineStr">
        <is>
          <t>[PR] Prevención</t>
        </is>
      </c>
      <c r="AA62" s="107" t="inlineStr">
        <is>
          <t>L2: Reproducible</t>
        </is>
      </c>
      <c r="AB62" s="107" t="inlineStr">
        <is>
          <t>T2: Fuga de información</t>
        </is>
      </c>
      <c r="AC62" s="107" t="inlineStr">
        <is>
          <t>Manual de Operaciones</t>
        </is>
      </c>
    </row>
    <row r="63">
      <c r="A63" s="96"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c r="Y63" s="107" t="inlineStr">
        <is>
          <t>En Proceso</t>
        </is>
      </c>
      <c r="Z63" s="107" t="inlineStr">
        <is>
          <t>[PR] Prevención</t>
        </is>
      </c>
      <c r="AA63" s="107" t="inlineStr">
        <is>
          <t>L4: Gestionado</t>
        </is>
      </c>
      <c r="AB63" s="107" t="inlineStr">
        <is>
          <t>T2: Fuga de información</t>
        </is>
      </c>
      <c r="AC63" s="107" t="inlineStr">
        <is>
          <t>Manual de Operaciones</t>
        </is>
      </c>
    </row>
    <row r="64">
      <c r="A64" s="96"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c r="Y64" s="107" t="inlineStr">
        <is>
          <t>Implementado</t>
        </is>
      </c>
      <c r="Z64" s="107" t="inlineStr">
        <is>
          <t>[PR] Prevención</t>
        </is>
      </c>
      <c r="AA64" s="107" t="inlineStr">
        <is>
          <t>L5: Optimizado</t>
        </is>
      </c>
      <c r="AB64" s="107" t="inlineStr">
        <is>
          <t>T2: Fuga de información</t>
        </is>
      </c>
      <c r="AC64" s="107" t="inlineStr">
        <is>
          <t>Manual de Operaciones</t>
        </is>
      </c>
    </row>
    <row r="65">
      <c r="A65" s="96"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c r="Y65" s="107" t="inlineStr">
        <is>
          <t>Implementado</t>
        </is>
      </c>
      <c r="Z65" s="107" t="inlineStr">
        <is>
          <t>[PR] Prevención</t>
        </is>
      </c>
      <c r="AA65" s="107" t="inlineStr">
        <is>
          <t>L2: Reproducible</t>
        </is>
      </c>
      <c r="AB65" s="107" t="inlineStr">
        <is>
          <t>T2: Fuga de información</t>
        </is>
      </c>
      <c r="AC65" s="107" t="inlineStr">
        <is>
          <t>Manual de Operaciones</t>
        </is>
      </c>
    </row>
    <row r="66">
      <c r="A66" s="96"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c r="Y66" s="107" t="inlineStr">
        <is>
          <t>Implementado</t>
        </is>
      </c>
      <c r="Z66" s="107" t="inlineStr">
        <is>
          <t>[PR] Prevención</t>
        </is>
      </c>
      <c r="AA66" s="107" t="inlineStr">
        <is>
          <t>L2: Reproducible</t>
        </is>
      </c>
      <c r="AB66" s="107" t="inlineStr">
        <is>
          <t>T2: Fuga de información</t>
        </is>
      </c>
      <c r="AC66" s="107" t="inlineStr">
        <is>
          <t>Manual de Operaciones</t>
        </is>
      </c>
    </row>
    <row r="67">
      <c r="A67" s="96"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c r="Y67" s="107" t="inlineStr">
        <is>
          <t>No Implementado</t>
        </is>
      </c>
      <c r="Z67" s="107" t="inlineStr">
        <is>
          <t>[DR] Disuasión</t>
        </is>
      </c>
      <c r="AA67" s="107" t="inlineStr">
        <is>
          <t>L3: Proceso Definido</t>
        </is>
      </c>
      <c r="AB67" s="107" t="inlineStr">
        <is>
          <t>T2: Fuga de información</t>
        </is>
      </c>
      <c r="AC67" s="107" t="inlineStr">
        <is>
          <t>Registro Físico</t>
        </is>
      </c>
    </row>
    <row r="68">
      <c r="A68" s="96"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c r="Y68" s="107" t="inlineStr">
        <is>
          <t>Implementado</t>
        </is>
      </c>
      <c r="Z68" s="107" t="inlineStr">
        <is>
          <t>[PR] Prevención</t>
        </is>
      </c>
      <c r="AA68" s="107" t="inlineStr">
        <is>
          <t>L5: Optimizado</t>
        </is>
      </c>
      <c r="AB68" s="107" t="inlineStr">
        <is>
          <t>T2: Fuga de información</t>
        </is>
      </c>
      <c r="AC68" s="107" t="inlineStr">
        <is>
          <t>Manual de Operaciones</t>
        </is>
      </c>
    </row>
    <row r="69">
      <c r="A69" s="96"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c r="Y69" s="107" t="inlineStr">
        <is>
          <t>Implementado</t>
        </is>
      </c>
      <c r="Z69" s="107" t="inlineStr">
        <is>
          <t>[PR] Prevención</t>
        </is>
      </c>
      <c r="AA69" s="107" t="inlineStr">
        <is>
          <t>L4: Gestionado</t>
        </is>
      </c>
      <c r="AB69" s="107" t="inlineStr">
        <is>
          <t>T2: Fuga de información</t>
        </is>
      </c>
      <c r="AC69" s="107" t="inlineStr">
        <is>
          <t>Manual de Operaciones</t>
        </is>
      </c>
    </row>
    <row r="70">
      <c r="A70" s="96"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c r="Y70" s="107" t="inlineStr">
        <is>
          <t>Implementado</t>
        </is>
      </c>
      <c r="Z70" s="107" t="inlineStr">
        <is>
          <t>[PR] Prevención</t>
        </is>
      </c>
      <c r="AA70" s="107" t="inlineStr">
        <is>
          <t>L2: Reproducible</t>
        </is>
      </c>
      <c r="AB70" s="107" t="inlineStr">
        <is>
          <t>T2: Fuga de información</t>
        </is>
      </c>
      <c r="AC70" s="107" t="inlineStr">
        <is>
          <t>Registro Físico</t>
        </is>
      </c>
    </row>
    <row r="71">
      <c r="A71" s="96"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c r="Y71" s="107" t="inlineStr">
        <is>
          <t>En Proceso</t>
        </is>
      </c>
      <c r="Z71" s="107" t="inlineStr">
        <is>
          <t>[IM] Minimización</t>
        </is>
      </c>
      <c r="AA71" s="107" t="inlineStr">
        <is>
          <t>L4: Gestionado</t>
        </is>
      </c>
      <c r="AB71" s="107" t="inlineStr">
        <is>
          <t>T2: Fuga de información</t>
        </is>
      </c>
      <c r="AC71" s="107" t="inlineStr">
        <is>
          <t>Registro Físico</t>
        </is>
      </c>
    </row>
    <row r="72">
      <c r="A72" s="96"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c r="Y72" s="107" t="inlineStr">
        <is>
          <t>En Proceso</t>
        </is>
      </c>
      <c r="Z72" s="107" t="inlineStr">
        <is>
          <t>[PR] Prevención</t>
        </is>
      </c>
      <c r="AA72" s="107" t="inlineStr">
        <is>
          <t>L4: Gestionado</t>
        </is>
      </c>
      <c r="AB72" s="107" t="inlineStr">
        <is>
          <t>T2: Fuga de información</t>
        </is>
      </c>
      <c r="AC72" s="107" t="inlineStr">
        <is>
          <t>Manual de Operaciones</t>
        </is>
      </c>
    </row>
    <row r="73" ht="41.1" customHeight="1" s="103">
      <c r="A73" s="96"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c r="Y73" s="107" t="inlineStr">
        <is>
          <t>Implementado</t>
        </is>
      </c>
      <c r="Z73" s="107" t="inlineStr">
        <is>
          <t>[PR] Prevención</t>
        </is>
      </c>
      <c r="AA73" s="107" t="inlineStr">
        <is>
          <t>L2: Reproducible</t>
        </is>
      </c>
      <c r="AB73" s="107" t="inlineStr">
        <is>
          <t>T2: Fuga de información</t>
        </is>
      </c>
      <c r="AC73" s="107" t="inlineStr">
        <is>
          <t>Manual de Operaciones</t>
        </is>
      </c>
    </row>
    <row r="74">
      <c r="A74" s="96"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c r="Y74" s="107" t="inlineStr">
        <is>
          <t>En Proceso</t>
        </is>
      </c>
      <c r="Z74" s="107" t="inlineStr">
        <is>
          <t>[PR] Prevención</t>
        </is>
      </c>
      <c r="AA74" s="107" t="inlineStr">
        <is>
          <t>L4: Gestionado</t>
        </is>
      </c>
      <c r="AB74" s="107" t="inlineStr">
        <is>
          <t>T2: Fuga de información</t>
        </is>
      </c>
      <c r="AC74" s="107" t="inlineStr">
        <is>
          <t>Manual de Operaciones</t>
        </is>
      </c>
    </row>
    <row r="75">
      <c r="A75" s="96"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c r="Y75" s="107" t="inlineStr">
        <is>
          <t>En Proceso</t>
        </is>
      </c>
      <c r="Z75" s="107" t="inlineStr">
        <is>
          <t>[CR] Corrección</t>
        </is>
      </c>
      <c r="AA75" s="107" t="inlineStr">
        <is>
          <t>L4: Gestionado</t>
        </is>
      </c>
      <c r="AB75" s="107" t="inlineStr">
        <is>
          <t>T2: Fuga de información</t>
        </is>
      </c>
      <c r="AC75" s="107" t="inlineStr">
        <is>
          <t>Registro Físico</t>
        </is>
      </c>
    </row>
    <row r="76">
      <c r="A76" s="96"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c r="Y76" s="107" t="inlineStr">
        <is>
          <t>Implementado</t>
        </is>
      </c>
      <c r="Z76" s="107" t="inlineStr">
        <is>
          <t>[PR] Prevención</t>
        </is>
      </c>
      <c r="AA76" s="107" t="inlineStr">
        <is>
          <t>L4: Gestionado</t>
        </is>
      </c>
      <c r="AB76" s="107" t="inlineStr">
        <is>
          <t>T2: Fuga de información</t>
        </is>
      </c>
      <c r="AC76" s="107" t="inlineStr">
        <is>
          <t>Manual de Operaciones</t>
        </is>
      </c>
    </row>
    <row r="77">
      <c r="A77" s="96"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c r="Y77" s="107" t="inlineStr">
        <is>
          <t>Implementado</t>
        </is>
      </c>
      <c r="Z77" s="107" t="inlineStr">
        <is>
          <t>[PR] Prevención</t>
        </is>
      </c>
      <c r="AA77" s="107" t="inlineStr">
        <is>
          <t>L3: Proceso Definido</t>
        </is>
      </c>
      <c r="AB77" s="107" t="inlineStr">
        <is>
          <t>T2: Fuga de información</t>
        </is>
      </c>
      <c r="AC77" s="107" t="inlineStr">
        <is>
          <t>Manual de Operaciones</t>
        </is>
      </c>
    </row>
    <row r="78">
      <c r="A78" s="96"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c r="Y78" s="107" t="inlineStr">
        <is>
          <t>Implementado</t>
        </is>
      </c>
      <c r="Z78" s="107" t="inlineStr">
        <is>
          <t>[PR] Prevención</t>
        </is>
      </c>
      <c r="AA78" s="107" t="inlineStr">
        <is>
          <t>L4: Gestionado</t>
        </is>
      </c>
      <c r="AB78" s="107" t="inlineStr">
        <is>
          <t>T2: Fuga de información</t>
        </is>
      </c>
      <c r="AC78" s="107" t="inlineStr">
        <is>
          <t>Manual de Operaciones</t>
        </is>
      </c>
    </row>
    <row r="79">
      <c r="A79" s="96"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c r="Y79" s="107" t="inlineStr">
        <is>
          <t>Implementado</t>
        </is>
      </c>
      <c r="Z79" s="107" t="inlineStr">
        <is>
          <t>[PR] Prevención</t>
        </is>
      </c>
      <c r="AA79" s="107" t="inlineStr">
        <is>
          <t>L2: Reproducible</t>
        </is>
      </c>
      <c r="AB79" s="107" t="inlineStr">
        <is>
          <t>T2: Fuga de información</t>
        </is>
      </c>
      <c r="AC79" s="107" t="inlineStr">
        <is>
          <t>Manual de Operaciones</t>
        </is>
      </c>
    </row>
    <row r="80">
      <c r="A80" s="96"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c r="Y80" s="107" t="inlineStr">
        <is>
          <t>Implementado</t>
        </is>
      </c>
      <c r="Z80" s="107" t="inlineStr">
        <is>
          <t>[PR] Prevención</t>
        </is>
      </c>
      <c r="AA80" s="107" t="inlineStr">
        <is>
          <t>L3: Proceso Definido</t>
        </is>
      </c>
      <c r="AB80" s="107" t="inlineStr">
        <is>
          <t>T2: Fuga de información</t>
        </is>
      </c>
      <c r="AC80" s="107" t="inlineStr">
        <is>
          <t>Manual de Operaciones</t>
        </is>
      </c>
    </row>
    <row r="81">
      <c r="A81" s="96"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c r="Y81" s="107" t="inlineStr">
        <is>
          <t>Implementado</t>
        </is>
      </c>
      <c r="Z81" s="107" t="inlineStr">
        <is>
          <t>[PR] Prevención</t>
        </is>
      </c>
      <c r="AA81" s="107" t="inlineStr">
        <is>
          <t>L5: Optimizado</t>
        </is>
      </c>
      <c r="AB81" s="107" t="inlineStr">
        <is>
          <t>T2: Fuga de información</t>
        </is>
      </c>
      <c r="AC81" s="107" t="inlineStr">
        <is>
          <t>Manual de Operaciones</t>
        </is>
      </c>
    </row>
    <row r="82">
      <c r="A82" s="96"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c r="Y82" s="107" t="inlineStr">
        <is>
          <t>Implementado</t>
        </is>
      </c>
      <c r="Z82" s="107" t="inlineStr">
        <is>
          <t>[PR] Prevención</t>
        </is>
      </c>
      <c r="AA82" s="107" t="inlineStr">
        <is>
          <t>L5: Optimizado</t>
        </is>
      </c>
      <c r="AB82" s="107" t="inlineStr">
        <is>
          <t>T2: Fuga de información</t>
        </is>
      </c>
      <c r="AC82" s="107" t="inlineStr">
        <is>
          <t>Manual de Operaciones</t>
        </is>
      </c>
    </row>
    <row r="83">
      <c r="A83" s="96"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c r="Y83" s="107" t="inlineStr">
        <is>
          <t>Implementado</t>
        </is>
      </c>
      <c r="Z83" s="107" t="inlineStr">
        <is>
          <t>[PR] Prevención</t>
        </is>
      </c>
      <c r="AA83" s="107" t="inlineStr">
        <is>
          <t>L5: Optimizado</t>
        </is>
      </c>
      <c r="AB83" s="107" t="inlineStr">
        <is>
          <t>T2: Fuga de información</t>
        </is>
      </c>
      <c r="AC83" s="107" t="inlineStr">
        <is>
          <t>Manual de Operaciones</t>
        </is>
      </c>
    </row>
    <row r="84">
      <c r="A84" s="96"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c r="Y84" s="107" t="inlineStr">
        <is>
          <t>Planificado</t>
        </is>
      </c>
      <c r="Z84" s="107" t="inlineStr">
        <is>
          <t>[PR] Prevención</t>
        </is>
      </c>
      <c r="AA84" s="107" t="inlineStr">
        <is>
          <t>L2: Reproducible</t>
        </is>
      </c>
      <c r="AB84" s="107" t="inlineStr">
        <is>
          <t>T2: Fuga de información</t>
        </is>
      </c>
      <c r="AC84" s="107" t="inlineStr">
        <is>
          <t>Manual de Operaciones</t>
        </is>
      </c>
    </row>
    <row r="85">
      <c r="A85" s="96"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c r="Y85" s="107" t="inlineStr">
        <is>
          <t>Implementado</t>
        </is>
      </c>
      <c r="Z85" s="107" t="inlineStr">
        <is>
          <t>[PR] Prevención</t>
        </is>
      </c>
      <c r="AA85" s="107" t="inlineStr">
        <is>
          <t>L5: Optimizado</t>
        </is>
      </c>
      <c r="AB85" s="107" t="inlineStr">
        <is>
          <t>T2: Fuga de información</t>
        </is>
      </c>
      <c r="AC85" s="107" t="inlineStr">
        <is>
          <t>Registro Físico</t>
        </is>
      </c>
    </row>
    <row r="86">
      <c r="A86" s="96"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c r="Y86" s="107" t="inlineStr">
        <is>
          <t>Implementado</t>
        </is>
      </c>
      <c r="Z86" s="107" t="inlineStr">
        <is>
          <t>[DR] Disuasión</t>
        </is>
      </c>
      <c r="AA86" s="107" t="inlineStr">
        <is>
          <t>L3: Proceso Definido</t>
        </is>
      </c>
      <c r="AB86" s="107" t="inlineStr">
        <is>
          <t>T2: Fuga de información</t>
        </is>
      </c>
      <c r="AC86" s="107" t="inlineStr">
        <is>
          <t>Registro Físico</t>
        </is>
      </c>
    </row>
    <row r="87">
      <c r="A87" s="96"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c r="Y87" s="107" t="inlineStr">
        <is>
          <t>Implementado</t>
        </is>
      </c>
      <c r="Z87" s="107" t="inlineStr">
        <is>
          <t>[EL] Eliminación</t>
        </is>
      </c>
      <c r="AA87" s="107" t="inlineStr">
        <is>
          <t>L4: Gestionado</t>
        </is>
      </c>
      <c r="AB87" s="107" t="inlineStr">
        <is>
          <t>T2: Fuga de información</t>
        </is>
      </c>
      <c r="AC87" s="107" t="inlineStr">
        <is>
          <t>Registro Físico</t>
        </is>
      </c>
    </row>
    <row r="88">
      <c r="A88" s="96"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c r="Y88" s="107" t="inlineStr">
        <is>
          <t>Planificado</t>
        </is>
      </c>
      <c r="Z88" s="107" t="inlineStr">
        <is>
          <t>[EL] Eliminación</t>
        </is>
      </c>
      <c r="AA88" s="107" t="inlineStr">
        <is>
          <t>L2: Reproducible</t>
        </is>
      </c>
      <c r="AB88" s="107" t="inlineStr">
        <is>
          <t>T2: Fuga de información</t>
        </is>
      </c>
      <c r="AC88" s="107" t="inlineStr">
        <is>
          <t>Registro Físico</t>
        </is>
      </c>
    </row>
    <row r="89">
      <c r="A89" s="96"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c r="Y89" s="107" t="inlineStr">
        <is>
          <t>Implementado</t>
        </is>
      </c>
      <c r="Z89" s="107" t="inlineStr">
        <is>
          <t>[MN] Monitorización</t>
        </is>
      </c>
      <c r="AA89" s="107" t="inlineStr">
        <is>
          <t>L5: Optimizado</t>
        </is>
      </c>
      <c r="AB89" s="107" t="inlineStr">
        <is>
          <t>T2: Fuga de información</t>
        </is>
      </c>
      <c r="AC89" s="107" t="inlineStr">
        <is>
          <t>Registro Físico</t>
        </is>
      </c>
    </row>
    <row r="90">
      <c r="A90" s="96"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c r="Y90" s="107" t="inlineStr">
        <is>
          <t>No Implementado</t>
        </is>
      </c>
      <c r="Z90" s="107" t="inlineStr">
        <is>
          <t>[PR] Prevención</t>
        </is>
      </c>
      <c r="AA90" s="107" t="inlineStr">
        <is>
          <t>L3: Proceso Definido</t>
        </is>
      </c>
      <c r="AB90" s="107" t="inlineStr">
        <is>
          <t>T2: Fuga de información</t>
        </is>
      </c>
      <c r="AC90" s="107" t="inlineStr">
        <is>
          <t>Manual de Operaciones</t>
        </is>
      </c>
    </row>
    <row r="91">
      <c r="A91" s="96"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c r="Y91" s="107" t="inlineStr">
        <is>
          <t>Implementado</t>
        </is>
      </c>
      <c r="Z91" s="107" t="inlineStr">
        <is>
          <t>[PR] Prevención</t>
        </is>
      </c>
      <c r="AA91" s="107" t="inlineStr">
        <is>
          <t>L3: Proceso Definido</t>
        </is>
      </c>
      <c r="AB91" s="107" t="inlineStr">
        <is>
          <t>T2: Fuga de información</t>
        </is>
      </c>
      <c r="AC91" s="107" t="inlineStr">
        <is>
          <t>Manual de Operaciones</t>
        </is>
      </c>
    </row>
    <row r="92">
      <c r="A92" s="96"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c r="Y92" s="107" t="inlineStr">
        <is>
          <t>En Proceso</t>
        </is>
      </c>
      <c r="Z92" s="107" t="inlineStr">
        <is>
          <t>[PR] Prevención</t>
        </is>
      </c>
      <c r="AA92" s="107" t="inlineStr">
        <is>
          <t>L4: Gestionado</t>
        </is>
      </c>
      <c r="AB92" s="107" t="inlineStr">
        <is>
          <t>T2: Fuga de información</t>
        </is>
      </c>
      <c r="AC92" s="107" t="inlineStr">
        <is>
          <t>Manual de Operaciones</t>
        </is>
      </c>
    </row>
    <row r="93">
      <c r="A93" s="96"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c r="Y93" s="107" t="inlineStr">
        <is>
          <t>En Proceso</t>
        </is>
      </c>
      <c r="Z93" s="107" t="inlineStr">
        <is>
          <t>[PR] Prevención</t>
        </is>
      </c>
      <c r="AA93" s="107" t="inlineStr">
        <is>
          <t>L4: Gestionado</t>
        </is>
      </c>
      <c r="AB93" s="107" t="inlineStr">
        <is>
          <t>T2: Fuga de información</t>
        </is>
      </c>
      <c r="AC93" s="107" t="inlineStr">
        <is>
          <t>Manual de Operaciones</t>
        </is>
      </c>
    </row>
    <row r="94">
      <c r="A94" s="96"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c r="Y94" s="107" t="inlineStr">
        <is>
          <t>Planificado</t>
        </is>
      </c>
      <c r="Z94" s="107" t="inlineStr">
        <is>
          <t>[PR] Prevención</t>
        </is>
      </c>
      <c r="AA94" s="107" t="inlineStr">
        <is>
          <t>L3: Proceso Definido</t>
        </is>
      </c>
      <c r="AB94" s="107" t="inlineStr">
        <is>
          <t>T2: Fuga de información</t>
        </is>
      </c>
      <c r="AC94" s="107" t="inlineStr">
        <is>
          <t>Manual de Operaciones</t>
        </is>
      </c>
    </row>
    <row r="95">
      <c r="A95" s="96"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c r="Y95" s="107" t="inlineStr">
        <is>
          <t>Implementado</t>
        </is>
      </c>
      <c r="Z95" s="107" t="inlineStr">
        <is>
          <t>[PR] Prevención</t>
        </is>
      </c>
      <c r="AA95" s="107" t="inlineStr">
        <is>
          <t>L3: Proceso Definido</t>
        </is>
      </c>
      <c r="AB95" s="107" t="inlineStr">
        <is>
          <t>T2: Fuga de información</t>
        </is>
      </c>
      <c r="AC95" s="107" t="inlineStr">
        <is>
          <t>Manual de Operaciones</t>
        </is>
      </c>
    </row>
    <row r="96">
      <c r="A96" s="96"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c r="Y96" s="107" t="inlineStr">
        <is>
          <t>En Proceso</t>
        </is>
      </c>
      <c r="Z96" s="107" t="inlineStr">
        <is>
          <t>[DR] Disuasión</t>
        </is>
      </c>
      <c r="AA96" s="107" t="inlineStr">
        <is>
          <t>L3: Proceso Definido</t>
        </is>
      </c>
      <c r="AB96" s="107" t="inlineStr">
        <is>
          <t>T2: Fuga de información</t>
        </is>
      </c>
      <c r="AC96" s="107" t="inlineStr">
        <is>
          <t>Registro Físico</t>
        </is>
      </c>
    </row>
    <row r="97">
      <c r="A97" s="96"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c r="Y97" s="107" t="inlineStr">
        <is>
          <t>Implementado</t>
        </is>
      </c>
      <c r="Z97" s="107" t="inlineStr">
        <is>
          <t>[PR] Prevención</t>
        </is>
      </c>
      <c r="AA97" s="107" t="inlineStr">
        <is>
          <t>L2: Reproducible</t>
        </is>
      </c>
      <c r="AB97" s="107" t="inlineStr">
        <is>
          <t>T2: Fuga de información</t>
        </is>
      </c>
      <c r="AC97" s="107" t="inlineStr">
        <is>
          <t>Manual de Operaciones</t>
        </is>
      </c>
    </row>
    <row r="98">
      <c r="A98" s="96"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c r="Y98" s="107" t="inlineStr">
        <is>
          <t>Implementado</t>
        </is>
      </c>
      <c r="Z98" s="107" t="inlineStr">
        <is>
          <t>[PR] Prevención</t>
        </is>
      </c>
      <c r="AA98" s="107" t="inlineStr">
        <is>
          <t>L3: Proceso Definido</t>
        </is>
      </c>
      <c r="AB98" s="107" t="inlineStr">
        <is>
          <t>T2: Fuga de información</t>
        </is>
      </c>
      <c r="AC98" s="107" t="inlineStr">
        <is>
          <t>Manual de Operaciones</t>
        </is>
      </c>
    </row>
    <row r="99">
      <c r="A99" s="96"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c r="Y99" s="107" t="inlineStr">
        <is>
          <t>Planificado</t>
        </is>
      </c>
      <c r="Z99" s="107" t="inlineStr">
        <is>
          <t>[EL] Eliminación</t>
        </is>
      </c>
      <c r="AA99" s="107" t="inlineStr">
        <is>
          <t>L2: Reproducible</t>
        </is>
      </c>
      <c r="AB99" s="107" t="inlineStr">
        <is>
          <t>T2: Fuga de información</t>
        </is>
      </c>
      <c r="AC99" s="107" t="inlineStr">
        <is>
          <t>Registro Físico</t>
        </is>
      </c>
    </row>
    <row r="100">
      <c r="A100" s="96"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c r="Y100" s="107" t="inlineStr">
        <is>
          <t>Implementado</t>
        </is>
      </c>
      <c r="Z100" s="107" t="inlineStr">
        <is>
          <t>[DC] Detección</t>
        </is>
      </c>
      <c r="AA100" s="107" t="inlineStr">
        <is>
          <t>L5: Optimizado</t>
        </is>
      </c>
      <c r="AB100" s="107" t="inlineStr">
        <is>
          <t>T2: Fuga de información</t>
        </is>
      </c>
      <c r="AC100" s="107" t="inlineStr">
        <is>
          <t>Registro Físico</t>
        </is>
      </c>
    </row>
    <row r="101">
      <c r="A101" s="96"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c r="Y101" s="107" t="inlineStr">
        <is>
          <t>Implementado</t>
        </is>
      </c>
      <c r="Z101" s="107" t="inlineStr">
        <is>
          <t>[PR] Prevención</t>
        </is>
      </c>
      <c r="AA101" s="107" t="inlineStr">
        <is>
          <t>L4: Gestionado</t>
        </is>
      </c>
      <c r="AB101" s="107" t="inlineStr">
        <is>
          <t>T2: Fuga de información</t>
        </is>
      </c>
      <c r="AC101" s="107" t="inlineStr">
        <is>
          <t>Manual de Operaciones</t>
        </is>
      </c>
    </row>
    <row r="102">
      <c r="A102" s="96"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c r="Y102" s="107" t="inlineStr">
        <is>
          <t>Implementado</t>
        </is>
      </c>
      <c r="Z102" s="107" t="inlineStr">
        <is>
          <t>[PR] Prevención</t>
        </is>
      </c>
      <c r="AA102" s="107" t="inlineStr">
        <is>
          <t>L3: Proceso Definido</t>
        </is>
      </c>
      <c r="AB102" s="107" t="inlineStr">
        <is>
          <t>T2: Fuga de información</t>
        </is>
      </c>
      <c r="AC102" s="107" t="inlineStr">
        <is>
          <t>Manual de Operaciones</t>
        </is>
      </c>
    </row>
    <row r="103">
      <c r="A103" s="96"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c r="Y103" s="107" t="inlineStr">
        <is>
          <t>Implementado</t>
        </is>
      </c>
      <c r="Z103" s="107" t="inlineStr">
        <is>
          <t>[PR] Prevención</t>
        </is>
      </c>
      <c r="AA103" s="107" t="inlineStr">
        <is>
          <t>L5: Optimizado</t>
        </is>
      </c>
      <c r="AB103" s="107" t="inlineStr">
        <is>
          <t>T2: Fuga de información</t>
        </is>
      </c>
      <c r="AC103" s="107" t="inlineStr">
        <is>
          <t>Manual de Operaciones</t>
        </is>
      </c>
    </row>
    <row r="104">
      <c r="A104" s="96"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c r="Y104" s="107" t="inlineStr">
        <is>
          <t>Implementado</t>
        </is>
      </c>
      <c r="Z104" s="107" t="inlineStr">
        <is>
          <t>[PR] Prevención</t>
        </is>
      </c>
      <c r="AA104" s="107" t="inlineStr">
        <is>
          <t>L4: Gestionado</t>
        </is>
      </c>
      <c r="AB104" s="107" t="inlineStr">
        <is>
          <t>T2: Fuga de información</t>
        </is>
      </c>
      <c r="AC104" s="107" t="inlineStr">
        <is>
          <t>Manual de Operaciones</t>
        </is>
      </c>
    </row>
    <row r="105">
      <c r="A105" s="96"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c r="Y105" s="107" t="inlineStr">
        <is>
          <t>Implementado</t>
        </is>
      </c>
      <c r="Z105" s="107" t="inlineStr">
        <is>
          <t>[PR] Prevención</t>
        </is>
      </c>
      <c r="AA105" s="107" t="inlineStr">
        <is>
          <t>L3: Proceso Definido</t>
        </is>
      </c>
      <c r="AB105" s="107" t="inlineStr">
        <is>
          <t>T2: Fuga de información</t>
        </is>
      </c>
      <c r="AC105" s="107" t="inlineStr">
        <is>
          <t>Manual de Operaciones</t>
        </is>
      </c>
    </row>
    <row r="106">
      <c r="A106" s="96"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c r="Y106" s="107" t="inlineStr">
        <is>
          <t>Planificado</t>
        </is>
      </c>
      <c r="Z106" s="107" t="inlineStr">
        <is>
          <t>[PR] Prevención</t>
        </is>
      </c>
      <c r="AA106" s="107" t="inlineStr">
        <is>
          <t>L5: Optimizado</t>
        </is>
      </c>
      <c r="AB106" s="107" t="inlineStr">
        <is>
          <t>T2: Fuga de información</t>
        </is>
      </c>
      <c r="AC106" s="107" t="inlineStr">
        <is>
          <t>Manual de Operaciones</t>
        </is>
      </c>
    </row>
    <row r="107">
      <c r="A107" s="96"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c r="Y107" s="107" t="inlineStr">
        <is>
          <t>Implementado</t>
        </is>
      </c>
      <c r="Z107" s="107" t="inlineStr">
        <is>
          <t>[PR] Prevención</t>
        </is>
      </c>
      <c r="AA107" s="107" t="inlineStr">
        <is>
          <t>L3: Proceso Definido</t>
        </is>
      </c>
      <c r="AB107" s="107" t="inlineStr">
        <is>
          <t>T2: Fuga de información</t>
        </is>
      </c>
      <c r="AC107" s="107" t="inlineStr">
        <is>
          <t>Manual de Operaciones</t>
        </is>
      </c>
    </row>
    <row r="108">
      <c r="A108" s="96"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c r="Y108" s="107" t="inlineStr">
        <is>
          <t>Implementado</t>
        </is>
      </c>
      <c r="Z108" s="107" t="inlineStr">
        <is>
          <t>[PR] Prevención</t>
        </is>
      </c>
      <c r="AA108" s="107" t="inlineStr">
        <is>
          <t>L2: Reproducible</t>
        </is>
      </c>
      <c r="AB108" s="107" t="inlineStr">
        <is>
          <t>T2: Fuga de información</t>
        </is>
      </c>
      <c r="AC108" s="107" t="inlineStr">
        <is>
          <t>Manual de Operaciones</t>
        </is>
      </c>
    </row>
    <row r="109">
      <c r="A109" s="96"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c r="Y109" s="107" t="inlineStr">
        <is>
          <t>Implementado</t>
        </is>
      </c>
      <c r="Z109" s="107" t="inlineStr">
        <is>
          <t>[PR] Prevención</t>
        </is>
      </c>
      <c r="AA109" s="107" t="inlineStr">
        <is>
          <t>L5: Optimizado</t>
        </is>
      </c>
      <c r="AB109" s="107" t="inlineStr">
        <is>
          <t>T2: Fuga de información</t>
        </is>
      </c>
      <c r="AC109" s="107" t="inlineStr">
        <is>
          <t>Manual de Operaciones</t>
        </is>
      </c>
    </row>
    <row r="110">
      <c r="A110" s="96"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c r="Y110" s="107" t="inlineStr">
        <is>
          <t>Planificado</t>
        </is>
      </c>
      <c r="Z110" s="107" t="inlineStr">
        <is>
          <t>[PR] Prevención</t>
        </is>
      </c>
      <c r="AA110" s="107" t="inlineStr">
        <is>
          <t>L3: Proceso Definido</t>
        </is>
      </c>
      <c r="AB110" s="107" t="inlineStr">
        <is>
          <t>T2: Fuga de información</t>
        </is>
      </c>
      <c r="AC110" s="107" t="inlineStr">
        <is>
          <t>Manual de Operaciones</t>
        </is>
      </c>
    </row>
    <row r="111">
      <c r="A111" s="96"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c r="Y111" s="107" t="inlineStr">
        <is>
          <t>Implementado</t>
        </is>
      </c>
      <c r="Z111" s="107" t="inlineStr">
        <is>
          <t>[PR] Prevención</t>
        </is>
      </c>
      <c r="AA111" s="107" t="inlineStr">
        <is>
          <t>L4: Gestionado</t>
        </is>
      </c>
      <c r="AB111" s="107" t="inlineStr">
        <is>
          <t>T2: Fuga de información</t>
        </is>
      </c>
      <c r="AC111" s="107" t="inlineStr">
        <is>
          <t>Manual de Operaciones</t>
        </is>
      </c>
    </row>
    <row r="112">
      <c r="A112" s="96"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c r="Y112" s="107" t="inlineStr">
        <is>
          <t>Implementado</t>
        </is>
      </c>
      <c r="Z112" s="107" t="inlineStr">
        <is>
          <t>[PR] Prevención</t>
        </is>
      </c>
      <c r="AA112" s="107" t="inlineStr">
        <is>
          <t>L4: Gestionado</t>
        </is>
      </c>
      <c r="AB112" s="107" t="inlineStr">
        <is>
          <t>T2: Fuga de información</t>
        </is>
      </c>
      <c r="AC112" s="107" t="inlineStr">
        <is>
          <t>Manual de Operaciones</t>
        </is>
      </c>
    </row>
    <row r="113">
      <c r="A113" s="96"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c r="Y113" s="107" t="inlineStr">
        <is>
          <t>En Proceso</t>
        </is>
      </c>
      <c r="Z113" s="107" t="inlineStr">
        <is>
          <t>[PR] Prevención</t>
        </is>
      </c>
      <c r="AA113" s="107" t="inlineStr">
        <is>
          <t>L3: Proceso Definido</t>
        </is>
      </c>
      <c r="AB113" s="107" t="inlineStr">
        <is>
          <t>T2: Fuga de información</t>
        </is>
      </c>
      <c r="AC113" s="107" t="inlineStr">
        <is>
          <t>Manual de Operaciones</t>
        </is>
      </c>
    </row>
    <row r="114">
      <c r="A114" s="96"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c r="Y114" s="107" t="inlineStr">
        <is>
          <t>Implementado</t>
        </is>
      </c>
      <c r="Z114" s="107" t="inlineStr">
        <is>
          <t>[PR] Prevención</t>
        </is>
      </c>
      <c r="AA114" s="107" t="inlineStr">
        <is>
          <t>L5: Optimizado</t>
        </is>
      </c>
      <c r="AB114" s="107" t="inlineStr">
        <is>
          <t>T2: Fuga de información</t>
        </is>
      </c>
      <c r="AC114" s="107" t="inlineStr">
        <is>
          <t>Manual de Operaciones</t>
        </is>
      </c>
    </row>
    <row r="115">
      <c r="A115" s="96"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c r="Y115" s="107" t="inlineStr">
        <is>
          <t>Implementado</t>
        </is>
      </c>
      <c r="Z115" s="107" t="inlineStr">
        <is>
          <t>[PR] Prevención</t>
        </is>
      </c>
      <c r="AA115" s="107" t="inlineStr">
        <is>
          <t>L2: Reproducible</t>
        </is>
      </c>
      <c r="AB115" s="107" t="inlineStr">
        <is>
          <t>T2: Fuga de información</t>
        </is>
      </c>
      <c r="AC115" s="107" t="inlineStr">
        <is>
          <t>Manual de Operaciones</t>
        </is>
      </c>
    </row>
    <row r="116">
      <c r="A116" s="96"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c r="Y116" s="107" t="inlineStr">
        <is>
          <t>Implementado</t>
        </is>
      </c>
      <c r="Z116" s="107" t="inlineStr">
        <is>
          <t>[PR] Prevención</t>
        </is>
      </c>
      <c r="AA116" s="107" t="inlineStr">
        <is>
          <t>L2: Reproducible</t>
        </is>
      </c>
      <c r="AB116" s="107" t="inlineStr">
        <is>
          <t>T2: Fuga de información</t>
        </is>
      </c>
      <c r="AC116" s="107" t="inlineStr">
        <is>
          <t>Manual de Operaciones</t>
        </is>
      </c>
    </row>
    <row r="117">
      <c r="A117" s="96"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c r="Y117" s="107" t="inlineStr">
        <is>
          <t>Implementado</t>
        </is>
      </c>
      <c r="Z117" s="107" t="inlineStr">
        <is>
          <t>[PR] Prevención</t>
        </is>
      </c>
      <c r="AA117" s="107" t="inlineStr">
        <is>
          <t>L5: Optimizado</t>
        </is>
      </c>
      <c r="AB117" s="107" t="inlineStr">
        <is>
          <t>T2: Fuga de información</t>
        </is>
      </c>
      <c r="AC117" s="107" t="inlineStr">
        <is>
          <t>Manual de Operaciones</t>
        </is>
      </c>
    </row>
    <row r="118">
      <c r="A118" s="96"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c r="Y118" s="107" t="inlineStr">
        <is>
          <t>Implementado</t>
        </is>
      </c>
      <c r="Z118" s="107" t="inlineStr">
        <is>
          <t>[PR] Prevención</t>
        </is>
      </c>
      <c r="AA118" s="107" t="inlineStr">
        <is>
          <t>L5: Optimizado</t>
        </is>
      </c>
      <c r="AB118" s="107" t="inlineStr">
        <is>
          <t>T2: Fuga de información</t>
        </is>
      </c>
      <c r="AC118" s="107" t="inlineStr">
        <is>
          <t>Manual de Operaciones</t>
        </is>
      </c>
    </row>
    <row r="119">
      <c r="A119" s="96"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c r="Y119" s="107" t="inlineStr">
        <is>
          <t>Implementado</t>
        </is>
      </c>
      <c r="Z119" s="107" t="inlineStr">
        <is>
          <t>[PR] Prevención</t>
        </is>
      </c>
      <c r="AA119" s="107" t="inlineStr">
        <is>
          <t>L2: Reproducible</t>
        </is>
      </c>
      <c r="AB119" s="107" t="inlineStr">
        <is>
          <t>T2: Fuga de información</t>
        </is>
      </c>
      <c r="AC119" s="107" t="inlineStr">
        <is>
          <t>Manual de Operaciones</t>
        </is>
      </c>
    </row>
    <row r="120">
      <c r="A120" s="96"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c r="Y120" s="107" t="inlineStr">
        <is>
          <t>Implementado</t>
        </is>
      </c>
      <c r="Z120" s="107" t="inlineStr">
        <is>
          <t>[DC] Detección</t>
        </is>
      </c>
      <c r="AA120" s="107" t="inlineStr">
        <is>
          <t>L5: Optimizado</t>
        </is>
      </c>
      <c r="AB120" s="107" t="inlineStr">
        <is>
          <t>T2: Fuga de información</t>
        </is>
      </c>
      <c r="AC120" s="107" t="inlineStr">
        <is>
          <t>Registro Físico</t>
        </is>
      </c>
    </row>
    <row r="121">
      <c r="A121" s="96"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c r="Y121" s="107" t="inlineStr">
        <is>
          <t>Implementado</t>
        </is>
      </c>
      <c r="Z121" s="107" t="inlineStr">
        <is>
          <t>[IM] Minimización</t>
        </is>
      </c>
      <c r="AA121" s="107" t="inlineStr">
        <is>
          <t>L5: Optimizado</t>
        </is>
      </c>
      <c r="AB121" s="107" t="inlineStr">
        <is>
          <t>T2: Fuga de información</t>
        </is>
      </c>
      <c r="AC121" s="107" t="inlineStr">
        <is>
          <t>Registro Físico</t>
        </is>
      </c>
    </row>
    <row r="122">
      <c r="A122" s="96"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c r="Y122" s="107" t="inlineStr">
        <is>
          <t>No Implementado</t>
        </is>
      </c>
      <c r="Z122" s="107" t="inlineStr">
        <is>
          <t>[DC] Detección</t>
        </is>
      </c>
      <c r="AA122" s="107" t="inlineStr">
        <is>
          <t>L2: Reproducible</t>
        </is>
      </c>
      <c r="AB122" s="107" t="inlineStr">
        <is>
          <t>T2: Fuga de información</t>
        </is>
      </c>
      <c r="AC122" s="107" t="inlineStr">
        <is>
          <t>Registro Físico</t>
        </is>
      </c>
    </row>
    <row r="123">
      <c r="A123" s="96"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c r="Y123" s="107" t="inlineStr">
        <is>
          <t>Implementado</t>
        </is>
      </c>
      <c r="Z123" s="107" t="inlineStr">
        <is>
          <t>[PR] Prevención</t>
        </is>
      </c>
      <c r="AA123" s="107" t="inlineStr">
        <is>
          <t>L3: Proceso Definido</t>
        </is>
      </c>
      <c r="AB123" s="107" t="inlineStr">
        <is>
          <t>T2: Fuga de información</t>
        </is>
      </c>
      <c r="AC123" s="107" t="inlineStr">
        <is>
          <t>Manual de Operaciones</t>
        </is>
      </c>
    </row>
    <row r="124">
      <c r="A124" s="96"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c r="Y124" s="107" t="inlineStr">
        <is>
          <t>Implementado</t>
        </is>
      </c>
      <c r="Z124" s="107" t="inlineStr">
        <is>
          <t>[DC] Detección</t>
        </is>
      </c>
      <c r="AA124" s="107" t="inlineStr">
        <is>
          <t>L2: Reproducible</t>
        </is>
      </c>
      <c r="AB124" s="107" t="inlineStr">
        <is>
          <t>T2: Fuga de información</t>
        </is>
      </c>
      <c r="AC124" s="107" t="inlineStr">
        <is>
          <t>Registro Físico</t>
        </is>
      </c>
    </row>
    <row r="125">
      <c r="A125" s="96"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c r="Y125" s="107" t="inlineStr">
        <is>
          <t>En Proceso</t>
        </is>
      </c>
      <c r="Z125" s="107" t="inlineStr">
        <is>
          <t>[PR] Prevención</t>
        </is>
      </c>
      <c r="AA125" s="107" t="inlineStr">
        <is>
          <t>L3: Proceso Definido</t>
        </is>
      </c>
      <c r="AB125" s="107" t="inlineStr">
        <is>
          <t>T2: Fuga de información</t>
        </is>
      </c>
      <c r="AC125" s="107" t="inlineStr">
        <is>
          <t>Manual de Operaciones</t>
        </is>
      </c>
    </row>
    <row r="126">
      <c r="A126" s="96"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c r="Y126" s="107" t="inlineStr">
        <is>
          <t>Implementado</t>
        </is>
      </c>
      <c r="Z126" s="107" t="inlineStr">
        <is>
          <t>[PR] Prevención</t>
        </is>
      </c>
      <c r="AA126" s="107" t="inlineStr">
        <is>
          <t>L3: Proceso Definido</t>
        </is>
      </c>
      <c r="AB126" s="107" t="inlineStr">
        <is>
          <t>T2: Fuga de información</t>
        </is>
      </c>
      <c r="AC126" s="107" t="inlineStr">
        <is>
          <t>Manual de Operaciones</t>
        </is>
      </c>
    </row>
    <row r="127">
      <c r="A127" s="96"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c r="Y127" s="107" t="inlineStr">
        <is>
          <t>Implementado</t>
        </is>
      </c>
      <c r="Z127" s="107" t="inlineStr">
        <is>
          <t>[PR] Prevención</t>
        </is>
      </c>
      <c r="AA127" s="107" t="inlineStr">
        <is>
          <t>L5: Optimizado</t>
        </is>
      </c>
      <c r="AB127" s="107" t="inlineStr">
        <is>
          <t>T2: Fuga de información</t>
        </is>
      </c>
      <c r="AC127" s="107" t="inlineStr">
        <is>
          <t>Manual de Operaciones</t>
        </is>
      </c>
    </row>
    <row r="128">
      <c r="A128" s="96"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c r="Y128" s="107" t="inlineStr">
        <is>
          <t>Implementado</t>
        </is>
      </c>
      <c r="Z128" s="107" t="inlineStr">
        <is>
          <t>[RC] Recuperación</t>
        </is>
      </c>
      <c r="AA128" s="107" t="inlineStr">
        <is>
          <t>L2: Reproducible</t>
        </is>
      </c>
      <c r="AB128" s="107" t="inlineStr">
        <is>
          <t>T2: Fuga de información</t>
        </is>
      </c>
      <c r="AC128" s="107" t="inlineStr">
        <is>
          <t>Registro Físico</t>
        </is>
      </c>
    </row>
    <row r="129">
      <c r="A129" s="96"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c r="Y129" s="107" t="inlineStr">
        <is>
          <t>No Implementado</t>
        </is>
      </c>
      <c r="Z129" s="107" t="inlineStr">
        <is>
          <t>[PR] Prevención</t>
        </is>
      </c>
      <c r="AA129" s="107" t="inlineStr">
        <is>
          <t>L2: Reproducible</t>
        </is>
      </c>
      <c r="AB129" s="107" t="inlineStr">
        <is>
          <t>T2: Fuga de información</t>
        </is>
      </c>
      <c r="AC129" s="107" t="inlineStr">
        <is>
          <t>Manual de Operaciones</t>
        </is>
      </c>
    </row>
    <row r="130">
      <c r="A130" s="96"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c r="Y130" s="107" t="inlineStr">
        <is>
          <t>Implementado</t>
        </is>
      </c>
      <c r="Z130" s="107" t="inlineStr">
        <is>
          <t>[PR] Prevención</t>
        </is>
      </c>
      <c r="AA130" s="107" t="inlineStr">
        <is>
          <t>L3: Proceso Definido</t>
        </is>
      </c>
      <c r="AB130" s="107" t="inlineStr">
        <is>
          <t>T2: Fuga de información</t>
        </is>
      </c>
      <c r="AC130" s="107" t="inlineStr">
        <is>
          <t>Manual de Operaciones</t>
        </is>
      </c>
    </row>
    <row r="131">
      <c r="A131" s="96"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c r="Y131" s="107" t="inlineStr">
        <is>
          <t>Implementado</t>
        </is>
      </c>
      <c r="Z131" s="107" t="inlineStr">
        <is>
          <t>[PR] Prevención</t>
        </is>
      </c>
      <c r="AA131" s="107" t="inlineStr">
        <is>
          <t>L4: Gestionado</t>
        </is>
      </c>
      <c r="AB131" s="107" t="inlineStr">
        <is>
          <t>T2: Fuga de información</t>
        </is>
      </c>
      <c r="AC131" s="107" t="inlineStr">
        <is>
          <t>Manual de Operaciones</t>
        </is>
      </c>
    </row>
    <row r="132">
      <c r="A132" s="96"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c r="Y132" s="107" t="inlineStr">
        <is>
          <t>Implementado</t>
        </is>
      </c>
      <c r="Z132" s="107" t="inlineStr">
        <is>
          <t>[PR] Prevención</t>
        </is>
      </c>
      <c r="AA132" s="107" t="inlineStr">
        <is>
          <t>L2: Reproducible</t>
        </is>
      </c>
      <c r="AB132" s="107" t="inlineStr">
        <is>
          <t>T2: Fuga de información</t>
        </is>
      </c>
      <c r="AC132" s="107" t="inlineStr">
        <is>
          <t>Manual de Operaciones</t>
        </is>
      </c>
    </row>
    <row r="133">
      <c r="A133" s="96"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c r="Y133" s="107" t="inlineStr">
        <is>
          <t>En Proceso</t>
        </is>
      </c>
      <c r="Z133" s="107" t="inlineStr">
        <is>
          <t>[PR] Prevención</t>
        </is>
      </c>
      <c r="AA133" s="107" t="inlineStr">
        <is>
          <t>L4: Gestionado</t>
        </is>
      </c>
      <c r="AB133" s="107" t="inlineStr">
        <is>
          <t>T2: Fuga de información</t>
        </is>
      </c>
      <c r="AC133" s="107" t="inlineStr">
        <is>
          <t>Manual de Operaciones</t>
        </is>
      </c>
    </row>
    <row r="134">
      <c r="A134" s="96"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c r="Y134" s="107" t="inlineStr">
        <is>
          <t>Implementado</t>
        </is>
      </c>
      <c r="Z134" s="107" t="inlineStr">
        <is>
          <t>[PR] Prevención</t>
        </is>
      </c>
      <c r="AA134" s="107" t="inlineStr">
        <is>
          <t>L2: Reproducible</t>
        </is>
      </c>
      <c r="AB134" s="107" t="inlineStr">
        <is>
          <t>T2: Fuga de información</t>
        </is>
      </c>
      <c r="AC134" s="107" t="inlineStr">
        <is>
          <t>Manual de Operaciones</t>
        </is>
      </c>
    </row>
    <row r="135">
      <c r="A135" s="96"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c r="Y135" s="107" t="inlineStr">
        <is>
          <t>Implementado</t>
        </is>
      </c>
      <c r="Z135" s="107" t="inlineStr">
        <is>
          <t>[RC] Recuperación</t>
        </is>
      </c>
      <c r="AA135" s="107" t="inlineStr">
        <is>
          <t>L3: Proceso Definido</t>
        </is>
      </c>
      <c r="AB135" s="107" t="inlineStr">
        <is>
          <t>T2: Fuga de información</t>
        </is>
      </c>
      <c r="AC135" s="107" t="inlineStr">
        <is>
          <t>Registro Físico</t>
        </is>
      </c>
    </row>
    <row r="136">
      <c r="A136" s="96"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c r="Y136" s="107" t="inlineStr">
        <is>
          <t>Implementado</t>
        </is>
      </c>
      <c r="Z136" s="107" t="inlineStr">
        <is>
          <t>[IM] Minimización</t>
        </is>
      </c>
      <c r="AA136" s="107" t="inlineStr">
        <is>
          <t>L2: Reproducible</t>
        </is>
      </c>
      <c r="AB136" s="107" t="inlineStr">
        <is>
          <t>T2: Fuga de información</t>
        </is>
      </c>
      <c r="AC136" s="107" t="inlineStr">
        <is>
          <t>Registro Físico</t>
        </is>
      </c>
    </row>
    <row r="137">
      <c r="A137" s="96"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c r="Y137" s="107" t="inlineStr">
        <is>
          <t>Planificado</t>
        </is>
      </c>
      <c r="Z137" s="107" t="inlineStr">
        <is>
          <t>[PR] Prevención</t>
        </is>
      </c>
      <c r="AA137" s="107" t="inlineStr">
        <is>
          <t>L4: Gestionado</t>
        </is>
      </c>
      <c r="AB137" s="107" t="inlineStr">
        <is>
          <t>T2: Fuga de información</t>
        </is>
      </c>
      <c r="AC137" s="107" t="inlineStr">
        <is>
          <t>Manual de Operaciones</t>
        </is>
      </c>
    </row>
    <row r="138">
      <c r="A138" s="96"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c r="Y138" s="107" t="inlineStr">
        <is>
          <t>No Implementado</t>
        </is>
      </c>
      <c r="Z138" s="107" t="inlineStr">
        <is>
          <t>[RC] Recuperación</t>
        </is>
      </c>
      <c r="AA138" s="107" t="inlineStr">
        <is>
          <t>L4: Gestionado</t>
        </is>
      </c>
      <c r="AB138" s="107" t="inlineStr">
        <is>
          <t>T2: Fuga de información</t>
        </is>
      </c>
      <c r="AC138" s="107" t="inlineStr">
        <is>
          <t>Registro Físico</t>
        </is>
      </c>
    </row>
    <row r="139">
      <c r="A139" s="96"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c r="Y139" s="107" t="inlineStr">
        <is>
          <t>Implementado</t>
        </is>
      </c>
      <c r="Z139" s="107" t="inlineStr">
        <is>
          <t>[PR] Prevención</t>
        </is>
      </c>
      <c r="AA139" s="107" t="inlineStr">
        <is>
          <t>L2: Reproducible</t>
        </is>
      </c>
      <c r="AB139" s="107" t="inlineStr">
        <is>
          <t>T2: Fuga de información</t>
        </is>
      </c>
      <c r="AC139" s="107" t="inlineStr">
        <is>
          <t>Manual de Operaciones</t>
        </is>
      </c>
    </row>
    <row r="140">
      <c r="A140" s="96"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c r="Y140" s="107" t="inlineStr">
        <is>
          <t>En Proceso</t>
        </is>
      </c>
      <c r="Z140" s="107" t="inlineStr">
        <is>
          <t>[DC] Detección</t>
        </is>
      </c>
      <c r="AA140" s="107" t="inlineStr">
        <is>
          <t>L2: Reproducible</t>
        </is>
      </c>
      <c r="AB140" s="107" t="inlineStr">
        <is>
          <t>T2: Fuga de información</t>
        </is>
      </c>
      <c r="AC140" s="107" t="inlineStr">
        <is>
          <t>Registro Físico</t>
        </is>
      </c>
    </row>
    <row r="141">
      <c r="A141" s="96"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c r="Y141" s="107" t="inlineStr">
        <is>
          <t>Planificado</t>
        </is>
      </c>
      <c r="Z141" s="107" t="inlineStr">
        <is>
          <t>[PR] Prevención</t>
        </is>
      </c>
      <c r="AA141" s="107" t="inlineStr">
        <is>
          <t>L3: Proceso Definido</t>
        </is>
      </c>
      <c r="AB141" s="107" t="inlineStr">
        <is>
          <t>T2: Fuga de información</t>
        </is>
      </c>
      <c r="AC141" s="107" t="inlineStr">
        <is>
          <t>Manual de Operaciones</t>
        </is>
      </c>
    </row>
    <row r="142">
      <c r="A142" s="96"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c r="Y142" s="107" t="inlineStr">
        <is>
          <t>Implementado</t>
        </is>
      </c>
      <c r="Z142" s="107" t="inlineStr">
        <is>
          <t>[PR] Prevención</t>
        </is>
      </c>
      <c r="AA142" s="107" t="inlineStr">
        <is>
          <t>L2: Reproducible</t>
        </is>
      </c>
      <c r="AB142" s="107" t="inlineStr">
        <is>
          <t>T2: Fuga de información</t>
        </is>
      </c>
      <c r="AC142" s="107" t="inlineStr">
        <is>
          <t>Manual de Operaciones</t>
        </is>
      </c>
    </row>
    <row r="143">
      <c r="A143" s="96"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c r="Y143" s="107" t="inlineStr">
        <is>
          <t>Implementado</t>
        </is>
      </c>
      <c r="Z143" s="107" t="inlineStr">
        <is>
          <t>[PR] Prevención</t>
        </is>
      </c>
      <c r="AA143" s="107" t="inlineStr">
        <is>
          <t>L2: Reproducible</t>
        </is>
      </c>
      <c r="AB143" s="107" t="inlineStr">
        <is>
          <t>T2: Fuga de información</t>
        </is>
      </c>
      <c r="AC143" s="107" t="inlineStr">
        <is>
          <t>Manual de Operaciones</t>
        </is>
      </c>
    </row>
    <row r="144">
      <c r="A144" s="96"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c r="Y144" s="107" t="inlineStr">
        <is>
          <t>Implementado</t>
        </is>
      </c>
      <c r="Z144" s="107" t="inlineStr">
        <is>
          <t>[PR] Prevención</t>
        </is>
      </c>
      <c r="AA144" s="107" t="inlineStr">
        <is>
          <t>L2: Reproducible</t>
        </is>
      </c>
      <c r="AB144" s="107" t="inlineStr">
        <is>
          <t>T2: Fuga de información</t>
        </is>
      </c>
      <c r="AC144" s="107" t="inlineStr">
        <is>
          <t>Manual de Operaciones</t>
        </is>
      </c>
    </row>
    <row r="145">
      <c r="A145" s="96"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c r="Y145" s="107" t="inlineStr">
        <is>
          <t>En Proceso</t>
        </is>
      </c>
      <c r="Z145" s="107" t="inlineStr">
        <is>
          <t>[PR] Prevención</t>
        </is>
      </c>
      <c r="AA145" s="107" t="inlineStr">
        <is>
          <t>L5: Optimizado</t>
        </is>
      </c>
      <c r="AB145" s="107" t="inlineStr">
        <is>
          <t>T2: Fuga de información</t>
        </is>
      </c>
      <c r="AC145" s="107" t="inlineStr">
        <is>
          <t>Manual de Operaciones</t>
        </is>
      </c>
    </row>
    <row r="146">
      <c r="A146" s="96"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c r="Y146" s="107" t="inlineStr">
        <is>
          <t>Implementado</t>
        </is>
      </c>
      <c r="Z146" s="107" t="inlineStr">
        <is>
          <t>[RC] Recuperación</t>
        </is>
      </c>
      <c r="AA146" s="107" t="inlineStr">
        <is>
          <t>L3: Proceso Definido</t>
        </is>
      </c>
      <c r="AB146" s="107" t="inlineStr">
        <is>
          <t>T2: Fuga de información</t>
        </is>
      </c>
      <c r="AC146" s="107" t="inlineStr">
        <is>
          <t>Registro Físico</t>
        </is>
      </c>
    </row>
    <row r="147">
      <c r="A147" s="96"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c r="Y147" s="107" t="inlineStr">
        <is>
          <t>Implementado</t>
        </is>
      </c>
      <c r="Z147" s="107" t="inlineStr">
        <is>
          <t>[PR] Prevención</t>
        </is>
      </c>
      <c r="AA147" s="107" t="inlineStr">
        <is>
          <t>L4: Gestionado</t>
        </is>
      </c>
      <c r="AB147" s="107" t="inlineStr">
        <is>
          <t>T2: Fuga de información</t>
        </is>
      </c>
      <c r="AC147" s="107" t="inlineStr">
        <is>
          <t>Registro Físico</t>
        </is>
      </c>
    </row>
    <row r="148">
      <c r="A148" s="96"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c r="Y148" s="107" t="inlineStr">
        <is>
          <t>Implementado</t>
        </is>
      </c>
      <c r="Z148" s="107" t="inlineStr">
        <is>
          <t>[DR] Disuasión</t>
        </is>
      </c>
      <c r="AA148" s="107" t="inlineStr">
        <is>
          <t>L5: Optimizado</t>
        </is>
      </c>
      <c r="AB148" s="107" t="inlineStr">
        <is>
          <t>T2: Fuga de información</t>
        </is>
      </c>
      <c r="AC148" s="107" t="inlineStr">
        <is>
          <t>Registro Físico</t>
        </is>
      </c>
    </row>
    <row r="149">
      <c r="A149" s="96"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c r="Y149" s="107" t="inlineStr">
        <is>
          <t>No Implementado</t>
        </is>
      </c>
      <c r="Z149" s="107" t="inlineStr">
        <is>
          <t>[DC] Detección</t>
        </is>
      </c>
      <c r="AA149" s="107" t="inlineStr">
        <is>
          <t>L2: Reproducible</t>
        </is>
      </c>
      <c r="AB149" s="107" t="inlineStr">
        <is>
          <t>T2: Fuga de información</t>
        </is>
      </c>
      <c r="AC149" s="107" t="inlineStr">
        <is>
          <t>Registro Físico</t>
        </is>
      </c>
    </row>
    <row r="150">
      <c r="A150" s="96"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c r="Y150" s="107" t="inlineStr">
        <is>
          <t>Implementado</t>
        </is>
      </c>
      <c r="Z150" s="107" t="inlineStr">
        <is>
          <t>[PR] Prevención</t>
        </is>
      </c>
      <c r="AA150" s="107" t="inlineStr">
        <is>
          <t>L2: Reproducible</t>
        </is>
      </c>
      <c r="AB150" s="107" t="inlineStr">
        <is>
          <t>T2: Fuga de información</t>
        </is>
      </c>
      <c r="AC150" s="107" t="inlineStr">
        <is>
          <t>Manual de Operaciones</t>
        </is>
      </c>
    </row>
    <row r="151">
      <c r="A151" s="96"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c r="Y151" s="107" t="inlineStr">
        <is>
          <t>Planificado</t>
        </is>
      </c>
      <c r="Z151" s="107" t="inlineStr">
        <is>
          <t>[PR] Prevención</t>
        </is>
      </c>
      <c r="AA151" s="107" t="inlineStr">
        <is>
          <t>L3: Proceso Definido</t>
        </is>
      </c>
      <c r="AB151" s="107" t="inlineStr">
        <is>
          <t>T2: Fuga de información</t>
        </is>
      </c>
      <c r="AC151" s="107" t="inlineStr">
        <is>
          <t>Manual de Operaciones</t>
        </is>
      </c>
    </row>
    <row r="152">
      <c r="A152" s="96"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c r="Y152" s="107" t="inlineStr">
        <is>
          <t>Implementado</t>
        </is>
      </c>
      <c r="Z152" s="107" t="inlineStr">
        <is>
          <t>[PR] Prevención</t>
        </is>
      </c>
      <c r="AA152" s="107" t="inlineStr">
        <is>
          <t>L4: Gestionado</t>
        </is>
      </c>
      <c r="AB152" s="107" t="inlineStr">
        <is>
          <t>T2: Fuga de información</t>
        </is>
      </c>
      <c r="AC152" s="107" t="inlineStr">
        <is>
          <t>Manual de Operaciones</t>
        </is>
      </c>
    </row>
    <row r="153">
      <c r="A153" s="96"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c r="Y153" s="107" t="inlineStr">
        <is>
          <t>Planificado</t>
        </is>
      </c>
      <c r="Z153" s="107" t="inlineStr">
        <is>
          <t>[PR] Prevención</t>
        </is>
      </c>
      <c r="AA153" s="107" t="inlineStr">
        <is>
          <t>L2: Reproducible</t>
        </is>
      </c>
      <c r="AB153" s="107" t="inlineStr">
        <is>
          <t>T2: Fuga de información</t>
        </is>
      </c>
      <c r="AC153" s="107" t="inlineStr">
        <is>
          <t>Manual de Operaciones</t>
        </is>
      </c>
    </row>
    <row r="154">
      <c r="A154" s="96"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c r="Y154" s="107" t="inlineStr">
        <is>
          <t>Implementado</t>
        </is>
      </c>
      <c r="Z154" s="107" t="inlineStr">
        <is>
          <t>[PR] Prevención</t>
        </is>
      </c>
      <c r="AA154" s="107" t="inlineStr">
        <is>
          <t>L5: Optimizado</t>
        </is>
      </c>
      <c r="AB154" s="107" t="inlineStr">
        <is>
          <t>T2: Fuga de información</t>
        </is>
      </c>
      <c r="AC154" s="107" t="inlineStr">
        <is>
          <t>Manual de Operaciones</t>
        </is>
      </c>
    </row>
    <row r="155">
      <c r="A155" s="96"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c r="Y155" s="107" t="inlineStr">
        <is>
          <t>Implementado</t>
        </is>
      </c>
      <c r="Z155" s="107" t="inlineStr">
        <is>
          <t>[DC] Detección</t>
        </is>
      </c>
      <c r="AA155" s="107" t="inlineStr">
        <is>
          <t>L5: Optimizado</t>
        </is>
      </c>
      <c r="AB155" s="107" t="inlineStr">
        <is>
          <t>T2: Fuga de información</t>
        </is>
      </c>
      <c r="AC155" s="107" t="inlineStr">
        <is>
          <t>Registro Físico</t>
        </is>
      </c>
    </row>
    <row r="156">
      <c r="A156" s="96"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c r="Y156" s="107" t="inlineStr">
        <is>
          <t>En Proceso</t>
        </is>
      </c>
      <c r="Z156" s="107" t="inlineStr">
        <is>
          <t>[PR] Prevención</t>
        </is>
      </c>
      <c r="AA156" s="107" t="inlineStr">
        <is>
          <t>L5: Optimizado</t>
        </is>
      </c>
      <c r="AB156" s="107" t="inlineStr">
        <is>
          <t>T2: Fuga de información</t>
        </is>
      </c>
      <c r="AC156" s="107" t="inlineStr">
        <is>
          <t>Manual de Operaciones</t>
        </is>
      </c>
    </row>
    <row r="157">
      <c r="A157" s="96"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c r="Y157" s="107" t="inlineStr">
        <is>
          <t>Planificado</t>
        </is>
      </c>
      <c r="Z157" s="107" t="inlineStr">
        <is>
          <t>[PR] Prevención</t>
        </is>
      </c>
      <c r="AA157" s="107" t="inlineStr">
        <is>
          <t>L3: Proceso Definido</t>
        </is>
      </c>
      <c r="AB157" s="107" t="inlineStr">
        <is>
          <t>T2: Fuga de información</t>
        </is>
      </c>
      <c r="AC157" s="107" t="inlineStr">
        <is>
          <t>Manual de Operaciones</t>
        </is>
      </c>
    </row>
    <row r="158">
      <c r="A158" s="96"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c r="Y158" s="107" t="inlineStr">
        <is>
          <t>Implementado</t>
        </is>
      </c>
      <c r="Z158" s="107" t="inlineStr">
        <is>
          <t>[PR] Prevención</t>
        </is>
      </c>
      <c r="AA158" s="107" t="inlineStr">
        <is>
          <t>L3: Proceso Definido</t>
        </is>
      </c>
      <c r="AB158" s="107" t="inlineStr">
        <is>
          <t>T2: Fuga de información</t>
        </is>
      </c>
      <c r="AC158" s="107" t="inlineStr">
        <is>
          <t>Manual de Operaciones</t>
        </is>
      </c>
    </row>
    <row r="159">
      <c r="A159" s="96"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c r="Y159" s="107" t="inlineStr">
        <is>
          <t>Implementado</t>
        </is>
      </c>
      <c r="Z159" s="107" t="inlineStr">
        <is>
          <t>[PR] Prevención</t>
        </is>
      </c>
      <c r="AA159" s="107" t="inlineStr">
        <is>
          <t>L2: Reproducible</t>
        </is>
      </c>
      <c r="AB159" s="107" t="inlineStr">
        <is>
          <t>T2: Fuga de información</t>
        </is>
      </c>
      <c r="AC159" s="107" t="inlineStr">
        <is>
          <t>Manual de Operaciones</t>
        </is>
      </c>
    </row>
    <row r="160">
      <c r="A160" s="96"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c r="Y160" s="107" t="inlineStr">
        <is>
          <t>Implementado</t>
        </is>
      </c>
      <c r="Z160" s="107" t="inlineStr">
        <is>
          <t>[PR] Prevención</t>
        </is>
      </c>
      <c r="AA160" s="107" t="inlineStr">
        <is>
          <t>L4: Gestionado</t>
        </is>
      </c>
      <c r="AB160" s="107" t="inlineStr">
        <is>
          <t>T2: Fuga de información</t>
        </is>
      </c>
      <c r="AC160" s="107" t="inlineStr">
        <is>
          <t>Registro Físico</t>
        </is>
      </c>
    </row>
    <row r="161">
      <c r="A161" s="96"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c r="Y161" s="107" t="inlineStr">
        <is>
          <t>Implementado</t>
        </is>
      </c>
      <c r="Z161" s="107" t="inlineStr">
        <is>
          <t>[PR] Prevención</t>
        </is>
      </c>
      <c r="AA161" s="107" t="inlineStr">
        <is>
          <t>L5: Optimizado</t>
        </is>
      </c>
      <c r="AB161" s="107" t="inlineStr">
        <is>
          <t>T2: Fuga de información</t>
        </is>
      </c>
      <c r="AC161" s="107" t="inlineStr">
        <is>
          <t>Manual de Operaciones</t>
        </is>
      </c>
    </row>
    <row r="162">
      <c r="A162" s="96"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c r="Y162" s="107" t="inlineStr">
        <is>
          <t>No Implementado</t>
        </is>
      </c>
      <c r="Z162" s="107" t="inlineStr">
        <is>
          <t>[DC] Detección</t>
        </is>
      </c>
      <c r="AA162" s="107" t="inlineStr">
        <is>
          <t>L5: Optimizado</t>
        </is>
      </c>
      <c r="AB162" s="107" t="inlineStr">
        <is>
          <t>T2: Fuga de información</t>
        </is>
      </c>
      <c r="AC162" s="107" t="inlineStr">
        <is>
          <t>Registro Físico</t>
        </is>
      </c>
    </row>
    <row r="163">
      <c r="A163" s="96"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c r="Y163" s="107" t="inlineStr">
        <is>
          <t>Implementado</t>
        </is>
      </c>
      <c r="Z163" s="107" t="inlineStr">
        <is>
          <t>[IM] Minimización</t>
        </is>
      </c>
      <c r="AA163" s="107" t="inlineStr">
        <is>
          <t>L5: Optimizado</t>
        </is>
      </c>
      <c r="AB163" s="107" t="inlineStr">
        <is>
          <t>T2: Fuga de información</t>
        </is>
      </c>
      <c r="AC163" s="107" t="inlineStr">
        <is>
          <t>Registro Físico</t>
        </is>
      </c>
    </row>
    <row r="164">
      <c r="A164" s="96"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c r="Y164" s="107" t="inlineStr">
        <is>
          <t>Implementado</t>
        </is>
      </c>
      <c r="Z164" s="107" t="inlineStr">
        <is>
          <t>[PR] Prevención</t>
        </is>
      </c>
      <c r="AA164" s="107" t="inlineStr">
        <is>
          <t>L3: Proceso Definido</t>
        </is>
      </c>
      <c r="AB164" s="107" t="inlineStr">
        <is>
          <t>T2: Fuga de información</t>
        </is>
      </c>
      <c r="AC164" s="107" t="inlineStr">
        <is>
          <t>Manual de Operaciones</t>
        </is>
      </c>
    </row>
    <row r="165">
      <c r="A165" s="96"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c r="Y165" s="107" t="inlineStr">
        <is>
          <t>En Proceso</t>
        </is>
      </c>
      <c r="Z165" s="107" t="inlineStr">
        <is>
          <t>[PR] Prevención</t>
        </is>
      </c>
      <c r="AA165" s="107" t="inlineStr">
        <is>
          <t>L2: Reproducible</t>
        </is>
      </c>
      <c r="AB165" s="107" t="inlineStr">
        <is>
          <t>T2: Fuga de información</t>
        </is>
      </c>
      <c r="AC165" s="107" t="inlineStr">
        <is>
          <t>Manual de Operaciones</t>
        </is>
      </c>
    </row>
    <row r="166">
      <c r="A166" s="96"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c r="Y166" s="107" t="inlineStr">
        <is>
          <t>Implementado</t>
        </is>
      </c>
      <c r="Z166" s="107" t="inlineStr">
        <is>
          <t>[CR] Corrección</t>
        </is>
      </c>
      <c r="AA166" s="107" t="inlineStr">
        <is>
          <t>L5: Optimizado</t>
        </is>
      </c>
      <c r="AB166" s="107" t="inlineStr">
        <is>
          <t>T2: Fuga de información</t>
        </is>
      </c>
      <c r="AC166" s="107" t="inlineStr">
        <is>
          <t>Registro Físico</t>
        </is>
      </c>
    </row>
    <row r="167">
      <c r="A167" s="96"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c r="Y167" s="107" t="inlineStr">
        <is>
          <t>Implementado</t>
        </is>
      </c>
      <c r="Z167" s="107" t="inlineStr">
        <is>
          <t>[MN] Monitorización</t>
        </is>
      </c>
      <c r="AA167" s="107" t="inlineStr">
        <is>
          <t>L5: Optimizado</t>
        </is>
      </c>
      <c r="AB167" s="107" t="inlineStr">
        <is>
          <t>T2: Fuga de información</t>
        </is>
      </c>
      <c r="AC167" s="107" t="inlineStr">
        <is>
          <t>Registro Físico</t>
        </is>
      </c>
    </row>
    <row r="168">
      <c r="A168" s="96"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c r="Y168" s="107" t="inlineStr">
        <is>
          <t>Implementado</t>
        </is>
      </c>
      <c r="Z168" s="107" t="inlineStr">
        <is>
          <t>[PR] Prevención</t>
        </is>
      </c>
      <c r="AA168" s="107" t="inlineStr">
        <is>
          <t>L5: Optimizado</t>
        </is>
      </c>
      <c r="AB168" s="107" t="inlineStr">
        <is>
          <t>T2: Fuga de información</t>
        </is>
      </c>
      <c r="AC168" s="107" t="inlineStr">
        <is>
          <t>Manual de Operaciones</t>
        </is>
      </c>
    </row>
    <row r="169">
      <c r="A169" s="96"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c r="Y169" s="107" t="inlineStr">
        <is>
          <t>Implementado</t>
        </is>
      </c>
      <c r="Z169" s="107" t="inlineStr">
        <is>
          <t>[PR] Prevención</t>
        </is>
      </c>
      <c r="AA169" s="107" t="inlineStr">
        <is>
          <t>L3: Proceso Definido</t>
        </is>
      </c>
      <c r="AB169" s="107" t="inlineStr">
        <is>
          <t>T2: Fuga de información</t>
        </is>
      </c>
      <c r="AC169" s="107" t="inlineStr">
        <is>
          <t>Manual de Operaciones</t>
        </is>
      </c>
    </row>
    <row r="170">
      <c r="A170" s="96"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c r="Y170" s="107" t="inlineStr">
        <is>
          <t>Planificado</t>
        </is>
      </c>
      <c r="Z170" s="107" t="inlineStr">
        <is>
          <t>[PR] Prevención</t>
        </is>
      </c>
      <c r="AA170" s="107" t="inlineStr">
        <is>
          <t>L5: Optimizado</t>
        </is>
      </c>
      <c r="AB170" s="107" t="inlineStr">
        <is>
          <t>T2: Fuga de información</t>
        </is>
      </c>
      <c r="AC170" s="107" t="inlineStr">
        <is>
          <t>Manual de Operaciones</t>
        </is>
      </c>
    </row>
    <row r="171">
      <c r="A171" s="96"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c r="Y171" s="107" t="inlineStr">
        <is>
          <t>Implementado</t>
        </is>
      </c>
      <c r="Z171" s="107" t="inlineStr">
        <is>
          <t>[PR] Prevención</t>
        </is>
      </c>
      <c r="AA171" s="107" t="inlineStr">
        <is>
          <t>L5: Optimizado</t>
        </is>
      </c>
      <c r="AB171" s="107" t="inlineStr">
        <is>
          <t>T2: Fuga de información</t>
        </is>
      </c>
      <c r="AC171" s="107" t="inlineStr">
        <is>
          <t>Manual de Operaciones</t>
        </is>
      </c>
    </row>
    <row r="172">
      <c r="A172" s="96"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c r="Y172" s="107" t="inlineStr">
        <is>
          <t>Implementado</t>
        </is>
      </c>
      <c r="Z172" s="107" t="inlineStr">
        <is>
          <t>[PR] Prevención</t>
        </is>
      </c>
      <c r="AA172" s="107" t="inlineStr">
        <is>
          <t>L2: Reproducible</t>
        </is>
      </c>
      <c r="AB172" s="107" t="inlineStr">
        <is>
          <t>T2: Fuga de información</t>
        </is>
      </c>
      <c r="AC172" s="107" t="inlineStr">
        <is>
          <t>Manual de Operaciones</t>
        </is>
      </c>
    </row>
    <row r="173">
      <c r="A173" s="96"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c r="Y173" s="107" t="inlineStr">
        <is>
          <t>Implementado</t>
        </is>
      </c>
      <c r="Z173" s="107" t="inlineStr">
        <is>
          <t>[RC] Recuperación</t>
        </is>
      </c>
      <c r="AA173" s="107" t="inlineStr">
        <is>
          <t>L2: Reproducible</t>
        </is>
      </c>
      <c r="AB173" s="107" t="inlineStr">
        <is>
          <t>T2: Fuga de información</t>
        </is>
      </c>
      <c r="AC173" s="107" t="inlineStr">
        <is>
          <t>Registro Físico</t>
        </is>
      </c>
    </row>
    <row r="174">
      <c r="A174" s="96"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c r="Y174" s="107" t="inlineStr">
        <is>
          <t>No Implementado</t>
        </is>
      </c>
      <c r="Z174" s="107" t="inlineStr">
        <is>
          <t>[PR] Prevención</t>
        </is>
      </c>
      <c r="AA174" s="107" t="inlineStr">
        <is>
          <t>L3: Proceso Definido</t>
        </is>
      </c>
      <c r="AB174" s="107" t="inlineStr">
        <is>
          <t>T2: Fuga de información</t>
        </is>
      </c>
      <c r="AC174" s="107" t="inlineStr">
        <is>
          <t>Manual de Operaciones</t>
        </is>
      </c>
    </row>
    <row r="175">
      <c r="A175" s="96"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c r="Y175" s="107" t="inlineStr">
        <is>
          <t>No Implementado</t>
        </is>
      </c>
      <c r="Z175" s="107" t="inlineStr">
        <is>
          <t>[PR] Prevención</t>
        </is>
      </c>
      <c r="AA175" s="107" t="inlineStr">
        <is>
          <t>L3: Proceso Definido</t>
        </is>
      </c>
      <c r="AB175" s="107" t="inlineStr">
        <is>
          <t>T2: Fuga de información</t>
        </is>
      </c>
      <c r="AC175" s="107" t="inlineStr">
        <is>
          <t>Manual de Operaciones</t>
        </is>
      </c>
    </row>
    <row r="176">
      <c r="A176" s="96"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c r="Y176" s="107" t="inlineStr">
        <is>
          <t>Implementado</t>
        </is>
      </c>
      <c r="Z176" s="107" t="inlineStr">
        <is>
          <t>[PR] Prevención</t>
        </is>
      </c>
      <c r="AA176" s="107" t="inlineStr">
        <is>
          <t>L2: Reproducible</t>
        </is>
      </c>
      <c r="AB176" s="107" t="inlineStr">
        <is>
          <t>T2: Fuga de información</t>
        </is>
      </c>
      <c r="AC176" s="107" t="inlineStr">
        <is>
          <t>Manual de Operaciones</t>
        </is>
      </c>
    </row>
    <row r="177">
      <c r="A177" s="96"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c r="Y177" s="107" t="inlineStr">
        <is>
          <t>Implementado</t>
        </is>
      </c>
      <c r="Z177" s="107" t="inlineStr">
        <is>
          <t>[PR] Prevención</t>
        </is>
      </c>
      <c r="AA177" s="107" t="inlineStr">
        <is>
          <t>L2: Reproducible</t>
        </is>
      </c>
      <c r="AB177" s="107" t="inlineStr">
        <is>
          <t>T2: Fuga de información</t>
        </is>
      </c>
      <c r="AC177" s="107" t="inlineStr">
        <is>
          <t>Manual de Operaciones</t>
        </is>
      </c>
    </row>
    <row r="178">
      <c r="A178" s="96"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c r="Y178" s="107" t="inlineStr">
        <is>
          <t>No Implementado</t>
        </is>
      </c>
      <c r="Z178" s="107" t="inlineStr">
        <is>
          <t>[PR] Prevención</t>
        </is>
      </c>
      <c r="AA178" s="107" t="inlineStr">
        <is>
          <t>L2: Reproducible</t>
        </is>
      </c>
      <c r="AB178" s="107" t="inlineStr">
        <is>
          <t>T2: Fuga de información</t>
        </is>
      </c>
      <c r="AC178" s="107" t="inlineStr">
        <is>
          <t>Manual de Operaciones</t>
        </is>
      </c>
    </row>
    <row r="179">
      <c r="A179" s="96"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c r="Y179" s="107" t="inlineStr">
        <is>
          <t>Implementado</t>
        </is>
      </c>
      <c r="Z179" s="107" t="inlineStr">
        <is>
          <t>[EL] Eliminación</t>
        </is>
      </c>
      <c r="AA179" s="107" t="inlineStr">
        <is>
          <t>L2: Reproducible</t>
        </is>
      </c>
      <c r="AB179" s="107" t="inlineStr">
        <is>
          <t>T2: Fuga de información</t>
        </is>
      </c>
      <c r="AC179" s="107" t="inlineStr">
        <is>
          <t>Registro Físico</t>
        </is>
      </c>
    </row>
    <row r="180">
      <c r="A180" s="96"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c r="Y180" s="107" t="inlineStr">
        <is>
          <t>Implementado</t>
        </is>
      </c>
      <c r="Z180" s="107" t="inlineStr">
        <is>
          <t>[PR] Prevención</t>
        </is>
      </c>
      <c r="AA180" s="107" t="inlineStr">
        <is>
          <t>L4: Gestionado</t>
        </is>
      </c>
      <c r="AB180" s="107" t="inlineStr">
        <is>
          <t>T2: Fuga de información</t>
        </is>
      </c>
      <c r="AC180" s="107" t="inlineStr">
        <is>
          <t>Registro Físico</t>
        </is>
      </c>
    </row>
    <row r="181">
      <c r="A181" s="96"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c r="Y181" s="107" t="inlineStr">
        <is>
          <t>Implementado</t>
        </is>
      </c>
      <c r="Z181" s="107" t="inlineStr">
        <is>
          <t>[RC] Recuperación</t>
        </is>
      </c>
      <c r="AA181" s="107" t="inlineStr">
        <is>
          <t>L4: Gestionado</t>
        </is>
      </c>
      <c r="AB181" s="107" t="inlineStr">
        <is>
          <t>T2: Fuga de información</t>
        </is>
      </c>
      <c r="AC181" s="107" t="inlineStr">
        <is>
          <t>Registro Físico</t>
        </is>
      </c>
    </row>
    <row r="182">
      <c r="A182" s="96"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c r="Y182" s="107" t="inlineStr">
        <is>
          <t>Planificado</t>
        </is>
      </c>
      <c r="Z182" s="107" t="inlineStr">
        <is>
          <t>[PR] Prevención</t>
        </is>
      </c>
      <c r="AA182" s="107" t="inlineStr">
        <is>
          <t>L2: Reproducible</t>
        </is>
      </c>
      <c r="AB182" s="107" t="inlineStr">
        <is>
          <t>T2: Fuga de información</t>
        </is>
      </c>
      <c r="AC182" s="107" t="inlineStr">
        <is>
          <t>Registro Físico</t>
        </is>
      </c>
    </row>
    <row r="183">
      <c r="A183" s="96"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c r="Y183" s="107" t="inlineStr">
        <is>
          <t>Implementado</t>
        </is>
      </c>
      <c r="Z183" s="107" t="inlineStr">
        <is>
          <t>[PR] Prevención</t>
        </is>
      </c>
      <c r="AA183" s="107" t="inlineStr">
        <is>
          <t>L4: Gestionado</t>
        </is>
      </c>
      <c r="AB183" s="107" t="inlineStr">
        <is>
          <t>T2: Fuga de información</t>
        </is>
      </c>
      <c r="AC183" s="107" t="inlineStr">
        <is>
          <t>Manual de Operaciones</t>
        </is>
      </c>
    </row>
    <row r="184">
      <c r="A184" s="96"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c r="Y184" s="107" t="inlineStr">
        <is>
          <t>Implementado</t>
        </is>
      </c>
      <c r="Z184" s="107" t="inlineStr">
        <is>
          <t>[PR] Prevención</t>
        </is>
      </c>
      <c r="AA184" s="107" t="inlineStr">
        <is>
          <t>L2: Reproducible</t>
        </is>
      </c>
      <c r="AB184" s="107" t="inlineStr">
        <is>
          <t>T2: Fuga de información</t>
        </is>
      </c>
      <c r="AC184" s="107" t="inlineStr">
        <is>
          <t>Manual de Operaciones</t>
        </is>
      </c>
    </row>
    <row r="185">
      <c r="A185" s="96"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c r="Y185" s="107" t="inlineStr">
        <is>
          <t>Implementado</t>
        </is>
      </c>
      <c r="Z185" s="107" t="inlineStr">
        <is>
          <t>[PR] Prevención</t>
        </is>
      </c>
      <c r="AA185" s="107" t="inlineStr">
        <is>
          <t>L3: Proceso Definido</t>
        </is>
      </c>
      <c r="AB185" s="107" t="inlineStr">
        <is>
          <t>T2: Fuga de información</t>
        </is>
      </c>
      <c r="AC185" s="107" t="inlineStr">
        <is>
          <t>Manual de Operaciones</t>
        </is>
      </c>
    </row>
    <row r="186">
      <c r="A186" s="96"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c r="Y186" s="107" t="inlineStr">
        <is>
          <t>Implementado</t>
        </is>
      </c>
      <c r="Z186" s="107" t="inlineStr">
        <is>
          <t>[PR] Prevención</t>
        </is>
      </c>
      <c r="AA186" s="107" t="inlineStr">
        <is>
          <t>L2: Reproducible</t>
        </is>
      </c>
      <c r="AB186" s="107" t="inlineStr">
        <is>
          <t>T2: Fuga de información</t>
        </is>
      </c>
      <c r="AC186" s="107" t="inlineStr">
        <is>
          <t>Manual de Operaciones</t>
        </is>
      </c>
    </row>
    <row r="187">
      <c r="A187" s="96"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c r="Y187" s="107" t="inlineStr">
        <is>
          <t>Implementado</t>
        </is>
      </c>
      <c r="Z187" s="107" t="inlineStr">
        <is>
          <t>[DR] Disuasión</t>
        </is>
      </c>
      <c r="AA187" s="107" t="inlineStr">
        <is>
          <t>L5: Optimizado</t>
        </is>
      </c>
      <c r="AB187" s="107" t="inlineStr">
        <is>
          <t>T2: Fuga de información</t>
        </is>
      </c>
      <c r="AC187" s="107" t="inlineStr">
        <is>
          <t>Registro Físico</t>
        </is>
      </c>
    </row>
    <row r="188">
      <c r="A188" s="96"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c r="Y188" s="107" t="inlineStr">
        <is>
          <t>Implementado</t>
        </is>
      </c>
      <c r="Z188" s="107" t="inlineStr">
        <is>
          <t>[PR] Prevención</t>
        </is>
      </c>
      <c r="AA188" s="107" t="inlineStr">
        <is>
          <t>L4: Gestionado</t>
        </is>
      </c>
      <c r="AB188" s="107" t="inlineStr">
        <is>
          <t>T2: Fuga de información</t>
        </is>
      </c>
      <c r="AC188" s="107" t="inlineStr">
        <is>
          <t>Registro Físico</t>
        </is>
      </c>
    </row>
    <row r="189">
      <c r="A189" s="96"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c r="Y189" s="107" t="inlineStr">
        <is>
          <t>Planificado</t>
        </is>
      </c>
      <c r="Z189" s="107" t="inlineStr">
        <is>
          <t>[PR] Prevención</t>
        </is>
      </c>
      <c r="AA189" s="107" t="inlineStr">
        <is>
          <t>L5: Optimizado</t>
        </is>
      </c>
      <c r="AB189" s="107" t="inlineStr">
        <is>
          <t>T2: Fuga de información</t>
        </is>
      </c>
      <c r="AC189" s="107" t="inlineStr">
        <is>
          <t>Manual de Operaciones</t>
        </is>
      </c>
    </row>
    <row r="190">
      <c r="A190" s="96"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c r="Y190" s="107" t="inlineStr">
        <is>
          <t>Implementado</t>
        </is>
      </c>
      <c r="Z190" s="107" t="inlineStr">
        <is>
          <t>[PR] Prevención</t>
        </is>
      </c>
      <c r="AA190" s="107" t="inlineStr">
        <is>
          <t>L3: Proceso Definido</t>
        </is>
      </c>
      <c r="AB190" s="107" t="inlineStr">
        <is>
          <t>T2: Fuga de información</t>
        </is>
      </c>
      <c r="AC190" s="107" t="inlineStr">
        <is>
          <t>Manual de Operaciones</t>
        </is>
      </c>
    </row>
    <row r="191">
      <c r="A191" s="96"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c r="Y191" s="107" t="inlineStr">
        <is>
          <t>Implementado</t>
        </is>
      </c>
      <c r="Z191" s="107" t="inlineStr">
        <is>
          <t>[PR] Prevención</t>
        </is>
      </c>
      <c r="AA191" s="107" t="inlineStr">
        <is>
          <t>L2: Reproducible</t>
        </is>
      </c>
      <c r="AB191" s="107" t="inlineStr">
        <is>
          <t>T2: Fuga de información</t>
        </is>
      </c>
      <c r="AC191" s="107" t="inlineStr">
        <is>
          <t>Manual de Operaciones</t>
        </is>
      </c>
    </row>
    <row r="192">
      <c r="A192" s="96"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c r="Y192" s="107" t="inlineStr">
        <is>
          <t>Implementado</t>
        </is>
      </c>
      <c r="Z192" s="107" t="inlineStr">
        <is>
          <t>[PR] Prevención</t>
        </is>
      </c>
      <c r="AA192" s="107" t="inlineStr">
        <is>
          <t>L3: Proceso Definido</t>
        </is>
      </c>
      <c r="AB192" s="107" t="inlineStr">
        <is>
          <t>T2: Fuga de información</t>
        </is>
      </c>
      <c r="AC192" s="107" t="inlineStr">
        <is>
          <t>Manual de Operaciones</t>
        </is>
      </c>
    </row>
    <row r="193">
      <c r="A193" s="96"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c r="Y193" s="107" t="inlineStr">
        <is>
          <t>Implementado</t>
        </is>
      </c>
      <c r="Z193" s="107" t="inlineStr">
        <is>
          <t>[PR] Prevención</t>
        </is>
      </c>
      <c r="AA193" s="107" t="inlineStr">
        <is>
          <t>L3: Proceso Definido</t>
        </is>
      </c>
      <c r="AB193" s="107" t="inlineStr">
        <is>
          <t>T2: Fuga de información</t>
        </is>
      </c>
      <c r="AC193" s="107" t="inlineStr">
        <is>
          <t>Manual de Operaciones</t>
        </is>
      </c>
    </row>
    <row r="194">
      <c r="A194" s="96"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c r="Y194" s="107" t="inlineStr">
        <is>
          <t>En Proceso</t>
        </is>
      </c>
      <c r="Z194" s="107" t="inlineStr">
        <is>
          <t>[PR] Prevención</t>
        </is>
      </c>
      <c r="AA194" s="107" t="inlineStr">
        <is>
          <t>L4: Gestionado</t>
        </is>
      </c>
      <c r="AB194" s="107" t="inlineStr">
        <is>
          <t>T2: Fuga de información</t>
        </is>
      </c>
      <c r="AC194" s="107" t="inlineStr">
        <is>
          <t>Manual de Operaciones</t>
        </is>
      </c>
    </row>
    <row r="195">
      <c r="A195" s="96"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c r="Y195" s="107" t="inlineStr">
        <is>
          <t>Implementado</t>
        </is>
      </c>
      <c r="Z195" s="107" t="inlineStr">
        <is>
          <t>[PR] Prevención</t>
        </is>
      </c>
      <c r="AA195" s="107" t="inlineStr">
        <is>
          <t>L2: Reproducible</t>
        </is>
      </c>
      <c r="AB195" s="107" t="inlineStr">
        <is>
          <t>T2: Fuga de información</t>
        </is>
      </c>
      <c r="AC195" s="107" t="inlineStr">
        <is>
          <t>Manual de Operaciones</t>
        </is>
      </c>
    </row>
    <row r="196">
      <c r="A196" s="96"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c r="Y196" s="107" t="inlineStr">
        <is>
          <t>Implementado</t>
        </is>
      </c>
      <c r="Z196" s="107" t="inlineStr">
        <is>
          <t>[PR] Prevención</t>
        </is>
      </c>
      <c r="AA196" s="107" t="inlineStr">
        <is>
          <t>L3: Proceso Definido</t>
        </is>
      </c>
      <c r="AB196" s="107" t="inlineStr">
        <is>
          <t>T2: Fuga de información</t>
        </is>
      </c>
      <c r="AC196" s="107" t="inlineStr">
        <is>
          <t>Manual de Operaciones</t>
        </is>
      </c>
    </row>
    <row r="197">
      <c r="A197" s="96"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c r="Y197" s="107" t="inlineStr">
        <is>
          <t>Implementado</t>
        </is>
      </c>
      <c r="Z197" s="107" t="inlineStr">
        <is>
          <t>[DC] Detección</t>
        </is>
      </c>
      <c r="AA197" s="107" t="inlineStr">
        <is>
          <t>L2: Reproducible</t>
        </is>
      </c>
      <c r="AB197" s="107" t="inlineStr">
        <is>
          <t>T2: Fuga de información</t>
        </is>
      </c>
      <c r="AC197" s="107" t="inlineStr">
        <is>
          <t>Registro Físico</t>
        </is>
      </c>
    </row>
    <row r="198">
      <c r="A198" s="96"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c r="Y198" s="107" t="inlineStr">
        <is>
          <t>Implementado</t>
        </is>
      </c>
      <c r="Z198" s="107" t="inlineStr">
        <is>
          <t>[PR] Prevención</t>
        </is>
      </c>
      <c r="AA198" s="107" t="inlineStr">
        <is>
          <t>L4: Gestionado</t>
        </is>
      </c>
      <c r="AB198" s="107" t="inlineStr">
        <is>
          <t>T2: Fuga de información</t>
        </is>
      </c>
      <c r="AC198" s="107" t="inlineStr">
        <is>
          <t>Manual de Operaciones</t>
        </is>
      </c>
    </row>
    <row r="199">
      <c r="A199" s="96"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c r="Y199" s="107" t="inlineStr">
        <is>
          <t>Implementado</t>
        </is>
      </c>
      <c r="Z199" s="107" t="inlineStr">
        <is>
          <t>[PR] Prevención</t>
        </is>
      </c>
      <c r="AA199" s="107" t="inlineStr">
        <is>
          <t>L2: Reproducible</t>
        </is>
      </c>
      <c r="AB199" s="107" t="inlineStr">
        <is>
          <t>T2: Fuga de información</t>
        </is>
      </c>
      <c r="AC199" s="107" t="inlineStr">
        <is>
          <t>Manual de Operaciones</t>
        </is>
      </c>
    </row>
    <row r="200">
      <c r="A200" s="96"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c r="Y200" s="107" t="inlineStr">
        <is>
          <t>En Proceso</t>
        </is>
      </c>
      <c r="Z200" s="107" t="inlineStr">
        <is>
          <t>[PR] Prevención</t>
        </is>
      </c>
      <c r="AA200" s="107" t="inlineStr">
        <is>
          <t>L3: Proceso Definido</t>
        </is>
      </c>
      <c r="AB200" s="107" t="inlineStr">
        <is>
          <t>T2: Fuga de información</t>
        </is>
      </c>
      <c r="AC200" s="107" t="inlineStr">
        <is>
          <t>Manual de Operaciones</t>
        </is>
      </c>
    </row>
    <row r="201">
      <c r="A201" s="96"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c r="Y201" s="107" t="inlineStr">
        <is>
          <t>Implementado</t>
        </is>
      </c>
      <c r="Z201" s="107" t="inlineStr">
        <is>
          <t>[PR] Prevención</t>
        </is>
      </c>
      <c r="AA201" s="107" t="inlineStr">
        <is>
          <t>L2: Reproducible</t>
        </is>
      </c>
      <c r="AB201" s="107" t="inlineStr">
        <is>
          <t>T2: Fuga de información</t>
        </is>
      </c>
      <c r="AC201" s="107" t="inlineStr">
        <is>
          <t>Manual de Operaciones</t>
        </is>
      </c>
    </row>
    <row r="202">
      <c r="A202" s="96"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c r="Y202" s="107" t="inlineStr">
        <is>
          <t>Planificado</t>
        </is>
      </c>
      <c r="Z202" s="107" t="inlineStr">
        <is>
          <t>[PR] Prevención</t>
        </is>
      </c>
      <c r="AA202" s="107" t="inlineStr">
        <is>
          <t>L2: Reproducible</t>
        </is>
      </c>
      <c r="AB202" s="107" t="inlineStr">
        <is>
          <t>T2: Fuga de información</t>
        </is>
      </c>
      <c r="AC202" s="107" t="inlineStr">
        <is>
          <t>Manual de Operaciones</t>
        </is>
      </c>
    </row>
    <row r="203">
      <c r="A203" s="96"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c r="Y203" s="107" t="inlineStr">
        <is>
          <t>Implementado</t>
        </is>
      </c>
      <c r="Z203" s="107" t="inlineStr">
        <is>
          <t>[PR] Prevención</t>
        </is>
      </c>
      <c r="AA203" s="107" t="inlineStr">
        <is>
          <t>L3: Proceso Definido</t>
        </is>
      </c>
      <c r="AB203" s="107" t="inlineStr">
        <is>
          <t>T2: Fuga de información</t>
        </is>
      </c>
      <c r="AC203" s="107" t="inlineStr">
        <is>
          <t>Manual de Operaciones</t>
        </is>
      </c>
    </row>
    <row r="204">
      <c r="A204" s="96"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c r="Y204" s="107" t="inlineStr">
        <is>
          <t>No Implementado</t>
        </is>
      </c>
      <c r="Z204" s="107" t="inlineStr">
        <is>
          <t>[PR] Prevención</t>
        </is>
      </c>
      <c r="AA204" s="107" t="inlineStr">
        <is>
          <t>L3: Proceso Definido</t>
        </is>
      </c>
      <c r="AB204" s="107" t="inlineStr">
        <is>
          <t>T2: Fuga de información</t>
        </is>
      </c>
      <c r="AC204" s="107" t="inlineStr">
        <is>
          <t>Manual de Operaciones</t>
        </is>
      </c>
    </row>
    <row r="205">
      <c r="A205" s="96"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c r="Y205" s="107" t="inlineStr">
        <is>
          <t>Implementado</t>
        </is>
      </c>
      <c r="Z205" s="107" t="inlineStr">
        <is>
          <t>[RC] Recuperación</t>
        </is>
      </c>
      <c r="AA205" s="107" t="inlineStr">
        <is>
          <t>L5: Optimizado</t>
        </is>
      </c>
      <c r="AB205" s="107" t="inlineStr">
        <is>
          <t>T2: Fuga de información</t>
        </is>
      </c>
      <c r="AC205" s="107" t="inlineStr">
        <is>
          <t>Registro Físico</t>
        </is>
      </c>
    </row>
    <row r="206">
      <c r="A206" s="96"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c r="Y206" s="107" t="inlineStr">
        <is>
          <t>Implementado</t>
        </is>
      </c>
      <c r="Z206" s="107" t="inlineStr">
        <is>
          <t>[PR] Prevención</t>
        </is>
      </c>
      <c r="AA206" s="107" t="inlineStr">
        <is>
          <t>L3: Proceso Definido</t>
        </is>
      </c>
      <c r="AB206" s="107" t="inlineStr">
        <is>
          <t>T2: Fuga de información</t>
        </is>
      </c>
      <c r="AC206" s="107" t="inlineStr">
        <is>
          <t>Manual de Operaciones</t>
        </is>
      </c>
    </row>
    <row r="207">
      <c r="A207" s="96"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c r="Y207" s="107" t="inlineStr">
        <is>
          <t>Implementado</t>
        </is>
      </c>
      <c r="Z207" s="107" t="inlineStr">
        <is>
          <t>[PR] Prevención</t>
        </is>
      </c>
      <c r="AA207" s="107" t="inlineStr">
        <is>
          <t>L4: Gestionado</t>
        </is>
      </c>
      <c r="AB207" s="107" t="inlineStr">
        <is>
          <t>T2: Fuga de información</t>
        </is>
      </c>
      <c r="AC207" s="107" t="inlineStr">
        <is>
          <t>Manual de Operaciones</t>
        </is>
      </c>
    </row>
    <row r="208">
      <c r="A208" s="96"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c r="Y208" s="107" t="inlineStr">
        <is>
          <t>Implementado</t>
        </is>
      </c>
      <c r="Z208" s="107" t="inlineStr">
        <is>
          <t>[RC] Recuperación</t>
        </is>
      </c>
      <c r="AA208" s="107" t="inlineStr">
        <is>
          <t>L3: Proceso Definido</t>
        </is>
      </c>
      <c r="AB208" s="107" t="inlineStr">
        <is>
          <t>T2: Fuga de información</t>
        </is>
      </c>
      <c r="AC208" s="107" t="inlineStr">
        <is>
          <t>Registro Físico</t>
        </is>
      </c>
    </row>
    <row r="209">
      <c r="A209" s="96"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c r="Y209" s="107" t="inlineStr">
        <is>
          <t>Implementado</t>
        </is>
      </c>
      <c r="Z209" s="107" t="inlineStr">
        <is>
          <t>[PR] Prevención</t>
        </is>
      </c>
      <c r="AA209" s="107" t="inlineStr">
        <is>
          <t>L4: Gestionado</t>
        </is>
      </c>
      <c r="AB209" s="107" t="inlineStr">
        <is>
          <t>T2: Fuga de información</t>
        </is>
      </c>
      <c r="AC209" s="107" t="inlineStr">
        <is>
          <t>Registro Físico</t>
        </is>
      </c>
    </row>
    <row r="210">
      <c r="A210" s="96"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c r="Y210" s="107" t="inlineStr">
        <is>
          <t>Implementado</t>
        </is>
      </c>
      <c r="Z210" s="107" t="inlineStr">
        <is>
          <t>[PR] Prevención</t>
        </is>
      </c>
      <c r="AA210" s="107" t="inlineStr">
        <is>
          <t>L5: Optimizado</t>
        </is>
      </c>
      <c r="AB210" s="107" t="inlineStr">
        <is>
          <t>T2: Fuga de información</t>
        </is>
      </c>
      <c r="AC210" s="107" t="inlineStr">
        <is>
          <t>Manual de Operaciones</t>
        </is>
      </c>
    </row>
    <row r="211">
      <c r="A211" s="96"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c r="Y211" s="107" t="inlineStr">
        <is>
          <t>En Proceso</t>
        </is>
      </c>
      <c r="Z211" s="107" t="inlineStr">
        <is>
          <t>[PR] Prevención</t>
        </is>
      </c>
      <c r="AA211" s="107" t="inlineStr">
        <is>
          <t>L4: Gestionado</t>
        </is>
      </c>
      <c r="AB211" s="107" t="inlineStr">
        <is>
          <t>T2: Fuga de información</t>
        </is>
      </c>
      <c r="AC211" s="107" t="inlineStr">
        <is>
          <t>Manual de Operaciones</t>
        </is>
      </c>
    </row>
    <row r="212">
      <c r="A212" s="96"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c r="Y212" s="107" t="inlineStr">
        <is>
          <t>Planificado</t>
        </is>
      </c>
      <c r="Z212" s="107" t="inlineStr">
        <is>
          <t>[PR] Prevención</t>
        </is>
      </c>
      <c r="AA212" s="107" t="inlineStr">
        <is>
          <t>L3: Proceso Definido</t>
        </is>
      </c>
      <c r="AB212" s="107" t="inlineStr">
        <is>
          <t>T2: Fuga de información</t>
        </is>
      </c>
      <c r="AC212" s="107" t="inlineStr">
        <is>
          <t>Manual de Operaciones</t>
        </is>
      </c>
    </row>
    <row r="213">
      <c r="A213" s="96"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c r="Y213" s="107" t="inlineStr">
        <is>
          <t>Implementado</t>
        </is>
      </c>
      <c r="Z213" s="107" t="inlineStr">
        <is>
          <t>[PR] Prevención</t>
        </is>
      </c>
      <c r="AA213" s="107" t="inlineStr">
        <is>
          <t>L5: Optimizado</t>
        </is>
      </c>
      <c r="AB213" s="107" t="inlineStr">
        <is>
          <t>T2: Fuga de información</t>
        </is>
      </c>
      <c r="AC213" s="107" t="inlineStr">
        <is>
          <t>Manual de Operaciones</t>
        </is>
      </c>
    </row>
    <row r="214">
      <c r="A214" s="96"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c r="Y214" s="107" t="inlineStr">
        <is>
          <t>En Proceso</t>
        </is>
      </c>
      <c r="Z214" s="107" t="inlineStr">
        <is>
          <t>[PR] Prevención</t>
        </is>
      </c>
      <c r="AA214" s="107" t="inlineStr">
        <is>
          <t>L4: Gestionado</t>
        </is>
      </c>
      <c r="AB214" s="107" t="inlineStr">
        <is>
          <t>T2: Fuga de información</t>
        </is>
      </c>
      <c r="AC214" s="107" t="inlineStr">
        <is>
          <t>Manual de Operaciones</t>
        </is>
      </c>
    </row>
    <row r="215">
      <c r="A215" s="96"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c r="Y215" s="107" t="inlineStr">
        <is>
          <t>No Implementado</t>
        </is>
      </c>
      <c r="Z215" s="107" t="inlineStr">
        <is>
          <t>[PR] Prevención</t>
        </is>
      </c>
      <c r="AA215" s="107" t="inlineStr">
        <is>
          <t>L3: Proceso Definido</t>
        </is>
      </c>
      <c r="AB215" s="107" t="inlineStr">
        <is>
          <t>T2: Fuga de información</t>
        </is>
      </c>
      <c r="AC215" s="107" t="inlineStr">
        <is>
          <t>Manual de Operaciones</t>
        </is>
      </c>
    </row>
    <row r="216">
      <c r="A216" s="96"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c r="Y216" s="107" t="inlineStr">
        <is>
          <t>Implementado</t>
        </is>
      </c>
      <c r="Z216" s="107" t="inlineStr">
        <is>
          <t>[PR] Prevención</t>
        </is>
      </c>
      <c r="AA216" s="107" t="inlineStr">
        <is>
          <t>L5: Optimizado</t>
        </is>
      </c>
      <c r="AB216" s="107" t="inlineStr">
        <is>
          <t>T2: Fuga de información</t>
        </is>
      </c>
      <c r="AC216" s="107" t="inlineStr">
        <is>
          <t>Manual de Operaciones</t>
        </is>
      </c>
    </row>
    <row r="217">
      <c r="A217" s="96"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c r="Y217" s="107" t="inlineStr">
        <is>
          <t>Implementado</t>
        </is>
      </c>
      <c r="Z217" s="107" t="inlineStr">
        <is>
          <t>[PR] Prevención</t>
        </is>
      </c>
      <c r="AA217" s="107" t="inlineStr">
        <is>
          <t>L4: Gestionado</t>
        </is>
      </c>
      <c r="AB217" s="107" t="inlineStr">
        <is>
          <t>T2: Fuga de información</t>
        </is>
      </c>
      <c r="AC217" s="107" t="inlineStr">
        <is>
          <t>Manual de Operaciones</t>
        </is>
      </c>
    </row>
    <row r="218">
      <c r="A218" s="96"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c r="Y218" s="107" t="inlineStr">
        <is>
          <t>Planificado</t>
        </is>
      </c>
      <c r="Z218" s="107" t="inlineStr">
        <is>
          <t>[PR] Prevención</t>
        </is>
      </c>
      <c r="AA218" s="107" t="inlineStr">
        <is>
          <t>L3: Proceso Definido</t>
        </is>
      </c>
      <c r="AB218" s="107" t="inlineStr">
        <is>
          <t>T2: Fuga de información</t>
        </is>
      </c>
      <c r="AC218" s="107" t="inlineStr">
        <is>
          <t>Manual de Operaciones</t>
        </is>
      </c>
    </row>
    <row r="219">
      <c r="A219" s="96"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c r="Y219" s="107" t="inlineStr">
        <is>
          <t>Implementado</t>
        </is>
      </c>
      <c r="Z219" s="107" t="inlineStr">
        <is>
          <t>[PR] Prevención</t>
        </is>
      </c>
      <c r="AA219" s="107" t="inlineStr">
        <is>
          <t>L4: Gestionado</t>
        </is>
      </c>
      <c r="AB219" s="107" t="inlineStr">
        <is>
          <t>T2: Fuga de información</t>
        </is>
      </c>
      <c r="AC219" s="107" t="inlineStr">
        <is>
          <t>Manual de Operaciones</t>
        </is>
      </c>
    </row>
    <row r="220">
      <c r="A220" s="96"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c r="Y220" s="107" t="inlineStr">
        <is>
          <t>Implementado</t>
        </is>
      </c>
      <c r="Z220" s="107" t="inlineStr">
        <is>
          <t>[PR] Prevención</t>
        </is>
      </c>
      <c r="AA220" s="107" t="inlineStr">
        <is>
          <t>L5: Optimizado</t>
        </is>
      </c>
      <c r="AB220" s="107" t="inlineStr">
        <is>
          <t>T2: Fuga de información</t>
        </is>
      </c>
      <c r="AC220" s="107" t="inlineStr">
        <is>
          <t>Manual de Operaciones</t>
        </is>
      </c>
    </row>
    <row r="221">
      <c r="A221" s="96"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c r="Y221" s="107" t="inlineStr">
        <is>
          <t>No Implementado</t>
        </is>
      </c>
      <c r="Z221" s="107" t="inlineStr">
        <is>
          <t>[MN] Monitorización</t>
        </is>
      </c>
      <c r="AA221" s="107" t="inlineStr">
        <is>
          <t>L2: Reproducible</t>
        </is>
      </c>
      <c r="AB221" s="107" t="inlineStr">
        <is>
          <t>T2: Fuga de información</t>
        </is>
      </c>
      <c r="AC221" s="107" t="inlineStr">
        <is>
          <t>Registro Físico</t>
        </is>
      </c>
    </row>
    <row r="222">
      <c r="A222" s="96"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c r="Y222" s="107" t="inlineStr">
        <is>
          <t>Implementado</t>
        </is>
      </c>
      <c r="Z222" s="107" t="inlineStr">
        <is>
          <t>[CR] Corrección</t>
        </is>
      </c>
      <c r="AA222" s="107" t="inlineStr">
        <is>
          <t>L2: Reproducible</t>
        </is>
      </c>
      <c r="AB222" s="107" t="inlineStr">
        <is>
          <t>T2: Fuga de información</t>
        </is>
      </c>
      <c r="AC222" s="107" t="inlineStr">
        <is>
          <t>Registro Físico</t>
        </is>
      </c>
    </row>
    <row r="223">
      <c r="A223" s="96"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c r="Y223" s="107" t="inlineStr">
        <is>
          <t>Implementado</t>
        </is>
      </c>
      <c r="Z223" s="107" t="inlineStr">
        <is>
          <t>[PR] Prevención</t>
        </is>
      </c>
      <c r="AA223" s="107" t="inlineStr">
        <is>
          <t>L2: Reproducible</t>
        </is>
      </c>
      <c r="AB223" s="107" t="inlineStr">
        <is>
          <t>T2: Fuga de información</t>
        </is>
      </c>
      <c r="AC223" s="107" t="inlineStr">
        <is>
          <t>Manual de Operaciones</t>
        </is>
      </c>
    </row>
    <row r="224">
      <c r="A224" s="96"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c r="Y224" s="107" t="inlineStr">
        <is>
          <t>Implementado</t>
        </is>
      </c>
      <c r="Z224" s="107" t="inlineStr">
        <is>
          <t>[IM] Minimización</t>
        </is>
      </c>
      <c r="AA224" s="107" t="inlineStr">
        <is>
          <t>L4: Gestionado</t>
        </is>
      </c>
      <c r="AB224" s="107" t="inlineStr">
        <is>
          <t>T2: Fuga de información</t>
        </is>
      </c>
      <c r="AC224" s="107" t="inlineStr">
        <is>
          <t>Registro Físico</t>
        </is>
      </c>
    </row>
    <row r="225">
      <c r="A225" s="96"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c r="Y225" s="107" t="inlineStr">
        <is>
          <t>Implementado</t>
        </is>
      </c>
      <c r="Z225" s="107" t="inlineStr">
        <is>
          <t>[PR] Prevención</t>
        </is>
      </c>
      <c r="AA225" s="107" t="inlineStr">
        <is>
          <t>L5: Optimizado</t>
        </is>
      </c>
      <c r="AB225" s="107" t="inlineStr">
        <is>
          <t>T2: Fuga de información</t>
        </is>
      </c>
      <c r="AC225" s="107" t="inlineStr">
        <is>
          <t>Manual de Operaciones</t>
        </is>
      </c>
    </row>
    <row r="226">
      <c r="A226" s="96"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c r="Y226" s="107" t="inlineStr">
        <is>
          <t>No Implementado</t>
        </is>
      </c>
      <c r="Z226" s="107" t="inlineStr">
        <is>
          <t>[PR] Prevención</t>
        </is>
      </c>
      <c r="AA226" s="107" t="inlineStr">
        <is>
          <t>L2: Reproducible</t>
        </is>
      </c>
      <c r="AB226" s="107" t="inlineStr">
        <is>
          <t>T2: Fuga de información</t>
        </is>
      </c>
      <c r="AC226" s="107" t="inlineStr">
        <is>
          <t>Manual de Operaciones</t>
        </is>
      </c>
    </row>
    <row r="227">
      <c r="A227" s="96"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c r="Y227" s="107" t="inlineStr">
        <is>
          <t>No Implementado</t>
        </is>
      </c>
      <c r="Z227" s="107" t="inlineStr">
        <is>
          <t>[IM] Minimización</t>
        </is>
      </c>
      <c r="AA227" s="107" t="inlineStr">
        <is>
          <t>L5: Optimizado</t>
        </is>
      </c>
      <c r="AB227" s="107" t="inlineStr">
        <is>
          <t>T2: Fuga de información</t>
        </is>
      </c>
      <c r="AC227" s="107" t="inlineStr">
        <is>
          <t>Registro Físico</t>
        </is>
      </c>
    </row>
    <row r="228">
      <c r="A228" s="96"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c r="Y228" s="107" t="inlineStr">
        <is>
          <t>Planificado</t>
        </is>
      </c>
      <c r="Z228" s="107" t="inlineStr">
        <is>
          <t>[DR] Disuasión</t>
        </is>
      </c>
      <c r="AA228" s="107" t="inlineStr">
        <is>
          <t>L3: Proceso Definido</t>
        </is>
      </c>
      <c r="AB228" s="107" t="inlineStr">
        <is>
          <t>T2: Fuga de información</t>
        </is>
      </c>
      <c r="AC228" s="107" t="inlineStr">
        <is>
          <t>Registro Físico</t>
        </is>
      </c>
    </row>
    <row r="229">
      <c r="A229" s="96"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c r="Y229" s="107" t="inlineStr">
        <is>
          <t>Implementado</t>
        </is>
      </c>
      <c r="Z229" s="107" t="inlineStr">
        <is>
          <t>[IM] Minimización</t>
        </is>
      </c>
      <c r="AA229" s="107" t="inlineStr">
        <is>
          <t>L3: Proceso Definido</t>
        </is>
      </c>
      <c r="AB229" s="107" t="inlineStr">
        <is>
          <t>T2: Fuga de información</t>
        </is>
      </c>
      <c r="AC229" s="107" t="inlineStr">
        <is>
          <t>Registro Físico</t>
        </is>
      </c>
    </row>
    <row r="230">
      <c r="A230" s="96"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c r="Y230" s="107" t="inlineStr">
        <is>
          <t>En Proceso</t>
        </is>
      </c>
      <c r="Z230" s="107" t="inlineStr">
        <is>
          <t>[PR] Prevención</t>
        </is>
      </c>
      <c r="AA230" s="107" t="inlineStr">
        <is>
          <t>L2: Reproducible</t>
        </is>
      </c>
      <c r="AB230" s="107" t="inlineStr">
        <is>
          <t>T2: Fuga de información</t>
        </is>
      </c>
      <c r="AC230" s="107" t="inlineStr">
        <is>
          <t>Manual de Operaciones</t>
        </is>
      </c>
    </row>
    <row r="231">
      <c r="A231" s="96"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c r="Y231" s="107" t="inlineStr">
        <is>
          <t>En Proceso</t>
        </is>
      </c>
      <c r="Z231" s="107" t="inlineStr">
        <is>
          <t>[CR] Corrección</t>
        </is>
      </c>
      <c r="AA231" s="107" t="inlineStr">
        <is>
          <t>L5: Optimizado</t>
        </is>
      </c>
      <c r="AB231" s="107" t="inlineStr">
        <is>
          <t>T2: Fuga de información</t>
        </is>
      </c>
      <c r="AC231" s="107" t="inlineStr">
        <is>
          <t>Registro Físico</t>
        </is>
      </c>
    </row>
    <row r="232">
      <c r="A232" s="96"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c r="Y232" s="107" t="inlineStr">
        <is>
          <t>Implementado</t>
        </is>
      </c>
      <c r="Z232" s="107" t="inlineStr">
        <is>
          <t>[PR] Prevención</t>
        </is>
      </c>
      <c r="AA232" s="107" t="inlineStr">
        <is>
          <t>L2: Reproducible</t>
        </is>
      </c>
      <c r="AB232" s="107" t="inlineStr">
        <is>
          <t>T2: Fuga de información</t>
        </is>
      </c>
      <c r="AC232" s="107" t="inlineStr">
        <is>
          <t>Manual de Operaciones</t>
        </is>
      </c>
    </row>
    <row r="233">
      <c r="A233" s="96"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c r="Y233" s="107" t="inlineStr">
        <is>
          <t>No Implementado</t>
        </is>
      </c>
      <c r="Z233" s="107" t="inlineStr">
        <is>
          <t>[PR] Prevención</t>
        </is>
      </c>
      <c r="AA233" s="107" t="inlineStr">
        <is>
          <t>L3: Proceso Definido</t>
        </is>
      </c>
      <c r="AB233" s="107" t="inlineStr">
        <is>
          <t>T2: Fuga de información</t>
        </is>
      </c>
      <c r="AC233" s="107" t="inlineStr">
        <is>
          <t>Manual de Operaciones</t>
        </is>
      </c>
    </row>
    <row r="234">
      <c r="A234" s="96"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c r="Y234" s="107" t="inlineStr">
        <is>
          <t>Implementado</t>
        </is>
      </c>
      <c r="Z234" s="107" t="inlineStr">
        <is>
          <t>[PR] Prevención</t>
        </is>
      </c>
      <c r="AA234" s="107" t="inlineStr">
        <is>
          <t>L4: Gestionado</t>
        </is>
      </c>
      <c r="AB234" s="107" t="inlineStr">
        <is>
          <t>T2: Fuga de información</t>
        </is>
      </c>
      <c r="AC234" s="107" t="inlineStr">
        <is>
          <t>Manual de Operaciones</t>
        </is>
      </c>
    </row>
    <row r="235">
      <c r="A235" s="96"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c r="Y235" s="107" t="inlineStr">
        <is>
          <t>No Implementado</t>
        </is>
      </c>
      <c r="Z235" s="107" t="inlineStr">
        <is>
          <t>[PR] Prevención</t>
        </is>
      </c>
      <c r="AA235" s="107" t="inlineStr">
        <is>
          <t>L5: Optimizado</t>
        </is>
      </c>
      <c r="AB235" s="107" t="inlineStr">
        <is>
          <t>T2: Fuga de información</t>
        </is>
      </c>
      <c r="AC235" s="107" t="inlineStr">
        <is>
          <t>Manual de Operaciones</t>
        </is>
      </c>
    </row>
    <row r="236">
      <c r="A236" s="96"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c r="Y236" s="107" t="inlineStr">
        <is>
          <t>Planificado</t>
        </is>
      </c>
      <c r="Z236" s="107" t="inlineStr">
        <is>
          <t>[PR] Prevención</t>
        </is>
      </c>
      <c r="AA236" s="107" t="inlineStr">
        <is>
          <t>L3: Proceso Definido</t>
        </is>
      </c>
      <c r="AB236" s="107" t="inlineStr">
        <is>
          <t>T2: Fuga de información</t>
        </is>
      </c>
      <c r="AC236" s="107" t="inlineStr">
        <is>
          <t>Manual de Operaciones</t>
        </is>
      </c>
    </row>
    <row r="237">
      <c r="A237" s="96"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c r="Y237" s="107" t="inlineStr">
        <is>
          <t>No Implementado</t>
        </is>
      </c>
      <c r="Z237" s="107" t="inlineStr">
        <is>
          <t>[DC] Detección</t>
        </is>
      </c>
      <c r="AA237" s="107" t="inlineStr">
        <is>
          <t>L3: Proceso Definido</t>
        </is>
      </c>
      <c r="AB237" s="107" t="inlineStr">
        <is>
          <t>T2: Fuga de información</t>
        </is>
      </c>
      <c r="AC237" s="107" t="inlineStr">
        <is>
          <t>Registro Físico</t>
        </is>
      </c>
    </row>
    <row r="238">
      <c r="A238" s="96"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c r="Y238" s="107" t="inlineStr">
        <is>
          <t>Implementado</t>
        </is>
      </c>
      <c r="Z238" s="107" t="inlineStr">
        <is>
          <t>[PR] Prevención</t>
        </is>
      </c>
      <c r="AA238" s="107" t="inlineStr">
        <is>
          <t>L5: Optimizado</t>
        </is>
      </c>
      <c r="AB238" s="107" t="inlineStr">
        <is>
          <t>T2: Fuga de información</t>
        </is>
      </c>
      <c r="AC238" s="107" t="inlineStr">
        <is>
          <t>Manual de Operaciones</t>
        </is>
      </c>
    </row>
    <row r="239">
      <c r="A239" s="96"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c r="Y239" s="107" t="inlineStr">
        <is>
          <t>Implementado</t>
        </is>
      </c>
      <c r="Z239" s="107" t="inlineStr">
        <is>
          <t>[DR] Disuasión</t>
        </is>
      </c>
      <c r="AA239" s="107" t="inlineStr">
        <is>
          <t>L2: Reproducible</t>
        </is>
      </c>
      <c r="AB239" s="107" t="inlineStr">
        <is>
          <t>T2: Fuga de información</t>
        </is>
      </c>
      <c r="AC239" s="107" t="inlineStr">
        <is>
          <t>Registro Físico</t>
        </is>
      </c>
    </row>
    <row r="240">
      <c r="A240" s="96"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c r="Y240" s="107" t="inlineStr">
        <is>
          <t>Implementado</t>
        </is>
      </c>
      <c r="Z240" s="107" t="inlineStr">
        <is>
          <t>[PR] Prevención</t>
        </is>
      </c>
      <c r="AA240" s="107" t="inlineStr">
        <is>
          <t>L4: Gestionado</t>
        </is>
      </c>
      <c r="AB240" s="107" t="inlineStr">
        <is>
          <t>T2: Fuga de información</t>
        </is>
      </c>
      <c r="AC240" s="107" t="inlineStr">
        <is>
          <t>Registro Físico</t>
        </is>
      </c>
    </row>
    <row r="241">
      <c r="A241" s="96"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c r="Y241" s="107" t="inlineStr">
        <is>
          <t>Implementado</t>
        </is>
      </c>
      <c r="Z241" s="107" t="inlineStr">
        <is>
          <t>[MN] Monitorización</t>
        </is>
      </c>
      <c r="AA241" s="107" t="inlineStr">
        <is>
          <t>L3: Proceso Definido</t>
        </is>
      </c>
      <c r="AB241" s="107" t="inlineStr">
        <is>
          <t>T2: Fuga de información</t>
        </is>
      </c>
      <c r="AC241" s="107" t="inlineStr">
        <is>
          <t>Registro Físico</t>
        </is>
      </c>
    </row>
    <row r="242">
      <c r="A242" s="96"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c r="Y242" s="107" t="inlineStr">
        <is>
          <t>Implementado</t>
        </is>
      </c>
      <c r="Z242" s="107" t="inlineStr">
        <is>
          <t>[RC] Recuperación</t>
        </is>
      </c>
      <c r="AA242" s="107" t="inlineStr">
        <is>
          <t>L2: Reproducible</t>
        </is>
      </c>
      <c r="AB242" s="107" t="inlineStr">
        <is>
          <t>T2: Fuga de información</t>
        </is>
      </c>
      <c r="AC242" s="107" t="inlineStr">
        <is>
          <t>Registro Físico</t>
        </is>
      </c>
    </row>
    <row r="243">
      <c r="A243" s="96"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c r="Y243" s="107" t="inlineStr">
        <is>
          <t>Planificado</t>
        </is>
      </c>
      <c r="Z243" s="107" t="inlineStr">
        <is>
          <t>[PR] Prevención</t>
        </is>
      </c>
      <c r="AA243" s="107" t="inlineStr">
        <is>
          <t>L3: Proceso Definido</t>
        </is>
      </c>
      <c r="AB243" s="107" t="inlineStr">
        <is>
          <t>T2: Fuga de información</t>
        </is>
      </c>
      <c r="AC243" s="107" t="inlineStr">
        <is>
          <t>Registro Físico</t>
        </is>
      </c>
    </row>
    <row r="244">
      <c r="A244" s="96"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c r="Y244" s="107" t="inlineStr">
        <is>
          <t>Implementado</t>
        </is>
      </c>
      <c r="Z244" s="107" t="inlineStr">
        <is>
          <t>[CR] Corrección</t>
        </is>
      </c>
      <c r="AA244" s="107" t="inlineStr">
        <is>
          <t>L2: Reproducible</t>
        </is>
      </c>
      <c r="AB244" s="107" t="inlineStr">
        <is>
          <t>T2: Fuga de información</t>
        </is>
      </c>
      <c r="AC244" s="107" t="inlineStr">
        <is>
          <t>Registro Físico</t>
        </is>
      </c>
    </row>
    <row r="245">
      <c r="A245" s="96"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c r="Y245" s="107" t="inlineStr">
        <is>
          <t>Planificado</t>
        </is>
      </c>
      <c r="Z245" s="107" t="inlineStr">
        <is>
          <t>[PR] Prevención</t>
        </is>
      </c>
      <c r="AA245" s="107" t="inlineStr">
        <is>
          <t>L2: Reproducible</t>
        </is>
      </c>
      <c r="AB245" s="107" t="inlineStr">
        <is>
          <t>T2: Fuga de información</t>
        </is>
      </c>
      <c r="AC245" s="107" t="inlineStr">
        <is>
          <t>Registro Físico</t>
        </is>
      </c>
    </row>
    <row r="246">
      <c r="A246" s="96"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c r="Y246" s="107" t="inlineStr">
        <is>
          <t>Planificado</t>
        </is>
      </c>
      <c r="Z246" s="107" t="inlineStr">
        <is>
          <t>[PR] Prevención</t>
        </is>
      </c>
      <c r="AA246" s="107" t="inlineStr">
        <is>
          <t>L4: Gestionado</t>
        </is>
      </c>
      <c r="AB246" s="107" t="inlineStr">
        <is>
          <t>T2: Fuga de información</t>
        </is>
      </c>
      <c r="AC246" s="107" t="inlineStr">
        <is>
          <t>Manual de Operaciones</t>
        </is>
      </c>
    </row>
    <row r="247">
      <c r="A247" s="96"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c r="Y247" s="107" t="inlineStr">
        <is>
          <t>En Proceso</t>
        </is>
      </c>
      <c r="Z247" s="107" t="inlineStr">
        <is>
          <t>[DC] Detección</t>
        </is>
      </c>
      <c r="AA247" s="107" t="inlineStr">
        <is>
          <t>L5: Optimizado</t>
        </is>
      </c>
      <c r="AB247" s="107" t="inlineStr">
        <is>
          <t>T2: Fuga de información</t>
        </is>
      </c>
      <c r="AC247" s="107" t="inlineStr">
        <is>
          <t>Registro Físico</t>
        </is>
      </c>
    </row>
    <row r="248">
      <c r="A248" s="96"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c r="Y248" s="107" t="inlineStr">
        <is>
          <t>Implementado</t>
        </is>
      </c>
      <c r="Z248" s="107" t="inlineStr">
        <is>
          <t>[RC] Recuperación</t>
        </is>
      </c>
      <c r="AA248" s="107" t="inlineStr">
        <is>
          <t>L2: Reproducible</t>
        </is>
      </c>
      <c r="AB248" s="107" t="inlineStr">
        <is>
          <t>T2: Fuga de información</t>
        </is>
      </c>
      <c r="AC248" s="107" t="inlineStr">
        <is>
          <t>Registro Físico</t>
        </is>
      </c>
    </row>
    <row r="249">
      <c r="A249" s="96"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c r="Y249" s="107" t="inlineStr">
        <is>
          <t>Implementado</t>
        </is>
      </c>
      <c r="Z249" s="107" t="inlineStr">
        <is>
          <t>[DC] Detección</t>
        </is>
      </c>
      <c r="AA249" s="107" t="inlineStr">
        <is>
          <t>L3: Proceso Definido</t>
        </is>
      </c>
      <c r="AB249" s="107" t="inlineStr">
        <is>
          <t>T2: Fuga de información</t>
        </is>
      </c>
      <c r="AC249" s="107" t="inlineStr">
        <is>
          <t>Registro Físico</t>
        </is>
      </c>
    </row>
    <row r="250">
      <c r="A250" s="96"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c r="Y250" s="107" t="inlineStr">
        <is>
          <t>En Proceso</t>
        </is>
      </c>
      <c r="Z250" s="107" t="inlineStr">
        <is>
          <t>[MN] Monitorización</t>
        </is>
      </c>
      <c r="AA250" s="107" t="inlineStr">
        <is>
          <t>L2: Reproducible</t>
        </is>
      </c>
      <c r="AB250" s="107" t="inlineStr">
        <is>
          <t>T2: Fuga de información</t>
        </is>
      </c>
      <c r="AC250" s="107" t="inlineStr">
        <is>
          <t>Registro Físico</t>
        </is>
      </c>
    </row>
    <row r="251">
      <c r="A251" s="96"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c r="Y251" s="107" t="inlineStr">
        <is>
          <t>Implementado</t>
        </is>
      </c>
      <c r="Z251" s="107" t="inlineStr">
        <is>
          <t>[MN] Monitorización</t>
        </is>
      </c>
      <c r="AA251" s="107" t="inlineStr">
        <is>
          <t>L3: Proceso Definido</t>
        </is>
      </c>
      <c r="AB251" s="107" t="inlineStr">
        <is>
          <t>T2: Fuga de información</t>
        </is>
      </c>
      <c r="AC251" s="107" t="inlineStr">
        <is>
          <t>Registro Físico</t>
        </is>
      </c>
    </row>
    <row r="252">
      <c r="A252" s="96"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c r="Y252" s="107" t="inlineStr">
        <is>
          <t>Implementado</t>
        </is>
      </c>
      <c r="Z252" s="107" t="inlineStr">
        <is>
          <t>[DR] Disuasión</t>
        </is>
      </c>
      <c r="AA252" s="107" t="inlineStr">
        <is>
          <t>L3: Proceso Definido</t>
        </is>
      </c>
      <c r="AB252" s="107" t="inlineStr">
        <is>
          <t>T2: Fuga de información</t>
        </is>
      </c>
      <c r="AC252" s="107" t="inlineStr">
        <is>
          <t>Registro Físico</t>
        </is>
      </c>
    </row>
    <row r="253">
      <c r="A253" s="96"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c r="Y253" s="107" t="inlineStr">
        <is>
          <t>Implementado</t>
        </is>
      </c>
      <c r="Z253" s="107" t="inlineStr">
        <is>
          <t>[DC] Detección</t>
        </is>
      </c>
      <c r="AA253" s="107" t="inlineStr">
        <is>
          <t>L2: Reproducible</t>
        </is>
      </c>
      <c r="AB253" s="107" t="inlineStr">
        <is>
          <t>T2: Fuga de información</t>
        </is>
      </c>
      <c r="AC253" s="107" t="inlineStr">
        <is>
          <t>Registro Físico</t>
        </is>
      </c>
    </row>
    <row r="254">
      <c r="A254" s="96"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c r="Y254" s="107" t="inlineStr">
        <is>
          <t>Implementado</t>
        </is>
      </c>
      <c r="Z254" s="107" t="inlineStr">
        <is>
          <t>[MN] Monitorización</t>
        </is>
      </c>
      <c r="AA254" s="107" t="inlineStr">
        <is>
          <t>L4: Gestionado</t>
        </is>
      </c>
      <c r="AB254" s="107" t="inlineStr">
        <is>
          <t>T2: Fuga de información</t>
        </is>
      </c>
      <c r="AC254" s="107" t="inlineStr">
        <is>
          <t>Registro Físico</t>
        </is>
      </c>
    </row>
    <row r="255">
      <c r="A255" s="96"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c r="Y255" s="107" t="inlineStr">
        <is>
          <t>Implementado</t>
        </is>
      </c>
      <c r="Z255" s="107" t="inlineStr">
        <is>
          <t>[IM] Minimización</t>
        </is>
      </c>
      <c r="AA255" s="107" t="inlineStr">
        <is>
          <t>L5: Optimizado</t>
        </is>
      </c>
      <c r="AB255" s="107" t="inlineStr">
        <is>
          <t>T2: Fuga de información</t>
        </is>
      </c>
      <c r="AC255" s="107" t="inlineStr">
        <is>
          <t>Registro Físico</t>
        </is>
      </c>
    </row>
    <row r="256">
      <c r="A256" s="96"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c r="Y256" s="107" t="inlineStr">
        <is>
          <t>Implementado</t>
        </is>
      </c>
      <c r="Z256" s="107" t="inlineStr">
        <is>
          <t>[DR] Disuasión</t>
        </is>
      </c>
      <c r="AA256" s="107" t="inlineStr">
        <is>
          <t>L3: Proceso Definido</t>
        </is>
      </c>
      <c r="AB256" s="107" t="inlineStr">
        <is>
          <t>T2: Fuga de información</t>
        </is>
      </c>
      <c r="AC256" s="107" t="inlineStr">
        <is>
          <t>Registro Físico</t>
        </is>
      </c>
    </row>
    <row r="257">
      <c r="A257" s="96"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c r="Y257" s="107" t="inlineStr">
        <is>
          <t>Implementado</t>
        </is>
      </c>
      <c r="Z257" s="107" t="inlineStr">
        <is>
          <t>[DC] Detección</t>
        </is>
      </c>
      <c r="AA257" s="107" t="inlineStr">
        <is>
          <t>L4: Gestionado</t>
        </is>
      </c>
      <c r="AB257" s="107" t="inlineStr">
        <is>
          <t>T2: Fuga de información</t>
        </is>
      </c>
      <c r="AC257" s="107" t="inlineStr">
        <is>
          <t>Registro Físico</t>
        </is>
      </c>
    </row>
    <row r="258">
      <c r="A258" s="96"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c r="Y258" s="107" t="inlineStr">
        <is>
          <t>Implementado</t>
        </is>
      </c>
      <c r="Z258" s="107" t="inlineStr">
        <is>
          <t>[EL] Eliminación</t>
        </is>
      </c>
      <c r="AA258" s="107" t="inlineStr">
        <is>
          <t>L2: Reproducible</t>
        </is>
      </c>
      <c r="AB258" s="107" t="inlineStr">
        <is>
          <t>T2: Fuga de información</t>
        </is>
      </c>
      <c r="AC258" s="107" t="inlineStr">
        <is>
          <t>Registro Físico</t>
        </is>
      </c>
    </row>
    <row r="259">
      <c r="A259" s="96"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c r="Y259" s="107" t="inlineStr">
        <is>
          <t>Implementado</t>
        </is>
      </c>
      <c r="Z259" s="107" t="inlineStr">
        <is>
          <t>[CR] Corrección</t>
        </is>
      </c>
      <c r="AA259" s="107" t="inlineStr">
        <is>
          <t>L5: Optimizado</t>
        </is>
      </c>
      <c r="AB259" s="107" t="inlineStr">
        <is>
          <t>T2: Fuga de información</t>
        </is>
      </c>
      <c r="AC259" s="107" t="inlineStr">
        <is>
          <t>Registro Físico</t>
        </is>
      </c>
    </row>
    <row r="260">
      <c r="A260" s="96"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c r="Y260" s="107" t="inlineStr">
        <is>
          <t>Implementado</t>
        </is>
      </c>
      <c r="Z260" s="107" t="inlineStr">
        <is>
          <t>[IM] Minimización</t>
        </is>
      </c>
      <c r="AA260" s="107" t="inlineStr">
        <is>
          <t>L5: Optimizado</t>
        </is>
      </c>
      <c r="AB260" s="107" t="inlineStr">
        <is>
          <t>T2: Fuga de información</t>
        </is>
      </c>
      <c r="AC260" s="107" t="inlineStr">
        <is>
          <t>Registro Físico</t>
        </is>
      </c>
    </row>
    <row r="261">
      <c r="A261" s="96"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c r="Y261" s="107" t="inlineStr">
        <is>
          <t>Implementado</t>
        </is>
      </c>
      <c r="Z261" s="107" t="inlineStr">
        <is>
          <t>[PR] Prevención</t>
        </is>
      </c>
      <c r="AA261" s="107" t="inlineStr">
        <is>
          <t>L2: Reproducible</t>
        </is>
      </c>
      <c r="AB261" s="107" t="inlineStr">
        <is>
          <t>T2: Fuga de información</t>
        </is>
      </c>
      <c r="AC261" s="107" t="inlineStr">
        <is>
          <t>Manual de Operaciones</t>
        </is>
      </c>
    </row>
    <row r="262">
      <c r="A262" s="96"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c r="Y262" s="107" t="inlineStr">
        <is>
          <t>Implementado</t>
        </is>
      </c>
      <c r="Z262" s="107" t="inlineStr">
        <is>
          <t>[PR] Prevención</t>
        </is>
      </c>
      <c r="AA262" s="107" t="inlineStr">
        <is>
          <t>L4: Gestionado</t>
        </is>
      </c>
      <c r="AB262" s="107" t="inlineStr">
        <is>
          <t>T2: Fuga de información</t>
        </is>
      </c>
      <c r="AC262" s="107" t="inlineStr">
        <is>
          <t>Manual de Operaciones</t>
        </is>
      </c>
    </row>
    <row r="263">
      <c r="A263" s="96"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c r="Y263" s="107" t="inlineStr">
        <is>
          <t>Implementado</t>
        </is>
      </c>
      <c r="Z263" s="107" t="inlineStr">
        <is>
          <t>[PR] Prevención</t>
        </is>
      </c>
      <c r="AA263" s="107" t="inlineStr">
        <is>
          <t>L3: Proceso Definido</t>
        </is>
      </c>
      <c r="AB263" s="107" t="inlineStr">
        <is>
          <t>T2: Fuga de información</t>
        </is>
      </c>
      <c r="AC263" s="107" t="inlineStr">
        <is>
          <t>Manual de Operaciones</t>
        </is>
      </c>
    </row>
    <row r="264" ht="20.45" customHeight="1" s="103">
      <c r="A264" s="96"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c r="Y264" s="107" t="inlineStr">
        <is>
          <t>Implementado</t>
        </is>
      </c>
      <c r="Z264" s="107" t="inlineStr">
        <is>
          <t>[PR] Prevención</t>
        </is>
      </c>
      <c r="AA264" s="107" t="inlineStr">
        <is>
          <t>L5: Optimizado</t>
        </is>
      </c>
      <c r="AB264" s="107" t="inlineStr">
        <is>
          <t>T2: Fuga de información</t>
        </is>
      </c>
      <c r="AC264" s="107" t="inlineStr">
        <is>
          <t>Manual de Operaciones</t>
        </is>
      </c>
    </row>
    <row r="265">
      <c r="A265" s="96"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c r="Y265" s="107" t="inlineStr">
        <is>
          <t>Implementado</t>
        </is>
      </c>
      <c r="Z265" s="107" t="inlineStr">
        <is>
          <t>[PR] Prevención</t>
        </is>
      </c>
      <c r="AA265" s="107" t="inlineStr">
        <is>
          <t>L2: Reproducible</t>
        </is>
      </c>
      <c r="AB265" s="107" t="inlineStr">
        <is>
          <t>T2: Fuga de información</t>
        </is>
      </c>
      <c r="AC265" s="107" t="inlineStr">
        <is>
          <t>Manual de Operaciones</t>
        </is>
      </c>
    </row>
    <row r="266">
      <c r="A266" s="96"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c r="Y266" s="107" t="inlineStr">
        <is>
          <t>En Proceso</t>
        </is>
      </c>
      <c r="Z266" s="107" t="inlineStr">
        <is>
          <t>[PR] Prevención</t>
        </is>
      </c>
      <c r="AA266" s="107" t="inlineStr">
        <is>
          <t>L2: Reproducible</t>
        </is>
      </c>
      <c r="AB266" s="107" t="inlineStr">
        <is>
          <t>T2: Fuga de información</t>
        </is>
      </c>
      <c r="AC266" s="107" t="inlineStr">
        <is>
          <t>Manual de Operaciones</t>
        </is>
      </c>
    </row>
    <row r="267">
      <c r="A267" s="96"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c r="Y267" s="107" t="inlineStr">
        <is>
          <t>No Implementado</t>
        </is>
      </c>
      <c r="Z267" s="107" t="inlineStr">
        <is>
          <t>[DR] Disuasión</t>
        </is>
      </c>
      <c r="AA267" s="107" t="inlineStr">
        <is>
          <t>L3: Proceso Definido</t>
        </is>
      </c>
      <c r="AB267" s="107" t="inlineStr">
        <is>
          <t>T2: Fuga de información</t>
        </is>
      </c>
      <c r="AC267" s="107" t="inlineStr">
        <is>
          <t>Registro Físico</t>
        </is>
      </c>
    </row>
    <row r="268">
      <c r="A268" s="96"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c r="Y268" s="107" t="inlineStr">
        <is>
          <t>Implementado</t>
        </is>
      </c>
      <c r="Z268" s="107" t="inlineStr">
        <is>
          <t>[PR] Prevención</t>
        </is>
      </c>
      <c r="AA268" s="107" t="inlineStr">
        <is>
          <t>L3: Proceso Definido</t>
        </is>
      </c>
      <c r="AB268" s="107" t="inlineStr">
        <is>
          <t>T2: Fuga de información</t>
        </is>
      </c>
      <c r="AC268" s="107" t="inlineStr">
        <is>
          <t>Manual de Operaciones</t>
        </is>
      </c>
    </row>
    <row r="269" ht="20.45" customHeight="1" s="103">
      <c r="A269" s="96"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c r="Y269" s="107" t="inlineStr">
        <is>
          <t>Implementado</t>
        </is>
      </c>
      <c r="Z269" s="107" t="inlineStr">
        <is>
          <t>[PR] Prevención</t>
        </is>
      </c>
      <c r="AA269" s="107" t="inlineStr">
        <is>
          <t>L3: Proceso Definido</t>
        </is>
      </c>
      <c r="AB269" s="107" t="inlineStr">
        <is>
          <t>T2: Fuga de información</t>
        </is>
      </c>
      <c r="AC269" s="107" t="inlineStr">
        <is>
          <t>Manual de Operaciones</t>
        </is>
      </c>
    </row>
    <row r="270">
      <c r="A270" s="96"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c r="Y270" s="107" t="inlineStr">
        <is>
          <t>Implementado</t>
        </is>
      </c>
      <c r="Z270" s="107" t="inlineStr">
        <is>
          <t>[RC] Recuperación</t>
        </is>
      </c>
      <c r="AA270" s="107" t="inlineStr">
        <is>
          <t>L3: Proceso Definido</t>
        </is>
      </c>
      <c r="AB270" s="107" t="inlineStr">
        <is>
          <t>T2: Fuga de información</t>
        </is>
      </c>
      <c r="AC270" s="107" t="inlineStr">
        <is>
          <t>Registro Físico</t>
        </is>
      </c>
    </row>
    <row r="271">
      <c r="A271" s="96"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c r="Y271" s="107" t="inlineStr">
        <is>
          <t>Implementado</t>
        </is>
      </c>
      <c r="Z271" s="107" t="inlineStr">
        <is>
          <t>[PR] Prevención</t>
        </is>
      </c>
      <c r="AA271" s="107" t="inlineStr">
        <is>
          <t>L4: Gestionado</t>
        </is>
      </c>
      <c r="AB271" s="107" t="inlineStr">
        <is>
          <t>T2: Fuga de información</t>
        </is>
      </c>
      <c r="AC271" s="107" t="inlineStr">
        <is>
          <t>Registro Físico</t>
        </is>
      </c>
    </row>
    <row r="272">
      <c r="A272" s="96"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c r="Y272" s="107" t="inlineStr">
        <is>
          <t>Implementado</t>
        </is>
      </c>
      <c r="Z272" s="107" t="inlineStr">
        <is>
          <t>[CR] Corrección</t>
        </is>
      </c>
      <c r="AA272" s="107" t="inlineStr">
        <is>
          <t>L4: Gestionado</t>
        </is>
      </c>
      <c r="AB272" s="107" t="inlineStr">
        <is>
          <t>T2: Fuga de información</t>
        </is>
      </c>
      <c r="AC272" s="107" t="inlineStr">
        <is>
          <t>Registro Físico</t>
        </is>
      </c>
    </row>
    <row r="273" ht="20.45" customHeight="1" s="103">
      <c r="A273" s="96"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c r="Y273" s="107" t="inlineStr">
        <is>
          <t>Implementado</t>
        </is>
      </c>
      <c r="Z273" s="107" t="inlineStr">
        <is>
          <t>[PR] Prevención</t>
        </is>
      </c>
      <c r="AA273" s="107" t="inlineStr">
        <is>
          <t>L3: Proceso Definido</t>
        </is>
      </c>
      <c r="AB273" s="107" t="inlineStr">
        <is>
          <t>T2: Fuga de información</t>
        </is>
      </c>
      <c r="AC273" s="107" t="inlineStr">
        <is>
          <t>Manual de Operaciones</t>
        </is>
      </c>
    </row>
    <row r="274">
      <c r="A274" s="96"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c r="Y274" s="107" t="inlineStr">
        <is>
          <t>Implementado</t>
        </is>
      </c>
      <c r="Z274" s="107" t="inlineStr">
        <is>
          <t>[PR] Prevención</t>
        </is>
      </c>
      <c r="AA274" s="107" t="inlineStr">
        <is>
          <t>L2: Reproducible</t>
        </is>
      </c>
      <c r="AB274" s="107" t="inlineStr">
        <is>
          <t>T2: Fuga de información</t>
        </is>
      </c>
      <c r="AC274" s="107" t="inlineStr">
        <is>
          <t>Manual de Operaciones</t>
        </is>
      </c>
    </row>
    <row r="275">
      <c r="A275" s="96"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c r="Y275" s="107" t="inlineStr">
        <is>
          <t>Planificado</t>
        </is>
      </c>
      <c r="Z275" s="107" t="inlineStr">
        <is>
          <t>[PR] Prevención</t>
        </is>
      </c>
      <c r="AA275" s="107" t="inlineStr">
        <is>
          <t>L2: Reproducible</t>
        </is>
      </c>
      <c r="AB275" s="107" t="inlineStr">
        <is>
          <t>T2: Fuga de información</t>
        </is>
      </c>
      <c r="AC275" s="107" t="inlineStr">
        <is>
          <t>Manual de Operaciones</t>
        </is>
      </c>
    </row>
    <row r="276">
      <c r="A276" s="96"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c r="Y276" s="107" t="inlineStr">
        <is>
          <t>Implementado</t>
        </is>
      </c>
      <c r="Z276" s="107" t="inlineStr">
        <is>
          <t>[PR] Prevención</t>
        </is>
      </c>
      <c r="AA276" s="107" t="inlineStr">
        <is>
          <t>L4: Gestionado</t>
        </is>
      </c>
      <c r="AB276" s="107" t="inlineStr">
        <is>
          <t>T2: Fuga de información</t>
        </is>
      </c>
      <c r="AC276" s="107" t="inlineStr">
        <is>
          <t>Manual de Operaciones</t>
        </is>
      </c>
    </row>
    <row r="277">
      <c r="A277" s="96"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c r="Y277" s="107" t="inlineStr">
        <is>
          <t>Implementado</t>
        </is>
      </c>
      <c r="Z277" s="107" t="inlineStr">
        <is>
          <t>[PR] Prevención</t>
        </is>
      </c>
      <c r="AA277" s="107" t="inlineStr">
        <is>
          <t>L3: Proceso Definido</t>
        </is>
      </c>
      <c r="AB277" s="107" t="inlineStr">
        <is>
          <t>T2: Fuga de información</t>
        </is>
      </c>
      <c r="AC277" s="107" t="inlineStr">
        <is>
          <t>Manual de Operaciones</t>
        </is>
      </c>
    </row>
    <row r="278">
      <c r="A278" s="96"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c r="Y278" s="107" t="inlineStr">
        <is>
          <t>Implementado</t>
        </is>
      </c>
      <c r="Z278" s="107" t="inlineStr">
        <is>
          <t>[PR] Prevención</t>
        </is>
      </c>
      <c r="AA278" s="107" t="inlineStr">
        <is>
          <t>L2: Reproducible</t>
        </is>
      </c>
      <c r="AB278" s="107" t="inlineStr">
        <is>
          <t>T2: Fuga de información</t>
        </is>
      </c>
      <c r="AC278" s="107" t="inlineStr">
        <is>
          <t>Manual de Operaciones</t>
        </is>
      </c>
    </row>
    <row r="279">
      <c r="A279" s="96"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c r="Y279" s="107" t="inlineStr">
        <is>
          <t>Implementado</t>
        </is>
      </c>
      <c r="Z279" s="107" t="inlineStr">
        <is>
          <t>[DC] Detección</t>
        </is>
      </c>
      <c r="AA279" s="107" t="inlineStr">
        <is>
          <t>L4: Gestionado</t>
        </is>
      </c>
      <c r="AB279" s="107" t="inlineStr">
        <is>
          <t>T2: Fuga de información</t>
        </is>
      </c>
      <c r="AC279" s="107" t="inlineStr">
        <is>
          <t>Registro Físico</t>
        </is>
      </c>
    </row>
    <row r="280" ht="20.45" customHeight="1" s="103">
      <c r="A280" s="96"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c r="Y280" s="107" t="inlineStr">
        <is>
          <t>Planificado</t>
        </is>
      </c>
      <c r="Z280" s="107" t="inlineStr">
        <is>
          <t>[PR] Prevención</t>
        </is>
      </c>
      <c r="AA280" s="107" t="inlineStr">
        <is>
          <t>L3: Proceso Definido</t>
        </is>
      </c>
      <c r="AB280" s="107" t="inlineStr">
        <is>
          <t>T2: Fuga de información</t>
        </is>
      </c>
      <c r="AC280" s="107" t="inlineStr">
        <is>
          <t>Manual de Operaciones</t>
        </is>
      </c>
    </row>
    <row r="281" ht="20.45" customHeight="1" s="103">
      <c r="A281" s="96"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c r="Y281" s="107" t="inlineStr">
        <is>
          <t>Implementado</t>
        </is>
      </c>
      <c r="Z281" s="107" t="inlineStr">
        <is>
          <t>[PR] Prevención</t>
        </is>
      </c>
      <c r="AA281" s="107" t="inlineStr">
        <is>
          <t>L2: Reproducible</t>
        </is>
      </c>
      <c r="AB281" s="107" t="inlineStr">
        <is>
          <t>T2: Fuga de información</t>
        </is>
      </c>
      <c r="AC281" s="107" t="inlineStr">
        <is>
          <t>Manual de Operaciones</t>
        </is>
      </c>
    </row>
    <row r="282">
      <c r="A282" s="96"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c r="Y282" s="107" t="inlineStr">
        <is>
          <t>Implementado</t>
        </is>
      </c>
      <c r="Z282" s="107" t="inlineStr">
        <is>
          <t>[PR] Prevención</t>
        </is>
      </c>
      <c r="AA282" s="107" t="inlineStr">
        <is>
          <t>L4: Gestionado</t>
        </is>
      </c>
      <c r="AB282" s="107" t="inlineStr">
        <is>
          <t>T2: Fuga de información</t>
        </is>
      </c>
      <c r="AC282" s="107" t="inlineStr">
        <is>
          <t>Manual de Operaciones</t>
        </is>
      </c>
    </row>
    <row r="283" ht="12" customHeight="1" s="103">
      <c r="A283" s="96"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c r="Y283" s="107" t="inlineStr">
        <is>
          <t>Implementado</t>
        </is>
      </c>
      <c r="Z283" s="107" t="inlineStr">
        <is>
          <t>[PR] Prevención</t>
        </is>
      </c>
      <c r="AA283" s="107" t="inlineStr">
        <is>
          <t>L2: Reproducible</t>
        </is>
      </c>
      <c r="AB283" s="107" t="inlineStr">
        <is>
          <t>T2: Fuga de información</t>
        </is>
      </c>
      <c r="AC283" s="107" t="inlineStr">
        <is>
          <t>Manual de Operaciones</t>
        </is>
      </c>
    </row>
    <row r="284">
      <c r="A284" s="96"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c r="Y284" s="107" t="inlineStr">
        <is>
          <t>Implementado</t>
        </is>
      </c>
      <c r="Z284" s="107" t="inlineStr">
        <is>
          <t>[PR] Prevención</t>
        </is>
      </c>
      <c r="AA284" s="107" t="inlineStr">
        <is>
          <t>L5: Optimizado</t>
        </is>
      </c>
      <c r="AB284" s="107" t="inlineStr">
        <is>
          <t>T2: Fuga de información</t>
        </is>
      </c>
      <c r="AC284" s="107" t="inlineStr">
        <is>
          <t>Manual de Operaciones</t>
        </is>
      </c>
    </row>
    <row r="285" ht="30.6" customHeight="1" s="103">
      <c r="A285" s="96"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c r="Y285" s="107" t="inlineStr">
        <is>
          <t>Planificado</t>
        </is>
      </c>
      <c r="Z285" s="107" t="inlineStr">
        <is>
          <t>[PR] Prevención</t>
        </is>
      </c>
      <c r="AA285" s="107" t="inlineStr">
        <is>
          <t>L4: Gestionado</t>
        </is>
      </c>
      <c r="AB285" s="107" t="inlineStr">
        <is>
          <t>T2: Fuga de información</t>
        </is>
      </c>
      <c r="AC285" s="107" t="inlineStr">
        <is>
          <t>Manual de Operaciones</t>
        </is>
      </c>
    </row>
    <row r="286" ht="12" customHeight="1" s="103">
      <c r="A286" s="96"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c r="Y286" s="107" t="inlineStr">
        <is>
          <t>Planificado</t>
        </is>
      </c>
      <c r="Z286" s="107" t="inlineStr">
        <is>
          <t>[PR] Prevención</t>
        </is>
      </c>
      <c r="AA286" s="107" t="inlineStr">
        <is>
          <t>L2: Reproducible</t>
        </is>
      </c>
      <c r="AB286" s="107" t="inlineStr">
        <is>
          <t>T2: Fuga de información</t>
        </is>
      </c>
      <c r="AC286" s="107" t="inlineStr">
        <is>
          <t>Manual de Operaciones</t>
        </is>
      </c>
    </row>
    <row r="287" ht="20.45" customHeight="1" s="103">
      <c r="A287" s="96"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c r="Y287" s="107" t="inlineStr">
        <is>
          <t>Implementado</t>
        </is>
      </c>
      <c r="Z287" s="107" t="inlineStr">
        <is>
          <t>[PR] Prevención</t>
        </is>
      </c>
      <c r="AA287" s="107" t="inlineStr">
        <is>
          <t>L4: Gestionado</t>
        </is>
      </c>
      <c r="AB287" s="107" t="inlineStr">
        <is>
          <t>T2: Fuga de información</t>
        </is>
      </c>
      <c r="AC287" s="107" t="inlineStr">
        <is>
          <t>Manual de Operaciones</t>
        </is>
      </c>
    </row>
    <row r="288">
      <c r="A288" s="96"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c r="Y288" s="107" t="inlineStr">
        <is>
          <t>Implementado</t>
        </is>
      </c>
      <c r="Z288" s="107" t="inlineStr">
        <is>
          <t>[PR] Prevención</t>
        </is>
      </c>
      <c r="AA288" s="107" t="inlineStr">
        <is>
          <t>L5: Optimizado</t>
        </is>
      </c>
      <c r="AB288" s="107" t="inlineStr">
        <is>
          <t>T2: Fuga de información</t>
        </is>
      </c>
      <c r="AC288" s="107" t="inlineStr">
        <is>
          <t>Manual de Operaciones</t>
        </is>
      </c>
    </row>
    <row r="289">
      <c r="A289" s="96"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c r="Y289" s="107" t="inlineStr">
        <is>
          <t>No Implementado</t>
        </is>
      </c>
      <c r="Z289" s="107" t="inlineStr">
        <is>
          <t>[PR] Prevención</t>
        </is>
      </c>
      <c r="AA289" s="107" t="inlineStr">
        <is>
          <t>L3: Proceso Definido</t>
        </is>
      </c>
      <c r="AB289" s="107" t="inlineStr">
        <is>
          <t>T2: Fuga de información</t>
        </is>
      </c>
      <c r="AC289" s="107" t="inlineStr">
        <is>
          <t>Manual de Operaciones</t>
        </is>
      </c>
    </row>
    <row r="290">
      <c r="A290" s="96"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c r="Y290" s="107" t="inlineStr">
        <is>
          <t>Implementado</t>
        </is>
      </c>
      <c r="Z290" s="107" t="inlineStr">
        <is>
          <t>[PR] Prevención</t>
        </is>
      </c>
      <c r="AA290" s="107" t="inlineStr">
        <is>
          <t>L5: Optimizado</t>
        </is>
      </c>
      <c r="AB290" s="107" t="inlineStr">
        <is>
          <t>T2: Fuga de información</t>
        </is>
      </c>
      <c r="AC290" s="107" t="inlineStr">
        <is>
          <t>Manual de Operaciones</t>
        </is>
      </c>
    </row>
    <row r="291">
      <c r="A291" s="96"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c r="Y291" s="107" t="inlineStr">
        <is>
          <t>Implementado</t>
        </is>
      </c>
      <c r="Z291" s="107" t="inlineStr">
        <is>
          <t>[PR] Prevención</t>
        </is>
      </c>
      <c r="AA291" s="107" t="inlineStr">
        <is>
          <t>L3: Proceso Definido</t>
        </is>
      </c>
      <c r="AB291" s="107" t="inlineStr">
        <is>
          <t>T2: Fuga de información</t>
        </is>
      </c>
      <c r="AC291" s="107" t="inlineStr">
        <is>
          <t>Registro Físico</t>
        </is>
      </c>
    </row>
    <row r="292">
      <c r="A292" s="96"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c r="Y292" s="107" t="inlineStr">
        <is>
          <t>Implementado</t>
        </is>
      </c>
      <c r="Z292" s="107" t="inlineStr">
        <is>
          <t>[DR] Disuasión</t>
        </is>
      </c>
      <c r="AA292" s="107" t="inlineStr">
        <is>
          <t>L2: Reproducible</t>
        </is>
      </c>
      <c r="AB292" s="107" t="inlineStr">
        <is>
          <t>T2: Fuga de información</t>
        </is>
      </c>
      <c r="AC292" s="107" t="inlineStr">
        <is>
          <t>Registro Físico</t>
        </is>
      </c>
    </row>
    <row r="293" ht="20.45" customHeight="1" s="103">
      <c r="A293" s="96"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c r="Y293" s="107" t="inlineStr">
        <is>
          <t>Implementado</t>
        </is>
      </c>
      <c r="Z293" s="107" t="inlineStr">
        <is>
          <t>[PR] Prevención</t>
        </is>
      </c>
      <c r="AA293" s="107" t="inlineStr">
        <is>
          <t>L5: Optimizado</t>
        </is>
      </c>
      <c r="AB293" s="107" t="inlineStr">
        <is>
          <t>T2: Fuga de información</t>
        </is>
      </c>
      <c r="AC293" s="107" t="inlineStr">
        <is>
          <t>Manual de Operaciones</t>
        </is>
      </c>
    </row>
    <row r="294">
      <c r="A294" s="96"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c r="Y294" s="107" t="inlineStr">
        <is>
          <t>Implementado</t>
        </is>
      </c>
      <c r="Z294" s="107" t="inlineStr">
        <is>
          <t>[PR] Prevención</t>
        </is>
      </c>
      <c r="AA294" s="107" t="inlineStr">
        <is>
          <t>L2: Reproducible</t>
        </is>
      </c>
      <c r="AB294" s="107" t="inlineStr">
        <is>
          <t>T2: Fuga de información</t>
        </is>
      </c>
      <c r="AC294" s="107" t="inlineStr">
        <is>
          <t>Manual de Operaciones</t>
        </is>
      </c>
    </row>
    <row r="295">
      <c r="A295" s="96"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c r="Y295" s="107" t="inlineStr">
        <is>
          <t>Implementado</t>
        </is>
      </c>
      <c r="Z295" s="107" t="inlineStr">
        <is>
          <t>[PR] Prevención</t>
        </is>
      </c>
      <c r="AA295" s="107" t="inlineStr">
        <is>
          <t>L4: Gestionado</t>
        </is>
      </c>
      <c r="AB295" s="107" t="inlineStr">
        <is>
          <t>T2: Fuga de información</t>
        </is>
      </c>
      <c r="AC295" s="107" t="inlineStr">
        <is>
          <t>Manual de Operaciones</t>
        </is>
      </c>
    </row>
    <row r="296">
      <c r="A296" s="96"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c r="Y296" s="107" t="inlineStr">
        <is>
          <t>Implementado</t>
        </is>
      </c>
      <c r="Z296" s="107" t="inlineStr">
        <is>
          <t>[IM] Minimización</t>
        </is>
      </c>
      <c r="AA296" s="107" t="inlineStr">
        <is>
          <t>L4: Gestionado</t>
        </is>
      </c>
      <c r="AB296" s="107" t="inlineStr">
        <is>
          <t>T2: Fuga de información</t>
        </is>
      </c>
      <c r="AC296" s="107" t="inlineStr">
        <is>
          <t>Registro Físico</t>
        </is>
      </c>
    </row>
    <row r="297">
      <c r="A297" s="96"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c r="Y297" s="107" t="inlineStr">
        <is>
          <t>Implementado</t>
        </is>
      </c>
      <c r="Z297" s="107" t="inlineStr">
        <is>
          <t>[PR] Prevención</t>
        </is>
      </c>
      <c r="AA297" s="107" t="inlineStr">
        <is>
          <t>L2: Reproducible</t>
        </is>
      </c>
      <c r="AB297" s="107" t="inlineStr">
        <is>
          <t>T2: Fuga de información</t>
        </is>
      </c>
      <c r="AC297" s="107" t="inlineStr">
        <is>
          <t>Registro Físico</t>
        </is>
      </c>
    </row>
    <row r="298">
      <c r="A298" s="96"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c r="Y298" s="107" t="inlineStr">
        <is>
          <t>Implementado</t>
        </is>
      </c>
      <c r="Z298" s="107" t="inlineStr">
        <is>
          <t>[PR] Prevención</t>
        </is>
      </c>
      <c r="AA298" s="107" t="inlineStr">
        <is>
          <t>L2: Reproducible</t>
        </is>
      </c>
      <c r="AB298" s="107" t="inlineStr">
        <is>
          <t>T2: Fuga de información</t>
        </is>
      </c>
      <c r="AC298" s="107" t="inlineStr">
        <is>
          <t>Registro Físico</t>
        </is>
      </c>
    </row>
    <row r="299">
      <c r="A299" s="96"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c r="Y299" s="107" t="inlineStr">
        <is>
          <t>Implementado</t>
        </is>
      </c>
      <c r="Z299" s="107" t="inlineStr">
        <is>
          <t>[PR] Prevención</t>
        </is>
      </c>
      <c r="AA299" s="107" t="inlineStr">
        <is>
          <t>L4: Gestionado</t>
        </is>
      </c>
      <c r="AB299" s="107" t="inlineStr">
        <is>
          <t>T2: Fuga de información</t>
        </is>
      </c>
      <c r="AC299" s="107" t="inlineStr">
        <is>
          <t>Manual de Operaciones</t>
        </is>
      </c>
    </row>
    <row r="300">
      <c r="A300" s="96"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c r="Y300" s="107" t="inlineStr">
        <is>
          <t>Implementado</t>
        </is>
      </c>
      <c r="Z300" s="107" t="inlineStr">
        <is>
          <t>[PR] Prevención</t>
        </is>
      </c>
      <c r="AA300" s="107" t="inlineStr">
        <is>
          <t>L4: Gestionado</t>
        </is>
      </c>
      <c r="AB300" s="107" t="inlineStr">
        <is>
          <t>T2: Fuga de información</t>
        </is>
      </c>
      <c r="AC300" s="107" t="inlineStr">
        <is>
          <t>Manual de Operaciones</t>
        </is>
      </c>
    </row>
    <row r="301">
      <c r="A301" s="96"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c r="Y301" s="107" t="inlineStr">
        <is>
          <t>Implementado</t>
        </is>
      </c>
      <c r="Z301" s="107" t="inlineStr">
        <is>
          <t>[PR] Prevención</t>
        </is>
      </c>
      <c r="AA301" s="107" t="inlineStr">
        <is>
          <t>L3: Proceso Definido</t>
        </is>
      </c>
      <c r="AB301" s="107" t="inlineStr">
        <is>
          <t>T2: Fuga de información</t>
        </is>
      </c>
      <c r="AC301" s="107" t="inlineStr">
        <is>
          <t>Manual de Operaciones</t>
        </is>
      </c>
    </row>
    <row r="302">
      <c r="A302" s="96"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c r="Y302" s="107" t="inlineStr">
        <is>
          <t>Implementado</t>
        </is>
      </c>
      <c r="Z302" s="107" t="inlineStr">
        <is>
          <t>[PR] Prevención</t>
        </is>
      </c>
      <c r="AA302" s="107" t="inlineStr">
        <is>
          <t>L3: Proceso Definido</t>
        </is>
      </c>
      <c r="AB302" s="107" t="inlineStr">
        <is>
          <t>T2: Fuga de información</t>
        </is>
      </c>
      <c r="AC302" s="107" t="inlineStr">
        <is>
          <t>Manual de Operaciones</t>
        </is>
      </c>
    </row>
    <row r="303">
      <c r="A303" s="96"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c r="Y303" s="107" t="inlineStr">
        <is>
          <t>Implementado</t>
        </is>
      </c>
      <c r="Z303" s="107" t="inlineStr">
        <is>
          <t>[PR] Prevención</t>
        </is>
      </c>
      <c r="AA303" s="107" t="inlineStr">
        <is>
          <t>L5: Optimizado</t>
        </is>
      </c>
      <c r="AB303" s="107" t="inlineStr">
        <is>
          <t>T2: Fuga de información</t>
        </is>
      </c>
      <c r="AC303" s="107" t="inlineStr">
        <is>
          <t>Manual de Operaciones</t>
        </is>
      </c>
    </row>
    <row r="304">
      <c r="A304" s="96"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c r="Y304" s="107" t="inlineStr">
        <is>
          <t>No Implementado</t>
        </is>
      </c>
      <c r="Z304" s="107" t="inlineStr">
        <is>
          <t>[PR] Prevención</t>
        </is>
      </c>
      <c r="AA304" s="107" t="inlineStr">
        <is>
          <t>L3: Proceso Definido</t>
        </is>
      </c>
      <c r="AB304" s="107" t="inlineStr">
        <is>
          <t>T2: Fuga de información</t>
        </is>
      </c>
      <c r="AC304" s="107" t="inlineStr">
        <is>
          <t>Manual de Operaciones</t>
        </is>
      </c>
    </row>
    <row r="305">
      <c r="A305" s="96"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c r="Y305" s="107" t="inlineStr">
        <is>
          <t>Implementado</t>
        </is>
      </c>
      <c r="Z305" s="107" t="inlineStr">
        <is>
          <t>[PR] Prevención</t>
        </is>
      </c>
      <c r="AA305" s="107" t="inlineStr">
        <is>
          <t>L3: Proceso Definido</t>
        </is>
      </c>
      <c r="AB305" s="107" t="inlineStr">
        <is>
          <t>T2: Fuga de información</t>
        </is>
      </c>
      <c r="AC305" s="107" t="inlineStr">
        <is>
          <t>Manual de Operaciones</t>
        </is>
      </c>
    </row>
    <row r="306">
      <c r="A306" s="96"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c r="Y306" s="107" t="inlineStr">
        <is>
          <t>En Proceso</t>
        </is>
      </c>
      <c r="Z306" s="107" t="inlineStr">
        <is>
          <t>[PR] Prevención</t>
        </is>
      </c>
      <c r="AA306" s="107" t="inlineStr">
        <is>
          <t>L3: Proceso Definido</t>
        </is>
      </c>
      <c r="AB306" s="107" t="inlineStr">
        <is>
          <t>T2: Fuga de información</t>
        </is>
      </c>
      <c r="AC306" s="107" t="inlineStr">
        <is>
          <t>Manual de Operaciones</t>
        </is>
      </c>
    </row>
    <row r="307">
      <c r="A307" s="96"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c r="Y307" s="107" t="inlineStr">
        <is>
          <t>Implementado</t>
        </is>
      </c>
      <c r="Z307" s="107" t="inlineStr">
        <is>
          <t>[PR] Prevención</t>
        </is>
      </c>
      <c r="AA307" s="107" t="inlineStr">
        <is>
          <t>L3: Proceso Definido</t>
        </is>
      </c>
      <c r="AB307" s="107" t="inlineStr">
        <is>
          <t>T2: Fuga de información</t>
        </is>
      </c>
      <c r="AC307" s="107" t="inlineStr">
        <is>
          <t>Manual de Operaciones</t>
        </is>
      </c>
    </row>
    <row r="308">
      <c r="A308" s="96"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c r="Y308" s="107" t="inlineStr">
        <is>
          <t>Implementado</t>
        </is>
      </c>
      <c r="Z308" s="107" t="inlineStr">
        <is>
          <t>[PR] Prevención</t>
        </is>
      </c>
      <c r="AA308" s="107" t="inlineStr">
        <is>
          <t>L5: Optimizado</t>
        </is>
      </c>
      <c r="AB308" s="107" t="inlineStr">
        <is>
          <t>T2: Fuga de información</t>
        </is>
      </c>
      <c r="AC308" s="107" t="inlineStr">
        <is>
          <t>Manual de Operaciones</t>
        </is>
      </c>
    </row>
    <row r="309">
      <c r="A309" s="96"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c r="Y309" s="107" t="inlineStr">
        <is>
          <t>Planificado</t>
        </is>
      </c>
      <c r="Z309" s="107" t="inlineStr">
        <is>
          <t>[PR] Prevención</t>
        </is>
      </c>
      <c r="AA309" s="107" t="inlineStr">
        <is>
          <t>L2: Reproducible</t>
        </is>
      </c>
      <c r="AB309" s="107" t="inlineStr">
        <is>
          <t>T2: Fuga de información</t>
        </is>
      </c>
      <c r="AC309" s="107" t="inlineStr">
        <is>
          <t>Manual de Operaciones</t>
        </is>
      </c>
    </row>
    <row r="310">
      <c r="A310" s="96"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c r="Y310" s="107" t="inlineStr">
        <is>
          <t>Implementado</t>
        </is>
      </c>
      <c r="Z310" s="107" t="inlineStr">
        <is>
          <t>[PR] Prevención</t>
        </is>
      </c>
      <c r="AA310" s="107" t="inlineStr">
        <is>
          <t>L3: Proceso Definido</t>
        </is>
      </c>
      <c r="AB310" s="107" t="inlineStr">
        <is>
          <t>T2: Fuga de información</t>
        </is>
      </c>
      <c r="AC310" s="107" t="inlineStr">
        <is>
          <t>Manual de Operaciones</t>
        </is>
      </c>
    </row>
    <row r="311">
      <c r="A311" s="96"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c r="Y311" s="107" t="inlineStr">
        <is>
          <t>En Proceso</t>
        </is>
      </c>
      <c r="Z311" s="107" t="inlineStr">
        <is>
          <t>[PR] Prevención</t>
        </is>
      </c>
      <c r="AA311" s="107" t="inlineStr">
        <is>
          <t>L4: Gestionado</t>
        </is>
      </c>
      <c r="AB311" s="107" t="inlineStr">
        <is>
          <t>T2: Fuga de información</t>
        </is>
      </c>
      <c r="AC311" s="107" t="inlineStr">
        <is>
          <t>Manual de Operaciones</t>
        </is>
      </c>
    </row>
    <row r="312">
      <c r="A312" s="96"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c r="Y312" s="107" t="inlineStr">
        <is>
          <t>Implementado</t>
        </is>
      </c>
      <c r="Z312" s="107" t="inlineStr">
        <is>
          <t>[PR] Prevención</t>
        </is>
      </c>
      <c r="AA312" s="107" t="inlineStr">
        <is>
          <t>L3: Proceso Definido</t>
        </is>
      </c>
      <c r="AB312" s="107" t="inlineStr">
        <is>
          <t>T2: Fuga de información</t>
        </is>
      </c>
      <c r="AC312" s="107" t="inlineStr">
        <is>
          <t>Manual de Operaciones</t>
        </is>
      </c>
    </row>
    <row r="313">
      <c r="A313" s="96"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c r="Y313" s="107" t="inlineStr">
        <is>
          <t>Implementado</t>
        </is>
      </c>
      <c r="Z313" s="107" t="inlineStr">
        <is>
          <t>[PR] Prevención</t>
        </is>
      </c>
      <c r="AA313" s="107" t="inlineStr">
        <is>
          <t>L3: Proceso Definido</t>
        </is>
      </c>
      <c r="AB313" s="107" t="inlineStr">
        <is>
          <t>T2: Fuga de información</t>
        </is>
      </c>
      <c r="AC313" s="107" t="inlineStr">
        <is>
          <t>Manual de Operaciones</t>
        </is>
      </c>
    </row>
    <row r="314">
      <c r="A314" s="96"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c r="Y314" s="107" t="inlineStr">
        <is>
          <t>Implementado</t>
        </is>
      </c>
      <c r="Z314" s="107" t="inlineStr">
        <is>
          <t>[PR] Prevención</t>
        </is>
      </c>
      <c r="AA314" s="107" t="inlineStr">
        <is>
          <t>L2: Reproducible</t>
        </is>
      </c>
      <c r="AB314" s="107" t="inlineStr">
        <is>
          <t>T2: Fuga de información</t>
        </is>
      </c>
      <c r="AC314" s="107" t="inlineStr">
        <is>
          <t>Manual de Operaciones</t>
        </is>
      </c>
    </row>
    <row r="315">
      <c r="A315" s="96"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c r="Y315" s="107" t="inlineStr">
        <is>
          <t>No Implementado</t>
        </is>
      </c>
      <c r="Z315" s="107" t="inlineStr">
        <is>
          <t>[PR] Prevención</t>
        </is>
      </c>
      <c r="AA315" s="107" t="inlineStr">
        <is>
          <t>L5: Optimizado</t>
        </is>
      </c>
      <c r="AB315" s="107" t="inlineStr">
        <is>
          <t>T2: Fuga de información</t>
        </is>
      </c>
      <c r="AC315" s="107" t="inlineStr">
        <is>
          <t>Manual de Operaciones</t>
        </is>
      </c>
    </row>
    <row r="316">
      <c r="A316" s="96"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c r="Y316" s="107" t="inlineStr">
        <is>
          <t>Implementado</t>
        </is>
      </c>
      <c r="Z316" s="107" t="inlineStr">
        <is>
          <t>[PR] Prevención</t>
        </is>
      </c>
      <c r="AA316" s="107" t="inlineStr">
        <is>
          <t>L5: Optimizado</t>
        </is>
      </c>
      <c r="AB316" s="107" t="inlineStr">
        <is>
          <t>T2: Fuga de información</t>
        </is>
      </c>
      <c r="AC316" s="107" t="inlineStr">
        <is>
          <t>Manual de Operaciones</t>
        </is>
      </c>
    </row>
    <row r="317">
      <c r="A317" s="96"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c r="Y317" s="107" t="inlineStr">
        <is>
          <t>Implementado</t>
        </is>
      </c>
      <c r="Z317" s="107" t="inlineStr">
        <is>
          <t>[PR] Prevención</t>
        </is>
      </c>
      <c r="AA317" s="107" t="inlineStr">
        <is>
          <t>L5: Optimizado</t>
        </is>
      </c>
      <c r="AB317" s="107" t="inlineStr">
        <is>
          <t>T2: Fuga de información</t>
        </is>
      </c>
      <c r="AC317" s="107" t="inlineStr">
        <is>
          <t>Manual de Operaciones</t>
        </is>
      </c>
    </row>
    <row r="318">
      <c r="A318" s="96"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c r="Y318" s="107" t="inlineStr">
        <is>
          <t>Implementado</t>
        </is>
      </c>
      <c r="Z318" s="107" t="inlineStr">
        <is>
          <t>[PR] Prevención</t>
        </is>
      </c>
      <c r="AA318" s="107" t="inlineStr">
        <is>
          <t>L3: Proceso Definido</t>
        </is>
      </c>
      <c r="AB318" s="107" t="inlineStr">
        <is>
          <t>T2: Fuga de información</t>
        </is>
      </c>
      <c r="AC318" s="107" t="inlineStr">
        <is>
          <t>Manual de Operaciones</t>
        </is>
      </c>
    </row>
    <row r="319">
      <c r="A319" s="96"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c r="Y319" s="107" t="inlineStr">
        <is>
          <t>Implementado</t>
        </is>
      </c>
      <c r="Z319" s="107" t="inlineStr">
        <is>
          <t>[EL] Eliminación</t>
        </is>
      </c>
      <c r="AA319" s="107" t="inlineStr">
        <is>
          <t>L5: Optimizado</t>
        </is>
      </c>
      <c r="AB319" s="107" t="inlineStr">
        <is>
          <t>T2: Fuga de información</t>
        </is>
      </c>
      <c r="AC319" s="107" t="inlineStr">
        <is>
          <t>Registro Físico</t>
        </is>
      </c>
    </row>
    <row r="320">
      <c r="A320" s="96"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c r="Y320" s="107" t="inlineStr">
        <is>
          <t>Implementado</t>
        </is>
      </c>
      <c r="Z320" s="107" t="inlineStr">
        <is>
          <t>[MN] Monitorización</t>
        </is>
      </c>
      <c r="AA320" s="107" t="inlineStr">
        <is>
          <t>L4: Gestionado</t>
        </is>
      </c>
      <c r="AB320" s="107" t="inlineStr">
        <is>
          <t>T2: Fuga de información</t>
        </is>
      </c>
      <c r="AC320" s="107" t="inlineStr">
        <is>
          <t>Registro Físico</t>
        </is>
      </c>
    </row>
    <row r="321">
      <c r="A321" s="96"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c r="Y321" s="107" t="inlineStr">
        <is>
          <t>No Implementado</t>
        </is>
      </c>
      <c r="Z321" s="107" t="inlineStr">
        <is>
          <t>[RC] Recuperación</t>
        </is>
      </c>
      <c r="AA321" s="107" t="inlineStr">
        <is>
          <t>L3: Proceso Definido</t>
        </is>
      </c>
      <c r="AB321" s="107" t="inlineStr">
        <is>
          <t>T2: Fuga de información</t>
        </is>
      </c>
      <c r="AC321" s="107" t="inlineStr">
        <is>
          <t>Registro Físico</t>
        </is>
      </c>
    </row>
    <row r="322">
      <c r="A322" s="96"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c r="Y322" s="107" t="inlineStr">
        <is>
          <t>Implementado</t>
        </is>
      </c>
      <c r="Z322" s="107" t="inlineStr">
        <is>
          <t>[PR] Prevención</t>
        </is>
      </c>
      <c r="AA322" s="107" t="inlineStr">
        <is>
          <t>L2: Reproducible</t>
        </is>
      </c>
      <c r="AB322" s="107" t="inlineStr">
        <is>
          <t>T2: Fuga de información</t>
        </is>
      </c>
      <c r="AC322" s="107" t="inlineStr">
        <is>
          <t>Manual de Operaciones</t>
        </is>
      </c>
    </row>
    <row r="323">
      <c r="A323" s="96"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c r="Y323" s="107" t="inlineStr">
        <is>
          <t>No Implementado</t>
        </is>
      </c>
      <c r="Z323" s="107" t="inlineStr">
        <is>
          <t>[PR] Prevención</t>
        </is>
      </c>
      <c r="AA323" s="107" t="inlineStr">
        <is>
          <t>L3: Proceso Definido</t>
        </is>
      </c>
      <c r="AB323" s="107" t="inlineStr">
        <is>
          <t>T2: Fuga de información</t>
        </is>
      </c>
      <c r="AC323" s="107" t="inlineStr">
        <is>
          <t>Registro Físico</t>
        </is>
      </c>
    </row>
    <row r="324">
      <c r="A324" s="96"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c r="Y324" s="107" t="inlineStr">
        <is>
          <t>Implementado</t>
        </is>
      </c>
      <c r="Z324" s="107" t="inlineStr">
        <is>
          <t>[EL] Eliminación</t>
        </is>
      </c>
      <c r="AA324" s="107" t="inlineStr">
        <is>
          <t>L4: Gestionado</t>
        </is>
      </c>
      <c r="AB324" s="107" t="inlineStr">
        <is>
          <t>T2: Fuga de información</t>
        </is>
      </c>
      <c r="AC324" s="107" t="inlineStr">
        <is>
          <t>Registro Físico</t>
        </is>
      </c>
    </row>
    <row r="325">
      <c r="A325" s="96"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c r="Y325" s="107" t="inlineStr">
        <is>
          <t>No Implementado</t>
        </is>
      </c>
      <c r="Z325" s="107" t="inlineStr">
        <is>
          <t>[IM] Minimización</t>
        </is>
      </c>
      <c r="AA325" s="107" t="inlineStr">
        <is>
          <t>L2: Reproducible</t>
        </is>
      </c>
      <c r="AB325" s="107" t="inlineStr">
        <is>
          <t>T2: Fuga de información</t>
        </is>
      </c>
      <c r="AC325" s="107" t="inlineStr">
        <is>
          <t>Registro Físico</t>
        </is>
      </c>
    </row>
    <row r="326">
      <c r="A326" s="96"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c r="Y326" s="107" t="inlineStr">
        <is>
          <t>Planificado</t>
        </is>
      </c>
      <c r="Z326" s="107" t="inlineStr">
        <is>
          <t>[IM] Minimización</t>
        </is>
      </c>
      <c r="AA326" s="107" t="inlineStr">
        <is>
          <t>L2: Reproducible</t>
        </is>
      </c>
      <c r="AB326" s="107" t="inlineStr">
        <is>
          <t>T2: Fuga de información</t>
        </is>
      </c>
      <c r="AC326" s="107" t="inlineStr">
        <is>
          <t>Registro Físico</t>
        </is>
      </c>
    </row>
    <row r="327">
      <c r="A327" s="96"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c r="Y327" s="107" t="inlineStr">
        <is>
          <t>Implementado</t>
        </is>
      </c>
      <c r="Z327" s="107" t="inlineStr">
        <is>
          <t>[DC] Detección</t>
        </is>
      </c>
      <c r="AA327" s="107" t="inlineStr">
        <is>
          <t>L3: Proceso Definido</t>
        </is>
      </c>
      <c r="AB327" s="107" t="inlineStr">
        <is>
          <t>T2: Fuga de información</t>
        </is>
      </c>
      <c r="AC327" s="107" t="inlineStr">
        <is>
          <t>Registro Físico</t>
        </is>
      </c>
    </row>
    <row r="328" ht="20.45" customHeight="1" s="103">
      <c r="A328" s="96"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c r="Y328" s="107" t="inlineStr">
        <is>
          <t>No Implementado</t>
        </is>
      </c>
      <c r="Z328" s="107" t="inlineStr">
        <is>
          <t>[DR] Disuasión</t>
        </is>
      </c>
      <c r="AA328" s="107" t="inlineStr">
        <is>
          <t>L5: Optimizado</t>
        </is>
      </c>
      <c r="AB328" s="107" t="inlineStr">
        <is>
          <t>T2: Fuga de información</t>
        </is>
      </c>
      <c r="AC328" s="107" t="inlineStr">
        <is>
          <t>Registro Físico</t>
        </is>
      </c>
    </row>
    <row r="329">
      <c r="A329" s="96"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c r="Y329" s="107" t="inlineStr">
        <is>
          <t>Planificado</t>
        </is>
      </c>
      <c r="Z329" s="107" t="inlineStr">
        <is>
          <t>[MN] Monitorización</t>
        </is>
      </c>
      <c r="AA329" s="107" t="inlineStr">
        <is>
          <t>L3: Proceso Definido</t>
        </is>
      </c>
      <c r="AB329" s="107" t="inlineStr">
        <is>
          <t>T2: Fuga de información</t>
        </is>
      </c>
      <c r="AC329" s="107" t="inlineStr">
        <is>
          <t>Registro Físico</t>
        </is>
      </c>
    </row>
    <row r="330" ht="20.45" customHeight="1" s="103">
      <c r="A330" s="96"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c r="Y330" s="107" t="inlineStr">
        <is>
          <t>Implementado</t>
        </is>
      </c>
      <c r="Z330" s="107" t="inlineStr">
        <is>
          <t>[CR] Corrección</t>
        </is>
      </c>
      <c r="AA330" s="107" t="inlineStr">
        <is>
          <t>L3: Proceso Definido</t>
        </is>
      </c>
      <c r="AB330" s="107" t="inlineStr">
        <is>
          <t>T2: Fuga de información</t>
        </is>
      </c>
      <c r="AC330" s="107" t="inlineStr">
        <is>
          <t>Registro Físico</t>
        </is>
      </c>
    </row>
    <row r="331">
      <c r="A331" s="96"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c r="Y331" s="107" t="inlineStr">
        <is>
          <t>Implementado</t>
        </is>
      </c>
      <c r="Z331" s="107" t="inlineStr">
        <is>
          <t>[PR] Prevención</t>
        </is>
      </c>
      <c r="AA331" s="107" t="inlineStr">
        <is>
          <t>L4: Gestionado</t>
        </is>
      </c>
      <c r="AB331" s="107" t="inlineStr">
        <is>
          <t>T2: Fuga de información</t>
        </is>
      </c>
      <c r="AC331" s="107" t="inlineStr">
        <is>
          <t>Manual de Operaciones</t>
        </is>
      </c>
    </row>
    <row r="332">
      <c r="A332" s="96"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c r="Y332" s="107" t="inlineStr">
        <is>
          <t>Implementado</t>
        </is>
      </c>
      <c r="Z332" s="107" t="inlineStr">
        <is>
          <t>[IM] Minimización</t>
        </is>
      </c>
      <c r="AA332" s="107" t="inlineStr">
        <is>
          <t>L4: Gestionado</t>
        </is>
      </c>
      <c r="AB332" s="107" t="inlineStr">
        <is>
          <t>T2: Fuga de información</t>
        </is>
      </c>
      <c r="AC332" s="107" t="inlineStr">
        <is>
          <t>Registro Físico</t>
        </is>
      </c>
    </row>
    <row r="333">
      <c r="A333" s="96"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c r="Y333" s="107" t="inlineStr">
        <is>
          <t>Implementado</t>
        </is>
      </c>
      <c r="Z333" s="107" t="inlineStr">
        <is>
          <t>[IM] Minimización</t>
        </is>
      </c>
      <c r="AA333" s="107" t="inlineStr">
        <is>
          <t>L2: Reproducible</t>
        </is>
      </c>
      <c r="AB333" s="107" t="inlineStr">
        <is>
          <t>T2: Fuga de información</t>
        </is>
      </c>
      <c r="AC333" s="107" t="inlineStr">
        <is>
          <t>Registro Físico</t>
        </is>
      </c>
    </row>
    <row r="334">
      <c r="A334" s="96"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c r="Y334" s="107" t="inlineStr">
        <is>
          <t>Implementado</t>
        </is>
      </c>
      <c r="Z334" s="107" t="inlineStr">
        <is>
          <t>[CR] Corrección</t>
        </is>
      </c>
      <c r="AA334" s="107" t="inlineStr">
        <is>
          <t>L5: Optimizado</t>
        </is>
      </c>
      <c r="AB334" s="107" t="inlineStr">
        <is>
          <t>T2: Fuga de información</t>
        </is>
      </c>
      <c r="AC334" s="107" t="inlineStr">
        <is>
          <t>Registro Físico</t>
        </is>
      </c>
    </row>
    <row r="335" ht="20.45" customHeight="1" s="103">
      <c r="A335" s="96"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c r="Y335" s="107" t="inlineStr">
        <is>
          <t>Implementado</t>
        </is>
      </c>
      <c r="Z335" s="107" t="inlineStr">
        <is>
          <t>[DC] Detección</t>
        </is>
      </c>
      <c r="AA335" s="107" t="inlineStr">
        <is>
          <t>L4: Gestionado</t>
        </is>
      </c>
      <c r="AB335" s="107" t="inlineStr">
        <is>
          <t>T2: Fuga de información</t>
        </is>
      </c>
      <c r="AC335" s="107" t="inlineStr">
        <is>
          <t>Registro Físico</t>
        </is>
      </c>
    </row>
    <row r="336">
      <c r="A336" s="96"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c r="Y336" s="107" t="inlineStr">
        <is>
          <t>Implementado</t>
        </is>
      </c>
      <c r="Z336" s="107" t="inlineStr">
        <is>
          <t>[MN] Monitorización</t>
        </is>
      </c>
      <c r="AA336" s="107" t="inlineStr">
        <is>
          <t>L4: Gestionado</t>
        </is>
      </c>
      <c r="AB336" s="107" t="inlineStr">
        <is>
          <t>T2: Fuga de información</t>
        </is>
      </c>
      <c r="AC336" s="107" t="inlineStr">
        <is>
          <t>Registro Físico</t>
        </is>
      </c>
    </row>
    <row r="337">
      <c r="A337" s="96"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c r="Y337" s="107" t="inlineStr">
        <is>
          <t>No Implementado</t>
        </is>
      </c>
      <c r="Z337" s="107" t="inlineStr">
        <is>
          <t>[RC] Recuperación</t>
        </is>
      </c>
      <c r="AA337" s="107" t="inlineStr">
        <is>
          <t>L2: Reproducible</t>
        </is>
      </c>
      <c r="AB337" s="107" t="inlineStr">
        <is>
          <t>T2: Fuga de información</t>
        </is>
      </c>
      <c r="AC337" s="107" t="inlineStr">
        <is>
          <t>Registro Físico</t>
        </is>
      </c>
    </row>
    <row r="338" ht="20.45" customHeight="1" s="103">
      <c r="A338" s="96"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c r="Y338" s="107" t="inlineStr">
        <is>
          <t>Implementado</t>
        </is>
      </c>
      <c r="Z338" s="107" t="inlineStr">
        <is>
          <t>[CR] Corrección</t>
        </is>
      </c>
      <c r="AA338" s="107" t="inlineStr">
        <is>
          <t>L5: Optimizado</t>
        </is>
      </c>
      <c r="AB338" s="107" t="inlineStr">
        <is>
          <t>T2: Fuga de información</t>
        </is>
      </c>
      <c r="AC338" s="107" t="inlineStr">
        <is>
          <t>Registro Físico</t>
        </is>
      </c>
    </row>
    <row r="339">
      <c r="A339" s="96"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c r="Y339" s="107" t="inlineStr">
        <is>
          <t>Implementado</t>
        </is>
      </c>
      <c r="Z339" s="107" t="inlineStr">
        <is>
          <t>[CR] Corrección</t>
        </is>
      </c>
      <c r="AA339" s="107" t="inlineStr">
        <is>
          <t>L4: Gestionado</t>
        </is>
      </c>
      <c r="AB339" s="107" t="inlineStr">
        <is>
          <t>T2: Fuga de información</t>
        </is>
      </c>
      <c r="AC339" s="107" t="inlineStr">
        <is>
          <t>Registro Físico</t>
        </is>
      </c>
    </row>
    <row r="340">
      <c r="A340" s="96"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c r="Y340" s="107" t="inlineStr">
        <is>
          <t>No Implementado</t>
        </is>
      </c>
      <c r="Z340" s="107" t="inlineStr">
        <is>
          <t>[RC] Recuperación</t>
        </is>
      </c>
      <c r="AA340" s="107" t="inlineStr">
        <is>
          <t>L4: Gestionado</t>
        </is>
      </c>
      <c r="AB340" s="107" t="inlineStr">
        <is>
          <t>T2: Fuga de información</t>
        </is>
      </c>
      <c r="AC340" s="107" t="inlineStr">
        <is>
          <t>Registro Físico</t>
        </is>
      </c>
    </row>
    <row r="341" ht="20.45" customHeight="1" s="103">
      <c r="A341" s="96"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c r="Y341" s="107" t="inlineStr">
        <is>
          <t>Planificado</t>
        </is>
      </c>
      <c r="Z341" s="107" t="inlineStr">
        <is>
          <t>[MN] Monitorización</t>
        </is>
      </c>
      <c r="AA341" s="107" t="inlineStr">
        <is>
          <t>L3: Proceso Definido</t>
        </is>
      </c>
      <c r="AB341" s="107" t="inlineStr">
        <is>
          <t>T2: Fuga de información</t>
        </is>
      </c>
      <c r="AC341" s="107" t="inlineStr">
        <is>
          <t>Registro Físico</t>
        </is>
      </c>
    </row>
    <row r="342" ht="20.45" customHeight="1" s="103">
      <c r="A342" s="96"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c r="Y342" s="107" t="inlineStr">
        <is>
          <t>Implementado</t>
        </is>
      </c>
      <c r="Z342" s="107" t="inlineStr">
        <is>
          <t>[PR] Prevención</t>
        </is>
      </c>
      <c r="AA342" s="107" t="inlineStr">
        <is>
          <t>L5: Optimizado</t>
        </is>
      </c>
      <c r="AB342" s="107" t="inlineStr">
        <is>
          <t>T2: Fuga de información</t>
        </is>
      </c>
      <c r="AC342" s="107" t="inlineStr">
        <is>
          <t>Registro Físico</t>
        </is>
      </c>
    </row>
    <row r="343">
      <c r="A343" s="96"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c r="Y343" s="107" t="inlineStr">
        <is>
          <t>No Implementado</t>
        </is>
      </c>
      <c r="Z343" s="107" t="inlineStr">
        <is>
          <t>[MN] Monitorización</t>
        </is>
      </c>
      <c r="AA343" s="107" t="inlineStr">
        <is>
          <t>L3: Proceso Definido</t>
        </is>
      </c>
      <c r="AB343" s="107" t="inlineStr">
        <is>
          <t>T2: Fuga de información</t>
        </is>
      </c>
      <c r="AC343" s="107" t="inlineStr">
        <is>
          <t>Registro Físico</t>
        </is>
      </c>
    </row>
    <row r="344" ht="20.45" customHeight="1" s="103">
      <c r="A344" s="96"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c r="Y344" s="107" t="inlineStr">
        <is>
          <t>Implementado</t>
        </is>
      </c>
      <c r="Z344" s="107" t="inlineStr">
        <is>
          <t>[DR] Disuasión</t>
        </is>
      </c>
      <c r="AA344" s="107" t="inlineStr">
        <is>
          <t>L5: Optimizado</t>
        </is>
      </c>
      <c r="AB344" s="107" t="inlineStr">
        <is>
          <t>T2: Fuga de información</t>
        </is>
      </c>
      <c r="AC344" s="107" t="inlineStr">
        <is>
          <t>Registro Físico</t>
        </is>
      </c>
    </row>
    <row r="345">
      <c r="A345" s="96"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c r="Y345" s="107" t="inlineStr">
        <is>
          <t>Implementado</t>
        </is>
      </c>
      <c r="Z345" s="107" t="inlineStr">
        <is>
          <t>[MN] Monitorización</t>
        </is>
      </c>
      <c r="AA345" s="107" t="inlineStr">
        <is>
          <t>L4: Gestionado</t>
        </is>
      </c>
      <c r="AB345" s="107" t="inlineStr">
        <is>
          <t>T2: Fuga de información</t>
        </is>
      </c>
      <c r="AC345" s="107" t="inlineStr">
        <is>
          <t>Registro Físico</t>
        </is>
      </c>
    </row>
    <row r="346">
      <c r="A346" s="96"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c r="Y346" s="107" t="inlineStr">
        <is>
          <t>No Implementado</t>
        </is>
      </c>
      <c r="Z346" s="107" t="inlineStr">
        <is>
          <t>[CR] Corrección</t>
        </is>
      </c>
      <c r="AA346" s="107" t="inlineStr">
        <is>
          <t>L3: Proceso Definido</t>
        </is>
      </c>
      <c r="AB346" s="107" t="inlineStr">
        <is>
          <t>T2: Fuga de información</t>
        </is>
      </c>
      <c r="AC346" s="107" t="inlineStr">
        <is>
          <t>Registro Físico</t>
        </is>
      </c>
    </row>
    <row r="347">
      <c r="A347" s="96"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c r="Y347" s="107" t="inlineStr">
        <is>
          <t>Implementado</t>
        </is>
      </c>
      <c r="Z347" s="107" t="inlineStr">
        <is>
          <t>[PR] Prevención</t>
        </is>
      </c>
      <c r="AA347" s="107" t="inlineStr">
        <is>
          <t>L3: Proceso Definido</t>
        </is>
      </c>
      <c r="AB347" s="107" t="inlineStr">
        <is>
          <t>T2: Fuga de información</t>
        </is>
      </c>
      <c r="AC347" s="107" t="inlineStr">
        <is>
          <t>Manual de Operaciones</t>
        </is>
      </c>
    </row>
    <row r="348">
      <c r="A348" s="96"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c r="Y348" s="107" t="inlineStr">
        <is>
          <t>Implementado</t>
        </is>
      </c>
      <c r="Z348" s="107" t="inlineStr">
        <is>
          <t>[PR] Prevención</t>
        </is>
      </c>
      <c r="AA348" s="107" t="inlineStr">
        <is>
          <t>L4: Gestionado</t>
        </is>
      </c>
      <c r="AB348" s="107" t="inlineStr">
        <is>
          <t>T2: Fuga de información</t>
        </is>
      </c>
      <c r="AC348" s="107" t="inlineStr">
        <is>
          <t>Manual de Operaciones</t>
        </is>
      </c>
    </row>
    <row r="349">
      <c r="A349" s="96"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c r="Y349" s="107" t="inlineStr">
        <is>
          <t>Implementado</t>
        </is>
      </c>
      <c r="Z349" s="107" t="inlineStr">
        <is>
          <t>[PR] Prevención</t>
        </is>
      </c>
      <c r="AA349" s="107" t="inlineStr">
        <is>
          <t>L3: Proceso Definido</t>
        </is>
      </c>
      <c r="AB349" s="107" t="inlineStr">
        <is>
          <t>T2: Fuga de información</t>
        </is>
      </c>
      <c r="AC349" s="107" t="inlineStr">
        <is>
          <t>Manual de Operaciones</t>
        </is>
      </c>
    </row>
    <row r="350">
      <c r="A350" s="96"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c r="Y350" s="107" t="inlineStr">
        <is>
          <t>Implementado</t>
        </is>
      </c>
      <c r="Z350" s="107" t="inlineStr">
        <is>
          <t>[PR] Prevención</t>
        </is>
      </c>
      <c r="AA350" s="107" t="inlineStr">
        <is>
          <t>L2: Reproducible</t>
        </is>
      </c>
      <c r="AB350" s="107" t="inlineStr">
        <is>
          <t>T2: Fuga de información</t>
        </is>
      </c>
      <c r="AC350" s="107" t="inlineStr">
        <is>
          <t>Manual de Operaciones</t>
        </is>
      </c>
    </row>
    <row r="351">
      <c r="A351" s="96"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c r="Y351" s="107" t="inlineStr">
        <is>
          <t>Implementado</t>
        </is>
      </c>
      <c r="Z351" s="107" t="inlineStr">
        <is>
          <t>[PR] Prevención</t>
        </is>
      </c>
      <c r="AA351" s="107" t="inlineStr">
        <is>
          <t>L4: Gestionado</t>
        </is>
      </c>
      <c r="AB351" s="107" t="inlineStr">
        <is>
          <t>T2: Fuga de información</t>
        </is>
      </c>
      <c r="AC351" s="107" t="inlineStr">
        <is>
          <t>Manual de Operaciones</t>
        </is>
      </c>
    </row>
    <row r="352">
      <c r="A352" s="96"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c r="Y352" s="107" t="inlineStr">
        <is>
          <t>No Implementado</t>
        </is>
      </c>
      <c r="Z352" s="107" t="inlineStr">
        <is>
          <t>[EL] Eliminación</t>
        </is>
      </c>
      <c r="AA352" s="107" t="inlineStr">
        <is>
          <t>L5: Optimizado</t>
        </is>
      </c>
      <c r="AB352" s="107" t="inlineStr">
        <is>
          <t>T2: Fuga de información</t>
        </is>
      </c>
      <c r="AC352" s="107" t="inlineStr">
        <is>
          <t>Registro Físico</t>
        </is>
      </c>
    </row>
    <row r="353">
      <c r="A353" s="96"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c r="Y353" s="107" t="inlineStr">
        <is>
          <t>No Implementado</t>
        </is>
      </c>
      <c r="Z353" s="107" t="inlineStr">
        <is>
          <t>[MN] Monitorización</t>
        </is>
      </c>
      <c r="AA353" s="107" t="inlineStr">
        <is>
          <t>L5: Optimizado</t>
        </is>
      </c>
      <c r="AB353" s="107" t="inlineStr">
        <is>
          <t>T2: Fuga de información</t>
        </is>
      </c>
      <c r="AC353" s="107" t="inlineStr">
        <is>
          <t>Registro Físico</t>
        </is>
      </c>
    </row>
    <row r="354">
      <c r="A354" s="96"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c r="Y354" s="107" t="inlineStr">
        <is>
          <t>Implementado</t>
        </is>
      </c>
      <c r="Z354" s="107" t="inlineStr">
        <is>
          <t>[PR] Prevención</t>
        </is>
      </c>
      <c r="AA354" s="107" t="inlineStr">
        <is>
          <t>L2: Reproducible</t>
        </is>
      </c>
      <c r="AB354" s="107" t="inlineStr">
        <is>
          <t>T2: Fuga de información</t>
        </is>
      </c>
      <c r="AC354" s="107" t="inlineStr">
        <is>
          <t>Manual de Operaciones</t>
        </is>
      </c>
    </row>
    <row r="355">
      <c r="A355" s="96"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c r="Y355" s="107" t="inlineStr">
        <is>
          <t>Planificado</t>
        </is>
      </c>
      <c r="Z355" s="107" t="inlineStr">
        <is>
          <t>[PR] Prevención</t>
        </is>
      </c>
      <c r="AA355" s="107" t="inlineStr">
        <is>
          <t>L3: Proceso Definido</t>
        </is>
      </c>
      <c r="AB355" s="107" t="inlineStr">
        <is>
          <t>T2: Fuga de información</t>
        </is>
      </c>
      <c r="AC355" s="107" t="inlineStr">
        <is>
          <t>Manual de Operaciones</t>
        </is>
      </c>
    </row>
    <row r="356">
      <c r="A356" s="96"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c r="Y356" s="107" t="inlineStr">
        <is>
          <t>Implementado</t>
        </is>
      </c>
      <c r="Z356" s="107" t="inlineStr">
        <is>
          <t>[PR] Prevención</t>
        </is>
      </c>
      <c r="AA356" s="107" t="inlineStr">
        <is>
          <t>L2: Reproducible</t>
        </is>
      </c>
      <c r="AB356" s="107" t="inlineStr">
        <is>
          <t>T2: Fuga de información</t>
        </is>
      </c>
      <c r="AC356" s="107" t="inlineStr">
        <is>
          <t>Manual de Operaciones</t>
        </is>
      </c>
    </row>
    <row r="357">
      <c r="A357" s="96"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c r="Y357" s="107" t="inlineStr">
        <is>
          <t>Implementado</t>
        </is>
      </c>
      <c r="Z357" s="107" t="inlineStr">
        <is>
          <t>[DC] Detección</t>
        </is>
      </c>
      <c r="AA357" s="107" t="inlineStr">
        <is>
          <t>L5: Optimizado</t>
        </is>
      </c>
      <c r="AB357" s="107" t="inlineStr">
        <is>
          <t>T2: Fuga de información</t>
        </is>
      </c>
      <c r="AC357" s="107" t="inlineStr">
        <is>
          <t>Registro Físico</t>
        </is>
      </c>
    </row>
    <row r="358">
      <c r="A358" s="96"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c r="Y358" s="107" t="inlineStr">
        <is>
          <t>En Proceso</t>
        </is>
      </c>
      <c r="Z358" s="107" t="inlineStr">
        <is>
          <t>[PR] Prevención</t>
        </is>
      </c>
      <c r="AA358" s="107" t="inlineStr">
        <is>
          <t>L4: Gestionado</t>
        </is>
      </c>
      <c r="AB358" s="107" t="inlineStr">
        <is>
          <t>T2: Fuga de información</t>
        </is>
      </c>
      <c r="AC358" s="107" t="inlineStr">
        <is>
          <t>Manual de Operaciones</t>
        </is>
      </c>
    </row>
    <row r="359">
      <c r="A359" s="96"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c r="Y359" s="107" t="inlineStr">
        <is>
          <t>En Proceso</t>
        </is>
      </c>
      <c r="Z359" s="107" t="inlineStr">
        <is>
          <t>[PR] Prevención</t>
        </is>
      </c>
      <c r="AA359" s="107" t="inlineStr">
        <is>
          <t>L2: Reproducible</t>
        </is>
      </c>
      <c r="AB359" s="107" t="inlineStr">
        <is>
          <t>T2: Fuga de información</t>
        </is>
      </c>
      <c r="AC359" s="107" t="inlineStr">
        <is>
          <t>Manual de Operaciones</t>
        </is>
      </c>
    </row>
    <row r="360">
      <c r="A360" s="96"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c r="Y360" s="107" t="inlineStr">
        <is>
          <t>Implementado</t>
        </is>
      </c>
      <c r="Z360" s="107" t="inlineStr">
        <is>
          <t>[PR] Prevención</t>
        </is>
      </c>
      <c r="AA360" s="107" t="inlineStr">
        <is>
          <t>L5: Optimizado</t>
        </is>
      </c>
      <c r="AB360" s="107" t="inlineStr">
        <is>
          <t>T2: Fuga de información</t>
        </is>
      </c>
      <c r="AC360" s="107" t="inlineStr">
        <is>
          <t>Manual de Operaciones</t>
        </is>
      </c>
    </row>
    <row r="361">
      <c r="A361" s="96"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c r="Y361" s="107" t="inlineStr">
        <is>
          <t>Implementado</t>
        </is>
      </c>
      <c r="Z361" s="107" t="inlineStr">
        <is>
          <t>[PR] Prevención</t>
        </is>
      </c>
      <c r="AA361" s="107" t="inlineStr">
        <is>
          <t>L5: Optimizado</t>
        </is>
      </c>
      <c r="AB361" s="107" t="inlineStr">
        <is>
          <t>T2: Fuga de información</t>
        </is>
      </c>
      <c r="AC361" s="107" t="inlineStr">
        <is>
          <t>Manual de Operaciones</t>
        </is>
      </c>
    </row>
    <row r="362">
      <c r="A362" s="96"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c r="Y362" s="107" t="inlineStr">
        <is>
          <t>Implementado</t>
        </is>
      </c>
      <c r="Z362" s="107" t="inlineStr">
        <is>
          <t>[PR] Prevención</t>
        </is>
      </c>
      <c r="AA362" s="107" t="inlineStr">
        <is>
          <t>L4: Gestionado</t>
        </is>
      </c>
      <c r="AB362" s="107" t="inlineStr">
        <is>
          <t>T2: Fuga de información</t>
        </is>
      </c>
      <c r="AC362" s="107" t="inlineStr">
        <is>
          <t>Manual de Operaciones</t>
        </is>
      </c>
    </row>
    <row r="363">
      <c r="A363" s="96"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c r="Y363" s="107" t="inlineStr">
        <is>
          <t>Implementado</t>
        </is>
      </c>
      <c r="Z363" s="107" t="inlineStr">
        <is>
          <t>[PR] Prevención</t>
        </is>
      </c>
      <c r="AA363" s="107" t="inlineStr">
        <is>
          <t>L3: Proceso Definido</t>
        </is>
      </c>
      <c r="AB363" s="107" t="inlineStr">
        <is>
          <t>T2: Fuga de información</t>
        </is>
      </c>
      <c r="AC363" s="107" t="inlineStr">
        <is>
          <t>Manual de Operaciones</t>
        </is>
      </c>
    </row>
    <row r="364">
      <c r="A364" s="96"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c r="Y364" s="107" t="inlineStr">
        <is>
          <t>En Proceso</t>
        </is>
      </c>
      <c r="Z364" s="107" t="inlineStr">
        <is>
          <t>[PR] Prevención</t>
        </is>
      </c>
      <c r="AA364" s="107" t="inlineStr">
        <is>
          <t>L3: Proceso Definido</t>
        </is>
      </c>
      <c r="AB364" s="107" t="inlineStr">
        <is>
          <t>T2: Fuga de información</t>
        </is>
      </c>
      <c r="AC364" s="107" t="inlineStr">
        <is>
          <t>Manual de Operaciones</t>
        </is>
      </c>
    </row>
    <row r="365">
      <c r="A365" s="96"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c r="Y365" s="107" t="inlineStr">
        <is>
          <t>Implementado</t>
        </is>
      </c>
      <c r="Z365" s="107" t="inlineStr">
        <is>
          <t>[PR] Prevención</t>
        </is>
      </c>
      <c r="AA365" s="107" t="inlineStr">
        <is>
          <t>L4: Gestionado</t>
        </is>
      </c>
      <c r="AB365" s="107" t="inlineStr">
        <is>
          <t>T2: Fuga de información</t>
        </is>
      </c>
      <c r="AC365" s="107" t="inlineStr">
        <is>
          <t>Manual de Operaciones</t>
        </is>
      </c>
    </row>
    <row r="366">
      <c r="A366" s="96"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c r="Y366" s="107" t="inlineStr">
        <is>
          <t>Implementado</t>
        </is>
      </c>
      <c r="Z366" s="107" t="inlineStr">
        <is>
          <t>[PR] Prevención</t>
        </is>
      </c>
      <c r="AA366" s="107" t="inlineStr">
        <is>
          <t>L5: Optimizado</t>
        </is>
      </c>
      <c r="AB366" s="107" t="inlineStr">
        <is>
          <t>T2: Fuga de información</t>
        </is>
      </c>
      <c r="AC366" s="107" t="inlineStr">
        <is>
          <t>Manual de Operaciones</t>
        </is>
      </c>
    </row>
    <row r="367">
      <c r="A367" s="96"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c r="Y367" s="107" t="inlineStr">
        <is>
          <t>Implementado</t>
        </is>
      </c>
      <c r="Z367" s="107" t="inlineStr">
        <is>
          <t>[PR] Prevención</t>
        </is>
      </c>
      <c r="AA367" s="107" t="inlineStr">
        <is>
          <t>L4: Gestionado</t>
        </is>
      </c>
      <c r="AB367" s="107" t="inlineStr">
        <is>
          <t>T2: Fuga de información</t>
        </is>
      </c>
      <c r="AC367" s="107" t="inlineStr">
        <is>
          <t>Manual de Operaciones</t>
        </is>
      </c>
    </row>
    <row r="368">
      <c r="A368" s="96"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c r="Y368" s="107" t="inlineStr">
        <is>
          <t>No Implementado</t>
        </is>
      </c>
      <c r="Z368" s="107" t="inlineStr">
        <is>
          <t>[PR] Prevención</t>
        </is>
      </c>
      <c r="AA368" s="107" t="inlineStr">
        <is>
          <t>L5: Optimizado</t>
        </is>
      </c>
      <c r="AB368" s="107" t="inlineStr">
        <is>
          <t>T2: Fuga de información</t>
        </is>
      </c>
      <c r="AC368" s="107" t="inlineStr">
        <is>
          <t>Manual de Operaciones</t>
        </is>
      </c>
    </row>
    <row r="369">
      <c r="A369" s="96"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c r="Y369" s="107" t="inlineStr">
        <is>
          <t>Implementado</t>
        </is>
      </c>
      <c r="Z369" s="107" t="inlineStr">
        <is>
          <t>[PR] Prevención</t>
        </is>
      </c>
      <c r="AA369" s="107" t="inlineStr">
        <is>
          <t>L5: Optimizado</t>
        </is>
      </c>
      <c r="AB369" s="107" t="inlineStr">
        <is>
          <t>T2: Fuga de información</t>
        </is>
      </c>
      <c r="AC369" s="107" t="inlineStr">
        <is>
          <t>Manual de Operaciones</t>
        </is>
      </c>
    </row>
    <row r="370">
      <c r="A370" s="96"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c r="Y370" s="107" t="inlineStr">
        <is>
          <t>Implementado</t>
        </is>
      </c>
      <c r="Z370" s="107" t="inlineStr">
        <is>
          <t>[PR] Prevención</t>
        </is>
      </c>
      <c r="AA370" s="107" t="inlineStr">
        <is>
          <t>L3: Proceso Definido</t>
        </is>
      </c>
      <c r="AB370" s="107" t="inlineStr">
        <is>
          <t>T2: Fuga de información</t>
        </is>
      </c>
      <c r="AC370" s="107" t="inlineStr">
        <is>
          <t>Manual de Operaciones</t>
        </is>
      </c>
    </row>
    <row r="371">
      <c r="A371" s="96"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c r="Y371" s="107" t="inlineStr">
        <is>
          <t>Implementado</t>
        </is>
      </c>
      <c r="Z371" s="107" t="inlineStr">
        <is>
          <t>[PR] Prevención</t>
        </is>
      </c>
      <c r="AA371" s="107" t="inlineStr">
        <is>
          <t>L4: Gestionado</t>
        </is>
      </c>
      <c r="AB371" s="107" t="inlineStr">
        <is>
          <t>T2: Fuga de información</t>
        </is>
      </c>
      <c r="AC371" s="107" t="inlineStr">
        <is>
          <t>Manual de Operaciones</t>
        </is>
      </c>
    </row>
    <row r="372">
      <c r="A372" s="96"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c r="Y372" s="107" t="inlineStr">
        <is>
          <t>Implementado</t>
        </is>
      </c>
      <c r="Z372" s="107" t="inlineStr">
        <is>
          <t>[PR] Prevención</t>
        </is>
      </c>
      <c r="AA372" s="107" t="inlineStr">
        <is>
          <t>L2: Reproducible</t>
        </is>
      </c>
      <c r="AB372" s="107" t="inlineStr">
        <is>
          <t>T2: Fuga de información</t>
        </is>
      </c>
      <c r="AC372" s="107" t="inlineStr">
        <is>
          <t>Manual de Operaciones</t>
        </is>
      </c>
    </row>
    <row r="373">
      <c r="A373" s="96"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c r="Y373" s="107" t="inlineStr">
        <is>
          <t>Implementado</t>
        </is>
      </c>
      <c r="Z373" s="107" t="inlineStr">
        <is>
          <t>[PR] Prevención</t>
        </is>
      </c>
      <c r="AA373" s="107" t="inlineStr">
        <is>
          <t>L2: Reproducible</t>
        </is>
      </c>
      <c r="AB373" s="107" t="inlineStr">
        <is>
          <t>T2: Fuga de información</t>
        </is>
      </c>
      <c r="AC373" s="107" t="inlineStr">
        <is>
          <t>Manual de Operaciones</t>
        </is>
      </c>
    </row>
    <row r="374">
      <c r="A374" s="96"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c r="Y374" s="107" t="inlineStr">
        <is>
          <t>Implementado</t>
        </is>
      </c>
      <c r="Z374" s="107" t="inlineStr">
        <is>
          <t>[PR] Prevención</t>
        </is>
      </c>
      <c r="AA374" s="107" t="inlineStr">
        <is>
          <t>L4: Gestionado</t>
        </is>
      </c>
      <c r="AB374" s="107" t="inlineStr">
        <is>
          <t>T2: Fuga de información</t>
        </is>
      </c>
      <c r="AC374" s="107" t="inlineStr">
        <is>
          <t>Manual de Operaciones</t>
        </is>
      </c>
    </row>
    <row r="375">
      <c r="A375" s="96"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c r="Y375" s="107" t="inlineStr">
        <is>
          <t>Implementado</t>
        </is>
      </c>
      <c r="Z375" s="107" t="inlineStr">
        <is>
          <t>[CR] Corrección</t>
        </is>
      </c>
      <c r="AA375" s="107" t="inlineStr">
        <is>
          <t>L4: Gestionado</t>
        </is>
      </c>
      <c r="AB375" s="107" t="inlineStr">
        <is>
          <t>T2: Fuga de información</t>
        </is>
      </c>
      <c r="AC375" s="107" t="inlineStr">
        <is>
          <t>Registro Físico</t>
        </is>
      </c>
    </row>
    <row r="376">
      <c r="A376" s="96"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c r="Y376" s="107" t="inlineStr">
        <is>
          <t>Implementado</t>
        </is>
      </c>
      <c r="Z376" s="107" t="inlineStr">
        <is>
          <t>[PR] Prevención</t>
        </is>
      </c>
      <c r="AA376" s="107" t="inlineStr">
        <is>
          <t>L3: Proceso Definido</t>
        </is>
      </c>
      <c r="AB376" s="107" t="inlineStr">
        <is>
          <t>T2: Fuga de información</t>
        </is>
      </c>
      <c r="AC376" s="107" t="inlineStr">
        <is>
          <t>Manual de Operaciones</t>
        </is>
      </c>
    </row>
    <row r="377">
      <c r="A377" s="96"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c r="Y377" s="107" t="inlineStr">
        <is>
          <t>Implementado</t>
        </is>
      </c>
      <c r="Z377" s="107" t="inlineStr">
        <is>
          <t>[PR] Prevención</t>
        </is>
      </c>
      <c r="AA377" s="107" t="inlineStr">
        <is>
          <t>L5: Optimizado</t>
        </is>
      </c>
      <c r="AB377" s="107" t="inlineStr">
        <is>
          <t>T2: Fuga de información</t>
        </is>
      </c>
      <c r="AC377" s="107" t="inlineStr">
        <is>
          <t>Manual de Operaciones</t>
        </is>
      </c>
    </row>
    <row r="378">
      <c r="A378" s="96"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c r="Y378" s="107" t="inlineStr">
        <is>
          <t>No Implementado</t>
        </is>
      </c>
      <c r="Z378" s="107" t="inlineStr">
        <is>
          <t>[DR] Disuasión</t>
        </is>
      </c>
      <c r="AA378" s="107" t="inlineStr">
        <is>
          <t>L2: Reproducible</t>
        </is>
      </c>
      <c r="AB378" s="107" t="inlineStr">
        <is>
          <t>T2: Fuga de información</t>
        </is>
      </c>
      <c r="AC378" s="107" t="inlineStr">
        <is>
          <t>Registro Físico</t>
        </is>
      </c>
    </row>
    <row r="379">
      <c r="A379" s="96"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c r="Y379" s="107" t="inlineStr">
        <is>
          <t>Planificado</t>
        </is>
      </c>
      <c r="Z379" s="107" t="inlineStr">
        <is>
          <t>[IM] Minimización</t>
        </is>
      </c>
      <c r="AA379" s="107" t="inlineStr">
        <is>
          <t>L2: Reproducible</t>
        </is>
      </c>
      <c r="AB379" s="107" t="inlineStr">
        <is>
          <t>T2: Fuga de información</t>
        </is>
      </c>
      <c r="AC379" s="107" t="inlineStr">
        <is>
          <t>Registro Físico</t>
        </is>
      </c>
    </row>
    <row r="380">
      <c r="A380" s="96"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c r="Y380" s="107" t="inlineStr">
        <is>
          <t>Implementado</t>
        </is>
      </c>
      <c r="Z380" s="107" t="inlineStr">
        <is>
          <t>[PR] Prevención</t>
        </is>
      </c>
      <c r="AA380" s="107" t="inlineStr">
        <is>
          <t>L4: Gestionado</t>
        </is>
      </c>
      <c r="AB380" s="107" t="inlineStr">
        <is>
          <t>T2: Fuga de información</t>
        </is>
      </c>
      <c r="AC380" s="107" t="inlineStr">
        <is>
          <t>Manual de Operaciones</t>
        </is>
      </c>
    </row>
    <row r="381">
      <c r="A381" s="96"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c r="Y381" s="107" t="inlineStr">
        <is>
          <t>Implementado</t>
        </is>
      </c>
      <c r="Z381" s="107" t="inlineStr">
        <is>
          <t>[PR] Prevención</t>
        </is>
      </c>
      <c r="AA381" s="107" t="inlineStr">
        <is>
          <t>L4: Gestionado</t>
        </is>
      </c>
      <c r="AB381" s="107" t="inlineStr">
        <is>
          <t>T2: Fuga de información</t>
        </is>
      </c>
      <c r="AC381" s="107" t="inlineStr">
        <is>
          <t>Manual de Operaciones</t>
        </is>
      </c>
    </row>
    <row r="382">
      <c r="A382" s="96"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c r="Y382" s="107" t="inlineStr">
        <is>
          <t>No Implementado</t>
        </is>
      </c>
      <c r="Z382" s="107" t="inlineStr">
        <is>
          <t>[PR] Prevención</t>
        </is>
      </c>
      <c r="AA382" s="107" t="inlineStr">
        <is>
          <t>L2: Reproducible</t>
        </is>
      </c>
      <c r="AB382" s="107" t="inlineStr">
        <is>
          <t>T2: Fuga de información</t>
        </is>
      </c>
      <c r="AC382" s="107" t="inlineStr">
        <is>
          <t>Manual de Operaciones</t>
        </is>
      </c>
    </row>
    <row r="383">
      <c r="A383" s="96"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c r="Y383" s="107" t="inlineStr">
        <is>
          <t>Implementado</t>
        </is>
      </c>
      <c r="Z383" s="107" t="inlineStr">
        <is>
          <t>[PR] Prevención</t>
        </is>
      </c>
      <c r="AA383" s="107" t="inlineStr">
        <is>
          <t>L3: Proceso Definido</t>
        </is>
      </c>
      <c r="AB383" s="107" t="inlineStr">
        <is>
          <t>T2: Fuga de información</t>
        </is>
      </c>
      <c r="AC383" s="107" t="inlineStr">
        <is>
          <t>Manual de Operaciones</t>
        </is>
      </c>
    </row>
    <row r="384">
      <c r="A384" s="96"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c r="Y384" s="107" t="inlineStr">
        <is>
          <t>Implementado</t>
        </is>
      </c>
      <c r="Z384" s="107" t="inlineStr">
        <is>
          <t>[PR] Prevención</t>
        </is>
      </c>
      <c r="AA384" s="107" t="inlineStr">
        <is>
          <t>L5: Optimizado</t>
        </is>
      </c>
      <c r="AB384" s="107" t="inlineStr">
        <is>
          <t>T2: Fuga de información</t>
        </is>
      </c>
      <c r="AC384" s="107" t="inlineStr">
        <is>
          <t>Manual de Operaciones</t>
        </is>
      </c>
    </row>
    <row r="385">
      <c r="A385" s="96"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c r="Y385" s="107" t="inlineStr">
        <is>
          <t>Implementado</t>
        </is>
      </c>
      <c r="Z385" s="107" t="inlineStr">
        <is>
          <t>[PR] Prevención</t>
        </is>
      </c>
      <c r="AA385" s="107" t="inlineStr">
        <is>
          <t>L5: Optimizado</t>
        </is>
      </c>
      <c r="AB385" s="107" t="inlineStr">
        <is>
          <t>T2: Fuga de información</t>
        </is>
      </c>
      <c r="AC385" s="107" t="inlineStr">
        <is>
          <t>Manual de Operaciones</t>
        </is>
      </c>
    </row>
    <row r="386">
      <c r="A386" s="96"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c r="Y386" s="107" t="inlineStr">
        <is>
          <t>En Proceso</t>
        </is>
      </c>
      <c r="Z386" s="107" t="inlineStr">
        <is>
          <t>[PR] Prevención</t>
        </is>
      </c>
      <c r="AA386" s="107" t="inlineStr">
        <is>
          <t>L3: Proceso Definido</t>
        </is>
      </c>
      <c r="AB386" s="107" t="inlineStr">
        <is>
          <t>T2: Fuga de información</t>
        </is>
      </c>
      <c r="AC386" s="107" t="inlineStr">
        <is>
          <t>Manual de Operaciones</t>
        </is>
      </c>
    </row>
    <row r="387">
      <c r="A387" s="96"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c r="Y387" s="107" t="inlineStr">
        <is>
          <t>Implementado</t>
        </is>
      </c>
      <c r="Z387" s="107" t="inlineStr">
        <is>
          <t>[PR] Prevención</t>
        </is>
      </c>
      <c r="AA387" s="107" t="inlineStr">
        <is>
          <t>L5: Optimizado</t>
        </is>
      </c>
      <c r="AB387" s="107" t="inlineStr">
        <is>
          <t>T2: Fuga de información</t>
        </is>
      </c>
      <c r="AC387" s="107" t="inlineStr">
        <is>
          <t>Manual de Operaciones</t>
        </is>
      </c>
    </row>
    <row r="388">
      <c r="A388" s="96"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c r="Y388" s="107" t="inlineStr">
        <is>
          <t>Implementado</t>
        </is>
      </c>
      <c r="Z388" s="107" t="inlineStr">
        <is>
          <t>[PR] Prevención</t>
        </is>
      </c>
      <c r="AA388" s="107" t="inlineStr">
        <is>
          <t>L4: Gestionado</t>
        </is>
      </c>
      <c r="AB388" s="107" t="inlineStr">
        <is>
          <t>T2: Fuga de información</t>
        </is>
      </c>
      <c r="AC388" s="107" t="inlineStr">
        <is>
          <t>Manual de Operaciones</t>
        </is>
      </c>
    </row>
    <row r="389">
      <c r="A389" s="96"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c r="Y389" s="107" t="inlineStr">
        <is>
          <t>Implementado</t>
        </is>
      </c>
      <c r="Z389" s="107" t="inlineStr">
        <is>
          <t>[PR] Prevención</t>
        </is>
      </c>
      <c r="AA389" s="107" t="inlineStr">
        <is>
          <t>L5: Optimizado</t>
        </is>
      </c>
      <c r="AB389" s="107" t="inlineStr">
        <is>
          <t>T2: Fuga de información</t>
        </is>
      </c>
      <c r="AC389" s="107" t="inlineStr">
        <is>
          <t>Manual de Operaciones</t>
        </is>
      </c>
    </row>
    <row r="390">
      <c r="A390" s="96"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c r="Y390" s="107" t="inlineStr">
        <is>
          <t>Planificado</t>
        </is>
      </c>
      <c r="Z390" s="107" t="inlineStr">
        <is>
          <t>[PR] Prevención</t>
        </is>
      </c>
      <c r="AA390" s="107" t="inlineStr">
        <is>
          <t>L4: Gestionado</t>
        </is>
      </c>
      <c r="AB390" s="107" t="inlineStr">
        <is>
          <t>T2: Fuga de información</t>
        </is>
      </c>
      <c r="AC390" s="107" t="inlineStr">
        <is>
          <t>Manual de Operaciones</t>
        </is>
      </c>
    </row>
    <row r="391">
      <c r="A391" s="96"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c r="Y391" s="107" t="inlineStr">
        <is>
          <t>Implementado</t>
        </is>
      </c>
      <c r="Z391" s="107" t="inlineStr">
        <is>
          <t>[PR] Prevención</t>
        </is>
      </c>
      <c r="AA391" s="107" t="inlineStr">
        <is>
          <t>L5: Optimizado</t>
        </is>
      </c>
      <c r="AB391" s="107" t="inlineStr">
        <is>
          <t>T2: Fuga de información</t>
        </is>
      </c>
      <c r="AC391" s="107" t="inlineStr">
        <is>
          <t>Manual de Operaciones</t>
        </is>
      </c>
    </row>
    <row r="392">
      <c r="A392" s="96"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c r="Y392" s="107" t="inlineStr">
        <is>
          <t>Implementado</t>
        </is>
      </c>
      <c r="Z392" s="107" t="inlineStr">
        <is>
          <t>[PR] Prevención</t>
        </is>
      </c>
      <c r="AA392" s="107" t="inlineStr">
        <is>
          <t>L4: Gestionado</t>
        </is>
      </c>
      <c r="AB392" s="107" t="inlineStr">
        <is>
          <t>T2: Fuga de información</t>
        </is>
      </c>
      <c r="AC392" s="107" t="inlineStr">
        <is>
          <t>Manual de Operaciones</t>
        </is>
      </c>
    </row>
    <row r="393">
      <c r="A393" s="96"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c r="Y393" s="107" t="inlineStr">
        <is>
          <t>Planificado</t>
        </is>
      </c>
      <c r="Z393" s="107" t="inlineStr">
        <is>
          <t>[PR] Prevención</t>
        </is>
      </c>
      <c r="AA393" s="107" t="inlineStr">
        <is>
          <t>L2: Reproducible</t>
        </is>
      </c>
      <c r="AB393" s="107" t="inlineStr">
        <is>
          <t>T2: Fuga de información</t>
        </is>
      </c>
      <c r="AC393" s="107" t="inlineStr">
        <is>
          <t>Manual de Operaciones</t>
        </is>
      </c>
    </row>
    <row r="394">
      <c r="A394" s="96"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c r="Y394" s="107" t="inlineStr">
        <is>
          <t>Planificado</t>
        </is>
      </c>
      <c r="Z394" s="107" t="inlineStr">
        <is>
          <t>[PR] Prevención</t>
        </is>
      </c>
      <c r="AA394" s="107" t="inlineStr">
        <is>
          <t>L3: Proceso Definido</t>
        </is>
      </c>
      <c r="AB394" s="107" t="inlineStr">
        <is>
          <t>T2: Fuga de información</t>
        </is>
      </c>
      <c r="AC394" s="107" t="inlineStr">
        <is>
          <t>Manual de Operaciones</t>
        </is>
      </c>
    </row>
    <row r="395">
      <c r="A395" s="96"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c r="Y395" s="107" t="inlineStr">
        <is>
          <t>Planificado</t>
        </is>
      </c>
      <c r="Z395" s="107" t="inlineStr">
        <is>
          <t>[PR] Prevención</t>
        </is>
      </c>
      <c r="AA395" s="107" t="inlineStr">
        <is>
          <t>L4: Gestionado</t>
        </is>
      </c>
      <c r="AB395" s="107" t="inlineStr">
        <is>
          <t>T2: Fuga de información</t>
        </is>
      </c>
      <c r="AC395" s="107" t="inlineStr">
        <is>
          <t>Manual de Operaciones</t>
        </is>
      </c>
    </row>
    <row r="396">
      <c r="A396" s="96"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c r="Y396" s="107" t="inlineStr">
        <is>
          <t>Implementado</t>
        </is>
      </c>
      <c r="Z396" s="107" t="inlineStr">
        <is>
          <t>[PR] Prevención</t>
        </is>
      </c>
      <c r="AA396" s="107" t="inlineStr">
        <is>
          <t>L3: Proceso Definido</t>
        </is>
      </c>
      <c r="AB396" s="107" t="inlineStr">
        <is>
          <t>T2: Fuga de información</t>
        </is>
      </c>
      <c r="AC396" s="107" t="inlineStr">
        <is>
          <t>Manual de Operaciones</t>
        </is>
      </c>
    </row>
    <row r="397">
      <c r="A397" s="96"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c r="Y397" s="107" t="inlineStr">
        <is>
          <t>Implementado</t>
        </is>
      </c>
      <c r="Z397" s="107" t="inlineStr">
        <is>
          <t>[PR] Prevención</t>
        </is>
      </c>
      <c r="AA397" s="107" t="inlineStr">
        <is>
          <t>L4: Gestionado</t>
        </is>
      </c>
      <c r="AB397" s="107" t="inlineStr">
        <is>
          <t>T2: Fuga de información</t>
        </is>
      </c>
      <c r="AC397" s="107" t="inlineStr">
        <is>
          <t>Manual de Operaciones</t>
        </is>
      </c>
    </row>
    <row r="398">
      <c r="A398" s="96"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c r="Y398" s="107" t="inlineStr">
        <is>
          <t>En Proceso</t>
        </is>
      </c>
      <c r="Z398" s="107" t="inlineStr">
        <is>
          <t>[PR] Prevención</t>
        </is>
      </c>
      <c r="AA398" s="107" t="inlineStr">
        <is>
          <t>L5: Optimizado</t>
        </is>
      </c>
      <c r="AB398" s="107" t="inlineStr">
        <is>
          <t>T2: Fuga de información</t>
        </is>
      </c>
      <c r="AC398" s="107" t="inlineStr">
        <is>
          <t>Manual de Operaciones</t>
        </is>
      </c>
    </row>
    <row r="399">
      <c r="A399" s="96"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c r="Y399" s="107" t="inlineStr">
        <is>
          <t>Implementado</t>
        </is>
      </c>
      <c r="Z399" s="107" t="inlineStr">
        <is>
          <t>[PR] Prevención</t>
        </is>
      </c>
      <c r="AA399" s="107" t="inlineStr">
        <is>
          <t>L3: Proceso Definido</t>
        </is>
      </c>
      <c r="AB399" s="107" t="inlineStr">
        <is>
          <t>T2: Fuga de información</t>
        </is>
      </c>
      <c r="AC399" s="107" t="inlineStr">
        <is>
          <t>Manual de Operaciones</t>
        </is>
      </c>
    </row>
    <row r="400">
      <c r="A400" s="96"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c r="Y400" s="107" t="inlineStr">
        <is>
          <t>Implementado</t>
        </is>
      </c>
      <c r="Z400" s="107" t="inlineStr">
        <is>
          <t>[PR] Prevención</t>
        </is>
      </c>
      <c r="AA400" s="107" t="inlineStr">
        <is>
          <t>L5: Optimizado</t>
        </is>
      </c>
      <c r="AB400" s="107" t="inlineStr">
        <is>
          <t>T2: Fuga de información</t>
        </is>
      </c>
      <c r="AC400" s="107" t="inlineStr">
        <is>
          <t>Manual de Operaciones</t>
        </is>
      </c>
    </row>
    <row r="401">
      <c r="A401" s="96"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c r="Y401" s="107" t="inlineStr">
        <is>
          <t>Implementado</t>
        </is>
      </c>
      <c r="Z401" s="107" t="inlineStr">
        <is>
          <t>[PR] Prevención</t>
        </is>
      </c>
      <c r="AA401" s="107" t="inlineStr">
        <is>
          <t>L5: Optimizado</t>
        </is>
      </c>
      <c r="AB401" s="107" t="inlineStr">
        <is>
          <t>T2: Fuga de información</t>
        </is>
      </c>
      <c r="AC401" s="107" t="inlineStr">
        <is>
          <t>Manual de Operaciones</t>
        </is>
      </c>
    </row>
    <row r="402">
      <c r="A402" s="96"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c r="Y402" s="107" t="inlineStr">
        <is>
          <t>Implementado</t>
        </is>
      </c>
      <c r="Z402" s="107" t="inlineStr">
        <is>
          <t>[PR] Prevención</t>
        </is>
      </c>
      <c r="AA402" s="107" t="inlineStr">
        <is>
          <t>L3: Proceso Definido</t>
        </is>
      </c>
      <c r="AB402" s="107" t="inlineStr">
        <is>
          <t>T2: Fuga de información</t>
        </is>
      </c>
      <c r="AC402" s="107" t="inlineStr">
        <is>
          <t>Manual de Operaciones</t>
        </is>
      </c>
    </row>
    <row r="403">
      <c r="A403" s="96"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c r="Y403" s="107" t="inlineStr">
        <is>
          <t>Implementado</t>
        </is>
      </c>
      <c r="Z403" s="107" t="inlineStr">
        <is>
          <t>[PR] Prevención</t>
        </is>
      </c>
      <c r="AA403" s="107" t="inlineStr">
        <is>
          <t>L4: Gestionado</t>
        </is>
      </c>
      <c r="AB403" s="107" t="inlineStr">
        <is>
          <t>T2: Fuga de información</t>
        </is>
      </c>
      <c r="AC403" s="107" t="inlineStr">
        <is>
          <t>Manual de Operaciones</t>
        </is>
      </c>
    </row>
    <row r="404">
      <c r="A404" s="96"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c r="Y404" s="107" t="inlineStr">
        <is>
          <t>Implementado</t>
        </is>
      </c>
      <c r="Z404" s="107" t="inlineStr">
        <is>
          <t>[PR] Prevención</t>
        </is>
      </c>
      <c r="AA404" s="107" t="inlineStr">
        <is>
          <t>L4: Gestionado</t>
        </is>
      </c>
      <c r="AB404" s="107" t="inlineStr">
        <is>
          <t>T2: Fuga de información</t>
        </is>
      </c>
      <c r="AC404" s="107" t="inlineStr">
        <is>
          <t>Manual de Operaciones</t>
        </is>
      </c>
    </row>
    <row r="405">
      <c r="A405" s="96"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c r="Y405" s="107" t="inlineStr">
        <is>
          <t>Implementado</t>
        </is>
      </c>
      <c r="Z405" s="107" t="inlineStr">
        <is>
          <t>[PR] Prevención</t>
        </is>
      </c>
      <c r="AA405" s="107" t="inlineStr">
        <is>
          <t>L4: Gestionado</t>
        </is>
      </c>
      <c r="AB405" s="107" t="inlineStr">
        <is>
          <t>T2: Fuga de información</t>
        </is>
      </c>
      <c r="AC405" s="107" t="inlineStr">
        <is>
          <t>Manual de Operaciones</t>
        </is>
      </c>
    </row>
    <row r="406">
      <c r="A406" s="96"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c r="Y406" s="107" t="inlineStr">
        <is>
          <t>Implementado</t>
        </is>
      </c>
      <c r="Z406" s="107" t="inlineStr">
        <is>
          <t>[PR] Prevención</t>
        </is>
      </c>
      <c r="AA406" s="107" t="inlineStr">
        <is>
          <t>L3: Proceso Definido</t>
        </is>
      </c>
      <c r="AB406" s="107" t="inlineStr">
        <is>
          <t>T2: Fuga de información</t>
        </is>
      </c>
      <c r="AC406" s="107" t="inlineStr">
        <is>
          <t>Manual de Operaciones</t>
        </is>
      </c>
    </row>
    <row r="407">
      <c r="A407" s="96"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c r="Y407" s="107" t="inlineStr">
        <is>
          <t>Implementado</t>
        </is>
      </c>
      <c r="Z407" s="107" t="inlineStr">
        <is>
          <t>[PR] Prevención</t>
        </is>
      </c>
      <c r="AA407" s="107" t="inlineStr">
        <is>
          <t>L4: Gestionado</t>
        </is>
      </c>
      <c r="AB407" s="107" t="inlineStr">
        <is>
          <t>T2: Fuga de información</t>
        </is>
      </c>
      <c r="AC407" s="107" t="inlineStr">
        <is>
          <t>Manual de Operaciones</t>
        </is>
      </c>
    </row>
    <row r="408">
      <c r="A408" s="96"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c r="Y408" s="107" t="inlineStr">
        <is>
          <t>No Implementado</t>
        </is>
      </c>
      <c r="Z408" s="107" t="inlineStr">
        <is>
          <t>[PR] Prevención</t>
        </is>
      </c>
      <c r="AA408" s="107" t="inlineStr">
        <is>
          <t>L5: Optimizado</t>
        </is>
      </c>
      <c r="AB408" s="107" t="inlineStr">
        <is>
          <t>T2: Fuga de información</t>
        </is>
      </c>
      <c r="AC408" s="107" t="inlineStr">
        <is>
          <t>Manual de Operaciones</t>
        </is>
      </c>
    </row>
    <row r="409">
      <c r="A409" s="96"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c r="Y409" s="107" t="inlineStr">
        <is>
          <t>En Proceso</t>
        </is>
      </c>
      <c r="Z409" s="107" t="inlineStr">
        <is>
          <t>[PR] Prevención</t>
        </is>
      </c>
      <c r="AA409" s="107" t="inlineStr">
        <is>
          <t>L5: Optimizado</t>
        </is>
      </c>
      <c r="AB409" s="107" t="inlineStr">
        <is>
          <t>T2: Fuga de información</t>
        </is>
      </c>
      <c r="AC409" s="107" t="inlineStr">
        <is>
          <t>Manual de Operaciones</t>
        </is>
      </c>
    </row>
    <row r="410">
      <c r="A410" s="96"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c r="Y410" s="107" t="inlineStr">
        <is>
          <t>En Proceso</t>
        </is>
      </c>
      <c r="Z410" s="107" t="inlineStr">
        <is>
          <t>[PR] Prevención</t>
        </is>
      </c>
      <c r="AA410" s="107" t="inlineStr">
        <is>
          <t>L3: Proceso Definido</t>
        </is>
      </c>
      <c r="AB410" s="107" t="inlineStr">
        <is>
          <t>T2: Fuga de información</t>
        </is>
      </c>
      <c r="AC410" s="107" t="inlineStr">
        <is>
          <t>Manual de Operaciones</t>
        </is>
      </c>
    </row>
    <row r="411">
      <c r="A411" s="96"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c r="Y411" s="107" t="inlineStr">
        <is>
          <t>No Implementado</t>
        </is>
      </c>
      <c r="Z411" s="107" t="inlineStr">
        <is>
          <t>[PR] Prevención</t>
        </is>
      </c>
      <c r="AA411" s="107" t="inlineStr">
        <is>
          <t>L5: Optimizado</t>
        </is>
      </c>
      <c r="AB411" s="107" t="inlineStr">
        <is>
          <t>T2: Fuga de información</t>
        </is>
      </c>
      <c r="AC411" s="107" t="inlineStr">
        <is>
          <t>Manual de Operaciones</t>
        </is>
      </c>
    </row>
    <row r="412">
      <c r="A412" s="96"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c r="Y412" s="107" t="inlineStr">
        <is>
          <t>En Proceso</t>
        </is>
      </c>
      <c r="Z412" s="107" t="inlineStr">
        <is>
          <t>[PR] Prevención</t>
        </is>
      </c>
      <c r="AA412" s="107" t="inlineStr">
        <is>
          <t>L4: Gestionado</t>
        </is>
      </c>
      <c r="AB412" s="107" t="inlineStr">
        <is>
          <t>T2: Fuga de información</t>
        </is>
      </c>
      <c r="AC412" s="107" t="inlineStr">
        <is>
          <t>Manual de Operaciones</t>
        </is>
      </c>
    </row>
    <row r="413">
      <c r="A413" s="96"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c r="Y413" s="107" t="inlineStr">
        <is>
          <t>Implementado</t>
        </is>
      </c>
      <c r="Z413" s="107" t="inlineStr">
        <is>
          <t>[PR] Prevención</t>
        </is>
      </c>
      <c r="AA413" s="107" t="inlineStr">
        <is>
          <t>L4: Gestionado</t>
        </is>
      </c>
      <c r="AB413" s="107" t="inlineStr">
        <is>
          <t>T2: Fuga de información</t>
        </is>
      </c>
      <c r="AC413" s="107" t="inlineStr">
        <is>
          <t>Manual de Operaciones</t>
        </is>
      </c>
    </row>
    <row r="414">
      <c r="A414" s="96"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c r="Y414" s="107" t="inlineStr">
        <is>
          <t>Planificado</t>
        </is>
      </c>
      <c r="Z414" s="107" t="inlineStr">
        <is>
          <t>[PR] Prevención</t>
        </is>
      </c>
      <c r="AA414" s="107" t="inlineStr">
        <is>
          <t>L4: Gestionado</t>
        </is>
      </c>
      <c r="AB414" s="107" t="inlineStr">
        <is>
          <t>T2: Fuga de información</t>
        </is>
      </c>
      <c r="AC414" s="107" t="inlineStr">
        <is>
          <t>Manual de Operaciones</t>
        </is>
      </c>
    </row>
    <row r="415">
      <c r="A415" s="96"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c r="Y415" s="107" t="inlineStr">
        <is>
          <t>Planificado</t>
        </is>
      </c>
      <c r="Z415" s="107" t="inlineStr">
        <is>
          <t>[PR] Prevención</t>
        </is>
      </c>
      <c r="AA415" s="107" t="inlineStr">
        <is>
          <t>L5: Optimizado</t>
        </is>
      </c>
      <c r="AB415" s="107" t="inlineStr">
        <is>
          <t>T2: Fuga de información</t>
        </is>
      </c>
      <c r="AC415" s="107" t="inlineStr">
        <is>
          <t>Manual de Operaciones</t>
        </is>
      </c>
    </row>
    <row r="416">
      <c r="A416" s="96"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c r="Y416" s="107" t="inlineStr">
        <is>
          <t>Implementado</t>
        </is>
      </c>
      <c r="Z416" s="107" t="inlineStr">
        <is>
          <t>[PR] Prevención</t>
        </is>
      </c>
      <c r="AA416" s="107" t="inlineStr">
        <is>
          <t>L3: Proceso Definido</t>
        </is>
      </c>
      <c r="AB416" s="107" t="inlineStr">
        <is>
          <t>T2: Fuga de información</t>
        </is>
      </c>
      <c r="AC416" s="107" t="inlineStr">
        <is>
          <t>Manual de Operaciones</t>
        </is>
      </c>
    </row>
    <row r="417">
      <c r="A417" s="96"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c r="Y417" s="107" t="inlineStr">
        <is>
          <t>Implementado</t>
        </is>
      </c>
      <c r="Z417" s="107" t="inlineStr">
        <is>
          <t>[PR] Prevención</t>
        </is>
      </c>
      <c r="AA417" s="107" t="inlineStr">
        <is>
          <t>L5: Optimizado</t>
        </is>
      </c>
      <c r="AB417" s="107" t="inlineStr">
        <is>
          <t>T2: Fuga de información</t>
        </is>
      </c>
      <c r="AC417" s="107" t="inlineStr">
        <is>
          <t>Manual de Operaciones</t>
        </is>
      </c>
    </row>
    <row r="418">
      <c r="A418" s="96"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c r="Y418" s="107" t="inlineStr">
        <is>
          <t>Implementado</t>
        </is>
      </c>
      <c r="Z418" s="107" t="inlineStr">
        <is>
          <t>[IM] Minimización</t>
        </is>
      </c>
      <c r="AA418" s="107" t="inlineStr">
        <is>
          <t>L4: Gestionado</t>
        </is>
      </c>
      <c r="AB418" s="107" t="inlineStr">
        <is>
          <t>T2: Fuga de información</t>
        </is>
      </c>
      <c r="AC418" s="107" t="inlineStr">
        <is>
          <t>Registro Físico</t>
        </is>
      </c>
    </row>
    <row r="419">
      <c r="A419" s="96"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c r="Y419" s="107" t="inlineStr">
        <is>
          <t>Implementado</t>
        </is>
      </c>
      <c r="Z419" s="107" t="inlineStr">
        <is>
          <t>[PR] Prevención</t>
        </is>
      </c>
      <c r="AA419" s="107" t="inlineStr">
        <is>
          <t>L5: Optimizado</t>
        </is>
      </c>
      <c r="AB419" s="107" t="inlineStr">
        <is>
          <t>T2: Fuga de información</t>
        </is>
      </c>
      <c r="AC419" s="107" t="inlineStr">
        <is>
          <t>Manual de Operaciones</t>
        </is>
      </c>
    </row>
    <row r="420">
      <c r="A420" s="96"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c r="Y420" s="107" t="inlineStr">
        <is>
          <t>No Implementado</t>
        </is>
      </c>
      <c r="Z420" s="107" t="inlineStr">
        <is>
          <t>[PR] Prevención</t>
        </is>
      </c>
      <c r="AA420" s="107" t="inlineStr">
        <is>
          <t>L4: Gestionado</t>
        </is>
      </c>
      <c r="AB420" s="107" t="inlineStr">
        <is>
          <t>T2: Fuga de información</t>
        </is>
      </c>
      <c r="AC420" s="107" t="inlineStr">
        <is>
          <t>Manual de Operaciones</t>
        </is>
      </c>
    </row>
    <row r="421">
      <c r="A421" s="96"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c r="Y421" s="107" t="inlineStr">
        <is>
          <t>Implementado</t>
        </is>
      </c>
      <c r="Z421" s="107" t="inlineStr">
        <is>
          <t>[PR] Prevención</t>
        </is>
      </c>
      <c r="AA421" s="107" t="inlineStr">
        <is>
          <t>L3: Proceso Definido</t>
        </is>
      </c>
      <c r="AB421" s="107" t="inlineStr">
        <is>
          <t>T2: Fuga de información</t>
        </is>
      </c>
      <c r="AC421" s="107" t="inlineStr">
        <is>
          <t>Manual de Operaciones</t>
        </is>
      </c>
    </row>
    <row r="422">
      <c r="A422" s="96"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c r="Y422" s="107" t="inlineStr">
        <is>
          <t>Implementado</t>
        </is>
      </c>
      <c r="Z422" s="107" t="inlineStr">
        <is>
          <t>[PR] Prevención</t>
        </is>
      </c>
      <c r="AA422" s="107" t="inlineStr">
        <is>
          <t>L5: Optimizado</t>
        </is>
      </c>
      <c r="AB422" s="107" t="inlineStr">
        <is>
          <t>T2: Fuga de información</t>
        </is>
      </c>
      <c r="AC422" s="107" t="inlineStr">
        <is>
          <t>Manual de Operaciones</t>
        </is>
      </c>
    </row>
    <row r="423">
      <c r="A423" s="96"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c r="Y423" s="107" t="inlineStr">
        <is>
          <t>No Implementado</t>
        </is>
      </c>
      <c r="Z423" s="107" t="inlineStr">
        <is>
          <t>[PR] Prevención</t>
        </is>
      </c>
      <c r="AA423" s="107" t="inlineStr">
        <is>
          <t>L5: Optimizado</t>
        </is>
      </c>
      <c r="AB423" s="107" t="inlineStr">
        <is>
          <t>T2: Fuga de información</t>
        </is>
      </c>
      <c r="AC423" s="107" t="inlineStr">
        <is>
          <t>Manual de Operaciones</t>
        </is>
      </c>
    </row>
    <row r="424">
      <c r="A424" s="96"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c r="Y424" s="107" t="inlineStr">
        <is>
          <t>Implementado</t>
        </is>
      </c>
      <c r="Z424" s="107" t="inlineStr">
        <is>
          <t>[PR] Prevención</t>
        </is>
      </c>
      <c r="AA424" s="107" t="inlineStr">
        <is>
          <t>L5: Optimizado</t>
        </is>
      </c>
      <c r="AB424" s="107" t="inlineStr">
        <is>
          <t>T2: Fuga de información</t>
        </is>
      </c>
      <c r="AC424" s="107" t="inlineStr">
        <is>
          <t>Manual de Operaciones</t>
        </is>
      </c>
    </row>
    <row r="425">
      <c r="A425" s="96"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c r="Y425" s="107" t="inlineStr">
        <is>
          <t>Implementado</t>
        </is>
      </c>
      <c r="Z425" s="107" t="inlineStr">
        <is>
          <t>[PR] Prevención</t>
        </is>
      </c>
      <c r="AA425" s="107" t="inlineStr">
        <is>
          <t>L4: Gestionado</t>
        </is>
      </c>
      <c r="AB425" s="107" t="inlineStr">
        <is>
          <t>T2: Fuga de información</t>
        </is>
      </c>
      <c r="AC425" s="107" t="inlineStr">
        <is>
          <t>Manual de Operaciones</t>
        </is>
      </c>
    </row>
    <row r="426">
      <c r="A426" s="96"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c r="Y426" s="107" t="inlineStr">
        <is>
          <t>Implementado</t>
        </is>
      </c>
      <c r="Z426" s="107" t="inlineStr">
        <is>
          <t>[PR] Prevención</t>
        </is>
      </c>
      <c r="AA426" s="107" t="inlineStr">
        <is>
          <t>L2: Reproducible</t>
        </is>
      </c>
      <c r="AB426" s="107" t="inlineStr">
        <is>
          <t>T2: Fuga de información</t>
        </is>
      </c>
      <c r="AC426" s="107" t="inlineStr">
        <is>
          <t>Manual de Operaciones</t>
        </is>
      </c>
    </row>
    <row r="427">
      <c r="A427" s="96"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c r="Y427" s="107" t="inlineStr">
        <is>
          <t>Implementado</t>
        </is>
      </c>
      <c r="Z427" s="107" t="inlineStr">
        <is>
          <t>[PR] Prevención</t>
        </is>
      </c>
      <c r="AA427" s="107" t="inlineStr">
        <is>
          <t>L3: Proceso Definido</t>
        </is>
      </c>
      <c r="AB427" s="107" t="inlineStr">
        <is>
          <t>T2: Fuga de información</t>
        </is>
      </c>
      <c r="AC427" s="107" t="inlineStr">
        <is>
          <t>Manual de Operaciones</t>
        </is>
      </c>
    </row>
    <row r="428">
      <c r="A428" s="96"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c r="Y428" s="107" t="inlineStr">
        <is>
          <t>No Implementado</t>
        </is>
      </c>
      <c r="Z428" s="107" t="inlineStr">
        <is>
          <t>[PR] Prevención</t>
        </is>
      </c>
      <c r="AA428" s="107" t="inlineStr">
        <is>
          <t>L2: Reproducible</t>
        </is>
      </c>
      <c r="AB428" s="107" t="inlineStr">
        <is>
          <t>T2: Fuga de información</t>
        </is>
      </c>
      <c r="AC428" s="107" t="inlineStr">
        <is>
          <t>Manual de Operaciones</t>
        </is>
      </c>
    </row>
    <row r="429">
      <c r="A429" s="96"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c r="Y429" s="107" t="inlineStr">
        <is>
          <t>Planificado</t>
        </is>
      </c>
      <c r="Z429" s="107" t="inlineStr">
        <is>
          <t>[PR] Prevención</t>
        </is>
      </c>
      <c r="AA429" s="107" t="inlineStr">
        <is>
          <t>L3: Proceso Definido</t>
        </is>
      </c>
      <c r="AB429" s="107" t="inlineStr">
        <is>
          <t>T2: Fuga de información</t>
        </is>
      </c>
      <c r="AC429" s="107" t="inlineStr">
        <is>
          <t>Manual de Operaciones</t>
        </is>
      </c>
    </row>
    <row r="430">
      <c r="A430" s="96"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c r="Y430" s="107" t="inlineStr">
        <is>
          <t>Implementado</t>
        </is>
      </c>
      <c r="Z430" s="107" t="inlineStr">
        <is>
          <t>[PR] Prevención</t>
        </is>
      </c>
      <c r="AA430" s="107" t="inlineStr">
        <is>
          <t>L3: Proceso Definido</t>
        </is>
      </c>
      <c r="AB430" s="107" t="inlineStr">
        <is>
          <t>T2: Fuga de información</t>
        </is>
      </c>
      <c r="AC430" s="107" t="inlineStr">
        <is>
          <t>Manual de Operaciones</t>
        </is>
      </c>
    </row>
    <row r="431">
      <c r="A431" s="96"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c r="Y431" s="107" t="inlineStr">
        <is>
          <t>Implementado</t>
        </is>
      </c>
      <c r="Z431" s="107" t="inlineStr">
        <is>
          <t>[PR] Prevención</t>
        </is>
      </c>
      <c r="AA431" s="107" t="inlineStr">
        <is>
          <t>L2: Reproducible</t>
        </is>
      </c>
      <c r="AB431" s="107" t="inlineStr">
        <is>
          <t>T2: Fuga de información</t>
        </is>
      </c>
      <c r="AC431" s="107" t="inlineStr">
        <is>
          <t>Manual de Operaciones</t>
        </is>
      </c>
    </row>
    <row r="432">
      <c r="A432" s="96"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c r="Y432" s="107" t="inlineStr">
        <is>
          <t>Implementado</t>
        </is>
      </c>
      <c r="Z432" s="107" t="inlineStr">
        <is>
          <t>[PR] Prevención</t>
        </is>
      </c>
      <c r="AA432" s="107" t="inlineStr">
        <is>
          <t>L4: Gestionado</t>
        </is>
      </c>
      <c r="AB432" s="107" t="inlineStr">
        <is>
          <t>T2: Fuga de información</t>
        </is>
      </c>
      <c r="AC432" s="107" t="inlineStr">
        <is>
          <t>Manual de Operaciones</t>
        </is>
      </c>
    </row>
    <row r="433">
      <c r="A433" s="96"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c r="Y433" s="107" t="inlineStr">
        <is>
          <t>Implementado</t>
        </is>
      </c>
      <c r="Z433" s="107" t="inlineStr">
        <is>
          <t>[PR] Prevención</t>
        </is>
      </c>
      <c r="AA433" s="107" t="inlineStr">
        <is>
          <t>L4: Gestionado</t>
        </is>
      </c>
      <c r="AB433" s="107" t="inlineStr">
        <is>
          <t>T2: Fuga de información</t>
        </is>
      </c>
      <c r="AC433" s="107" t="inlineStr">
        <is>
          <t>Manual de Operaciones</t>
        </is>
      </c>
    </row>
    <row r="434">
      <c r="A434" s="96"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c r="Y434" s="107" t="inlineStr">
        <is>
          <t>Implementado</t>
        </is>
      </c>
      <c r="Z434" s="107" t="inlineStr">
        <is>
          <t>[PR] Prevención</t>
        </is>
      </c>
      <c r="AA434" s="107" t="inlineStr">
        <is>
          <t>L2: Reproducible</t>
        </is>
      </c>
      <c r="AB434" s="107" t="inlineStr">
        <is>
          <t>T2: Fuga de información</t>
        </is>
      </c>
      <c r="AC434" s="107" t="inlineStr">
        <is>
          <t>Manual de Operaciones</t>
        </is>
      </c>
    </row>
    <row r="435">
      <c r="A435" s="96"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c r="Y435" s="107" t="inlineStr">
        <is>
          <t>Implementado</t>
        </is>
      </c>
      <c r="Z435" s="107" t="inlineStr">
        <is>
          <t>[PR] Prevención</t>
        </is>
      </c>
      <c r="AA435" s="107" t="inlineStr">
        <is>
          <t>L3: Proceso Definido</t>
        </is>
      </c>
      <c r="AB435" s="107" t="inlineStr">
        <is>
          <t>T2: Fuga de información</t>
        </is>
      </c>
      <c r="AC435" s="107" t="inlineStr">
        <is>
          <t>Manual de Operaciones</t>
        </is>
      </c>
    </row>
    <row r="436">
      <c r="A436" s="96"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c r="Y436" s="107" t="inlineStr">
        <is>
          <t>Implementado</t>
        </is>
      </c>
      <c r="Z436" s="107" t="inlineStr">
        <is>
          <t>[PR] Prevención</t>
        </is>
      </c>
      <c r="AA436" s="107" t="inlineStr">
        <is>
          <t>L3: Proceso Definido</t>
        </is>
      </c>
      <c r="AB436" s="107" t="inlineStr">
        <is>
          <t>T2: Fuga de información</t>
        </is>
      </c>
      <c r="AC436" s="107" t="inlineStr">
        <is>
          <t>Manual de Operaciones</t>
        </is>
      </c>
    </row>
    <row r="437" ht="30.6" customHeight="1" s="103">
      <c r="A437" s="96"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c r="Y437" s="107" t="inlineStr">
        <is>
          <t>Implementado</t>
        </is>
      </c>
      <c r="Z437" s="107" t="inlineStr">
        <is>
          <t>[PR] Prevención</t>
        </is>
      </c>
      <c r="AA437" s="107" t="inlineStr">
        <is>
          <t>L4: Gestionado</t>
        </is>
      </c>
      <c r="AB437" s="107" t="inlineStr">
        <is>
          <t>T2: Fuga de información</t>
        </is>
      </c>
      <c r="AC437" s="107" t="inlineStr">
        <is>
          <t>Manual de Operaciones</t>
        </is>
      </c>
    </row>
    <row r="438">
      <c r="A438" s="96"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c r="Y438" s="107" t="inlineStr">
        <is>
          <t>Implementado</t>
        </is>
      </c>
      <c r="Z438" s="107" t="inlineStr">
        <is>
          <t>[PR] Prevención</t>
        </is>
      </c>
      <c r="AA438" s="107" t="inlineStr">
        <is>
          <t>L4: Gestionado</t>
        </is>
      </c>
      <c r="AB438" s="107" t="inlineStr">
        <is>
          <t>T2: Fuga de información</t>
        </is>
      </c>
      <c r="AC438" s="107" t="inlineStr">
        <is>
          <t>Manual de Operaciones</t>
        </is>
      </c>
    </row>
    <row r="439">
      <c r="A439" s="96"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c r="Y439" s="107" t="inlineStr">
        <is>
          <t>Implementado</t>
        </is>
      </c>
      <c r="Z439" s="107" t="inlineStr">
        <is>
          <t>[PR] Prevención</t>
        </is>
      </c>
      <c r="AA439" s="107" t="inlineStr">
        <is>
          <t>L5: Optimizado</t>
        </is>
      </c>
      <c r="AB439" s="107" t="inlineStr">
        <is>
          <t>T2: Fuga de información</t>
        </is>
      </c>
      <c r="AC439" s="107" t="inlineStr">
        <is>
          <t>Manual de Operaciones</t>
        </is>
      </c>
    </row>
    <row r="440">
      <c r="A440" s="96"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c r="Y440" s="107" t="inlineStr">
        <is>
          <t>Implementado</t>
        </is>
      </c>
      <c r="Z440" s="107" t="inlineStr">
        <is>
          <t>[PR] Prevención</t>
        </is>
      </c>
      <c r="AA440" s="107" t="inlineStr">
        <is>
          <t>L4: Gestionado</t>
        </is>
      </c>
      <c r="AB440" s="107" t="inlineStr">
        <is>
          <t>T2: Fuga de información</t>
        </is>
      </c>
      <c r="AC440" s="107" t="inlineStr">
        <is>
          <t>Manual de Operaciones</t>
        </is>
      </c>
    </row>
    <row r="441">
      <c r="A441" s="96"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c r="Y441" s="107" t="inlineStr">
        <is>
          <t>Implementado</t>
        </is>
      </c>
      <c r="Z441" s="107" t="inlineStr">
        <is>
          <t>[PR] Prevención</t>
        </is>
      </c>
      <c r="AA441" s="107" t="inlineStr">
        <is>
          <t>L2: Reproducible</t>
        </is>
      </c>
      <c r="AB441" s="107" t="inlineStr">
        <is>
          <t>T2: Fuga de información</t>
        </is>
      </c>
      <c r="AC441" s="107" t="inlineStr">
        <is>
          <t>Manual de Operaciones</t>
        </is>
      </c>
    </row>
    <row r="442">
      <c r="A442" s="96"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c r="Y442" s="107" t="inlineStr">
        <is>
          <t>Implementado</t>
        </is>
      </c>
      <c r="Z442" s="107" t="inlineStr">
        <is>
          <t>[PR] Prevención</t>
        </is>
      </c>
      <c r="AA442" s="107" t="inlineStr">
        <is>
          <t>L2: Reproducible</t>
        </is>
      </c>
      <c r="AB442" s="107" t="inlineStr">
        <is>
          <t>T2: Fuga de información</t>
        </is>
      </c>
      <c r="AC442" s="107" t="inlineStr">
        <is>
          <t>Manual de Operaciones</t>
        </is>
      </c>
    </row>
    <row r="443">
      <c r="A443" s="96"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c r="Y443" s="107" t="inlineStr">
        <is>
          <t>Implementado</t>
        </is>
      </c>
      <c r="Z443" s="107" t="inlineStr">
        <is>
          <t>[PR] Prevención</t>
        </is>
      </c>
      <c r="AA443" s="107" t="inlineStr">
        <is>
          <t>L4: Gestionado</t>
        </is>
      </c>
      <c r="AB443" s="107" t="inlineStr">
        <is>
          <t>T2: Fuga de información</t>
        </is>
      </c>
      <c r="AC443" s="107" t="inlineStr">
        <is>
          <t>Manual de Operaciones</t>
        </is>
      </c>
    </row>
    <row r="444">
      <c r="A444" s="96"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c r="Y444" s="107" t="inlineStr">
        <is>
          <t>Implementado</t>
        </is>
      </c>
      <c r="Z444" s="107" t="inlineStr">
        <is>
          <t>[CR] Corrección</t>
        </is>
      </c>
      <c r="AA444" s="107" t="inlineStr">
        <is>
          <t>L3: Proceso Definido</t>
        </is>
      </c>
      <c r="AB444" s="107" t="inlineStr">
        <is>
          <t>T2: Fuga de información</t>
        </is>
      </c>
      <c r="AC444" s="107" t="inlineStr">
        <is>
          <t>Registro Físico</t>
        </is>
      </c>
    </row>
    <row r="445">
      <c r="A445" s="96"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c r="Y445" s="107" t="inlineStr">
        <is>
          <t>Implementado</t>
        </is>
      </c>
      <c r="Z445" s="107" t="inlineStr">
        <is>
          <t>[PR] Prevención</t>
        </is>
      </c>
      <c r="AA445" s="107" t="inlineStr">
        <is>
          <t>L5: Optimizado</t>
        </is>
      </c>
      <c r="AB445" s="107" t="inlineStr">
        <is>
          <t>T2: Fuga de información</t>
        </is>
      </c>
      <c r="AC445" s="107" t="inlineStr">
        <is>
          <t>Registro Físico</t>
        </is>
      </c>
    </row>
    <row r="446" ht="30.6" customHeight="1" s="103">
      <c r="A446" s="96"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c r="Y446" s="107" t="inlineStr">
        <is>
          <t>En Proceso</t>
        </is>
      </c>
      <c r="Z446" s="107" t="inlineStr">
        <is>
          <t>[PR] Prevención</t>
        </is>
      </c>
      <c r="AA446" s="107" t="inlineStr">
        <is>
          <t>L4: Gestionado</t>
        </is>
      </c>
      <c r="AB446" s="107" t="inlineStr">
        <is>
          <t>T2: Fuga de información</t>
        </is>
      </c>
      <c r="AC446" s="107" t="inlineStr">
        <is>
          <t>Manual de Operaciones</t>
        </is>
      </c>
    </row>
    <row r="447">
      <c r="A447" s="96"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c r="Y447" s="107" t="inlineStr">
        <is>
          <t>Implementado</t>
        </is>
      </c>
      <c r="Z447" s="107" t="inlineStr">
        <is>
          <t>[PR] Prevención</t>
        </is>
      </c>
      <c r="AA447" s="107" t="inlineStr">
        <is>
          <t>L4: Gestionado</t>
        </is>
      </c>
      <c r="AB447" s="107" t="inlineStr">
        <is>
          <t>T2: Fuga de información</t>
        </is>
      </c>
      <c r="AC447" s="107" t="inlineStr">
        <is>
          <t>Manual de Operaciones</t>
        </is>
      </c>
    </row>
    <row r="448">
      <c r="A448" s="96"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c r="Y448" s="107" t="inlineStr">
        <is>
          <t>Planificado</t>
        </is>
      </c>
      <c r="Z448" s="107" t="inlineStr">
        <is>
          <t>[PR] Prevención</t>
        </is>
      </c>
      <c r="AA448" s="107" t="inlineStr">
        <is>
          <t>L5: Optimizado</t>
        </is>
      </c>
      <c r="AB448" s="107" t="inlineStr">
        <is>
          <t>T2: Fuga de información</t>
        </is>
      </c>
      <c r="AC448" s="107" t="inlineStr">
        <is>
          <t>Manual de Operaciones</t>
        </is>
      </c>
    </row>
    <row r="449">
      <c r="A449" s="96"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c r="Y449" s="107" t="inlineStr">
        <is>
          <t>En Proceso</t>
        </is>
      </c>
      <c r="Z449" s="107" t="inlineStr">
        <is>
          <t>[PR] Prevención</t>
        </is>
      </c>
      <c r="AA449" s="107" t="inlineStr">
        <is>
          <t>L5: Optimizado</t>
        </is>
      </c>
      <c r="AB449" s="107" t="inlineStr">
        <is>
          <t>T2: Fuga de información</t>
        </is>
      </c>
      <c r="AC449" s="107" t="inlineStr">
        <is>
          <t>Manual de Operaciones</t>
        </is>
      </c>
    </row>
    <row r="450">
      <c r="A450" s="96"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c r="Y450" s="107" t="inlineStr">
        <is>
          <t>En Proceso</t>
        </is>
      </c>
      <c r="Z450" s="107" t="inlineStr">
        <is>
          <t>[PR] Prevención</t>
        </is>
      </c>
      <c r="AA450" s="107" t="inlineStr">
        <is>
          <t>L5: Optimizado</t>
        </is>
      </c>
      <c r="AB450" s="107" t="inlineStr">
        <is>
          <t>T2: Fuga de información</t>
        </is>
      </c>
      <c r="AC450" s="107" t="inlineStr">
        <is>
          <t>Manual de Operaciones</t>
        </is>
      </c>
    </row>
    <row r="451">
      <c r="A451" s="96"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c r="Y451" s="107" t="inlineStr">
        <is>
          <t>Implementado</t>
        </is>
      </c>
      <c r="Z451" s="107" t="inlineStr">
        <is>
          <t>[PR] Prevención</t>
        </is>
      </c>
      <c r="AA451" s="107" t="inlineStr">
        <is>
          <t>L5: Optimizado</t>
        </is>
      </c>
      <c r="AB451" s="107" t="inlineStr">
        <is>
          <t>T2: Fuga de información</t>
        </is>
      </c>
      <c r="AC451" s="107" t="inlineStr">
        <is>
          <t>Manual de Operaciones</t>
        </is>
      </c>
    </row>
    <row r="452">
      <c r="A452" s="96"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c r="Y452" s="107" t="inlineStr">
        <is>
          <t>Implementado</t>
        </is>
      </c>
      <c r="Z452" s="107" t="inlineStr">
        <is>
          <t>[PR] Prevención</t>
        </is>
      </c>
      <c r="AA452" s="107" t="inlineStr">
        <is>
          <t>L4: Gestionado</t>
        </is>
      </c>
      <c r="AB452" s="107" t="inlineStr">
        <is>
          <t>T2: Fuga de información</t>
        </is>
      </c>
      <c r="AC452" s="107" t="inlineStr">
        <is>
          <t>Manual de Operaciones</t>
        </is>
      </c>
    </row>
    <row r="453">
      <c r="A453" s="96"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c r="Y453" s="107" t="inlineStr">
        <is>
          <t>Implementado</t>
        </is>
      </c>
      <c r="Z453" s="107" t="inlineStr">
        <is>
          <t>[PR] Prevención</t>
        </is>
      </c>
      <c r="AA453" s="107" t="inlineStr">
        <is>
          <t>L4: Gestionado</t>
        </is>
      </c>
      <c r="AB453" s="107" t="inlineStr">
        <is>
          <t>T2: Fuga de información</t>
        </is>
      </c>
      <c r="AC453" s="107" t="inlineStr">
        <is>
          <t>Registro Físico</t>
        </is>
      </c>
    </row>
    <row r="454" ht="12" customHeight="1" s="103">
      <c r="A454" s="96"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c r="Y454" s="107" t="inlineStr">
        <is>
          <t>Implementado</t>
        </is>
      </c>
      <c r="Z454" s="107" t="inlineStr">
        <is>
          <t>[PR] Prevención</t>
        </is>
      </c>
      <c r="AA454" s="107" t="inlineStr">
        <is>
          <t>L4: Gestionado</t>
        </is>
      </c>
      <c r="AB454" s="107" t="inlineStr">
        <is>
          <t>T2: Fuga de información</t>
        </is>
      </c>
      <c r="AC454" s="107" t="inlineStr">
        <is>
          <t>Manual de Operaciones</t>
        </is>
      </c>
    </row>
    <row r="455">
      <c r="A455" s="96"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c r="Y455" s="107" t="inlineStr">
        <is>
          <t>En Proceso</t>
        </is>
      </c>
      <c r="Z455" s="107" t="inlineStr">
        <is>
          <t>[PR] Prevención</t>
        </is>
      </c>
      <c r="AA455" s="107" t="inlineStr">
        <is>
          <t>L4: Gestionado</t>
        </is>
      </c>
      <c r="AB455" s="107" t="inlineStr">
        <is>
          <t>T2: Fuga de información</t>
        </is>
      </c>
      <c r="AC455" s="107" t="inlineStr">
        <is>
          <t>Registro Físico</t>
        </is>
      </c>
    </row>
    <row r="456">
      <c r="A456" s="96"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c r="Y456" s="107" t="inlineStr">
        <is>
          <t>Implementado</t>
        </is>
      </c>
      <c r="Z456" s="107" t="inlineStr">
        <is>
          <t>[PR] Prevención</t>
        </is>
      </c>
      <c r="AA456" s="107" t="inlineStr">
        <is>
          <t>L4: Gestionado</t>
        </is>
      </c>
      <c r="AB456" s="107" t="inlineStr">
        <is>
          <t>T2: Fuga de información</t>
        </is>
      </c>
      <c r="AC456" s="107" t="inlineStr">
        <is>
          <t>Manual de Operaciones</t>
        </is>
      </c>
    </row>
    <row r="457">
      <c r="A457" s="96"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c r="Y457" s="107" t="inlineStr">
        <is>
          <t>Implementado</t>
        </is>
      </c>
      <c r="Z457" s="107" t="inlineStr">
        <is>
          <t>[PR] Prevención</t>
        </is>
      </c>
      <c r="AA457" s="107" t="inlineStr">
        <is>
          <t>L4: Gestionado</t>
        </is>
      </c>
      <c r="AB457" s="107" t="inlineStr">
        <is>
          <t>T2: Fuga de información</t>
        </is>
      </c>
      <c r="AC457" s="107" t="inlineStr">
        <is>
          <t>Manual de Operaciones</t>
        </is>
      </c>
    </row>
    <row r="458">
      <c r="A458" s="96"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c r="Y458" s="107" t="inlineStr">
        <is>
          <t>Implementado</t>
        </is>
      </c>
      <c r="Z458" s="107" t="inlineStr">
        <is>
          <t>[PR] Prevención</t>
        </is>
      </c>
      <c r="AA458" s="107" t="inlineStr">
        <is>
          <t>L4: Gestionado</t>
        </is>
      </c>
      <c r="AB458" s="107" t="inlineStr">
        <is>
          <t>T2: Fuga de información</t>
        </is>
      </c>
      <c r="AC458" s="107" t="inlineStr">
        <is>
          <t>Manual de Operaciones</t>
        </is>
      </c>
    </row>
    <row r="459">
      <c r="A459" s="96"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c r="Y459" s="107" t="inlineStr">
        <is>
          <t>Implementado</t>
        </is>
      </c>
      <c r="Z459" s="107" t="inlineStr">
        <is>
          <t>[PR] Prevención</t>
        </is>
      </c>
      <c r="AA459" s="107" t="inlineStr">
        <is>
          <t>L4: Gestionado</t>
        </is>
      </c>
      <c r="AB459" s="107" t="inlineStr">
        <is>
          <t>T2: Fuga de información</t>
        </is>
      </c>
      <c r="AC459" s="107" t="inlineStr">
        <is>
          <t>Manual de Operaciones</t>
        </is>
      </c>
    </row>
    <row r="460">
      <c r="A460" s="96"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c r="Y460" s="107" t="inlineStr">
        <is>
          <t>Implementado</t>
        </is>
      </c>
      <c r="Z460" s="107" t="inlineStr">
        <is>
          <t>[DR] Disuasión</t>
        </is>
      </c>
      <c r="AA460" s="107" t="inlineStr">
        <is>
          <t>L5: Optimizado</t>
        </is>
      </c>
      <c r="AB460" s="107" t="inlineStr">
        <is>
          <t>T2: Fuga de información</t>
        </is>
      </c>
      <c r="AC460" s="107" t="inlineStr">
        <is>
          <t>Registro Físico</t>
        </is>
      </c>
    </row>
    <row r="461">
      <c r="A461" s="96"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c r="Y461" s="107" t="inlineStr">
        <is>
          <t>Implementado</t>
        </is>
      </c>
      <c r="Z461" s="107" t="inlineStr">
        <is>
          <t>[PR] Prevención</t>
        </is>
      </c>
      <c r="AA461" s="107" t="inlineStr">
        <is>
          <t>L5: Optimizado</t>
        </is>
      </c>
      <c r="AB461" s="107" t="inlineStr">
        <is>
          <t>T2: Fuga de información</t>
        </is>
      </c>
      <c r="AC461" s="107" t="inlineStr">
        <is>
          <t>Manual de Operaciones</t>
        </is>
      </c>
    </row>
    <row r="462">
      <c r="A462" s="96"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c r="Y462" s="107" t="inlineStr">
        <is>
          <t>Implementado</t>
        </is>
      </c>
      <c r="Z462" s="107" t="inlineStr">
        <is>
          <t>[DR] Disuasión</t>
        </is>
      </c>
      <c r="AA462" s="107" t="inlineStr">
        <is>
          <t>L4: Gestionado</t>
        </is>
      </c>
      <c r="AB462" s="107" t="inlineStr">
        <is>
          <t>T2: Fuga de información</t>
        </is>
      </c>
      <c r="AC462" s="107" t="inlineStr">
        <is>
          <t>Registro Físico</t>
        </is>
      </c>
    </row>
    <row r="463">
      <c r="A463" s="96"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c r="Y463" s="107" t="inlineStr">
        <is>
          <t>No Implementado</t>
        </is>
      </c>
      <c r="Z463" s="107" t="inlineStr">
        <is>
          <t>[PR] Prevención</t>
        </is>
      </c>
      <c r="AA463" s="107" t="inlineStr">
        <is>
          <t>L3: Proceso Definido</t>
        </is>
      </c>
      <c r="AB463" s="107" t="inlineStr">
        <is>
          <t>T2: Fuga de información</t>
        </is>
      </c>
      <c r="AC463" s="107" t="inlineStr">
        <is>
          <t>Manual de Operaciones</t>
        </is>
      </c>
    </row>
    <row r="464">
      <c r="A464" s="96"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c r="Y464" s="107" t="inlineStr">
        <is>
          <t>Implementado</t>
        </is>
      </c>
      <c r="Z464" s="107" t="inlineStr">
        <is>
          <t>[PR] Prevención</t>
        </is>
      </c>
      <c r="AA464" s="107" t="inlineStr">
        <is>
          <t>L3: Proceso Definido</t>
        </is>
      </c>
      <c r="AB464" s="107" t="inlineStr">
        <is>
          <t>T2: Fuga de información</t>
        </is>
      </c>
      <c r="AC464" s="107" t="inlineStr">
        <is>
          <t>Manual de Operaciones</t>
        </is>
      </c>
    </row>
    <row r="465" ht="30.6" customHeight="1" s="103">
      <c r="A465" s="96"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c r="Y465" s="107" t="inlineStr">
        <is>
          <t>Implementado</t>
        </is>
      </c>
      <c r="Z465" s="107" t="inlineStr">
        <is>
          <t>[PR] Prevención</t>
        </is>
      </c>
      <c r="AA465" s="107" t="inlineStr">
        <is>
          <t>L3: Proceso Definido</t>
        </is>
      </c>
      <c r="AB465" s="107" t="inlineStr">
        <is>
          <t>T2: Fuga de información</t>
        </is>
      </c>
      <c r="AC465" s="107" t="inlineStr">
        <is>
          <t>Manual de Operaciones</t>
        </is>
      </c>
    </row>
    <row r="466">
      <c r="A466" s="96"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c r="Y466" s="107" t="inlineStr">
        <is>
          <t>Implementado</t>
        </is>
      </c>
      <c r="Z466" s="107" t="inlineStr">
        <is>
          <t>[MN] Monitorización</t>
        </is>
      </c>
      <c r="AA466" s="107" t="inlineStr">
        <is>
          <t>L5: Optimizado</t>
        </is>
      </c>
      <c r="AB466" s="107" t="inlineStr">
        <is>
          <t>T2: Fuga de información</t>
        </is>
      </c>
      <c r="AC466" s="107" t="inlineStr">
        <is>
          <t>Registro Físico</t>
        </is>
      </c>
    </row>
    <row r="467">
      <c r="A467" s="96"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c r="Y467" s="107" t="inlineStr">
        <is>
          <t>Implementado</t>
        </is>
      </c>
      <c r="Z467" s="107" t="inlineStr">
        <is>
          <t>[PR] Prevención</t>
        </is>
      </c>
      <c r="AA467" s="107" t="inlineStr">
        <is>
          <t>L3: Proceso Definido</t>
        </is>
      </c>
      <c r="AB467" s="107" t="inlineStr">
        <is>
          <t>T2: Fuga de información</t>
        </is>
      </c>
      <c r="AC467" s="107" t="inlineStr">
        <is>
          <t>Registro Físico</t>
        </is>
      </c>
    </row>
    <row r="468">
      <c r="A468" s="96"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c r="Y468" s="107" t="inlineStr">
        <is>
          <t>Implementado</t>
        </is>
      </c>
      <c r="Z468" s="107" t="inlineStr">
        <is>
          <t>[PR] Prevención</t>
        </is>
      </c>
      <c r="AA468" s="107" t="inlineStr">
        <is>
          <t>L2: Reproducible</t>
        </is>
      </c>
      <c r="AB468" s="107" t="inlineStr">
        <is>
          <t>T2: Fuga de información</t>
        </is>
      </c>
      <c r="AC468" s="107" t="inlineStr">
        <is>
          <t>Manual de Operaciones</t>
        </is>
      </c>
    </row>
    <row r="469">
      <c r="A469" s="96"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c r="Y469" s="107" t="inlineStr">
        <is>
          <t>Implementado</t>
        </is>
      </c>
      <c r="Z469" s="107" t="inlineStr">
        <is>
          <t>[PR] Prevención</t>
        </is>
      </c>
      <c r="AA469" s="107" t="inlineStr">
        <is>
          <t>L3: Proceso Definido</t>
        </is>
      </c>
      <c r="AB469" s="107" t="inlineStr">
        <is>
          <t>T2: Fuga de información</t>
        </is>
      </c>
      <c r="AC469" s="107" t="inlineStr">
        <is>
          <t>Manual de Operaciones</t>
        </is>
      </c>
    </row>
    <row r="470">
      <c r="A470" s="96"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c r="Y470" s="107" t="inlineStr">
        <is>
          <t>No Implementado</t>
        </is>
      </c>
      <c r="Z470" s="107" t="inlineStr">
        <is>
          <t>[RC] Recuperación</t>
        </is>
      </c>
      <c r="AA470" s="107" t="inlineStr">
        <is>
          <t>L2: Reproducible</t>
        </is>
      </c>
      <c r="AB470" s="107" t="inlineStr">
        <is>
          <t>T2: Fuga de información</t>
        </is>
      </c>
      <c r="AC470" s="107" t="inlineStr">
        <is>
          <t>Registro Físico</t>
        </is>
      </c>
    </row>
    <row r="471">
      <c r="A471" s="96"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c r="Y471" s="107" t="inlineStr">
        <is>
          <t>Planificado</t>
        </is>
      </c>
      <c r="Z471" s="107" t="inlineStr">
        <is>
          <t>[PR] Prevención</t>
        </is>
      </c>
      <c r="AA471" s="107" t="inlineStr">
        <is>
          <t>L2: Reproducible</t>
        </is>
      </c>
      <c r="AB471" s="107" t="inlineStr">
        <is>
          <t>T2: Fuga de información</t>
        </is>
      </c>
      <c r="AC471" s="107" t="inlineStr">
        <is>
          <t>Manual de Operaciones</t>
        </is>
      </c>
    </row>
    <row r="472">
      <c r="A472" s="96"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c r="Y472" s="107" t="inlineStr">
        <is>
          <t>No Implementado</t>
        </is>
      </c>
      <c r="Z472" s="107" t="inlineStr">
        <is>
          <t>[DC] Detección</t>
        </is>
      </c>
      <c r="AA472" s="107" t="inlineStr">
        <is>
          <t>L5: Optimizado</t>
        </is>
      </c>
      <c r="AB472" s="107" t="inlineStr">
        <is>
          <t>T2: Fuga de información</t>
        </is>
      </c>
      <c r="AC472" s="107" t="inlineStr">
        <is>
          <t>Registro Físico</t>
        </is>
      </c>
    </row>
    <row r="473">
      <c r="A473" s="96"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c r="Y473" s="107" t="inlineStr">
        <is>
          <t>Implementado</t>
        </is>
      </c>
      <c r="Z473" s="107" t="inlineStr">
        <is>
          <t>[EL] Eliminación</t>
        </is>
      </c>
      <c r="AA473" s="107" t="inlineStr">
        <is>
          <t>L2: Reproducible</t>
        </is>
      </c>
      <c r="AB473" s="107" t="inlineStr">
        <is>
          <t>T2: Fuga de información</t>
        </is>
      </c>
      <c r="AC473" s="107" t="inlineStr">
        <is>
          <t>Registro Físico</t>
        </is>
      </c>
    </row>
    <row r="474">
      <c r="A474" s="96"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c r="Y474" s="107" t="inlineStr">
        <is>
          <t>Implementado</t>
        </is>
      </c>
      <c r="Z474" s="107" t="inlineStr">
        <is>
          <t>[PR] Prevención</t>
        </is>
      </c>
      <c r="AA474" s="107" t="inlineStr">
        <is>
          <t>L5: Optimizado</t>
        </is>
      </c>
      <c r="AB474" s="107" t="inlineStr">
        <is>
          <t>T2: Fuga de información</t>
        </is>
      </c>
      <c r="AC474" s="107" t="inlineStr">
        <is>
          <t>Manual de Operaciones</t>
        </is>
      </c>
    </row>
    <row r="475">
      <c r="A475" s="96"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c r="Y475" s="107" t="inlineStr">
        <is>
          <t>Implementado</t>
        </is>
      </c>
      <c r="Z475" s="107" t="inlineStr">
        <is>
          <t>[PR] Prevención</t>
        </is>
      </c>
      <c r="AA475" s="107" t="inlineStr">
        <is>
          <t>L3: Proceso Definido</t>
        </is>
      </c>
      <c r="AB475" s="107" t="inlineStr">
        <is>
          <t>T2: Fuga de información</t>
        </is>
      </c>
      <c r="AC475" s="107" t="inlineStr">
        <is>
          <t>Manual de Operaciones</t>
        </is>
      </c>
    </row>
    <row r="476">
      <c r="A476" s="96"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c r="Y476" s="107" t="inlineStr">
        <is>
          <t>En Proceso</t>
        </is>
      </c>
      <c r="Z476" s="107" t="inlineStr">
        <is>
          <t>[PR] Prevención</t>
        </is>
      </c>
      <c r="AA476" s="107" t="inlineStr">
        <is>
          <t>L4: Gestionado</t>
        </is>
      </c>
      <c r="AB476" s="107" t="inlineStr">
        <is>
          <t>T2: Fuga de información</t>
        </is>
      </c>
      <c r="AC476" s="107" t="inlineStr">
        <is>
          <t>Manual de Operaciones</t>
        </is>
      </c>
    </row>
    <row r="477">
      <c r="A477" s="96"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c r="Y477" s="107" t="inlineStr">
        <is>
          <t>Implementado</t>
        </is>
      </c>
      <c r="Z477" s="107" t="inlineStr">
        <is>
          <t>[PR] Prevención</t>
        </is>
      </c>
      <c r="AA477" s="107" t="inlineStr">
        <is>
          <t>L2: Reproducible</t>
        </is>
      </c>
      <c r="AB477" s="107" t="inlineStr">
        <is>
          <t>T2: Fuga de información</t>
        </is>
      </c>
      <c r="AC477" s="107" t="inlineStr">
        <is>
          <t>Manual de Operaciones</t>
        </is>
      </c>
    </row>
    <row r="478">
      <c r="A478" s="96"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c r="Y478" s="107" t="inlineStr">
        <is>
          <t>Implementado</t>
        </is>
      </c>
      <c r="Z478" s="107" t="inlineStr">
        <is>
          <t>[PR] Prevención</t>
        </is>
      </c>
      <c r="AA478" s="107" t="inlineStr">
        <is>
          <t>L2: Reproducible</t>
        </is>
      </c>
      <c r="AB478" s="107" t="inlineStr">
        <is>
          <t>T2: Fuga de información</t>
        </is>
      </c>
      <c r="AC478" s="107" t="inlineStr">
        <is>
          <t>Manual de Operaciones</t>
        </is>
      </c>
    </row>
    <row r="479">
      <c r="A479" s="96"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c r="Y479" s="107" t="inlineStr">
        <is>
          <t>Implementado</t>
        </is>
      </c>
      <c r="Z479" s="107" t="inlineStr">
        <is>
          <t>[DC] Detección</t>
        </is>
      </c>
      <c r="AA479" s="107" t="inlineStr">
        <is>
          <t>L5: Optimizado</t>
        </is>
      </c>
      <c r="AB479" s="107" t="inlineStr">
        <is>
          <t>T2: Fuga de información</t>
        </is>
      </c>
      <c r="AC479" s="107" t="inlineStr">
        <is>
          <t>Registro Físico</t>
        </is>
      </c>
    </row>
    <row r="480">
      <c r="A480" s="96"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c r="Y480" s="107" t="inlineStr">
        <is>
          <t>Implementado</t>
        </is>
      </c>
      <c r="Z480" s="107" t="inlineStr">
        <is>
          <t>[RC] Recuperación</t>
        </is>
      </c>
      <c r="AA480" s="107" t="inlineStr">
        <is>
          <t>L2: Reproducible</t>
        </is>
      </c>
      <c r="AB480" s="107" t="inlineStr">
        <is>
          <t>T2: Fuga de información</t>
        </is>
      </c>
      <c r="AC480" s="107" t="inlineStr">
        <is>
          <t>Registro Físico</t>
        </is>
      </c>
    </row>
    <row r="481">
      <c r="A481" s="96"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c r="Y481" s="107" t="inlineStr">
        <is>
          <t>En Proceso</t>
        </is>
      </c>
      <c r="Z481" s="107" t="inlineStr">
        <is>
          <t>[PR] Prevención</t>
        </is>
      </c>
      <c r="AA481" s="107" t="inlineStr">
        <is>
          <t>L5: Optimizado</t>
        </is>
      </c>
      <c r="AB481" s="107" t="inlineStr">
        <is>
          <t>T2: Fuga de información</t>
        </is>
      </c>
      <c r="AC481" s="107" t="inlineStr">
        <is>
          <t>Manual de Operaciones</t>
        </is>
      </c>
    </row>
    <row r="482">
      <c r="A482" s="96"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c r="Y482" s="107" t="inlineStr">
        <is>
          <t>No Implementado</t>
        </is>
      </c>
      <c r="Z482" s="107" t="inlineStr">
        <is>
          <t>[RC] Recuperación</t>
        </is>
      </c>
      <c r="AA482" s="107" t="inlineStr">
        <is>
          <t>L3: Proceso Definido</t>
        </is>
      </c>
      <c r="AB482" s="107" t="inlineStr">
        <is>
          <t>T2: Fuga de información</t>
        </is>
      </c>
      <c r="AC482" s="107" t="inlineStr">
        <is>
          <t>Registro Físico</t>
        </is>
      </c>
    </row>
    <row r="483">
      <c r="A483" s="96"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c r="Y483" s="107" t="inlineStr">
        <is>
          <t>Implementado</t>
        </is>
      </c>
      <c r="Z483" s="107" t="inlineStr">
        <is>
          <t>[PR] Prevención</t>
        </is>
      </c>
      <c r="AA483" s="107" t="inlineStr">
        <is>
          <t>L5: Optimizado</t>
        </is>
      </c>
      <c r="AB483" s="107" t="inlineStr">
        <is>
          <t>T2: Fuga de información</t>
        </is>
      </c>
      <c r="AC483" s="107" t="inlineStr">
        <is>
          <t>Manual de Operaciones</t>
        </is>
      </c>
    </row>
    <row r="484">
      <c r="A484" s="96"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c r="Y484" s="107" t="inlineStr">
        <is>
          <t>Implementado</t>
        </is>
      </c>
      <c r="Z484" s="107" t="inlineStr">
        <is>
          <t>[DC] Detección</t>
        </is>
      </c>
      <c r="AA484" s="107" t="inlineStr">
        <is>
          <t>L5: Optimizado</t>
        </is>
      </c>
      <c r="AB484" s="107" t="inlineStr">
        <is>
          <t>T2: Fuga de información</t>
        </is>
      </c>
      <c r="AC484" s="107" t="inlineStr">
        <is>
          <t>Registro Físico</t>
        </is>
      </c>
    </row>
    <row r="485">
      <c r="A485" s="96"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c r="Y485" s="107" t="inlineStr">
        <is>
          <t>Implementado</t>
        </is>
      </c>
      <c r="Z485" s="107" t="inlineStr">
        <is>
          <t>[CR] Corrección</t>
        </is>
      </c>
      <c r="AA485" s="107" t="inlineStr">
        <is>
          <t>L3: Proceso Definido</t>
        </is>
      </c>
      <c r="AB485" s="107" t="inlineStr">
        <is>
          <t>T2: Fuga de información</t>
        </is>
      </c>
      <c r="AC485" s="107" t="inlineStr">
        <is>
          <t>Registro Físico</t>
        </is>
      </c>
    </row>
    <row r="486">
      <c r="A486" s="96"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c r="Y486" s="107" t="inlineStr">
        <is>
          <t>Implementado</t>
        </is>
      </c>
      <c r="Z486" s="107" t="inlineStr">
        <is>
          <t>[PR] Prevención</t>
        </is>
      </c>
      <c r="AA486" s="107" t="inlineStr">
        <is>
          <t>L4: Gestionado</t>
        </is>
      </c>
      <c r="AB486" s="107" t="inlineStr">
        <is>
          <t>T2: Fuga de información</t>
        </is>
      </c>
      <c r="AC486" s="107" t="inlineStr">
        <is>
          <t>Manual de Operaciones</t>
        </is>
      </c>
    </row>
    <row r="487">
      <c r="A487" s="96"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c r="Y487" s="107" t="inlineStr">
        <is>
          <t>Implementado</t>
        </is>
      </c>
      <c r="Z487" s="107" t="inlineStr">
        <is>
          <t>[PR] Prevención</t>
        </is>
      </c>
      <c r="AA487" s="107" t="inlineStr">
        <is>
          <t>L3: Proceso Definido</t>
        </is>
      </c>
      <c r="AB487" s="107" t="inlineStr">
        <is>
          <t>T2: Fuga de información</t>
        </is>
      </c>
      <c r="AC487" s="107" t="inlineStr">
        <is>
          <t>Manual de Operaciones</t>
        </is>
      </c>
    </row>
    <row r="488">
      <c r="A488" s="96"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c r="Y488" s="107" t="inlineStr">
        <is>
          <t>Implementado</t>
        </is>
      </c>
      <c r="Z488" s="107" t="inlineStr">
        <is>
          <t>[CR] Corrección</t>
        </is>
      </c>
      <c r="AA488" s="107" t="inlineStr">
        <is>
          <t>L5: Optimizado</t>
        </is>
      </c>
      <c r="AB488" s="107" t="inlineStr">
        <is>
          <t>T2: Fuga de información</t>
        </is>
      </c>
      <c r="AC488" s="107" t="inlineStr">
        <is>
          <t>Registro Físico</t>
        </is>
      </c>
    </row>
    <row r="489">
      <c r="A489" s="96"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c r="Y489" s="107" t="inlineStr">
        <is>
          <t>Implementado</t>
        </is>
      </c>
      <c r="Z489" s="107" t="inlineStr">
        <is>
          <t>[EL] Eliminación</t>
        </is>
      </c>
      <c r="AA489" s="107" t="inlineStr">
        <is>
          <t>L4: Gestionado</t>
        </is>
      </c>
      <c r="AB489" s="107" t="inlineStr">
        <is>
          <t>T2: Fuga de información</t>
        </is>
      </c>
      <c r="AC489" s="107" t="inlineStr">
        <is>
          <t>Registro Físico</t>
        </is>
      </c>
    </row>
    <row r="490">
      <c r="A490" s="96"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c r="Y490" s="107" t="inlineStr">
        <is>
          <t>Implementado</t>
        </is>
      </c>
      <c r="Z490" s="107" t="inlineStr">
        <is>
          <t>[DC] Detección</t>
        </is>
      </c>
      <c r="AA490" s="107" t="inlineStr">
        <is>
          <t>L4: Gestionado</t>
        </is>
      </c>
      <c r="AB490" s="107" t="inlineStr">
        <is>
          <t>T2: Fuga de información</t>
        </is>
      </c>
      <c r="AC490" s="107" t="inlineStr">
        <is>
          <t>Registro Físico</t>
        </is>
      </c>
    </row>
    <row r="491">
      <c r="A491" s="96"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c r="Y491" s="107" t="inlineStr">
        <is>
          <t>Implementado</t>
        </is>
      </c>
      <c r="Z491" s="107" t="inlineStr">
        <is>
          <t>[PR] Prevención</t>
        </is>
      </c>
      <c r="AA491" s="107" t="inlineStr">
        <is>
          <t>L5: Optimizado</t>
        </is>
      </c>
      <c r="AB491" s="107" t="inlineStr">
        <is>
          <t>T2: Fuga de información</t>
        </is>
      </c>
      <c r="AC491" s="107" t="inlineStr">
        <is>
          <t>Registro Físico</t>
        </is>
      </c>
    </row>
    <row r="492">
      <c r="A492" s="96"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c r="Y492" s="107" t="inlineStr">
        <is>
          <t>En Proceso</t>
        </is>
      </c>
      <c r="Z492" s="107" t="inlineStr">
        <is>
          <t>[PR] Prevención</t>
        </is>
      </c>
      <c r="AA492" s="107" t="inlineStr">
        <is>
          <t>L3: Proceso Definido</t>
        </is>
      </c>
      <c r="AB492" s="107" t="inlineStr">
        <is>
          <t>T2: Fuga de información</t>
        </is>
      </c>
      <c r="AC492" s="107" t="inlineStr">
        <is>
          <t>Manual de Operaciones</t>
        </is>
      </c>
    </row>
    <row r="493">
      <c r="A493" s="96"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c r="Y493" s="107" t="inlineStr">
        <is>
          <t>Implementado</t>
        </is>
      </c>
      <c r="Z493" s="107" t="inlineStr">
        <is>
          <t>[PR] Prevención</t>
        </is>
      </c>
      <c r="AA493" s="107" t="inlineStr">
        <is>
          <t>L5: Optimizado</t>
        </is>
      </c>
      <c r="AB493" s="107" t="inlineStr">
        <is>
          <t>T2: Fuga de información</t>
        </is>
      </c>
      <c r="AC493" s="107" t="inlineStr">
        <is>
          <t>Manual de Operaciones</t>
        </is>
      </c>
    </row>
    <row r="494">
      <c r="A494" s="96"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c r="Y494" s="107" t="inlineStr">
        <is>
          <t>Implementado</t>
        </is>
      </c>
      <c r="Z494" s="107" t="inlineStr">
        <is>
          <t>[PR] Prevención</t>
        </is>
      </c>
      <c r="AA494" s="107" t="inlineStr">
        <is>
          <t>L5: Optimizado</t>
        </is>
      </c>
      <c r="AB494" s="107" t="inlineStr">
        <is>
          <t>T2: Fuga de información</t>
        </is>
      </c>
      <c r="AC494" s="107" t="inlineStr">
        <is>
          <t>Manual de Operaciones</t>
        </is>
      </c>
    </row>
    <row r="495">
      <c r="A495" s="96"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c r="Y495" s="107" t="inlineStr">
        <is>
          <t>Implementado</t>
        </is>
      </c>
      <c r="Z495" s="107" t="inlineStr">
        <is>
          <t>[CR] Corrección</t>
        </is>
      </c>
      <c r="AA495" s="107" t="inlineStr">
        <is>
          <t>L5: Optimizado</t>
        </is>
      </c>
      <c r="AB495" s="107" t="inlineStr">
        <is>
          <t>T2: Fuga de información</t>
        </is>
      </c>
      <c r="AC495" s="107" t="inlineStr">
        <is>
          <t>Registro Físico</t>
        </is>
      </c>
    </row>
    <row r="496">
      <c r="A496" s="96"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c r="Y496" s="107" t="inlineStr">
        <is>
          <t>No Implementado</t>
        </is>
      </c>
      <c r="Z496" s="107" t="inlineStr">
        <is>
          <t>[DC] Detección</t>
        </is>
      </c>
      <c r="AA496" s="107" t="inlineStr">
        <is>
          <t>L3: Proceso Definido</t>
        </is>
      </c>
      <c r="AB496" s="107" t="inlineStr">
        <is>
          <t>T2: Fuga de información</t>
        </is>
      </c>
      <c r="AC496" s="107" t="inlineStr">
        <is>
          <t>Registro Físico</t>
        </is>
      </c>
    </row>
    <row r="497">
      <c r="A497" s="96"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c r="Y497" s="107" t="inlineStr">
        <is>
          <t>Implementado</t>
        </is>
      </c>
      <c r="Z497" s="107" t="inlineStr">
        <is>
          <t>[PR] Prevención</t>
        </is>
      </c>
      <c r="AA497" s="107" t="inlineStr">
        <is>
          <t>L5: Optimizado</t>
        </is>
      </c>
      <c r="AB497" s="107" t="inlineStr">
        <is>
          <t>T2: Fuga de información</t>
        </is>
      </c>
      <c r="AC497" s="107" t="inlineStr">
        <is>
          <t>Manual de Operaciones</t>
        </is>
      </c>
    </row>
    <row r="498">
      <c r="A498" s="96"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c r="Y498" s="107" t="inlineStr">
        <is>
          <t>No Implementado</t>
        </is>
      </c>
      <c r="Z498" s="107" t="inlineStr">
        <is>
          <t>[PR] Prevención</t>
        </is>
      </c>
      <c r="AA498" s="107" t="inlineStr">
        <is>
          <t>L2: Reproducible</t>
        </is>
      </c>
      <c r="AB498" s="107" t="inlineStr">
        <is>
          <t>T2: Fuga de información</t>
        </is>
      </c>
      <c r="AC498" s="107" t="inlineStr">
        <is>
          <t>Manual de Operaciones</t>
        </is>
      </c>
    </row>
    <row r="499">
      <c r="A499" s="96"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c r="Y499" s="107" t="inlineStr">
        <is>
          <t>No Implementado</t>
        </is>
      </c>
      <c r="Z499" s="107" t="inlineStr">
        <is>
          <t>[PR] Prevención</t>
        </is>
      </c>
      <c r="AA499" s="107" t="inlineStr">
        <is>
          <t>L2: Reproducible</t>
        </is>
      </c>
      <c r="AB499" s="107" t="inlineStr">
        <is>
          <t>T2: Fuga de información</t>
        </is>
      </c>
      <c r="AC499" s="107" t="inlineStr">
        <is>
          <t>Manual de Operaciones</t>
        </is>
      </c>
    </row>
    <row r="500">
      <c r="A500" s="96"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c r="Y500" s="107" t="inlineStr">
        <is>
          <t>Planificado</t>
        </is>
      </c>
      <c r="Z500" s="107" t="inlineStr">
        <is>
          <t>[PR] Prevención</t>
        </is>
      </c>
      <c r="AA500" s="107" t="inlineStr">
        <is>
          <t>L2: Reproducible</t>
        </is>
      </c>
      <c r="AB500" s="107" t="inlineStr">
        <is>
          <t>T2: Fuga de información</t>
        </is>
      </c>
      <c r="AC500" s="107" t="inlineStr">
        <is>
          <t>Manual de Operaciones</t>
        </is>
      </c>
    </row>
    <row r="501">
      <c r="A501" s="96"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c r="Y501" s="107" t="inlineStr">
        <is>
          <t>Implementado</t>
        </is>
      </c>
      <c r="Z501" s="107" t="inlineStr">
        <is>
          <t>[IM] Minimización</t>
        </is>
      </c>
      <c r="AA501" s="107" t="inlineStr">
        <is>
          <t>L2: Reproducible</t>
        </is>
      </c>
      <c r="AB501" s="107" t="inlineStr">
        <is>
          <t>T2: Fuga de información</t>
        </is>
      </c>
      <c r="AC501" s="107" t="inlineStr">
        <is>
          <t>Registro Físico</t>
        </is>
      </c>
    </row>
    <row r="502">
      <c r="A502" s="96"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c r="Y502" s="107" t="inlineStr">
        <is>
          <t>Implementado</t>
        </is>
      </c>
      <c r="Z502" s="107" t="inlineStr">
        <is>
          <t>[DR] Disuasión</t>
        </is>
      </c>
      <c r="AA502" s="107" t="inlineStr">
        <is>
          <t>L4: Gestionado</t>
        </is>
      </c>
      <c r="AB502" s="107" t="inlineStr">
        <is>
          <t>T2: Fuga de información</t>
        </is>
      </c>
      <c r="AC502" s="107" t="inlineStr">
        <is>
          <t>Registro Físico</t>
        </is>
      </c>
    </row>
    <row r="503">
      <c r="A503" s="96"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c r="Y503" s="107" t="inlineStr">
        <is>
          <t>Implementado</t>
        </is>
      </c>
      <c r="Z503" s="107" t="inlineStr">
        <is>
          <t>[CR] Corrección</t>
        </is>
      </c>
      <c r="AA503" s="107" t="inlineStr">
        <is>
          <t>L3: Proceso Definido</t>
        </is>
      </c>
      <c r="AB503" s="107" t="inlineStr">
        <is>
          <t>T2: Fuga de información</t>
        </is>
      </c>
      <c r="AC503" s="107" t="inlineStr">
        <is>
          <t>Registro Físico</t>
        </is>
      </c>
    </row>
    <row r="504">
      <c r="A504" s="96"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c r="Y504" s="107" t="inlineStr">
        <is>
          <t>Implementado</t>
        </is>
      </c>
      <c r="Z504" s="107" t="inlineStr">
        <is>
          <t>[PR] Prevención</t>
        </is>
      </c>
      <c r="AA504" s="107" t="inlineStr">
        <is>
          <t>L2: Reproducible</t>
        </is>
      </c>
      <c r="AB504" s="107" t="inlineStr">
        <is>
          <t>T2: Fuga de información</t>
        </is>
      </c>
      <c r="AC504" s="107" t="inlineStr">
        <is>
          <t>Manual de Operaciones</t>
        </is>
      </c>
    </row>
    <row r="505">
      <c r="A505" s="96"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c r="Y505" s="107" t="inlineStr">
        <is>
          <t>Planificado</t>
        </is>
      </c>
      <c r="Z505" s="107" t="inlineStr">
        <is>
          <t>[MN] Monitorización</t>
        </is>
      </c>
      <c r="AA505" s="107" t="inlineStr">
        <is>
          <t>L2: Reproducible</t>
        </is>
      </c>
      <c r="AB505" s="107" t="inlineStr">
        <is>
          <t>T2: Fuga de información</t>
        </is>
      </c>
      <c r="AC505" s="107" t="inlineStr">
        <is>
          <t>Registro Físico</t>
        </is>
      </c>
    </row>
    <row r="506">
      <c r="A506" s="96"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c r="Y506" s="107" t="inlineStr">
        <is>
          <t>Implementado</t>
        </is>
      </c>
      <c r="Z506" s="107" t="inlineStr">
        <is>
          <t>[EL] Eliminación</t>
        </is>
      </c>
      <c r="AA506" s="107" t="inlineStr">
        <is>
          <t>L3: Proceso Definido</t>
        </is>
      </c>
      <c r="AB506" s="107" t="inlineStr">
        <is>
          <t>T2: Fuga de información</t>
        </is>
      </c>
      <c r="AC506" s="107" t="inlineStr">
        <is>
          <t>Registro Físico</t>
        </is>
      </c>
    </row>
    <row r="507">
      <c r="A507" s="96"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c r="Y507" s="107" t="inlineStr">
        <is>
          <t>Implementado</t>
        </is>
      </c>
      <c r="Z507" s="107" t="inlineStr">
        <is>
          <t>[PR] Prevención</t>
        </is>
      </c>
      <c r="AA507" s="107" t="inlineStr">
        <is>
          <t>L2: Reproducible</t>
        </is>
      </c>
      <c r="AB507" s="107" t="inlineStr">
        <is>
          <t>T2: Fuga de información</t>
        </is>
      </c>
      <c r="AC507" s="107" t="inlineStr">
        <is>
          <t>Manual de Operaciones</t>
        </is>
      </c>
    </row>
    <row r="508">
      <c r="A508" s="96"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c r="Y508" s="107" t="inlineStr">
        <is>
          <t>Implementado</t>
        </is>
      </c>
      <c r="Z508" s="107" t="inlineStr">
        <is>
          <t>[PR] Prevención</t>
        </is>
      </c>
      <c r="AA508" s="107" t="inlineStr">
        <is>
          <t>L4: Gestionado</t>
        </is>
      </c>
      <c r="AB508" s="107" t="inlineStr">
        <is>
          <t>T2: Fuga de información</t>
        </is>
      </c>
      <c r="AC508" s="107" t="inlineStr">
        <is>
          <t>Manual de Operaciones</t>
        </is>
      </c>
    </row>
    <row r="509">
      <c r="A509" s="96"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c r="Y509" s="107" t="inlineStr">
        <is>
          <t>Planificado</t>
        </is>
      </c>
      <c r="Z509" s="107" t="inlineStr">
        <is>
          <t>[PR] Prevención</t>
        </is>
      </c>
      <c r="AA509" s="107" t="inlineStr">
        <is>
          <t>L3: Proceso Definido</t>
        </is>
      </c>
      <c r="AB509" s="107" t="inlineStr">
        <is>
          <t>T2: Fuga de información</t>
        </is>
      </c>
      <c r="AC509" s="107" t="inlineStr">
        <is>
          <t>Manual de Operaciones</t>
        </is>
      </c>
    </row>
    <row r="510">
      <c r="A510" s="96"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c r="Y510" s="107" t="inlineStr">
        <is>
          <t>Implementado</t>
        </is>
      </c>
      <c r="Z510" s="107" t="inlineStr">
        <is>
          <t>[PR] Prevención</t>
        </is>
      </c>
      <c r="AA510" s="107" t="inlineStr">
        <is>
          <t>L4: Gestionado</t>
        </is>
      </c>
      <c r="AB510" s="107" t="inlineStr">
        <is>
          <t>T2: Fuga de información</t>
        </is>
      </c>
      <c r="AC510" s="107" t="inlineStr">
        <is>
          <t>Manual de Operaciones</t>
        </is>
      </c>
    </row>
    <row r="511">
      <c r="A511" s="96"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c r="Y511" s="107" t="inlineStr">
        <is>
          <t>Planificado</t>
        </is>
      </c>
      <c r="Z511" s="107" t="inlineStr">
        <is>
          <t>[PR] Prevención</t>
        </is>
      </c>
      <c r="AA511" s="107" t="inlineStr">
        <is>
          <t>L4: Gestionado</t>
        </is>
      </c>
      <c r="AB511" s="107" t="inlineStr">
        <is>
          <t>T2: Fuga de información</t>
        </is>
      </c>
      <c r="AC511" s="107" t="inlineStr">
        <is>
          <t>Manual de Operaciones</t>
        </is>
      </c>
    </row>
    <row r="512">
      <c r="A512" s="96"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c r="Y512" s="107" t="inlineStr">
        <is>
          <t>Implementado</t>
        </is>
      </c>
      <c r="Z512" s="107" t="inlineStr">
        <is>
          <t>[PR] Prevención</t>
        </is>
      </c>
      <c r="AA512" s="107" t="inlineStr">
        <is>
          <t>L5: Optimizado</t>
        </is>
      </c>
      <c r="AB512" s="107" t="inlineStr">
        <is>
          <t>T2: Fuga de información</t>
        </is>
      </c>
      <c r="AC512" s="107" t="inlineStr">
        <is>
          <t>Manual de Operaciones</t>
        </is>
      </c>
    </row>
    <row r="513">
      <c r="A513" s="96"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c r="Y513" s="107" t="inlineStr">
        <is>
          <t>Planificado</t>
        </is>
      </c>
      <c r="Z513" s="107" t="inlineStr">
        <is>
          <t>[PR] Prevención</t>
        </is>
      </c>
      <c r="AA513" s="107" t="inlineStr">
        <is>
          <t>L4: Gestionado</t>
        </is>
      </c>
      <c r="AB513" s="107" t="inlineStr">
        <is>
          <t>T2: Fuga de información</t>
        </is>
      </c>
      <c r="AC513" s="107" t="inlineStr">
        <is>
          <t>Manual de Operaciones</t>
        </is>
      </c>
    </row>
    <row r="514">
      <c r="A514" s="96"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c r="Y514" s="107" t="inlineStr">
        <is>
          <t>Implementado</t>
        </is>
      </c>
      <c r="Z514" s="107" t="inlineStr">
        <is>
          <t>[PR] Prevención</t>
        </is>
      </c>
      <c r="AA514" s="107" t="inlineStr">
        <is>
          <t>L5: Optimizado</t>
        </is>
      </c>
      <c r="AB514" s="107" t="inlineStr">
        <is>
          <t>T2: Fuga de información</t>
        </is>
      </c>
      <c r="AC514" s="107" t="inlineStr">
        <is>
          <t>Manual de Operaciones</t>
        </is>
      </c>
    </row>
    <row r="515">
      <c r="A515" s="96"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c r="Y515" s="107" t="inlineStr">
        <is>
          <t>En Proceso</t>
        </is>
      </c>
      <c r="Z515" s="107" t="inlineStr">
        <is>
          <t>[PR] Prevención</t>
        </is>
      </c>
      <c r="AA515" s="107" t="inlineStr">
        <is>
          <t>L5: Optimizado</t>
        </is>
      </c>
      <c r="AB515" s="107" t="inlineStr">
        <is>
          <t>T2: Fuga de información</t>
        </is>
      </c>
      <c r="AC515" s="107" t="inlineStr">
        <is>
          <t>Manual de Operaciones</t>
        </is>
      </c>
    </row>
    <row r="516">
      <c r="A516" s="96"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c r="Y516" s="107" t="inlineStr">
        <is>
          <t>Planificado</t>
        </is>
      </c>
      <c r="Z516" s="107" t="inlineStr">
        <is>
          <t>[PR] Prevención</t>
        </is>
      </c>
      <c r="AA516" s="107" t="inlineStr">
        <is>
          <t>L4: Gestionado</t>
        </is>
      </c>
      <c r="AB516" s="107" t="inlineStr">
        <is>
          <t>T2: Fuga de información</t>
        </is>
      </c>
      <c r="AC516" s="107" t="inlineStr">
        <is>
          <t>Manual de Operaciones</t>
        </is>
      </c>
    </row>
    <row r="517">
      <c r="A517" s="96"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c r="Y517" s="107" t="inlineStr">
        <is>
          <t>Implementado</t>
        </is>
      </c>
      <c r="Z517" s="107" t="inlineStr">
        <is>
          <t>[PR] Prevención</t>
        </is>
      </c>
      <c r="AA517" s="107" t="inlineStr">
        <is>
          <t>L5: Optimizado</t>
        </is>
      </c>
      <c r="AB517" s="107" t="inlineStr">
        <is>
          <t>T2: Fuga de información</t>
        </is>
      </c>
      <c r="AC517" s="107" t="inlineStr">
        <is>
          <t>Manual de Operaciones</t>
        </is>
      </c>
    </row>
    <row r="518">
      <c r="A518" s="96"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c r="Y518" s="107" t="inlineStr">
        <is>
          <t>En Proceso</t>
        </is>
      </c>
      <c r="Z518" s="107" t="inlineStr">
        <is>
          <t>[PR] Prevención</t>
        </is>
      </c>
      <c r="AA518" s="107" t="inlineStr">
        <is>
          <t>L4: Gestionado</t>
        </is>
      </c>
      <c r="AB518" s="107" t="inlineStr">
        <is>
          <t>T2: Fuga de información</t>
        </is>
      </c>
      <c r="AC518" s="107" t="inlineStr">
        <is>
          <t>Manual de Operaciones</t>
        </is>
      </c>
    </row>
    <row r="519">
      <c r="A519" s="96"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c r="Y519" s="107" t="inlineStr">
        <is>
          <t>Implementado</t>
        </is>
      </c>
      <c r="Z519" s="107" t="inlineStr">
        <is>
          <t>[DC] Detección</t>
        </is>
      </c>
      <c r="AA519" s="107" t="inlineStr">
        <is>
          <t>L2: Reproducible</t>
        </is>
      </c>
      <c r="AB519" s="107" t="inlineStr">
        <is>
          <t>T2: Fuga de información</t>
        </is>
      </c>
      <c r="AC519" s="107" t="inlineStr">
        <is>
          <t>Registro Físico</t>
        </is>
      </c>
    </row>
    <row r="520">
      <c r="A520" s="96"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c r="Y520" s="107" t="inlineStr">
        <is>
          <t>Implementado</t>
        </is>
      </c>
      <c r="Z520" s="107" t="inlineStr">
        <is>
          <t>[DR] Disuasión</t>
        </is>
      </c>
      <c r="AA520" s="107" t="inlineStr">
        <is>
          <t>L2: Reproducible</t>
        </is>
      </c>
      <c r="AB520" s="107" t="inlineStr">
        <is>
          <t>T2: Fuga de información</t>
        </is>
      </c>
      <c r="AC520" s="107" t="inlineStr">
        <is>
          <t>Registro Físico</t>
        </is>
      </c>
    </row>
    <row r="521">
      <c r="A521" s="96"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c r="Y521" s="107" t="inlineStr">
        <is>
          <t>Implementado</t>
        </is>
      </c>
      <c r="Z521" s="107" t="inlineStr">
        <is>
          <t>[DR] Disuasión</t>
        </is>
      </c>
      <c r="AA521" s="107" t="inlineStr">
        <is>
          <t>L2: Reproducible</t>
        </is>
      </c>
      <c r="AB521" s="107" t="inlineStr">
        <is>
          <t>T2: Fuga de información</t>
        </is>
      </c>
      <c r="AC521" s="107" t="inlineStr">
        <is>
          <t>Registro Físico</t>
        </is>
      </c>
    </row>
    <row r="522">
      <c r="A522" s="96"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c r="Y522" s="107" t="inlineStr">
        <is>
          <t>Implementado</t>
        </is>
      </c>
      <c r="Z522" s="107" t="inlineStr">
        <is>
          <t>[PR] Prevención</t>
        </is>
      </c>
      <c r="AA522" s="107" t="inlineStr">
        <is>
          <t>L4: Gestionado</t>
        </is>
      </c>
      <c r="AB522" s="107" t="inlineStr">
        <is>
          <t>T2: Fuga de información</t>
        </is>
      </c>
      <c r="AC522" s="107" t="inlineStr">
        <is>
          <t>Manual de Operaciones</t>
        </is>
      </c>
    </row>
    <row r="523">
      <c r="A523" s="96"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c r="Y523" s="107" t="inlineStr">
        <is>
          <t>Implementado</t>
        </is>
      </c>
      <c r="Z523" s="107" t="inlineStr">
        <is>
          <t>[MN] Monitorización</t>
        </is>
      </c>
      <c r="AA523" s="107" t="inlineStr">
        <is>
          <t>L4: Gestionado</t>
        </is>
      </c>
      <c r="AB523" s="107" t="inlineStr">
        <is>
          <t>T2: Fuga de información</t>
        </is>
      </c>
      <c r="AC523" s="107" t="inlineStr">
        <is>
          <t>Registro Físico</t>
        </is>
      </c>
    </row>
    <row r="524">
      <c r="A524" s="96"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c r="Y524" s="107" t="inlineStr">
        <is>
          <t>Implementado</t>
        </is>
      </c>
      <c r="Z524" s="107" t="inlineStr">
        <is>
          <t>[PR] Prevención</t>
        </is>
      </c>
      <c r="AA524" s="107" t="inlineStr">
        <is>
          <t>L5: Optimizado</t>
        </is>
      </c>
      <c r="AB524" s="107" t="inlineStr">
        <is>
          <t>T2: Fuga de información</t>
        </is>
      </c>
      <c r="AC524" s="107" t="inlineStr">
        <is>
          <t>Manual de Operaciones</t>
        </is>
      </c>
    </row>
    <row r="525">
      <c r="A525" s="96"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c r="Y525" s="107" t="inlineStr">
        <is>
          <t>Implementado</t>
        </is>
      </c>
      <c r="Z525" s="107" t="inlineStr">
        <is>
          <t>[DR] Disuasión</t>
        </is>
      </c>
      <c r="AA525" s="107" t="inlineStr">
        <is>
          <t>L4: Gestionado</t>
        </is>
      </c>
      <c r="AB525" s="107" t="inlineStr">
        <is>
          <t>T2: Fuga de información</t>
        </is>
      </c>
      <c r="AC525" s="107" t="inlineStr">
        <is>
          <t>Registro Físico</t>
        </is>
      </c>
    </row>
    <row r="526">
      <c r="A526" s="96"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c r="Y526" s="107" t="inlineStr">
        <is>
          <t>Implementado</t>
        </is>
      </c>
      <c r="Z526" s="107" t="inlineStr">
        <is>
          <t>[PR] Prevención</t>
        </is>
      </c>
      <c r="AA526" s="107" t="inlineStr">
        <is>
          <t>L3: Proceso Definido</t>
        </is>
      </c>
      <c r="AB526" s="107" t="inlineStr">
        <is>
          <t>T2: Fuga de información</t>
        </is>
      </c>
      <c r="AC526" s="107" t="inlineStr">
        <is>
          <t>Manual de Operaciones</t>
        </is>
      </c>
    </row>
    <row r="527">
      <c r="A527" s="96"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c r="Y527" s="107" t="inlineStr">
        <is>
          <t>Implementado</t>
        </is>
      </c>
      <c r="Z527" s="107" t="inlineStr">
        <is>
          <t>[PR] Prevención</t>
        </is>
      </c>
      <c r="AA527" s="107" t="inlineStr">
        <is>
          <t>L3: Proceso Definido</t>
        </is>
      </c>
      <c r="AB527" s="107" t="inlineStr">
        <is>
          <t>T2: Fuga de información</t>
        </is>
      </c>
      <c r="AC527" s="107" t="inlineStr">
        <is>
          <t>Manual de Operaciones</t>
        </is>
      </c>
    </row>
    <row r="528">
      <c r="A528" s="96"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c r="Y528" s="107" t="inlineStr">
        <is>
          <t>Implementado</t>
        </is>
      </c>
      <c r="Z528" s="107" t="inlineStr">
        <is>
          <t>[PR] Prevención</t>
        </is>
      </c>
      <c r="AA528" s="107" t="inlineStr">
        <is>
          <t>L4: Gestionado</t>
        </is>
      </c>
      <c r="AB528" s="107" t="inlineStr">
        <is>
          <t>T2: Fuga de información</t>
        </is>
      </c>
      <c r="AC528" s="107" t="inlineStr">
        <is>
          <t>Manual de Operaciones</t>
        </is>
      </c>
    </row>
    <row r="529">
      <c r="A529" s="96"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c r="Y529" s="107" t="inlineStr">
        <is>
          <t>Implementado</t>
        </is>
      </c>
      <c r="Z529" s="107" t="inlineStr">
        <is>
          <t>[PR] Prevención</t>
        </is>
      </c>
      <c r="AA529" s="107" t="inlineStr">
        <is>
          <t>L5: Optimizado</t>
        </is>
      </c>
      <c r="AB529" s="107" t="inlineStr">
        <is>
          <t>T2: Fuga de información</t>
        </is>
      </c>
      <c r="AC529" s="107" t="inlineStr">
        <is>
          <t>Manual de Operaciones</t>
        </is>
      </c>
    </row>
    <row r="530">
      <c r="A530" s="96"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c r="Y530" s="107" t="inlineStr">
        <is>
          <t>Implementado</t>
        </is>
      </c>
      <c r="Z530" s="107" t="inlineStr">
        <is>
          <t>[PR] Prevención</t>
        </is>
      </c>
      <c r="AA530" s="107" t="inlineStr">
        <is>
          <t>L4: Gestionado</t>
        </is>
      </c>
      <c r="AB530" s="107" t="inlineStr">
        <is>
          <t>T2: Fuga de información</t>
        </is>
      </c>
      <c r="AC530" s="107" t="inlineStr">
        <is>
          <t>Manual de Operaciones</t>
        </is>
      </c>
    </row>
    <row r="531">
      <c r="A531" s="96"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c r="Y531" s="107" t="inlineStr">
        <is>
          <t>Implementado</t>
        </is>
      </c>
      <c r="Z531" s="107" t="inlineStr">
        <is>
          <t>[PR] Prevención</t>
        </is>
      </c>
      <c r="AA531" s="107" t="inlineStr">
        <is>
          <t>L4: Gestionado</t>
        </is>
      </c>
      <c r="AB531" s="107" t="inlineStr">
        <is>
          <t>T2: Fuga de información</t>
        </is>
      </c>
      <c r="AC531" s="107" t="inlineStr">
        <is>
          <t>Manual de Operaciones</t>
        </is>
      </c>
    </row>
    <row r="532">
      <c r="A532" s="96"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c r="Y532" s="107" t="inlineStr">
        <is>
          <t>Implementado</t>
        </is>
      </c>
      <c r="Z532" s="107" t="inlineStr">
        <is>
          <t>[IM] Minimización</t>
        </is>
      </c>
      <c r="AA532" s="107" t="inlineStr">
        <is>
          <t>L3: Proceso Definido</t>
        </is>
      </c>
      <c r="AB532" s="107" t="inlineStr">
        <is>
          <t>T2: Fuga de información</t>
        </is>
      </c>
      <c r="AC532" s="107" t="inlineStr">
        <is>
          <t>Registro Físico</t>
        </is>
      </c>
    </row>
    <row r="533">
      <c r="A533" s="96"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c r="Y533" s="107" t="inlineStr">
        <is>
          <t>Implementado</t>
        </is>
      </c>
      <c r="Z533" s="107" t="inlineStr">
        <is>
          <t>[PR] Prevención</t>
        </is>
      </c>
      <c r="AA533" s="107" t="inlineStr">
        <is>
          <t>L3: Proceso Definido</t>
        </is>
      </c>
      <c r="AB533" s="107" t="inlineStr">
        <is>
          <t>T2: Fuga de información</t>
        </is>
      </c>
      <c r="AC533" s="107" t="inlineStr">
        <is>
          <t>Manual de Operaciones</t>
        </is>
      </c>
    </row>
    <row r="534">
      <c r="A534" s="96"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c r="Y534" s="107" t="inlineStr">
        <is>
          <t>Implementado</t>
        </is>
      </c>
      <c r="Z534" s="107" t="inlineStr">
        <is>
          <t>[PR] Prevención</t>
        </is>
      </c>
      <c r="AA534" s="107" t="inlineStr">
        <is>
          <t>L3: Proceso Definido</t>
        </is>
      </c>
      <c r="AB534" s="107" t="inlineStr">
        <is>
          <t>T2: Fuga de información</t>
        </is>
      </c>
      <c r="AC534" s="107" t="inlineStr">
        <is>
          <t>Manual de Operaciones</t>
        </is>
      </c>
    </row>
    <row r="535">
      <c r="A535" s="96"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c r="Y535" s="107" t="inlineStr">
        <is>
          <t>Implementado</t>
        </is>
      </c>
      <c r="Z535" s="107" t="inlineStr">
        <is>
          <t>[PR] Prevención</t>
        </is>
      </c>
      <c r="AA535" s="107" t="inlineStr">
        <is>
          <t>L4: Gestionado</t>
        </is>
      </c>
      <c r="AB535" s="107" t="inlineStr">
        <is>
          <t>T2: Fuga de información</t>
        </is>
      </c>
      <c r="AC535" s="107" t="inlineStr">
        <is>
          <t>Manual de Operaciones</t>
        </is>
      </c>
    </row>
    <row r="536">
      <c r="A536" s="96"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c r="Y536" s="107" t="inlineStr">
        <is>
          <t>Implementado</t>
        </is>
      </c>
      <c r="Z536" s="107" t="inlineStr">
        <is>
          <t>[PR] Prevención</t>
        </is>
      </c>
      <c r="AA536" s="107" t="inlineStr">
        <is>
          <t>L2: Reproducible</t>
        </is>
      </c>
      <c r="AB536" s="107" t="inlineStr">
        <is>
          <t>T2: Fuga de información</t>
        </is>
      </c>
      <c r="AC536" s="107" t="inlineStr">
        <is>
          <t>Manual de Operaciones</t>
        </is>
      </c>
    </row>
    <row r="537">
      <c r="A537" s="96"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c r="Y537" s="107" t="inlineStr">
        <is>
          <t>Implementado</t>
        </is>
      </c>
      <c r="Z537" s="107" t="inlineStr">
        <is>
          <t>[PR] Prevención</t>
        </is>
      </c>
      <c r="AA537" s="107" t="inlineStr">
        <is>
          <t>L3: Proceso Definido</t>
        </is>
      </c>
      <c r="AB537" s="107" t="inlineStr">
        <is>
          <t>T2: Fuga de información</t>
        </is>
      </c>
      <c r="AC537" s="107" t="inlineStr">
        <is>
          <t>Manual de Operaciones</t>
        </is>
      </c>
    </row>
    <row r="538">
      <c r="A538" s="96"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c r="Y538" s="107" t="inlineStr">
        <is>
          <t>No Implementado</t>
        </is>
      </c>
      <c r="Z538" s="107" t="inlineStr">
        <is>
          <t>[PR] Prevención</t>
        </is>
      </c>
      <c r="AA538" s="107" t="inlineStr">
        <is>
          <t>L3: Proceso Definido</t>
        </is>
      </c>
      <c r="AB538" s="107" t="inlineStr">
        <is>
          <t>T2: Fuga de información</t>
        </is>
      </c>
      <c r="AC538" s="107" t="inlineStr">
        <is>
          <t>Manual de Operaciones</t>
        </is>
      </c>
    </row>
    <row r="539" ht="20.45" customHeight="1" s="103">
      <c r="A539" s="96"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c r="Y539" s="107" t="inlineStr">
        <is>
          <t>No Implementado</t>
        </is>
      </c>
      <c r="Z539" s="107" t="inlineStr">
        <is>
          <t>[PR] Prevención</t>
        </is>
      </c>
      <c r="AA539" s="107" t="inlineStr">
        <is>
          <t>L4: Gestionado</t>
        </is>
      </c>
      <c r="AB539" s="107" t="inlineStr">
        <is>
          <t>T2: Fuga de información</t>
        </is>
      </c>
      <c r="AC539" s="107" t="inlineStr">
        <is>
          <t>Registro Físico</t>
        </is>
      </c>
    </row>
    <row r="540">
      <c r="A540" s="96"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c r="Y540" s="107" t="inlineStr">
        <is>
          <t>Implementado</t>
        </is>
      </c>
      <c r="Z540" s="107" t="inlineStr">
        <is>
          <t>[DC] Detección</t>
        </is>
      </c>
      <c r="AA540" s="107" t="inlineStr">
        <is>
          <t>L5: Optimizado</t>
        </is>
      </c>
      <c r="AB540" s="107" t="inlineStr">
        <is>
          <t>T2: Fuga de información</t>
        </is>
      </c>
      <c r="AC540" s="107" t="inlineStr">
        <is>
          <t>Registro Físico</t>
        </is>
      </c>
    </row>
    <row r="541">
      <c r="A541" s="96"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c r="Y541" s="107" t="inlineStr">
        <is>
          <t>Implementado</t>
        </is>
      </c>
      <c r="Z541" s="107" t="inlineStr">
        <is>
          <t>[PR] Prevención</t>
        </is>
      </c>
      <c r="AA541" s="107" t="inlineStr">
        <is>
          <t>L2: Reproducible</t>
        </is>
      </c>
      <c r="AB541" s="107" t="inlineStr">
        <is>
          <t>T2: Fuga de información</t>
        </is>
      </c>
      <c r="AC541" s="107" t="inlineStr">
        <is>
          <t>Registro Físico</t>
        </is>
      </c>
    </row>
    <row r="542">
      <c r="A542" s="96"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c r="Y542" s="107" t="inlineStr">
        <is>
          <t>Implementado</t>
        </is>
      </c>
      <c r="Z542" s="107" t="inlineStr">
        <is>
          <t>[IM] Minimización</t>
        </is>
      </c>
      <c r="AA542" s="107" t="inlineStr">
        <is>
          <t>L2: Reproducible</t>
        </is>
      </c>
      <c r="AB542" s="107" t="inlineStr">
        <is>
          <t>T2: Fuga de información</t>
        </is>
      </c>
      <c r="AC542" s="107" t="inlineStr">
        <is>
          <t>Registro Físico</t>
        </is>
      </c>
    </row>
    <row r="543" ht="30.6" customHeight="1" s="103">
      <c r="A543" s="96"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c r="Y543" s="107" t="inlineStr">
        <is>
          <t>Planificado</t>
        </is>
      </c>
      <c r="Z543" s="107" t="inlineStr">
        <is>
          <t>[PR] Prevención</t>
        </is>
      </c>
      <c r="AA543" s="107" t="inlineStr">
        <is>
          <t>L5: Optimizado</t>
        </is>
      </c>
      <c r="AB543" s="107" t="inlineStr">
        <is>
          <t>T2: Fuga de información</t>
        </is>
      </c>
      <c r="AC543" s="107" t="inlineStr">
        <is>
          <t>Manual de Operaciones</t>
        </is>
      </c>
    </row>
    <row r="544">
      <c r="A544" s="96"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c r="Y544" s="107" t="inlineStr">
        <is>
          <t>Implementado</t>
        </is>
      </c>
      <c r="Z544" s="107" t="inlineStr">
        <is>
          <t>[PR] Prevención</t>
        </is>
      </c>
      <c r="AA544" s="107" t="inlineStr">
        <is>
          <t>L5: Optimizado</t>
        </is>
      </c>
      <c r="AB544" s="107" t="inlineStr">
        <is>
          <t>T2: Fuga de información</t>
        </is>
      </c>
      <c r="AC544" s="107" t="inlineStr">
        <is>
          <t>Manual de Operaciones</t>
        </is>
      </c>
    </row>
    <row r="545">
      <c r="A545" s="96"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c r="Y545" s="107" t="inlineStr">
        <is>
          <t>En Proceso</t>
        </is>
      </c>
      <c r="Z545" s="107" t="inlineStr">
        <is>
          <t>[CR] Corrección</t>
        </is>
      </c>
      <c r="AA545" s="107" t="inlineStr">
        <is>
          <t>L3: Proceso Definido</t>
        </is>
      </c>
      <c r="AB545" s="107" t="inlineStr">
        <is>
          <t>T2: Fuga de información</t>
        </is>
      </c>
      <c r="AC545" s="107" t="inlineStr">
        <is>
          <t>Registro Físico</t>
        </is>
      </c>
    </row>
    <row r="546" ht="41.1" customHeight="1" s="103">
      <c r="A546" s="96"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c r="Y546" s="107" t="inlineStr">
        <is>
          <t>En Proceso</t>
        </is>
      </c>
      <c r="Z546" s="107" t="inlineStr">
        <is>
          <t>[PR] Prevención</t>
        </is>
      </c>
      <c r="AA546" s="107" t="inlineStr">
        <is>
          <t>L5: Optimizado</t>
        </is>
      </c>
      <c r="AB546" s="107" t="inlineStr">
        <is>
          <t>T2: Fuga de información</t>
        </is>
      </c>
      <c r="AC546" s="107" t="inlineStr">
        <is>
          <t>Manual de Operaciones</t>
        </is>
      </c>
    </row>
    <row r="547" ht="20.45" customHeight="1" s="103">
      <c r="A547" s="96"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c r="Y547" s="107" t="inlineStr">
        <is>
          <t>Implementado</t>
        </is>
      </c>
      <c r="Z547" s="107" t="inlineStr">
        <is>
          <t>[RC] Recuperación</t>
        </is>
      </c>
      <c r="AA547" s="107" t="inlineStr">
        <is>
          <t>L5: Optimizado</t>
        </is>
      </c>
      <c r="AB547" s="107" t="inlineStr">
        <is>
          <t>T2: Fuga de información</t>
        </is>
      </c>
      <c r="AC547" s="107" t="inlineStr">
        <is>
          <t>Registro Físico</t>
        </is>
      </c>
    </row>
    <row r="548">
      <c r="A548" s="96"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c r="Y548" s="107" t="inlineStr">
        <is>
          <t>No Implementado</t>
        </is>
      </c>
      <c r="Z548" s="107" t="inlineStr">
        <is>
          <t>[PR] Prevención</t>
        </is>
      </c>
      <c r="AA548" s="107" t="inlineStr">
        <is>
          <t>L4: Gestionado</t>
        </is>
      </c>
      <c r="AB548" s="107" t="inlineStr">
        <is>
          <t>T2: Fuga de información</t>
        </is>
      </c>
      <c r="AC548" s="107" t="inlineStr">
        <is>
          <t>Manual de Operaciones</t>
        </is>
      </c>
    </row>
    <row r="549">
      <c r="A549" s="96"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c r="Y549" s="107" t="inlineStr">
        <is>
          <t>Planificado</t>
        </is>
      </c>
      <c r="Z549" s="107" t="inlineStr">
        <is>
          <t>[PR] Prevención</t>
        </is>
      </c>
      <c r="AA549" s="107" t="inlineStr">
        <is>
          <t>L3: Proceso Definido</t>
        </is>
      </c>
      <c r="AB549" s="107" t="inlineStr">
        <is>
          <t>T2: Fuga de información</t>
        </is>
      </c>
      <c r="AC549" s="107" t="inlineStr">
        <is>
          <t>Manual de Operaciones</t>
        </is>
      </c>
    </row>
    <row r="550" ht="12" customHeight="1" s="103">
      <c r="A550" s="96"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c r="Y550" s="107" t="inlineStr">
        <is>
          <t>Implementado</t>
        </is>
      </c>
      <c r="Z550" s="107" t="inlineStr">
        <is>
          <t>[DC] Detección</t>
        </is>
      </c>
      <c r="AA550" s="107" t="inlineStr">
        <is>
          <t>L2: Reproducible</t>
        </is>
      </c>
      <c r="AB550" s="107" t="inlineStr">
        <is>
          <t>T2: Fuga de información</t>
        </is>
      </c>
      <c r="AC550" s="107" t="inlineStr">
        <is>
          <t>Registro Físico</t>
        </is>
      </c>
    </row>
    <row r="551">
      <c r="A551" s="96"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c r="Y551" s="107" t="inlineStr">
        <is>
          <t>En Proceso</t>
        </is>
      </c>
      <c r="Z551" s="107" t="inlineStr">
        <is>
          <t>[PR] Prevención</t>
        </is>
      </c>
      <c r="AA551" s="107" t="inlineStr">
        <is>
          <t>L4: Gestionado</t>
        </is>
      </c>
      <c r="AB551" s="107" t="inlineStr">
        <is>
          <t>T2: Fuga de información</t>
        </is>
      </c>
      <c r="AC551" s="107" t="inlineStr">
        <is>
          <t>Manual de Operaciones</t>
        </is>
      </c>
    </row>
    <row r="552">
      <c r="A552" s="96"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c r="Y552" s="107" t="inlineStr">
        <is>
          <t>Implementado</t>
        </is>
      </c>
      <c r="Z552" s="107" t="inlineStr">
        <is>
          <t>[PR] Prevención</t>
        </is>
      </c>
      <c r="AA552" s="107" t="inlineStr">
        <is>
          <t>L3: Proceso Definido</t>
        </is>
      </c>
      <c r="AB552" s="107" t="inlineStr">
        <is>
          <t>T2: Fuga de información</t>
        </is>
      </c>
      <c r="AC552" s="107" t="inlineStr">
        <is>
          <t>Manual de Operaciones</t>
        </is>
      </c>
    </row>
    <row r="553">
      <c r="A553" s="96"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c r="Y553" s="107" t="inlineStr">
        <is>
          <t>Implementado</t>
        </is>
      </c>
      <c r="Z553" s="107" t="inlineStr">
        <is>
          <t>[PR] Prevención</t>
        </is>
      </c>
      <c r="AA553" s="107" t="inlineStr">
        <is>
          <t>L4: Gestionado</t>
        </is>
      </c>
      <c r="AB553" s="107" t="inlineStr">
        <is>
          <t>T2: Fuga de información</t>
        </is>
      </c>
      <c r="AC553" s="107" t="inlineStr">
        <is>
          <t>Manual de Operaciones</t>
        </is>
      </c>
    </row>
    <row r="554">
      <c r="A554" s="96"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c r="Y554" s="107" t="inlineStr">
        <is>
          <t>Implementado</t>
        </is>
      </c>
      <c r="Z554" s="107" t="inlineStr">
        <is>
          <t>[PR] Prevención</t>
        </is>
      </c>
      <c r="AA554" s="107" t="inlineStr">
        <is>
          <t>L4: Gestionado</t>
        </is>
      </c>
      <c r="AB554" s="107" t="inlineStr">
        <is>
          <t>T2: Fuga de información</t>
        </is>
      </c>
      <c r="AC554" s="107" t="inlineStr">
        <is>
          <t>Registro Físico</t>
        </is>
      </c>
    </row>
    <row r="555">
      <c r="A555" s="96"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c r="Y555" s="107" t="inlineStr">
        <is>
          <t>Implementado</t>
        </is>
      </c>
      <c r="Z555" s="107" t="inlineStr">
        <is>
          <t>[PR] Prevención</t>
        </is>
      </c>
      <c r="AA555" s="107" t="inlineStr">
        <is>
          <t>L5: Optimizado</t>
        </is>
      </c>
      <c r="AB555" s="107" t="inlineStr">
        <is>
          <t>T2: Fuga de información</t>
        </is>
      </c>
      <c r="AC555" s="107" t="inlineStr">
        <is>
          <t>Manual de Operaciones</t>
        </is>
      </c>
    </row>
    <row r="556">
      <c r="A556" s="96"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c r="Y556" s="107" t="inlineStr">
        <is>
          <t>Implementado</t>
        </is>
      </c>
      <c r="Z556" s="107" t="inlineStr">
        <is>
          <t>[IM] Minimización</t>
        </is>
      </c>
      <c r="AA556" s="107" t="inlineStr">
        <is>
          <t>L5: Optimizado</t>
        </is>
      </c>
      <c r="AB556" s="107" t="inlineStr">
        <is>
          <t>T2: Fuga de información</t>
        </is>
      </c>
      <c r="AC556" s="107" t="inlineStr">
        <is>
          <t>Registro Físico</t>
        </is>
      </c>
    </row>
    <row r="557">
      <c r="A557" s="96"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c r="Y557" s="107" t="inlineStr">
        <is>
          <t>No Implementado</t>
        </is>
      </c>
      <c r="Z557" s="107" t="inlineStr">
        <is>
          <t>[PR] Prevención</t>
        </is>
      </c>
      <c r="AA557" s="107" t="inlineStr">
        <is>
          <t>L3: Proceso Definido</t>
        </is>
      </c>
      <c r="AB557" s="107" t="inlineStr">
        <is>
          <t>T2: Fuga de información</t>
        </is>
      </c>
      <c r="AC557" s="107" t="inlineStr">
        <is>
          <t>Manual de Operaciones</t>
        </is>
      </c>
    </row>
    <row r="558" ht="20.45" customHeight="1" s="103">
      <c r="A558" s="96"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c r="Y558" s="107" t="inlineStr">
        <is>
          <t>No Implementado</t>
        </is>
      </c>
      <c r="Z558" s="107" t="inlineStr">
        <is>
          <t>[MN] Monitorización</t>
        </is>
      </c>
      <c r="AA558" s="107" t="inlineStr">
        <is>
          <t>L3: Proceso Definido</t>
        </is>
      </c>
      <c r="AB558" s="107" t="inlineStr">
        <is>
          <t>T2: Fuga de información</t>
        </is>
      </c>
      <c r="AC558" s="107" t="inlineStr">
        <is>
          <t>Registro Físico</t>
        </is>
      </c>
    </row>
    <row r="559">
      <c r="A559" s="96"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c r="Y559" s="107" t="inlineStr">
        <is>
          <t>Implementado</t>
        </is>
      </c>
      <c r="Z559" s="107" t="inlineStr">
        <is>
          <t>[CR] Corrección</t>
        </is>
      </c>
      <c r="AA559" s="107" t="inlineStr">
        <is>
          <t>L5: Optimizado</t>
        </is>
      </c>
      <c r="AB559" s="107" t="inlineStr">
        <is>
          <t>T2: Fuga de información</t>
        </is>
      </c>
      <c r="AC559" s="107" t="inlineStr">
        <is>
          <t>Registro Físico</t>
        </is>
      </c>
    </row>
    <row r="560">
      <c r="A560" s="96"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c r="Y560" s="107" t="inlineStr">
        <is>
          <t>Implementado</t>
        </is>
      </c>
      <c r="Z560" s="107" t="inlineStr">
        <is>
          <t>[PR] Prevención</t>
        </is>
      </c>
      <c r="AA560" s="107" t="inlineStr">
        <is>
          <t>L4: Gestionado</t>
        </is>
      </c>
      <c r="AB560" s="107" t="inlineStr">
        <is>
          <t>T2: Fuga de información</t>
        </is>
      </c>
      <c r="AC560" s="107" t="inlineStr">
        <is>
          <t>Manual de Operaciones</t>
        </is>
      </c>
    </row>
    <row r="561">
      <c r="A561" s="96"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c r="Y561" s="107" t="inlineStr">
        <is>
          <t>Implementado</t>
        </is>
      </c>
      <c r="Z561" s="107" t="inlineStr">
        <is>
          <t>[PR] Prevención</t>
        </is>
      </c>
      <c r="AA561" s="107" t="inlineStr">
        <is>
          <t>L3: Proceso Definido</t>
        </is>
      </c>
      <c r="AB561" s="107" t="inlineStr">
        <is>
          <t>T2: Fuga de información</t>
        </is>
      </c>
      <c r="AC561" s="107" t="inlineStr">
        <is>
          <t>Manual de Operaciones</t>
        </is>
      </c>
    </row>
    <row r="562">
      <c r="A562" s="96"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c r="Y562" s="107" t="inlineStr">
        <is>
          <t>Planificado</t>
        </is>
      </c>
      <c r="Z562" s="107" t="inlineStr">
        <is>
          <t>[PR] Prevención</t>
        </is>
      </c>
      <c r="AA562" s="107" t="inlineStr">
        <is>
          <t>L2: Reproducible</t>
        </is>
      </c>
      <c r="AB562" s="107" t="inlineStr">
        <is>
          <t>T2: Fuga de información</t>
        </is>
      </c>
      <c r="AC562" s="107" t="inlineStr">
        <is>
          <t>Manual de Operaciones</t>
        </is>
      </c>
    </row>
    <row r="563">
      <c r="A563" s="96"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c r="Y563" s="107" t="inlineStr">
        <is>
          <t>En Proceso</t>
        </is>
      </c>
      <c r="Z563" s="107" t="inlineStr">
        <is>
          <t>[PR] Prevención</t>
        </is>
      </c>
      <c r="AA563" s="107" t="inlineStr">
        <is>
          <t>L3: Proceso Definido</t>
        </is>
      </c>
      <c r="AB563" s="107" t="inlineStr">
        <is>
          <t>T2: Fuga de información</t>
        </is>
      </c>
      <c r="AC563" s="107" t="inlineStr">
        <is>
          <t>Manual de Operaciones</t>
        </is>
      </c>
    </row>
    <row r="564">
      <c r="A564" s="96"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c r="Y564" s="107" t="inlineStr">
        <is>
          <t>Implementado</t>
        </is>
      </c>
      <c r="Z564" s="107" t="inlineStr">
        <is>
          <t>[PR] Prevención</t>
        </is>
      </c>
      <c r="AA564" s="107" t="inlineStr">
        <is>
          <t>L4: Gestionado</t>
        </is>
      </c>
      <c r="AB564" s="107" t="inlineStr">
        <is>
          <t>T2: Fuga de información</t>
        </is>
      </c>
      <c r="AC564" s="107" t="inlineStr">
        <is>
          <t>Manual de Operaciones</t>
        </is>
      </c>
    </row>
    <row r="565">
      <c r="A565" s="96"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c r="Y565" s="107" t="inlineStr">
        <is>
          <t>Implementado</t>
        </is>
      </c>
      <c r="Z565" s="107" t="inlineStr">
        <is>
          <t>[PR] Prevención</t>
        </is>
      </c>
      <c r="AA565" s="107" t="inlineStr">
        <is>
          <t>L5: Optimizado</t>
        </is>
      </c>
      <c r="AB565" s="107" t="inlineStr">
        <is>
          <t>T2: Fuga de información</t>
        </is>
      </c>
      <c r="AC565" s="107" t="inlineStr">
        <is>
          <t>Manual de Operaciones</t>
        </is>
      </c>
    </row>
    <row r="566">
      <c r="A566" s="96"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c r="Y566" s="107" t="inlineStr">
        <is>
          <t>Implementado</t>
        </is>
      </c>
      <c r="Z566" s="107" t="inlineStr">
        <is>
          <t>[PR] Prevención</t>
        </is>
      </c>
      <c r="AA566" s="107" t="inlineStr">
        <is>
          <t>L4: Gestionado</t>
        </is>
      </c>
      <c r="AB566" s="107" t="inlineStr">
        <is>
          <t>T2: Fuga de información</t>
        </is>
      </c>
      <c r="AC566" s="107" t="inlineStr">
        <is>
          <t>Manual de Operaciones</t>
        </is>
      </c>
    </row>
    <row r="567">
      <c r="A567" s="96"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c r="Y567" s="107" t="inlineStr">
        <is>
          <t>Implementado</t>
        </is>
      </c>
      <c r="Z567" s="107" t="inlineStr">
        <is>
          <t>[RC] Recuperación</t>
        </is>
      </c>
      <c r="AA567" s="107" t="inlineStr">
        <is>
          <t>L4: Gestionado</t>
        </is>
      </c>
      <c r="AB567" s="107" t="inlineStr">
        <is>
          <t>T2: Fuga de información</t>
        </is>
      </c>
      <c r="AC567" s="107" t="inlineStr">
        <is>
          <t>Registro Físico</t>
        </is>
      </c>
    </row>
    <row r="568">
      <c r="A568" s="96"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c r="Y568" s="107" t="inlineStr">
        <is>
          <t>Implementado</t>
        </is>
      </c>
      <c r="Z568" s="107" t="inlineStr">
        <is>
          <t>[PR] Prevención</t>
        </is>
      </c>
      <c r="AA568" s="107" t="inlineStr">
        <is>
          <t>L4: Gestionado</t>
        </is>
      </c>
      <c r="AB568" s="107" t="inlineStr">
        <is>
          <t>T2: Fuga de información</t>
        </is>
      </c>
      <c r="AC568" s="107" t="inlineStr">
        <is>
          <t>Manual de Operaciones</t>
        </is>
      </c>
    </row>
    <row r="569">
      <c r="A569" s="96"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c r="Y569" s="107" t="inlineStr">
        <is>
          <t>Implementado</t>
        </is>
      </c>
      <c r="Z569" s="107" t="inlineStr">
        <is>
          <t>[PR] Prevención</t>
        </is>
      </c>
      <c r="AA569" s="107" t="inlineStr">
        <is>
          <t>L5: Optimizado</t>
        </is>
      </c>
      <c r="AB569" s="107" t="inlineStr">
        <is>
          <t>T2: Fuga de información</t>
        </is>
      </c>
      <c r="AC569" s="107" t="inlineStr">
        <is>
          <t>Manual de Operaciones</t>
        </is>
      </c>
    </row>
    <row r="570">
      <c r="A570" s="96"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c r="Y570" s="107" t="inlineStr">
        <is>
          <t>Implementado</t>
        </is>
      </c>
      <c r="Z570" s="107" t="inlineStr">
        <is>
          <t>[PR] Prevención</t>
        </is>
      </c>
      <c r="AA570" s="107" t="inlineStr">
        <is>
          <t>L4: Gestionado</t>
        </is>
      </c>
      <c r="AB570" s="107" t="inlineStr">
        <is>
          <t>T2: Fuga de información</t>
        </is>
      </c>
      <c r="AC570" s="107" t="inlineStr">
        <is>
          <t>Manual de Operaciones</t>
        </is>
      </c>
    </row>
    <row r="571">
      <c r="A571" s="96"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c r="Y571" s="107" t="inlineStr">
        <is>
          <t>Planificado</t>
        </is>
      </c>
      <c r="Z571" s="107" t="inlineStr">
        <is>
          <t>[PR] Prevención</t>
        </is>
      </c>
      <c r="AA571" s="107" t="inlineStr">
        <is>
          <t>L4: Gestionado</t>
        </is>
      </c>
      <c r="AB571" s="107" t="inlineStr">
        <is>
          <t>T2: Fuga de información</t>
        </is>
      </c>
      <c r="AC571" s="107" t="inlineStr">
        <is>
          <t>Manual de Operaciones</t>
        </is>
      </c>
    </row>
    <row r="572">
      <c r="A572" s="96"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c r="Y572" s="107" t="inlineStr">
        <is>
          <t>Implementado</t>
        </is>
      </c>
      <c r="Z572" s="107" t="inlineStr">
        <is>
          <t>[PR] Prevención</t>
        </is>
      </c>
      <c r="AA572" s="107" t="inlineStr">
        <is>
          <t>L5: Optimizado</t>
        </is>
      </c>
      <c r="AB572" s="107" t="inlineStr">
        <is>
          <t>T2: Fuga de información</t>
        </is>
      </c>
      <c r="AC572" s="107" t="inlineStr">
        <is>
          <t>Manual de Operaciones</t>
        </is>
      </c>
    </row>
    <row r="573">
      <c r="A573" s="96"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c r="Y573" s="107" t="inlineStr">
        <is>
          <t>No Implementado</t>
        </is>
      </c>
      <c r="Z573" s="107" t="inlineStr">
        <is>
          <t>[PR] Prevención</t>
        </is>
      </c>
      <c r="AA573" s="107" t="inlineStr">
        <is>
          <t>L5: Optimizado</t>
        </is>
      </c>
      <c r="AB573" s="107" t="inlineStr">
        <is>
          <t>T2: Fuga de información</t>
        </is>
      </c>
      <c r="AC573" s="107" t="inlineStr">
        <is>
          <t>Manual de Operaciones</t>
        </is>
      </c>
    </row>
    <row r="574">
      <c r="A574" s="96"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c r="Y574" s="107" t="inlineStr">
        <is>
          <t>Implementado</t>
        </is>
      </c>
      <c r="Z574" s="107" t="inlineStr">
        <is>
          <t>[PR] Prevención</t>
        </is>
      </c>
      <c r="AA574" s="107" t="inlineStr">
        <is>
          <t>L4: Gestionado</t>
        </is>
      </c>
      <c r="AB574" s="107" t="inlineStr">
        <is>
          <t>T2: Fuga de información</t>
        </is>
      </c>
      <c r="AC574" s="107" t="inlineStr">
        <is>
          <t>Manual de Operaciones</t>
        </is>
      </c>
    </row>
    <row r="575">
      <c r="A575" s="96"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c r="Y575" s="107" t="inlineStr">
        <is>
          <t>Planificado</t>
        </is>
      </c>
      <c r="Z575" s="107" t="inlineStr">
        <is>
          <t>[RC] Recuperación</t>
        </is>
      </c>
      <c r="AA575" s="107" t="inlineStr">
        <is>
          <t>L3: Proceso Definido</t>
        </is>
      </c>
      <c r="AB575" s="107" t="inlineStr">
        <is>
          <t>T2: Fuga de información</t>
        </is>
      </c>
      <c r="AC575" s="107" t="inlineStr">
        <is>
          <t>Registro Físico</t>
        </is>
      </c>
    </row>
    <row r="576">
      <c r="A576" s="96"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c r="Y576" s="107" t="inlineStr">
        <is>
          <t>Planificado</t>
        </is>
      </c>
      <c r="Z576" s="107" t="inlineStr">
        <is>
          <t>[RC] Recuperación</t>
        </is>
      </c>
      <c r="AA576" s="107" t="inlineStr">
        <is>
          <t>L5: Optimizado</t>
        </is>
      </c>
      <c r="AB576" s="107" t="inlineStr">
        <is>
          <t>T2: Fuga de información</t>
        </is>
      </c>
      <c r="AC576" s="107" t="inlineStr">
        <is>
          <t>Registro Físico</t>
        </is>
      </c>
    </row>
    <row r="577">
      <c r="A577" s="96"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c r="Y577" s="107" t="inlineStr">
        <is>
          <t>En Proceso</t>
        </is>
      </c>
      <c r="Z577" s="107" t="inlineStr">
        <is>
          <t>[PR] Prevención</t>
        </is>
      </c>
      <c r="AA577" s="107" t="inlineStr">
        <is>
          <t>L3: Proceso Definido</t>
        </is>
      </c>
      <c r="AB577" s="107" t="inlineStr">
        <is>
          <t>T2: Fuga de información</t>
        </is>
      </c>
      <c r="AC577" s="107" t="inlineStr">
        <is>
          <t>Manual de Operaciones</t>
        </is>
      </c>
    </row>
    <row r="578">
      <c r="A578" s="96"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c r="Y578" s="107" t="inlineStr">
        <is>
          <t>Implementado</t>
        </is>
      </c>
      <c r="Z578" s="107" t="inlineStr">
        <is>
          <t>[PR] Prevención</t>
        </is>
      </c>
      <c r="AA578" s="107" t="inlineStr">
        <is>
          <t>L3: Proceso Definido</t>
        </is>
      </c>
      <c r="AB578" s="107" t="inlineStr">
        <is>
          <t>T2: Fuga de información</t>
        </is>
      </c>
      <c r="AC578" s="107" t="inlineStr">
        <is>
          <t>Manual de Operaciones</t>
        </is>
      </c>
    </row>
    <row r="579">
      <c r="A579" s="96"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c r="Y579" s="107" t="inlineStr">
        <is>
          <t>Implementado</t>
        </is>
      </c>
      <c r="Z579" s="107" t="inlineStr">
        <is>
          <t>[PR] Prevención</t>
        </is>
      </c>
      <c r="AA579" s="107" t="inlineStr">
        <is>
          <t>L5: Optimizado</t>
        </is>
      </c>
      <c r="AB579" s="107" t="inlineStr">
        <is>
          <t>T2: Fuga de información</t>
        </is>
      </c>
      <c r="AC579" s="107" t="inlineStr">
        <is>
          <t>Manual de Operaciones</t>
        </is>
      </c>
    </row>
    <row r="580">
      <c r="A580" s="96"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c r="Y580" s="107" t="inlineStr">
        <is>
          <t>No Implementado</t>
        </is>
      </c>
      <c r="Z580" s="107" t="inlineStr">
        <is>
          <t>[PR] Prevención</t>
        </is>
      </c>
      <c r="AA580" s="107" t="inlineStr">
        <is>
          <t>L3: Proceso Definido</t>
        </is>
      </c>
      <c r="AB580" s="107" t="inlineStr">
        <is>
          <t>T2: Fuga de información</t>
        </is>
      </c>
      <c r="AC580" s="107" t="inlineStr">
        <is>
          <t>Manual de Operaciones</t>
        </is>
      </c>
    </row>
    <row r="581">
      <c r="A581" s="96"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c r="Y581" s="107" t="inlineStr">
        <is>
          <t>Implementado</t>
        </is>
      </c>
      <c r="Z581" s="107" t="inlineStr">
        <is>
          <t>[PR] Prevención</t>
        </is>
      </c>
      <c r="AA581" s="107" t="inlineStr">
        <is>
          <t>L2: Reproducible</t>
        </is>
      </c>
      <c r="AB581" s="107" t="inlineStr">
        <is>
          <t>T2: Fuga de información</t>
        </is>
      </c>
      <c r="AC581" s="107" t="inlineStr">
        <is>
          <t>Manual de Operaciones</t>
        </is>
      </c>
    </row>
    <row r="582">
      <c r="A582" s="96"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c r="Y582" s="107" t="inlineStr">
        <is>
          <t>Implementado</t>
        </is>
      </c>
      <c r="Z582" s="107" t="inlineStr">
        <is>
          <t>[PR] Prevención</t>
        </is>
      </c>
      <c r="AA582" s="107" t="inlineStr">
        <is>
          <t>L5: Optimizado</t>
        </is>
      </c>
      <c r="AB582" s="107" t="inlineStr">
        <is>
          <t>T2: Fuga de información</t>
        </is>
      </c>
      <c r="AC582" s="107" t="inlineStr">
        <is>
          <t>Manual de Operaciones</t>
        </is>
      </c>
    </row>
    <row r="583">
      <c r="A583" s="96"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c r="Y583" s="107" t="inlineStr">
        <is>
          <t>Implementado</t>
        </is>
      </c>
      <c r="Z583" s="107" t="inlineStr">
        <is>
          <t>[PR] Prevención</t>
        </is>
      </c>
      <c r="AA583" s="107" t="inlineStr">
        <is>
          <t>L2: Reproducible</t>
        </is>
      </c>
      <c r="AB583" s="107" t="inlineStr">
        <is>
          <t>T2: Fuga de información</t>
        </is>
      </c>
      <c r="AC583" s="107" t="inlineStr">
        <is>
          <t>Manual de Operaciones</t>
        </is>
      </c>
    </row>
    <row r="584">
      <c r="A584" s="96"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c r="Y584" s="107" t="inlineStr">
        <is>
          <t>Implementado</t>
        </is>
      </c>
      <c r="Z584" s="107" t="inlineStr">
        <is>
          <t>[PR] Prevención</t>
        </is>
      </c>
      <c r="AA584" s="107" t="inlineStr">
        <is>
          <t>L2: Reproducible</t>
        </is>
      </c>
      <c r="AB584" s="107" t="inlineStr">
        <is>
          <t>T2: Fuga de información</t>
        </is>
      </c>
      <c r="AC584" s="107" t="inlineStr">
        <is>
          <t>Manual de Operaciones</t>
        </is>
      </c>
    </row>
    <row r="585">
      <c r="A585" s="96"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c r="Y585" s="107" t="inlineStr">
        <is>
          <t>Implementado</t>
        </is>
      </c>
      <c r="Z585" s="107" t="inlineStr">
        <is>
          <t>[PR] Prevención</t>
        </is>
      </c>
      <c r="AA585" s="107" t="inlineStr">
        <is>
          <t>L4: Gestionado</t>
        </is>
      </c>
      <c r="AB585" s="107" t="inlineStr">
        <is>
          <t>T2: Fuga de información</t>
        </is>
      </c>
      <c r="AC585" s="107" t="inlineStr">
        <is>
          <t>Manual de Operaciones</t>
        </is>
      </c>
    </row>
    <row r="586">
      <c r="A586" s="96"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c r="Y586" s="107" t="inlineStr">
        <is>
          <t>Implementado</t>
        </is>
      </c>
      <c r="Z586" s="107" t="inlineStr">
        <is>
          <t>[PR] Prevención</t>
        </is>
      </c>
      <c r="AA586" s="107" t="inlineStr">
        <is>
          <t>L4: Gestionado</t>
        </is>
      </c>
      <c r="AB586" s="107" t="inlineStr">
        <is>
          <t>T2: Fuga de información</t>
        </is>
      </c>
      <c r="AC586" s="107" t="inlineStr">
        <is>
          <t>Manual de Operaciones</t>
        </is>
      </c>
    </row>
    <row r="587">
      <c r="A587" s="96"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c r="Y587" s="107" t="inlineStr">
        <is>
          <t>Implementado</t>
        </is>
      </c>
      <c r="Z587" s="107" t="inlineStr">
        <is>
          <t>[PR] Prevención</t>
        </is>
      </c>
      <c r="AA587" s="107" t="inlineStr">
        <is>
          <t>L4: Gestionado</t>
        </is>
      </c>
      <c r="AB587" s="107" t="inlineStr">
        <is>
          <t>T2: Fuga de información</t>
        </is>
      </c>
      <c r="AC587" s="107" t="inlineStr">
        <is>
          <t>Manual de Operaciones</t>
        </is>
      </c>
    </row>
    <row r="588">
      <c r="A588" s="96"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c r="Y588" s="107" t="inlineStr">
        <is>
          <t>Implementado</t>
        </is>
      </c>
      <c r="Z588" s="107" t="inlineStr">
        <is>
          <t>[PR] Prevención</t>
        </is>
      </c>
      <c r="AA588" s="107" t="inlineStr">
        <is>
          <t>L4: Gestionado</t>
        </is>
      </c>
      <c r="AB588" s="107" t="inlineStr">
        <is>
          <t>T2: Fuga de información</t>
        </is>
      </c>
      <c r="AC588" s="107" t="inlineStr">
        <is>
          <t>Manual de Operaciones</t>
        </is>
      </c>
    </row>
    <row r="589">
      <c r="A589" s="96"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c r="Y589" s="107" t="inlineStr">
        <is>
          <t>Implementado</t>
        </is>
      </c>
      <c r="Z589" s="107" t="inlineStr">
        <is>
          <t>[PR] Prevención</t>
        </is>
      </c>
      <c r="AA589" s="107" t="inlineStr">
        <is>
          <t>L2: Reproducible</t>
        </is>
      </c>
      <c r="AB589" s="107" t="inlineStr">
        <is>
          <t>T2: Fuga de información</t>
        </is>
      </c>
      <c r="AC589" s="107" t="inlineStr">
        <is>
          <t>Manual de Operaciones</t>
        </is>
      </c>
    </row>
    <row r="590">
      <c r="A590" s="96"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c r="Y590" s="107" t="inlineStr">
        <is>
          <t>Implementado</t>
        </is>
      </c>
      <c r="Z590" s="107" t="inlineStr">
        <is>
          <t>[PR] Prevención</t>
        </is>
      </c>
      <c r="AA590" s="107" t="inlineStr">
        <is>
          <t>L2: Reproducible</t>
        </is>
      </c>
      <c r="AB590" s="107" t="inlineStr">
        <is>
          <t>T2: Fuga de información</t>
        </is>
      </c>
      <c r="AC590" s="107" t="inlineStr">
        <is>
          <t>Manual de Operaciones</t>
        </is>
      </c>
    </row>
    <row r="591">
      <c r="A591" s="96"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c r="Y591" s="107" t="inlineStr">
        <is>
          <t>Implementado</t>
        </is>
      </c>
      <c r="Z591" s="107" t="inlineStr">
        <is>
          <t>[PR] Prevención</t>
        </is>
      </c>
      <c r="AA591" s="107" t="inlineStr">
        <is>
          <t>L2: Reproducible</t>
        </is>
      </c>
      <c r="AB591" s="107" t="inlineStr">
        <is>
          <t>T2: Fuga de información</t>
        </is>
      </c>
      <c r="AC591" s="107" t="inlineStr">
        <is>
          <t>Manual de Operaciones</t>
        </is>
      </c>
    </row>
    <row r="592">
      <c r="A592" s="96"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c r="Y592" s="107" t="inlineStr">
        <is>
          <t>Implementado</t>
        </is>
      </c>
      <c r="Z592" s="107" t="inlineStr">
        <is>
          <t>[PR] Prevención</t>
        </is>
      </c>
      <c r="AA592" s="107" t="inlineStr">
        <is>
          <t>L3: Proceso Definido</t>
        </is>
      </c>
      <c r="AB592" s="107" t="inlineStr">
        <is>
          <t>T2: Fuga de información</t>
        </is>
      </c>
      <c r="AC592" s="107" t="inlineStr">
        <is>
          <t>Manual de Operaciones</t>
        </is>
      </c>
    </row>
    <row r="593">
      <c r="A593" s="96"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c r="Y593" s="107" t="inlineStr">
        <is>
          <t>Implementado</t>
        </is>
      </c>
      <c r="Z593" s="107" t="inlineStr">
        <is>
          <t>[PR] Prevención</t>
        </is>
      </c>
      <c r="AA593" s="107" t="inlineStr">
        <is>
          <t>L3: Proceso Definido</t>
        </is>
      </c>
      <c r="AB593" s="107" t="inlineStr">
        <is>
          <t>T2: Fuga de información</t>
        </is>
      </c>
      <c r="AC593" s="107" t="inlineStr">
        <is>
          <t>Manual de Operaciones</t>
        </is>
      </c>
    </row>
    <row r="594">
      <c r="A594" s="96"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c r="Y594" s="107" t="inlineStr">
        <is>
          <t>Implementado</t>
        </is>
      </c>
      <c r="Z594" s="107" t="inlineStr">
        <is>
          <t>[PR] Prevención</t>
        </is>
      </c>
      <c r="AA594" s="107" t="inlineStr">
        <is>
          <t>L2: Reproducible</t>
        </is>
      </c>
      <c r="AB594" s="107" t="inlineStr">
        <is>
          <t>T2: Fuga de información</t>
        </is>
      </c>
      <c r="AC594" s="107" t="inlineStr">
        <is>
          <t>Manual de Operaciones</t>
        </is>
      </c>
    </row>
    <row r="595">
      <c r="A595" s="96"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c r="Y595" s="107" t="inlineStr">
        <is>
          <t>En Proceso</t>
        </is>
      </c>
      <c r="Z595" s="107" t="inlineStr">
        <is>
          <t>[DR] Disuasión</t>
        </is>
      </c>
      <c r="AA595" s="107" t="inlineStr">
        <is>
          <t>L3: Proceso Definido</t>
        </is>
      </c>
      <c r="AB595" s="107" t="inlineStr">
        <is>
          <t>T2: Fuga de información</t>
        </is>
      </c>
      <c r="AC595" s="107" t="inlineStr">
        <is>
          <t>Registro Físico</t>
        </is>
      </c>
    </row>
    <row r="596">
      <c r="A596" s="96"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c r="Y596" s="107" t="inlineStr">
        <is>
          <t>Implementado</t>
        </is>
      </c>
      <c r="Z596" s="107" t="inlineStr">
        <is>
          <t>[PR] Prevención</t>
        </is>
      </c>
      <c r="AA596" s="107" t="inlineStr">
        <is>
          <t>L3: Proceso Definido</t>
        </is>
      </c>
      <c r="AB596" s="107" t="inlineStr">
        <is>
          <t>T2: Fuga de información</t>
        </is>
      </c>
      <c r="AC596" s="107" t="inlineStr">
        <is>
          <t>Manual de Operaciones</t>
        </is>
      </c>
    </row>
    <row r="597">
      <c r="A597" s="96"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c r="Y597" s="107" t="inlineStr">
        <is>
          <t>Implementado</t>
        </is>
      </c>
      <c r="Z597" s="107" t="inlineStr">
        <is>
          <t>[PR] Prevención</t>
        </is>
      </c>
      <c r="AA597" s="107" t="inlineStr">
        <is>
          <t>L2: Reproducible</t>
        </is>
      </c>
      <c r="AB597" s="107" t="inlineStr">
        <is>
          <t>T2: Fuga de información</t>
        </is>
      </c>
      <c r="AC597" s="107" t="inlineStr">
        <is>
          <t>Manual de Operaciones</t>
        </is>
      </c>
    </row>
    <row r="598">
      <c r="A598" s="96"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c r="Y598" s="107" t="inlineStr">
        <is>
          <t>Implementado</t>
        </is>
      </c>
      <c r="Z598" s="107" t="inlineStr">
        <is>
          <t>[PR] Prevención</t>
        </is>
      </c>
      <c r="AA598" s="107" t="inlineStr">
        <is>
          <t>L2: Reproducible</t>
        </is>
      </c>
      <c r="AB598" s="107" t="inlineStr">
        <is>
          <t>T2: Fuga de información</t>
        </is>
      </c>
      <c r="AC598" s="107" t="inlineStr">
        <is>
          <t>Manual de Operaciones</t>
        </is>
      </c>
    </row>
    <row r="599">
      <c r="A599" s="96"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c r="Y599" s="107" t="inlineStr">
        <is>
          <t>Implementado</t>
        </is>
      </c>
      <c r="Z599" s="107" t="inlineStr">
        <is>
          <t>[PR] Prevención</t>
        </is>
      </c>
      <c r="AA599" s="107" t="inlineStr">
        <is>
          <t>L2: Reproducible</t>
        </is>
      </c>
      <c r="AB599" s="107" t="inlineStr">
        <is>
          <t>T2: Fuga de información</t>
        </is>
      </c>
      <c r="AC599" s="107" t="inlineStr">
        <is>
          <t>Manual de Operaciones</t>
        </is>
      </c>
    </row>
    <row r="600">
      <c r="A600" s="96"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c r="Y600" s="107" t="inlineStr">
        <is>
          <t>No Implementado</t>
        </is>
      </c>
      <c r="Z600" s="107" t="inlineStr">
        <is>
          <t>[PR] Prevención</t>
        </is>
      </c>
      <c r="AA600" s="107" t="inlineStr">
        <is>
          <t>L5: Optimizado</t>
        </is>
      </c>
      <c r="AB600" s="107" t="inlineStr">
        <is>
          <t>T2: Fuga de información</t>
        </is>
      </c>
      <c r="AC600" s="107" t="inlineStr">
        <is>
          <t>Manual de Operaciones</t>
        </is>
      </c>
    </row>
    <row r="601">
      <c r="A601" s="96"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c r="Y601" s="107" t="inlineStr">
        <is>
          <t>Implementado</t>
        </is>
      </c>
      <c r="Z601" s="107" t="inlineStr">
        <is>
          <t>[PR] Prevención</t>
        </is>
      </c>
      <c r="AA601" s="107" t="inlineStr">
        <is>
          <t>L3: Proceso Definido</t>
        </is>
      </c>
      <c r="AB601" s="107" t="inlineStr">
        <is>
          <t>T2: Fuga de información</t>
        </is>
      </c>
      <c r="AC601" s="107" t="inlineStr">
        <is>
          <t>Manual de Operaciones</t>
        </is>
      </c>
    </row>
    <row r="602">
      <c r="A602" s="96"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c r="Y602" s="107" t="inlineStr">
        <is>
          <t>En Proceso</t>
        </is>
      </c>
      <c r="Z602" s="107" t="inlineStr">
        <is>
          <t>[PR] Prevención</t>
        </is>
      </c>
      <c r="AA602" s="107" t="inlineStr">
        <is>
          <t>L5: Optimizado</t>
        </is>
      </c>
      <c r="AB602" s="107" t="inlineStr">
        <is>
          <t>T2: Fuga de información</t>
        </is>
      </c>
      <c r="AC602" s="107" t="inlineStr">
        <is>
          <t>Manual de Operaciones</t>
        </is>
      </c>
    </row>
    <row r="603">
      <c r="A603" s="96"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c r="Y603" s="107" t="inlineStr">
        <is>
          <t>Implementado</t>
        </is>
      </c>
      <c r="Z603" s="107" t="inlineStr">
        <is>
          <t>[PR] Prevención</t>
        </is>
      </c>
      <c r="AA603" s="107" t="inlineStr">
        <is>
          <t>L5: Optimizado</t>
        </is>
      </c>
      <c r="AB603" s="107" t="inlineStr">
        <is>
          <t>T2: Fuga de información</t>
        </is>
      </c>
      <c r="AC603" s="107" t="inlineStr">
        <is>
          <t>Manual de Operaciones</t>
        </is>
      </c>
    </row>
    <row r="604">
      <c r="A604" s="96"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c r="Y604" s="107" t="inlineStr">
        <is>
          <t>Planificado</t>
        </is>
      </c>
      <c r="Z604" s="107" t="inlineStr">
        <is>
          <t>[MN] Monitorización</t>
        </is>
      </c>
      <c r="AA604" s="107" t="inlineStr">
        <is>
          <t>L3: Proceso Definido</t>
        </is>
      </c>
      <c r="AB604" s="107" t="inlineStr">
        <is>
          <t>T2: Fuga de información</t>
        </is>
      </c>
      <c r="AC604" s="107" t="inlineStr">
        <is>
          <t>Registro Físico</t>
        </is>
      </c>
    </row>
    <row r="605">
      <c r="A605" s="96"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c r="Y605" s="107" t="inlineStr">
        <is>
          <t>Implementado</t>
        </is>
      </c>
      <c r="Z605" s="107" t="inlineStr">
        <is>
          <t>[PR] Prevención</t>
        </is>
      </c>
      <c r="AA605" s="107" t="inlineStr">
        <is>
          <t>L2: Reproducible</t>
        </is>
      </c>
      <c r="AB605" s="107" t="inlineStr">
        <is>
          <t>T2: Fuga de información</t>
        </is>
      </c>
      <c r="AC605" s="107" t="inlineStr">
        <is>
          <t>Manual de Operaciones</t>
        </is>
      </c>
    </row>
    <row r="606">
      <c r="A606" s="96"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c r="Y606" s="107" t="inlineStr">
        <is>
          <t>Implementado</t>
        </is>
      </c>
      <c r="Z606" s="107" t="inlineStr">
        <is>
          <t>[PR] Prevención</t>
        </is>
      </c>
      <c r="AA606" s="107" t="inlineStr">
        <is>
          <t>L2: Reproducible</t>
        </is>
      </c>
      <c r="AB606" s="107" t="inlineStr">
        <is>
          <t>T2: Fuga de información</t>
        </is>
      </c>
      <c r="AC606" s="107" t="inlineStr">
        <is>
          <t>Manual de Operaciones</t>
        </is>
      </c>
    </row>
    <row r="607">
      <c r="A607" s="96"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c r="Y607" s="107" t="inlineStr">
        <is>
          <t>Implementado</t>
        </is>
      </c>
      <c r="Z607" s="107" t="inlineStr">
        <is>
          <t>[PR] Prevención</t>
        </is>
      </c>
      <c r="AA607" s="107" t="inlineStr">
        <is>
          <t>L2: Reproducible</t>
        </is>
      </c>
      <c r="AB607" s="107" t="inlineStr">
        <is>
          <t>T2: Fuga de información</t>
        </is>
      </c>
      <c r="AC607" s="107" t="inlineStr">
        <is>
          <t>Manual de Operaciones</t>
        </is>
      </c>
    </row>
    <row r="608">
      <c r="A608" s="96"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c r="Y608" s="107" t="inlineStr">
        <is>
          <t>Implementado</t>
        </is>
      </c>
      <c r="Z608" s="107" t="inlineStr">
        <is>
          <t>[PR] Prevención</t>
        </is>
      </c>
      <c r="AA608" s="107" t="inlineStr">
        <is>
          <t>L5: Optimizado</t>
        </is>
      </c>
      <c r="AB608" s="107" t="inlineStr">
        <is>
          <t>T2: Fuga de información</t>
        </is>
      </c>
      <c r="AC608" s="107" t="inlineStr">
        <is>
          <t>Registro Físico</t>
        </is>
      </c>
    </row>
    <row r="609">
      <c r="A609" s="96"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c r="Y609" s="107" t="inlineStr">
        <is>
          <t>Implementado</t>
        </is>
      </c>
      <c r="Z609" s="107" t="inlineStr">
        <is>
          <t>[PR] Prevención</t>
        </is>
      </c>
      <c r="AA609" s="107" t="inlineStr">
        <is>
          <t>L5: Optimizado</t>
        </is>
      </c>
      <c r="AB609" s="107" t="inlineStr">
        <is>
          <t>T2: Fuga de información</t>
        </is>
      </c>
      <c r="AC609" s="107" t="inlineStr">
        <is>
          <t>Manual de Operaciones</t>
        </is>
      </c>
    </row>
    <row r="610">
      <c r="A610" s="96"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c r="Y610" s="107" t="inlineStr">
        <is>
          <t>Implementado</t>
        </is>
      </c>
      <c r="Z610" s="107" t="inlineStr">
        <is>
          <t>[RC] Recuperación</t>
        </is>
      </c>
      <c r="AA610" s="107" t="inlineStr">
        <is>
          <t>L2: Reproducible</t>
        </is>
      </c>
      <c r="AB610" s="107" t="inlineStr">
        <is>
          <t>T2: Fuga de información</t>
        </is>
      </c>
      <c r="AC610" s="107" t="inlineStr">
        <is>
          <t>Registro Físico</t>
        </is>
      </c>
    </row>
    <row r="611">
      <c r="A611" s="96"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c r="Y611" s="107" t="inlineStr">
        <is>
          <t>Implementado</t>
        </is>
      </c>
      <c r="Z611" s="107" t="inlineStr">
        <is>
          <t>[MN] Monitorización</t>
        </is>
      </c>
      <c r="AA611" s="107" t="inlineStr">
        <is>
          <t>L3: Proceso Definido</t>
        </is>
      </c>
      <c r="AB611" s="107" t="inlineStr">
        <is>
          <t>T2: Fuga de información</t>
        </is>
      </c>
      <c r="AC611" s="107" t="inlineStr">
        <is>
          <t>Registro Físico</t>
        </is>
      </c>
    </row>
    <row r="612">
      <c r="A612" s="96"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c r="Y612" s="107" t="inlineStr">
        <is>
          <t>Implementado</t>
        </is>
      </c>
      <c r="Z612" s="107" t="inlineStr">
        <is>
          <t>[PR] Prevención</t>
        </is>
      </c>
      <c r="AA612" s="107" t="inlineStr">
        <is>
          <t>L3: Proceso Definido</t>
        </is>
      </c>
      <c r="AB612" s="107" t="inlineStr">
        <is>
          <t>T2: Fuga de información</t>
        </is>
      </c>
      <c r="AC612" s="107" t="inlineStr">
        <is>
          <t>Manual de Operaciones</t>
        </is>
      </c>
    </row>
    <row r="613">
      <c r="A613" s="96"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c r="Y613" s="107" t="inlineStr">
        <is>
          <t>Implementado</t>
        </is>
      </c>
      <c r="Z613" s="107" t="inlineStr">
        <is>
          <t>[PR] Prevención</t>
        </is>
      </c>
      <c r="AA613" s="107" t="inlineStr">
        <is>
          <t>L5: Optimizado</t>
        </is>
      </c>
      <c r="AB613" s="107" t="inlineStr">
        <is>
          <t>T2: Fuga de información</t>
        </is>
      </c>
      <c r="AC613" s="107" t="inlineStr">
        <is>
          <t>Manual de Operaciones</t>
        </is>
      </c>
    </row>
    <row r="614">
      <c r="A614" s="96"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c r="Y614" s="107" t="inlineStr">
        <is>
          <t>No Implementado</t>
        </is>
      </c>
      <c r="Z614" s="107" t="inlineStr">
        <is>
          <t>[PR] Prevención</t>
        </is>
      </c>
      <c r="AA614" s="107" t="inlineStr">
        <is>
          <t>L2: Reproducible</t>
        </is>
      </c>
      <c r="AB614" s="107" t="inlineStr">
        <is>
          <t>T2: Fuga de información</t>
        </is>
      </c>
      <c r="AC614" s="107" t="inlineStr">
        <is>
          <t>Manual de Operaciones</t>
        </is>
      </c>
    </row>
    <row r="615">
      <c r="A615" s="96"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c r="Y615" s="107" t="inlineStr">
        <is>
          <t>Implementado</t>
        </is>
      </c>
      <c r="Z615" s="107" t="inlineStr">
        <is>
          <t>[PR] Prevención</t>
        </is>
      </c>
      <c r="AA615" s="107" t="inlineStr">
        <is>
          <t>L5: Optimizado</t>
        </is>
      </c>
      <c r="AB615" s="107" t="inlineStr">
        <is>
          <t>T2: Fuga de información</t>
        </is>
      </c>
      <c r="AC615" s="107" t="inlineStr">
        <is>
          <t>Manual de Operaciones</t>
        </is>
      </c>
    </row>
    <row r="616">
      <c r="A616" s="96"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c r="Y616" s="107" t="inlineStr">
        <is>
          <t>Implementado</t>
        </is>
      </c>
      <c r="Z616" s="107" t="inlineStr">
        <is>
          <t>[PR] Prevención</t>
        </is>
      </c>
      <c r="AA616" s="107" t="inlineStr">
        <is>
          <t>L4: Gestionado</t>
        </is>
      </c>
      <c r="AB616" s="107" t="inlineStr">
        <is>
          <t>T2: Fuga de información</t>
        </is>
      </c>
      <c r="AC616" s="107" t="inlineStr">
        <is>
          <t>Manual de Operaciones</t>
        </is>
      </c>
    </row>
    <row r="617">
      <c r="A617" s="96"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c r="Y617" s="107" t="inlineStr">
        <is>
          <t>Implementado</t>
        </is>
      </c>
      <c r="Z617" s="107" t="inlineStr">
        <is>
          <t>[PR] Prevención</t>
        </is>
      </c>
      <c r="AA617" s="107" t="inlineStr">
        <is>
          <t>L5: Optimizado</t>
        </is>
      </c>
      <c r="AB617" s="107" t="inlineStr">
        <is>
          <t>T2: Fuga de información</t>
        </is>
      </c>
      <c r="AC617" s="107" t="inlineStr">
        <is>
          <t>Manual de Operaciones</t>
        </is>
      </c>
    </row>
    <row r="618">
      <c r="A618" s="96"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c r="Y618" s="107" t="inlineStr">
        <is>
          <t>Implementado</t>
        </is>
      </c>
      <c r="Z618" s="107" t="inlineStr">
        <is>
          <t>[PR] Prevención</t>
        </is>
      </c>
      <c r="AA618" s="107" t="inlineStr">
        <is>
          <t>L3: Proceso Definido</t>
        </is>
      </c>
      <c r="AB618" s="107" t="inlineStr">
        <is>
          <t>T2: Fuga de información</t>
        </is>
      </c>
      <c r="AC618" s="107" t="inlineStr">
        <is>
          <t>Manual de Operaciones</t>
        </is>
      </c>
    </row>
    <row r="619">
      <c r="A619" s="96"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c r="Y619" s="107" t="inlineStr">
        <is>
          <t>Implementado</t>
        </is>
      </c>
      <c r="Z619" s="107" t="inlineStr">
        <is>
          <t>[PR] Prevención</t>
        </is>
      </c>
      <c r="AA619" s="107" t="inlineStr">
        <is>
          <t>L2: Reproducible</t>
        </is>
      </c>
      <c r="AB619" s="107" t="inlineStr">
        <is>
          <t>T2: Fuga de información</t>
        </is>
      </c>
      <c r="AC619" s="107" t="inlineStr">
        <is>
          <t>Manual de Operaciones</t>
        </is>
      </c>
    </row>
    <row r="620">
      <c r="A620" s="96"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c r="Y620" s="107" t="inlineStr">
        <is>
          <t>Implementado</t>
        </is>
      </c>
      <c r="Z620" s="107" t="inlineStr">
        <is>
          <t>[PR] Prevención</t>
        </is>
      </c>
      <c r="AA620" s="107" t="inlineStr">
        <is>
          <t>L2: Reproducible</t>
        </is>
      </c>
      <c r="AB620" s="107" t="inlineStr">
        <is>
          <t>T2: Fuga de información</t>
        </is>
      </c>
      <c r="AC620" s="107" t="inlineStr">
        <is>
          <t>Manual de Operaciones</t>
        </is>
      </c>
    </row>
    <row r="621">
      <c r="A621" s="96"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c r="Y621" s="107" t="inlineStr">
        <is>
          <t>Implementado</t>
        </is>
      </c>
      <c r="Z621" s="107" t="inlineStr">
        <is>
          <t>[PR] Prevención</t>
        </is>
      </c>
      <c r="AA621" s="107" t="inlineStr">
        <is>
          <t>L5: Optimizado</t>
        </is>
      </c>
      <c r="AB621" s="107" t="inlineStr">
        <is>
          <t>T2: Fuga de información</t>
        </is>
      </c>
      <c r="AC621" s="107" t="inlineStr">
        <is>
          <t>Manual de Operaciones</t>
        </is>
      </c>
    </row>
    <row r="622">
      <c r="A622" s="96"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c r="Y622" s="107" t="inlineStr">
        <is>
          <t>Implementado</t>
        </is>
      </c>
      <c r="Z622" s="107" t="inlineStr">
        <is>
          <t>[PR] Prevención</t>
        </is>
      </c>
      <c r="AA622" s="107" t="inlineStr">
        <is>
          <t>L3: Proceso Definido</t>
        </is>
      </c>
      <c r="AB622" s="107" t="inlineStr">
        <is>
          <t>T2: Fuga de información</t>
        </is>
      </c>
      <c r="AC622" s="107" t="inlineStr">
        <is>
          <t>Manual de Operaciones</t>
        </is>
      </c>
    </row>
    <row r="623">
      <c r="A623" s="96"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c r="Y623" s="107" t="inlineStr">
        <is>
          <t>Implementado</t>
        </is>
      </c>
      <c r="Z623" s="107" t="inlineStr">
        <is>
          <t>[PR] Prevención</t>
        </is>
      </c>
      <c r="AA623" s="107" t="inlineStr">
        <is>
          <t>L5: Optimizado</t>
        </is>
      </c>
      <c r="AB623" s="107" t="inlineStr">
        <is>
          <t>T2: Fuga de información</t>
        </is>
      </c>
      <c r="AC623" s="107" t="inlineStr">
        <is>
          <t>Manual de Operaciones</t>
        </is>
      </c>
    </row>
    <row r="624">
      <c r="A624" s="96"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c r="Y624" s="107" t="inlineStr">
        <is>
          <t>Implementado</t>
        </is>
      </c>
      <c r="Z624" s="107" t="inlineStr">
        <is>
          <t>[PR] Prevención</t>
        </is>
      </c>
      <c r="AA624" s="107" t="inlineStr">
        <is>
          <t>L5: Optimizado</t>
        </is>
      </c>
      <c r="AB624" s="107" t="inlineStr">
        <is>
          <t>T2: Fuga de información</t>
        </is>
      </c>
      <c r="AC624" s="107" t="inlineStr">
        <is>
          <t>Manual de Operaciones</t>
        </is>
      </c>
    </row>
    <row r="625">
      <c r="A625" s="96"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c r="Y625" s="107" t="inlineStr">
        <is>
          <t>Implementado</t>
        </is>
      </c>
      <c r="Z625" s="107" t="inlineStr">
        <is>
          <t>[PR] Prevención</t>
        </is>
      </c>
      <c r="AA625" s="107" t="inlineStr">
        <is>
          <t>L4: Gestionado</t>
        </is>
      </c>
      <c r="AB625" s="107" t="inlineStr">
        <is>
          <t>T2: Fuga de información</t>
        </is>
      </c>
      <c r="AC625" s="107" t="inlineStr">
        <is>
          <t>Manual de Operaciones</t>
        </is>
      </c>
    </row>
    <row r="626">
      <c r="A626" s="96"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c r="Y626" s="107" t="inlineStr">
        <is>
          <t>Planificado</t>
        </is>
      </c>
      <c r="Z626" s="107" t="inlineStr">
        <is>
          <t>[PR] Prevención</t>
        </is>
      </c>
      <c r="AA626" s="107" t="inlineStr">
        <is>
          <t>L3: Proceso Definido</t>
        </is>
      </c>
      <c r="AB626" s="107" t="inlineStr">
        <is>
          <t>T2: Fuga de información</t>
        </is>
      </c>
      <c r="AC626" s="107" t="inlineStr">
        <is>
          <t>Manual de Operaciones</t>
        </is>
      </c>
    </row>
    <row r="627">
      <c r="A627" s="96"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c r="Y627" s="107" t="inlineStr">
        <is>
          <t>Implementado</t>
        </is>
      </c>
      <c r="Z627" s="107" t="inlineStr">
        <is>
          <t>[PR] Prevención</t>
        </is>
      </c>
      <c r="AA627" s="107" t="inlineStr">
        <is>
          <t>L5: Optimizado</t>
        </is>
      </c>
      <c r="AB627" s="107" t="inlineStr">
        <is>
          <t>T2: Fuga de información</t>
        </is>
      </c>
      <c r="AC627" s="107" t="inlineStr">
        <is>
          <t>Manual de Operaciones</t>
        </is>
      </c>
    </row>
    <row r="628">
      <c r="A628" s="96"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c r="Y628" s="107" t="inlineStr">
        <is>
          <t>Implementado</t>
        </is>
      </c>
      <c r="Z628" s="107" t="inlineStr">
        <is>
          <t>[PR] Prevención</t>
        </is>
      </c>
      <c r="AA628" s="107" t="inlineStr">
        <is>
          <t>L4: Gestionado</t>
        </is>
      </c>
      <c r="AB628" s="107" t="inlineStr">
        <is>
          <t>T2: Fuga de información</t>
        </is>
      </c>
      <c r="AC628" s="107" t="inlineStr">
        <is>
          <t>Manual de Operaciones</t>
        </is>
      </c>
    </row>
    <row r="629">
      <c r="A629" s="96"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c r="Y629" s="107" t="inlineStr">
        <is>
          <t>Implementado</t>
        </is>
      </c>
      <c r="Z629" s="107" t="inlineStr">
        <is>
          <t>[DC] Detección</t>
        </is>
      </c>
      <c r="AA629" s="107" t="inlineStr">
        <is>
          <t>L4: Gestionado</t>
        </is>
      </c>
      <c r="AB629" s="107" t="inlineStr">
        <is>
          <t>T2: Fuga de información</t>
        </is>
      </c>
      <c r="AC629" s="107" t="inlineStr">
        <is>
          <t>Registro Físico</t>
        </is>
      </c>
    </row>
    <row r="630">
      <c r="A630" s="96"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c r="Y630" s="107" t="inlineStr">
        <is>
          <t>Implementado</t>
        </is>
      </c>
      <c r="Z630" s="107" t="inlineStr">
        <is>
          <t>[PR] Prevención</t>
        </is>
      </c>
      <c r="AA630" s="107" t="inlineStr">
        <is>
          <t>L5: Optimizado</t>
        </is>
      </c>
      <c r="AB630" s="107" t="inlineStr">
        <is>
          <t>T2: Fuga de información</t>
        </is>
      </c>
      <c r="AC630" s="107" t="inlineStr">
        <is>
          <t>Manual de Operaciones</t>
        </is>
      </c>
    </row>
    <row r="631">
      <c r="A631" s="96"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c r="Y631" s="107" t="inlineStr">
        <is>
          <t>En Proceso</t>
        </is>
      </c>
      <c r="Z631" s="107" t="inlineStr">
        <is>
          <t>[PR] Prevención</t>
        </is>
      </c>
      <c r="AA631" s="107" t="inlineStr">
        <is>
          <t>L5: Optimizado</t>
        </is>
      </c>
      <c r="AB631" s="107" t="inlineStr">
        <is>
          <t>T2: Fuga de información</t>
        </is>
      </c>
      <c r="AC631" s="107" t="inlineStr">
        <is>
          <t>Manual de Operaciones</t>
        </is>
      </c>
    </row>
    <row r="632">
      <c r="A632" s="96"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c r="Y632" s="107" t="inlineStr">
        <is>
          <t>Implementado</t>
        </is>
      </c>
      <c r="Z632" s="107" t="inlineStr">
        <is>
          <t>[PR] Prevención</t>
        </is>
      </c>
      <c r="AA632" s="107" t="inlineStr">
        <is>
          <t>L5: Optimizado</t>
        </is>
      </c>
      <c r="AB632" s="107" t="inlineStr">
        <is>
          <t>T2: Fuga de información</t>
        </is>
      </c>
      <c r="AC632" s="107" t="inlineStr">
        <is>
          <t>Manual de Operaciones</t>
        </is>
      </c>
    </row>
    <row r="633">
      <c r="A633" s="96"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c r="Y633" s="107" t="inlineStr">
        <is>
          <t>Implementado</t>
        </is>
      </c>
      <c r="Z633" s="107" t="inlineStr">
        <is>
          <t>[PR] Prevención</t>
        </is>
      </c>
      <c r="AA633" s="107" t="inlineStr">
        <is>
          <t>L3: Proceso Definido</t>
        </is>
      </c>
      <c r="AB633" s="107" t="inlineStr">
        <is>
          <t>T2: Fuga de información</t>
        </is>
      </c>
      <c r="AC633" s="107" t="inlineStr">
        <is>
          <t>Manual de Operaciones</t>
        </is>
      </c>
    </row>
    <row r="634">
      <c r="A634" s="96"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c r="Y634" s="107" t="inlineStr">
        <is>
          <t>Implementado</t>
        </is>
      </c>
      <c r="Z634" s="107" t="inlineStr">
        <is>
          <t>[PR] Prevención</t>
        </is>
      </c>
      <c r="AA634" s="107" t="inlineStr">
        <is>
          <t>L2: Reproducible</t>
        </is>
      </c>
      <c r="AB634" s="107" t="inlineStr">
        <is>
          <t>T2: Fuga de información</t>
        </is>
      </c>
      <c r="AC634" s="107" t="inlineStr">
        <is>
          <t>Manual de Operaciones</t>
        </is>
      </c>
    </row>
    <row r="635">
      <c r="A635" s="96"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c r="Y635" s="107" t="inlineStr">
        <is>
          <t>En Proceso</t>
        </is>
      </c>
      <c r="Z635" s="107" t="inlineStr">
        <is>
          <t>[EL] Eliminación</t>
        </is>
      </c>
      <c r="AA635" s="107" t="inlineStr">
        <is>
          <t>L4: Gestionado</t>
        </is>
      </c>
      <c r="AB635" s="107" t="inlineStr">
        <is>
          <t>T2: Fuga de información</t>
        </is>
      </c>
      <c r="AC635" s="107" t="inlineStr">
        <is>
          <t>Registro Físico</t>
        </is>
      </c>
    </row>
    <row r="636">
      <c r="A636" s="96"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c r="Y636" s="107" t="inlineStr">
        <is>
          <t>Implementado</t>
        </is>
      </c>
      <c r="Z636" s="107" t="inlineStr">
        <is>
          <t>[PR] Prevención</t>
        </is>
      </c>
      <c r="AA636" s="107" t="inlineStr">
        <is>
          <t>L4: Gestionado</t>
        </is>
      </c>
      <c r="AB636" s="107" t="inlineStr">
        <is>
          <t>T2: Fuga de información</t>
        </is>
      </c>
      <c r="AC636" s="107" t="inlineStr">
        <is>
          <t>Manual de Operaciones</t>
        </is>
      </c>
    </row>
    <row r="637">
      <c r="A637" s="96"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c r="Y637" s="107" t="inlineStr">
        <is>
          <t>En Proceso</t>
        </is>
      </c>
      <c r="Z637" s="107" t="inlineStr">
        <is>
          <t>[PR] Prevención</t>
        </is>
      </c>
      <c r="AA637" s="107" t="inlineStr">
        <is>
          <t>L4: Gestionado</t>
        </is>
      </c>
      <c r="AB637" s="107" t="inlineStr">
        <is>
          <t>T2: Fuga de información</t>
        </is>
      </c>
      <c r="AC637" s="107" t="inlineStr">
        <is>
          <t>Manual de Operaciones</t>
        </is>
      </c>
    </row>
    <row r="638">
      <c r="A638" s="96"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c r="Y638" s="107" t="inlineStr">
        <is>
          <t>Implementado</t>
        </is>
      </c>
      <c r="Z638" s="107" t="inlineStr">
        <is>
          <t>[PR] Prevención</t>
        </is>
      </c>
      <c r="AA638" s="107" t="inlineStr">
        <is>
          <t>L4: Gestionado</t>
        </is>
      </c>
      <c r="AB638" s="107" t="inlineStr">
        <is>
          <t>T2: Fuga de información</t>
        </is>
      </c>
      <c r="AC638" s="107" t="inlineStr">
        <is>
          <t>Manual de Operaciones</t>
        </is>
      </c>
    </row>
    <row r="639">
      <c r="A639" s="96"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c r="Y639" s="107" t="inlineStr">
        <is>
          <t>Implementado</t>
        </is>
      </c>
      <c r="Z639" s="107" t="inlineStr">
        <is>
          <t>[DC] Detección</t>
        </is>
      </c>
      <c r="AA639" s="107" t="inlineStr">
        <is>
          <t>L4: Gestionado</t>
        </is>
      </c>
      <c r="AB639" s="107" t="inlineStr">
        <is>
          <t>T2: Fuga de información</t>
        </is>
      </c>
      <c r="AC639" s="107" t="inlineStr">
        <is>
          <t>Registro Físico</t>
        </is>
      </c>
    </row>
    <row r="640">
      <c r="A640" s="96"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c r="Y640" s="107" t="inlineStr">
        <is>
          <t>Implementado</t>
        </is>
      </c>
      <c r="Z640" s="107" t="inlineStr">
        <is>
          <t>[PR] Prevención</t>
        </is>
      </c>
      <c r="AA640" s="107" t="inlineStr">
        <is>
          <t>L3: Proceso Definido</t>
        </is>
      </c>
      <c r="AB640" s="107" t="inlineStr">
        <is>
          <t>T2: Fuga de información</t>
        </is>
      </c>
      <c r="AC640" s="107" t="inlineStr">
        <is>
          <t>Manual de Operaciones</t>
        </is>
      </c>
    </row>
    <row r="641">
      <c r="A641" s="96"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c r="Y641" s="107" t="inlineStr">
        <is>
          <t>Implementado</t>
        </is>
      </c>
      <c r="Z641" s="107" t="inlineStr">
        <is>
          <t>[PR] Prevención</t>
        </is>
      </c>
      <c r="AA641" s="107" t="inlineStr">
        <is>
          <t>L3: Proceso Definido</t>
        </is>
      </c>
      <c r="AB641" s="107" t="inlineStr">
        <is>
          <t>T2: Fuga de información</t>
        </is>
      </c>
      <c r="AC641" s="107" t="inlineStr">
        <is>
          <t>Manual de Operaciones</t>
        </is>
      </c>
    </row>
    <row r="642">
      <c r="A642" s="96"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c r="Y642" s="107" t="inlineStr">
        <is>
          <t>Implementado</t>
        </is>
      </c>
      <c r="Z642" s="107" t="inlineStr">
        <is>
          <t>[PR] Prevención</t>
        </is>
      </c>
      <c r="AA642" s="107" t="inlineStr">
        <is>
          <t>L3: Proceso Definido</t>
        </is>
      </c>
      <c r="AB642" s="107" t="inlineStr">
        <is>
          <t>T2: Fuga de información</t>
        </is>
      </c>
      <c r="AC642" s="107" t="inlineStr">
        <is>
          <t>Manual de Operaciones</t>
        </is>
      </c>
    </row>
    <row r="643">
      <c r="A643" s="96"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c r="Y643" s="107" t="inlineStr">
        <is>
          <t>Implementado</t>
        </is>
      </c>
      <c r="Z643" s="107" t="inlineStr">
        <is>
          <t>[PR] Prevención</t>
        </is>
      </c>
      <c r="AA643" s="107" t="inlineStr">
        <is>
          <t>L4: Gestionado</t>
        </is>
      </c>
      <c r="AB643" s="107" t="inlineStr">
        <is>
          <t>T2: Fuga de información</t>
        </is>
      </c>
      <c r="AC643" s="107" t="inlineStr">
        <is>
          <t>Manual de Operaciones</t>
        </is>
      </c>
    </row>
    <row r="644">
      <c r="A644" s="96"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c r="Y644" s="107" t="inlineStr">
        <is>
          <t>Implementado</t>
        </is>
      </c>
      <c r="Z644" s="107" t="inlineStr">
        <is>
          <t>[PR] Prevención</t>
        </is>
      </c>
      <c r="AA644" s="107" t="inlineStr">
        <is>
          <t>L3: Proceso Definido</t>
        </is>
      </c>
      <c r="AB644" s="107" t="inlineStr">
        <is>
          <t>T2: Fuga de información</t>
        </is>
      </c>
      <c r="AC644" s="107" t="inlineStr">
        <is>
          <t>Manual de Operaciones</t>
        </is>
      </c>
    </row>
    <row r="645">
      <c r="A645" s="96"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c r="Y645" s="107" t="inlineStr">
        <is>
          <t>Implementado</t>
        </is>
      </c>
      <c r="Z645" s="107" t="inlineStr">
        <is>
          <t>[PR] Prevención</t>
        </is>
      </c>
      <c r="AA645" s="107" t="inlineStr">
        <is>
          <t>L3: Proceso Definido</t>
        </is>
      </c>
      <c r="AB645" s="107" t="inlineStr">
        <is>
          <t>T2: Fuga de información</t>
        </is>
      </c>
      <c r="AC645" s="107" t="inlineStr">
        <is>
          <t>Manual de Operaciones</t>
        </is>
      </c>
    </row>
    <row r="646">
      <c r="A646" s="96"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c r="Y646" s="107" t="inlineStr">
        <is>
          <t>Implementado</t>
        </is>
      </c>
      <c r="Z646" s="107" t="inlineStr">
        <is>
          <t>[PR] Prevención</t>
        </is>
      </c>
      <c r="AA646" s="107" t="inlineStr">
        <is>
          <t>L2: Reproducible</t>
        </is>
      </c>
      <c r="AB646" s="107" t="inlineStr">
        <is>
          <t>T2: Fuga de información</t>
        </is>
      </c>
      <c r="AC646" s="107" t="inlineStr">
        <is>
          <t>Manual de Operaciones</t>
        </is>
      </c>
    </row>
    <row r="647">
      <c r="A647" s="96"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c r="Y647" s="107" t="inlineStr">
        <is>
          <t>Implementado</t>
        </is>
      </c>
      <c r="Z647" s="107" t="inlineStr">
        <is>
          <t>[PR] Prevención</t>
        </is>
      </c>
      <c r="AA647" s="107" t="inlineStr">
        <is>
          <t>L3: Proceso Definido</t>
        </is>
      </c>
      <c r="AB647" s="107" t="inlineStr">
        <is>
          <t>T2: Fuga de información</t>
        </is>
      </c>
      <c r="AC647" s="107" t="inlineStr">
        <is>
          <t>Manual de Operaciones</t>
        </is>
      </c>
    </row>
    <row r="648">
      <c r="A648" s="96"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c r="Y648" s="107" t="inlineStr">
        <is>
          <t>Implementado</t>
        </is>
      </c>
      <c r="Z648" s="107" t="inlineStr">
        <is>
          <t>[PR] Prevención</t>
        </is>
      </c>
      <c r="AA648" s="107" t="inlineStr">
        <is>
          <t>L5: Optimizado</t>
        </is>
      </c>
      <c r="AB648" s="107" t="inlineStr">
        <is>
          <t>T2: Fuga de información</t>
        </is>
      </c>
      <c r="AC648" s="107" t="inlineStr">
        <is>
          <t>Manual de Operaciones</t>
        </is>
      </c>
    </row>
    <row r="649">
      <c r="A649" s="96"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c r="Y649" s="107" t="inlineStr">
        <is>
          <t>No Implementado</t>
        </is>
      </c>
      <c r="Z649" s="107" t="inlineStr">
        <is>
          <t>[PR] Prevención</t>
        </is>
      </c>
      <c r="AA649" s="107" t="inlineStr">
        <is>
          <t>L3: Proceso Definido</t>
        </is>
      </c>
      <c r="AB649" s="107" t="inlineStr">
        <is>
          <t>T2: Fuga de información</t>
        </is>
      </c>
      <c r="AC649" s="107" t="inlineStr">
        <is>
          <t>Manual de Operaciones</t>
        </is>
      </c>
    </row>
    <row r="650">
      <c r="A650" s="96"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c r="Y650" s="107" t="inlineStr">
        <is>
          <t>Planificado</t>
        </is>
      </c>
      <c r="Z650" s="107" t="inlineStr">
        <is>
          <t>[PR] Prevención</t>
        </is>
      </c>
      <c r="AA650" s="107" t="inlineStr">
        <is>
          <t>L3: Proceso Definido</t>
        </is>
      </c>
      <c r="AB650" s="107" t="inlineStr">
        <is>
          <t>T2: Fuga de información</t>
        </is>
      </c>
      <c r="AC650" s="107" t="inlineStr">
        <is>
          <t>Manual de Operaciones</t>
        </is>
      </c>
    </row>
    <row r="651">
      <c r="A651" s="96"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c r="Y651" s="107" t="inlineStr">
        <is>
          <t>No Implementado</t>
        </is>
      </c>
      <c r="Z651" s="107" t="inlineStr">
        <is>
          <t>[PR] Prevención</t>
        </is>
      </c>
      <c r="AA651" s="107" t="inlineStr">
        <is>
          <t>L5: Optimizado</t>
        </is>
      </c>
      <c r="AB651" s="107" t="inlineStr">
        <is>
          <t>T2: Fuga de información</t>
        </is>
      </c>
      <c r="AC651" s="107" t="inlineStr">
        <is>
          <t>Manual de Operaciones</t>
        </is>
      </c>
    </row>
    <row r="652">
      <c r="A652" s="96"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c r="Y652" s="107" t="inlineStr">
        <is>
          <t>Implementado</t>
        </is>
      </c>
      <c r="Z652" s="107" t="inlineStr">
        <is>
          <t>[PR] Prevención</t>
        </is>
      </c>
      <c r="AA652" s="107" t="inlineStr">
        <is>
          <t>L3: Proceso Definido</t>
        </is>
      </c>
      <c r="AB652" s="107" t="inlineStr">
        <is>
          <t>T2: Fuga de información</t>
        </is>
      </c>
      <c r="AC652" s="107" t="inlineStr">
        <is>
          <t>Manual de Operaciones</t>
        </is>
      </c>
    </row>
    <row r="653">
      <c r="A653" s="96"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c r="Y653" s="107" t="inlineStr">
        <is>
          <t>Implementado</t>
        </is>
      </c>
      <c r="Z653" s="107" t="inlineStr">
        <is>
          <t>[IM] Minimización</t>
        </is>
      </c>
      <c r="AA653" s="107" t="inlineStr">
        <is>
          <t>L3: Proceso Definido</t>
        </is>
      </c>
      <c r="AB653" s="107" t="inlineStr">
        <is>
          <t>T2: Fuga de información</t>
        </is>
      </c>
      <c r="AC653" s="107" t="inlineStr">
        <is>
          <t>Registro Físico</t>
        </is>
      </c>
    </row>
    <row r="654">
      <c r="A654" s="96"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c r="Y654" s="107" t="inlineStr">
        <is>
          <t>No Implementado</t>
        </is>
      </c>
      <c r="Z654" s="107" t="inlineStr">
        <is>
          <t>[CR] Corrección</t>
        </is>
      </c>
      <c r="AA654" s="107" t="inlineStr">
        <is>
          <t>L3: Proceso Definido</t>
        </is>
      </c>
      <c r="AB654" s="107" t="inlineStr">
        <is>
          <t>T2: Fuga de información</t>
        </is>
      </c>
      <c r="AC654" s="107" t="inlineStr">
        <is>
          <t>Registro Físico</t>
        </is>
      </c>
    </row>
    <row r="655">
      <c r="A655" s="96"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c r="Y655" s="107" t="inlineStr">
        <is>
          <t>Implementado</t>
        </is>
      </c>
      <c r="Z655" s="107" t="inlineStr">
        <is>
          <t>[IM] Minimización</t>
        </is>
      </c>
      <c r="AA655" s="107" t="inlineStr">
        <is>
          <t>L2: Reproducible</t>
        </is>
      </c>
      <c r="AB655" s="107" t="inlineStr">
        <is>
          <t>T2: Fuga de información</t>
        </is>
      </c>
      <c r="AC655" s="107" t="inlineStr">
        <is>
          <t>Registro Físico</t>
        </is>
      </c>
    </row>
    <row r="656">
      <c r="A656" s="96"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c r="Y656" s="107" t="inlineStr">
        <is>
          <t>Implementado</t>
        </is>
      </c>
      <c r="Z656" s="107" t="inlineStr">
        <is>
          <t>[PR] Prevención</t>
        </is>
      </c>
      <c r="AA656" s="107" t="inlineStr">
        <is>
          <t>L2: Reproducible</t>
        </is>
      </c>
      <c r="AB656" s="107" t="inlineStr">
        <is>
          <t>T2: Fuga de información</t>
        </is>
      </c>
      <c r="AC656" s="107" t="inlineStr">
        <is>
          <t>Manual de Operaciones</t>
        </is>
      </c>
    </row>
    <row r="657">
      <c r="A657" s="96"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c r="Y657" s="107" t="inlineStr">
        <is>
          <t>Implementado</t>
        </is>
      </c>
      <c r="Z657" s="107" t="inlineStr">
        <is>
          <t>[EL] Eliminación</t>
        </is>
      </c>
      <c r="AA657" s="107" t="inlineStr">
        <is>
          <t>L3: Proceso Definido</t>
        </is>
      </c>
      <c r="AB657" s="107" t="inlineStr">
        <is>
          <t>T2: Fuga de información</t>
        </is>
      </c>
      <c r="AC657" s="107" t="inlineStr">
        <is>
          <t>Registro Físico</t>
        </is>
      </c>
    </row>
    <row r="658">
      <c r="A658" s="96"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c r="Y658" s="107" t="inlineStr">
        <is>
          <t>Implementado</t>
        </is>
      </c>
      <c r="Z658" s="107" t="inlineStr">
        <is>
          <t>[PR] Prevención</t>
        </is>
      </c>
      <c r="AA658" s="107" t="inlineStr">
        <is>
          <t>L3: Proceso Definido</t>
        </is>
      </c>
      <c r="AB658" s="107" t="inlineStr">
        <is>
          <t>T2: Fuga de información</t>
        </is>
      </c>
      <c r="AC658" s="107" t="inlineStr">
        <is>
          <t>Manual de Operaciones</t>
        </is>
      </c>
    </row>
    <row r="659">
      <c r="A659" s="96"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c r="Y659" s="107" t="inlineStr">
        <is>
          <t>Implementado</t>
        </is>
      </c>
      <c r="Z659" s="107" t="inlineStr">
        <is>
          <t>[PR] Prevención</t>
        </is>
      </c>
      <c r="AA659" s="107" t="inlineStr">
        <is>
          <t>L5: Optimizado</t>
        </is>
      </c>
      <c r="AB659" s="107" t="inlineStr">
        <is>
          <t>T2: Fuga de información</t>
        </is>
      </c>
      <c r="AC659" s="107" t="inlineStr">
        <is>
          <t>Manual de Operaciones</t>
        </is>
      </c>
    </row>
    <row r="660">
      <c r="A660" s="96"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c r="Y660" s="107" t="inlineStr">
        <is>
          <t>No Implementado</t>
        </is>
      </c>
      <c r="Z660" s="107" t="inlineStr">
        <is>
          <t>[DR] Disuasión</t>
        </is>
      </c>
      <c r="AA660" s="107" t="inlineStr">
        <is>
          <t>L5: Optimizado</t>
        </is>
      </c>
      <c r="AB660" s="107" t="inlineStr">
        <is>
          <t>T2: Fuga de información</t>
        </is>
      </c>
      <c r="AC660" s="107" t="inlineStr">
        <is>
          <t>Registro Físico</t>
        </is>
      </c>
    </row>
    <row r="661">
      <c r="A661" s="96"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c r="Y661" s="107" t="inlineStr">
        <is>
          <t>No Implementado</t>
        </is>
      </c>
      <c r="Z661" s="107" t="inlineStr">
        <is>
          <t>[PR] Prevención</t>
        </is>
      </c>
      <c r="AA661" s="107" t="inlineStr">
        <is>
          <t>L2: Reproducible</t>
        </is>
      </c>
      <c r="AB661" s="107" t="inlineStr">
        <is>
          <t>T2: Fuga de información</t>
        </is>
      </c>
      <c r="AC661" s="107" t="inlineStr">
        <is>
          <t>Manual de Operaciones</t>
        </is>
      </c>
    </row>
    <row r="662">
      <c r="A662" s="96"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c r="Y662" s="107" t="inlineStr">
        <is>
          <t>Implementado</t>
        </is>
      </c>
      <c r="Z662" s="107" t="inlineStr">
        <is>
          <t>[PR] Prevención</t>
        </is>
      </c>
      <c r="AA662" s="107" t="inlineStr">
        <is>
          <t>L2: Reproducible</t>
        </is>
      </c>
      <c r="AB662" s="107" t="inlineStr">
        <is>
          <t>T2: Fuga de información</t>
        </is>
      </c>
      <c r="AC662" s="107" t="inlineStr">
        <is>
          <t>Manual de Operaciones</t>
        </is>
      </c>
    </row>
    <row r="663">
      <c r="A663" s="96"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c r="Y663" s="107" t="inlineStr">
        <is>
          <t>Implementado</t>
        </is>
      </c>
      <c r="Z663" s="107" t="inlineStr">
        <is>
          <t>[PR] Prevención</t>
        </is>
      </c>
      <c r="AA663" s="107" t="inlineStr">
        <is>
          <t>L4: Gestionado</t>
        </is>
      </c>
      <c r="AB663" s="107" t="inlineStr">
        <is>
          <t>T2: Fuga de información</t>
        </is>
      </c>
      <c r="AC663" s="107" t="inlineStr">
        <is>
          <t>Manual de Operaciones</t>
        </is>
      </c>
    </row>
    <row r="664">
      <c r="A664" s="96"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c r="Y664" s="107" t="inlineStr">
        <is>
          <t>Implementado</t>
        </is>
      </c>
      <c r="Z664" s="107" t="inlineStr">
        <is>
          <t>[PR] Prevención</t>
        </is>
      </c>
      <c r="AA664" s="107" t="inlineStr">
        <is>
          <t>L5: Optimizado</t>
        </is>
      </c>
      <c r="AB664" s="107" t="inlineStr">
        <is>
          <t>T2: Fuga de información</t>
        </is>
      </c>
      <c r="AC664" s="107" t="inlineStr">
        <is>
          <t>Manual de Operaciones</t>
        </is>
      </c>
    </row>
    <row r="665">
      <c r="A665" s="96"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c r="Y665" s="107" t="inlineStr">
        <is>
          <t>Implementado</t>
        </is>
      </c>
      <c r="Z665" s="107" t="inlineStr">
        <is>
          <t>[EL] Eliminación</t>
        </is>
      </c>
      <c r="AA665" s="107" t="inlineStr">
        <is>
          <t>L4: Gestionado</t>
        </is>
      </c>
      <c r="AB665" s="107" t="inlineStr">
        <is>
          <t>T2: Fuga de información</t>
        </is>
      </c>
      <c r="AC665" s="107" t="inlineStr">
        <is>
          <t>Registro Físico</t>
        </is>
      </c>
    </row>
    <row r="666">
      <c r="A666" s="96"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c r="Y666" s="107" t="inlineStr">
        <is>
          <t>No Implementado</t>
        </is>
      </c>
      <c r="Z666" s="107" t="inlineStr">
        <is>
          <t>[PR] Prevención</t>
        </is>
      </c>
      <c r="AA666" s="107" t="inlineStr">
        <is>
          <t>L3: Proceso Definido</t>
        </is>
      </c>
      <c r="AB666" s="107" t="inlineStr">
        <is>
          <t>T2: Fuga de información</t>
        </is>
      </c>
      <c r="AC666" s="107" t="inlineStr">
        <is>
          <t>Manual de Operaciones</t>
        </is>
      </c>
    </row>
    <row r="667">
      <c r="A667" s="96"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c r="Y667" s="107" t="inlineStr">
        <is>
          <t>No Implementado</t>
        </is>
      </c>
      <c r="Z667" s="107" t="inlineStr">
        <is>
          <t>[PR] Prevención</t>
        </is>
      </c>
      <c r="AA667" s="107" t="inlineStr">
        <is>
          <t>L2: Reproducible</t>
        </is>
      </c>
      <c r="AB667" s="107" t="inlineStr">
        <is>
          <t>T2: Fuga de información</t>
        </is>
      </c>
      <c r="AC667" s="107" t="inlineStr">
        <is>
          <t>Manual de Operaciones</t>
        </is>
      </c>
    </row>
    <row r="668">
      <c r="A668" s="96"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c r="Y668" s="107" t="inlineStr">
        <is>
          <t>Implementado</t>
        </is>
      </c>
      <c r="Z668" s="107" t="inlineStr">
        <is>
          <t>[PR] Prevención</t>
        </is>
      </c>
      <c r="AA668" s="107" t="inlineStr">
        <is>
          <t>L3: Proceso Definido</t>
        </is>
      </c>
      <c r="AB668" s="107" t="inlineStr">
        <is>
          <t>T2: Fuga de información</t>
        </is>
      </c>
      <c r="AC668" s="107" t="inlineStr">
        <is>
          <t>Manual de Operaciones</t>
        </is>
      </c>
    </row>
    <row r="669">
      <c r="A669" s="96"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c r="Y669" s="107" t="inlineStr">
        <is>
          <t>Implementado</t>
        </is>
      </c>
      <c r="Z669" s="107" t="inlineStr">
        <is>
          <t>[PR] Prevención</t>
        </is>
      </c>
      <c r="AA669" s="107" t="inlineStr">
        <is>
          <t>L5: Optimizado</t>
        </is>
      </c>
      <c r="AB669" s="107" t="inlineStr">
        <is>
          <t>T2: Fuga de información</t>
        </is>
      </c>
      <c r="AC669" s="107" t="inlineStr">
        <is>
          <t>Manual de Operaciones</t>
        </is>
      </c>
    </row>
    <row r="670">
      <c r="A670" s="96"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c r="Y670" s="107" t="inlineStr">
        <is>
          <t>Implementado</t>
        </is>
      </c>
      <c r="Z670" s="107" t="inlineStr">
        <is>
          <t>[EL] Eliminación</t>
        </is>
      </c>
      <c r="AA670" s="107" t="inlineStr">
        <is>
          <t>L2: Reproducible</t>
        </is>
      </c>
      <c r="AB670" s="107" t="inlineStr">
        <is>
          <t>T2: Fuga de información</t>
        </is>
      </c>
      <c r="AC670" s="107" t="inlineStr">
        <is>
          <t>Registro Físico</t>
        </is>
      </c>
    </row>
    <row r="671">
      <c r="A671" s="96"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c r="Y671" s="107" t="inlineStr">
        <is>
          <t>Implementado</t>
        </is>
      </c>
      <c r="Z671" s="107" t="inlineStr">
        <is>
          <t>[PR] Prevención</t>
        </is>
      </c>
      <c r="AA671" s="107" t="inlineStr">
        <is>
          <t>L5: Optimizado</t>
        </is>
      </c>
      <c r="AB671" s="107" t="inlineStr">
        <is>
          <t>T2: Fuga de información</t>
        </is>
      </c>
      <c r="AC671" s="107" t="inlineStr">
        <is>
          <t>Manual de Operaciones</t>
        </is>
      </c>
    </row>
    <row r="672">
      <c r="A672" s="96"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c r="Y672" s="107" t="inlineStr">
        <is>
          <t>En Proceso</t>
        </is>
      </c>
      <c r="Z672" s="107" t="inlineStr">
        <is>
          <t>[PR] Prevención</t>
        </is>
      </c>
      <c r="AA672" s="107" t="inlineStr">
        <is>
          <t>L2: Reproducible</t>
        </is>
      </c>
      <c r="AB672" s="107" t="inlineStr">
        <is>
          <t>T2: Fuga de información</t>
        </is>
      </c>
      <c r="AC672" s="107" t="inlineStr">
        <is>
          <t>Manual de Operaciones</t>
        </is>
      </c>
    </row>
    <row r="673">
      <c r="A673" s="96"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c r="Y673" s="107" t="inlineStr">
        <is>
          <t>Planificado</t>
        </is>
      </c>
      <c r="Z673" s="107" t="inlineStr">
        <is>
          <t>[PR] Prevención</t>
        </is>
      </c>
      <c r="AA673" s="107" t="inlineStr">
        <is>
          <t>L4: Gestionado</t>
        </is>
      </c>
      <c r="AB673" s="107" t="inlineStr">
        <is>
          <t>T2: Fuga de información</t>
        </is>
      </c>
      <c r="AC673" s="107" t="inlineStr">
        <is>
          <t>Manual de Operaciones</t>
        </is>
      </c>
    </row>
    <row r="674">
      <c r="A674" s="96"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c r="Y674" s="107" t="inlineStr">
        <is>
          <t>Implementado</t>
        </is>
      </c>
      <c r="Z674" s="107" t="inlineStr">
        <is>
          <t>[PR] Prevención</t>
        </is>
      </c>
      <c r="AA674" s="107" t="inlineStr">
        <is>
          <t>L4: Gestionado</t>
        </is>
      </c>
      <c r="AB674" s="107" t="inlineStr">
        <is>
          <t>T2: Fuga de información</t>
        </is>
      </c>
      <c r="AC674" s="107" t="inlineStr">
        <is>
          <t>Manual de Operaciones</t>
        </is>
      </c>
    </row>
    <row r="675">
      <c r="A675" s="96"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c r="Y675" s="107" t="inlineStr">
        <is>
          <t>Implementado</t>
        </is>
      </c>
      <c r="Z675" s="107" t="inlineStr">
        <is>
          <t>[PR] Prevención</t>
        </is>
      </c>
      <c r="AA675" s="107" t="inlineStr">
        <is>
          <t>L5: Optimizado</t>
        </is>
      </c>
      <c r="AB675" s="107" t="inlineStr">
        <is>
          <t>T2: Fuga de información</t>
        </is>
      </c>
      <c r="AC675" s="107" t="inlineStr">
        <is>
          <t>Registro Físico</t>
        </is>
      </c>
    </row>
    <row r="676">
      <c r="A676" s="96"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c r="Y676" s="107" t="inlineStr">
        <is>
          <t>Implementado</t>
        </is>
      </c>
      <c r="Z676" s="107" t="inlineStr">
        <is>
          <t>[PR] Prevención</t>
        </is>
      </c>
      <c r="AA676" s="107" t="inlineStr">
        <is>
          <t>L2: Reproducible</t>
        </is>
      </c>
      <c r="AB676" s="107" t="inlineStr">
        <is>
          <t>T2: Fuga de información</t>
        </is>
      </c>
      <c r="AC676" s="107" t="inlineStr">
        <is>
          <t>Manual de Operaciones</t>
        </is>
      </c>
    </row>
    <row r="677">
      <c r="A677" s="96"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c r="Y677" s="107" t="inlineStr">
        <is>
          <t>Planificado</t>
        </is>
      </c>
      <c r="Z677" s="107" t="inlineStr">
        <is>
          <t>[PR] Prevención</t>
        </is>
      </c>
      <c r="AA677" s="107" t="inlineStr">
        <is>
          <t>L4: Gestionado</t>
        </is>
      </c>
      <c r="AB677" s="107" t="inlineStr">
        <is>
          <t>T2: Fuga de información</t>
        </is>
      </c>
      <c r="AC677" s="107" t="inlineStr">
        <is>
          <t>Manual de Operaciones</t>
        </is>
      </c>
    </row>
    <row r="678">
      <c r="A678" s="96"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c r="Y678" s="107" t="inlineStr">
        <is>
          <t>No Implementado</t>
        </is>
      </c>
      <c r="Z678" s="107" t="inlineStr">
        <is>
          <t>[PR] Prevención</t>
        </is>
      </c>
      <c r="AA678" s="107" t="inlineStr">
        <is>
          <t>L5: Optimizado</t>
        </is>
      </c>
      <c r="AB678" s="107" t="inlineStr">
        <is>
          <t>T2: Fuga de información</t>
        </is>
      </c>
      <c r="AC678" s="107" t="inlineStr">
        <is>
          <t>Manual de Operaciones</t>
        </is>
      </c>
    </row>
    <row r="679">
      <c r="A679" s="96"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c r="Y679" s="107" t="inlineStr">
        <is>
          <t>Planificado</t>
        </is>
      </c>
      <c r="Z679" s="107" t="inlineStr">
        <is>
          <t>[PR] Prevención</t>
        </is>
      </c>
      <c r="AA679" s="107" t="inlineStr">
        <is>
          <t>L4: Gestionado</t>
        </is>
      </c>
      <c r="AB679" s="107" t="inlineStr">
        <is>
          <t>T2: Fuga de información</t>
        </is>
      </c>
      <c r="AC679" s="107" t="inlineStr">
        <is>
          <t>Manual de Operaciones</t>
        </is>
      </c>
    </row>
    <row r="680">
      <c r="A680" s="96"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c r="Y680" s="107" t="inlineStr">
        <is>
          <t>Implementado</t>
        </is>
      </c>
      <c r="Z680" s="107" t="inlineStr">
        <is>
          <t>[PR] Prevención</t>
        </is>
      </c>
      <c r="AA680" s="107" t="inlineStr">
        <is>
          <t>L3: Proceso Definido</t>
        </is>
      </c>
      <c r="AB680" s="107" t="inlineStr">
        <is>
          <t>T2: Fuga de información</t>
        </is>
      </c>
      <c r="AC680" s="107" t="inlineStr">
        <is>
          <t>Manual de Operaciones</t>
        </is>
      </c>
    </row>
    <row r="681">
      <c r="A681" s="96"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c r="Y681" s="107" t="inlineStr">
        <is>
          <t>Implementado</t>
        </is>
      </c>
      <c r="Z681" s="107" t="inlineStr">
        <is>
          <t>[PR] Prevención</t>
        </is>
      </c>
      <c r="AA681" s="107" t="inlineStr">
        <is>
          <t>L5: Optimizado</t>
        </is>
      </c>
      <c r="AB681" s="107" t="inlineStr">
        <is>
          <t>T2: Fuga de información</t>
        </is>
      </c>
      <c r="AC681" s="107" t="inlineStr">
        <is>
          <t>Manual de Operaciones</t>
        </is>
      </c>
    </row>
    <row r="682">
      <c r="A682" s="96"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c r="Y682" s="107" t="inlineStr">
        <is>
          <t>Implementado</t>
        </is>
      </c>
      <c r="Z682" s="107" t="inlineStr">
        <is>
          <t>[PR] Prevención</t>
        </is>
      </c>
      <c r="AA682" s="107" t="inlineStr">
        <is>
          <t>L4: Gestionado</t>
        </is>
      </c>
      <c r="AB682" s="107" t="inlineStr">
        <is>
          <t>T2: Fuga de información</t>
        </is>
      </c>
      <c r="AC682" s="107" t="inlineStr">
        <is>
          <t>Manual de Operaciones</t>
        </is>
      </c>
    </row>
    <row r="683">
      <c r="A683" s="96"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c r="Y683" s="107" t="inlineStr">
        <is>
          <t>Implementado</t>
        </is>
      </c>
      <c r="Z683" s="107" t="inlineStr">
        <is>
          <t>[PR] Prevención</t>
        </is>
      </c>
      <c r="AA683" s="107" t="inlineStr">
        <is>
          <t>L2: Reproducible</t>
        </is>
      </c>
      <c r="AB683" s="107" t="inlineStr">
        <is>
          <t>T2: Fuga de información</t>
        </is>
      </c>
      <c r="AC683" s="107" t="inlineStr">
        <is>
          <t>Manual de Operaciones</t>
        </is>
      </c>
    </row>
    <row r="684">
      <c r="A684" s="96"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c r="Y684" s="107" t="inlineStr">
        <is>
          <t>Implementado</t>
        </is>
      </c>
      <c r="Z684" s="107" t="inlineStr">
        <is>
          <t>[PR] Prevención</t>
        </is>
      </c>
      <c r="AA684" s="107" t="inlineStr">
        <is>
          <t>L4: Gestionado</t>
        </is>
      </c>
      <c r="AB684" s="107" t="inlineStr">
        <is>
          <t>T2: Fuga de información</t>
        </is>
      </c>
      <c r="AC684" s="107" t="inlineStr">
        <is>
          <t>Manual de Operaciones</t>
        </is>
      </c>
    </row>
    <row r="685">
      <c r="A685" s="96"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c r="Y685" s="107" t="inlineStr">
        <is>
          <t>Implementado</t>
        </is>
      </c>
      <c r="Z685" s="107" t="inlineStr">
        <is>
          <t>[PR] Prevención</t>
        </is>
      </c>
      <c r="AA685" s="107" t="inlineStr">
        <is>
          <t>L4: Gestionado</t>
        </is>
      </c>
      <c r="AB685" s="107" t="inlineStr">
        <is>
          <t>T2: Fuga de información</t>
        </is>
      </c>
      <c r="AC685" s="107" t="inlineStr">
        <is>
          <t>Manual de Operaciones</t>
        </is>
      </c>
    </row>
    <row r="686">
      <c r="A686" s="96"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c r="Y686" s="107" t="inlineStr">
        <is>
          <t>Planificado</t>
        </is>
      </c>
      <c r="Z686" s="107" t="inlineStr">
        <is>
          <t>[PR] Prevención</t>
        </is>
      </c>
      <c r="AA686" s="107" t="inlineStr">
        <is>
          <t>L4: Gestionado</t>
        </is>
      </c>
      <c r="AB686" s="107" t="inlineStr">
        <is>
          <t>T2: Fuga de información</t>
        </is>
      </c>
      <c r="AC686" s="107" t="inlineStr">
        <is>
          <t>Manual de Operaciones</t>
        </is>
      </c>
    </row>
    <row r="687">
      <c r="A687" s="96"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c r="Y687" s="107" t="inlineStr">
        <is>
          <t>No Implementado</t>
        </is>
      </c>
      <c r="Z687" s="107" t="inlineStr">
        <is>
          <t>[PR] Prevención</t>
        </is>
      </c>
      <c r="AA687" s="107" t="inlineStr">
        <is>
          <t>L2: Reproducible</t>
        </is>
      </c>
      <c r="AB687" s="107" t="inlineStr">
        <is>
          <t>T2: Fuga de información</t>
        </is>
      </c>
      <c r="AC687" s="107" t="inlineStr">
        <is>
          <t>Manual de Operaciones</t>
        </is>
      </c>
    </row>
    <row r="688">
      <c r="A688" s="96"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c r="Y688" s="107" t="inlineStr">
        <is>
          <t>Implementado</t>
        </is>
      </c>
      <c r="Z688" s="107" t="inlineStr">
        <is>
          <t>[PR] Prevención</t>
        </is>
      </c>
      <c r="AA688" s="107" t="inlineStr">
        <is>
          <t>L2: Reproducible</t>
        </is>
      </c>
      <c r="AB688" s="107" t="inlineStr">
        <is>
          <t>T2: Fuga de información</t>
        </is>
      </c>
      <c r="AC688" s="107" t="inlineStr">
        <is>
          <t>Manual de Operaciones</t>
        </is>
      </c>
    </row>
    <row r="689">
      <c r="A689" s="96"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c r="Y689" s="107" t="inlineStr">
        <is>
          <t>No Implementado</t>
        </is>
      </c>
      <c r="Z689" s="107" t="inlineStr">
        <is>
          <t>[PR] Prevención</t>
        </is>
      </c>
      <c r="AA689" s="107" t="inlineStr">
        <is>
          <t>L5: Optimizado</t>
        </is>
      </c>
      <c r="AB689" s="107" t="inlineStr">
        <is>
          <t>T2: Fuga de información</t>
        </is>
      </c>
      <c r="AC689" s="107" t="inlineStr">
        <is>
          <t>Manual de Operaciones</t>
        </is>
      </c>
    </row>
    <row r="690">
      <c r="A690" s="96"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c r="Y690" s="107" t="inlineStr">
        <is>
          <t>Implementado</t>
        </is>
      </c>
      <c r="Z690" s="107" t="inlineStr">
        <is>
          <t>[PR] Prevención</t>
        </is>
      </c>
      <c r="AA690" s="107" t="inlineStr">
        <is>
          <t>L4: Gestionado</t>
        </is>
      </c>
      <c r="AB690" s="107" t="inlineStr">
        <is>
          <t>T2: Fuga de información</t>
        </is>
      </c>
      <c r="AC690" s="107" t="inlineStr">
        <is>
          <t>Manual de Operaciones</t>
        </is>
      </c>
    </row>
    <row r="691">
      <c r="A691" s="96"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c r="Y691" s="107" t="inlineStr">
        <is>
          <t>Implementado</t>
        </is>
      </c>
      <c r="Z691" s="107" t="inlineStr">
        <is>
          <t>[MN] Monitorización</t>
        </is>
      </c>
      <c r="AA691" s="107" t="inlineStr">
        <is>
          <t>L3: Proceso Definido</t>
        </is>
      </c>
      <c r="AB691" s="107" t="inlineStr">
        <is>
          <t>T2: Fuga de información</t>
        </is>
      </c>
      <c r="AC691" s="107" t="inlineStr">
        <is>
          <t>Registro Físico</t>
        </is>
      </c>
    </row>
    <row r="692">
      <c r="A692" s="96"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c r="Y692" s="107" t="inlineStr">
        <is>
          <t>No Implementado</t>
        </is>
      </c>
      <c r="Z692" s="107" t="inlineStr">
        <is>
          <t>[PR] Prevención</t>
        </is>
      </c>
      <c r="AA692" s="107" t="inlineStr">
        <is>
          <t>L5: Optimizado</t>
        </is>
      </c>
      <c r="AB692" s="107" t="inlineStr">
        <is>
          <t>T2: Fuga de información</t>
        </is>
      </c>
      <c r="AC692" s="107" t="inlineStr">
        <is>
          <t>Manual de Operaciones</t>
        </is>
      </c>
    </row>
    <row r="693">
      <c r="A693" s="96"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c r="Y693" s="107" t="inlineStr">
        <is>
          <t>Implementado</t>
        </is>
      </c>
      <c r="Z693" s="107" t="inlineStr">
        <is>
          <t>[PR] Prevención</t>
        </is>
      </c>
      <c r="AA693" s="107" t="inlineStr">
        <is>
          <t>L4: Gestionado</t>
        </is>
      </c>
      <c r="AB693" s="107" t="inlineStr">
        <is>
          <t>T2: Fuga de información</t>
        </is>
      </c>
      <c r="AC693" s="107" t="inlineStr">
        <is>
          <t>Manual de Operaciones</t>
        </is>
      </c>
    </row>
    <row r="694">
      <c r="A694" s="96"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c r="Y694" s="107" t="inlineStr">
        <is>
          <t>Implementado</t>
        </is>
      </c>
      <c r="Z694" s="107" t="inlineStr">
        <is>
          <t>[PR] Prevención</t>
        </is>
      </c>
      <c r="AA694" s="107" t="inlineStr">
        <is>
          <t>L3: Proceso Definido</t>
        </is>
      </c>
      <c r="AB694" s="107" t="inlineStr">
        <is>
          <t>T2: Fuga de información</t>
        </is>
      </c>
      <c r="AC694" s="107" t="inlineStr">
        <is>
          <t>Manual de Operaciones</t>
        </is>
      </c>
    </row>
    <row r="695">
      <c r="A695" s="96"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c r="Y695" s="107" t="inlineStr">
        <is>
          <t>Implementado</t>
        </is>
      </c>
      <c r="Z695" s="107" t="inlineStr">
        <is>
          <t>[PR] Prevención</t>
        </is>
      </c>
      <c r="AA695" s="107" t="inlineStr">
        <is>
          <t>L4: Gestionado</t>
        </is>
      </c>
      <c r="AB695" s="107" t="inlineStr">
        <is>
          <t>T2: Fuga de información</t>
        </is>
      </c>
      <c r="AC695" s="107" t="inlineStr">
        <is>
          <t>Manual de Operaciones</t>
        </is>
      </c>
    </row>
    <row r="696">
      <c r="A696" s="96"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c r="Y696" s="107" t="inlineStr">
        <is>
          <t>En Proceso</t>
        </is>
      </c>
      <c r="Z696" s="107" t="inlineStr">
        <is>
          <t>[PR] Prevención</t>
        </is>
      </c>
      <c r="AA696" s="107" t="inlineStr">
        <is>
          <t>L4: Gestionado</t>
        </is>
      </c>
      <c r="AB696" s="107" t="inlineStr">
        <is>
          <t>T2: Fuga de información</t>
        </is>
      </c>
      <c r="AC696" s="107" t="inlineStr">
        <is>
          <t>Manual de Operaciones</t>
        </is>
      </c>
    </row>
    <row r="697">
      <c r="A697" s="96"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c r="Y697" s="107" t="inlineStr">
        <is>
          <t>Implementado</t>
        </is>
      </c>
      <c r="Z697" s="107" t="inlineStr">
        <is>
          <t>[PR] Prevención</t>
        </is>
      </c>
      <c r="AA697" s="107" t="inlineStr">
        <is>
          <t>L3: Proceso Definido</t>
        </is>
      </c>
      <c r="AB697" s="107" t="inlineStr">
        <is>
          <t>T2: Fuga de información</t>
        </is>
      </c>
      <c r="AC697" s="107" t="inlineStr">
        <is>
          <t>Manual de Operaciones</t>
        </is>
      </c>
    </row>
    <row r="698">
      <c r="A698" s="96"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c r="Y698" s="107" t="inlineStr">
        <is>
          <t>Implementado</t>
        </is>
      </c>
      <c r="Z698" s="107" t="inlineStr">
        <is>
          <t>[PR] Prevención</t>
        </is>
      </c>
      <c r="AA698" s="107" t="inlineStr">
        <is>
          <t>L3: Proceso Definido</t>
        </is>
      </c>
      <c r="AB698" s="107" t="inlineStr">
        <is>
          <t>T2: Fuga de información</t>
        </is>
      </c>
      <c r="AC698" s="107" t="inlineStr">
        <is>
          <t>Manual de Operaciones</t>
        </is>
      </c>
    </row>
    <row r="699">
      <c r="A699" s="96"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c r="Y699" s="107" t="inlineStr">
        <is>
          <t>Implementado</t>
        </is>
      </c>
      <c r="Z699" s="107" t="inlineStr">
        <is>
          <t>[PR] Prevención</t>
        </is>
      </c>
      <c r="AA699" s="107" t="inlineStr">
        <is>
          <t>L2: Reproducible</t>
        </is>
      </c>
      <c r="AB699" s="107" t="inlineStr">
        <is>
          <t>T2: Fuga de información</t>
        </is>
      </c>
      <c r="AC699" s="107" t="inlineStr">
        <is>
          <t>Manual de Operaciones</t>
        </is>
      </c>
    </row>
    <row r="700">
      <c r="A700" s="96"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c r="Y700" s="107" t="inlineStr">
        <is>
          <t>Planificado</t>
        </is>
      </c>
      <c r="Z700" s="107" t="inlineStr">
        <is>
          <t>[PR] Prevención</t>
        </is>
      </c>
      <c r="AA700" s="107" t="inlineStr">
        <is>
          <t>L2: Reproducible</t>
        </is>
      </c>
      <c r="AB700" s="107" t="inlineStr">
        <is>
          <t>T2: Fuga de información</t>
        </is>
      </c>
      <c r="AC700" s="107" t="inlineStr">
        <is>
          <t>Manual de Operaciones</t>
        </is>
      </c>
    </row>
    <row r="701">
      <c r="A701" s="96"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c r="Y701" s="107" t="inlineStr">
        <is>
          <t>Implementado</t>
        </is>
      </c>
      <c r="Z701" s="107" t="inlineStr">
        <is>
          <t>[DR] Disuasión</t>
        </is>
      </c>
      <c r="AA701" s="107" t="inlineStr">
        <is>
          <t>L5: Optimizado</t>
        </is>
      </c>
      <c r="AB701" s="107" t="inlineStr">
        <is>
          <t>T2: Fuga de información</t>
        </is>
      </c>
      <c r="AC701" s="107" t="inlineStr">
        <is>
          <t>Registro Físico</t>
        </is>
      </c>
    </row>
    <row r="702">
      <c r="A702" s="96"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c r="Y702" s="107" t="inlineStr">
        <is>
          <t>Implementado</t>
        </is>
      </c>
      <c r="Z702" s="107" t="inlineStr">
        <is>
          <t>[DR] Disuasión</t>
        </is>
      </c>
      <c r="AA702" s="107" t="inlineStr">
        <is>
          <t>L2: Reproducible</t>
        </is>
      </c>
      <c r="AB702" s="107" t="inlineStr">
        <is>
          <t>T2: Fuga de información</t>
        </is>
      </c>
      <c r="AC702" s="107" t="inlineStr">
        <is>
          <t>Registro Físico</t>
        </is>
      </c>
    </row>
    <row r="703">
      <c r="A703" s="96"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c r="Y703" s="107" t="inlineStr">
        <is>
          <t>Implementado</t>
        </is>
      </c>
      <c r="Z703" s="107" t="inlineStr">
        <is>
          <t>[CR] Corrección</t>
        </is>
      </c>
      <c r="AA703" s="107" t="inlineStr">
        <is>
          <t>L2: Reproducible</t>
        </is>
      </c>
      <c r="AB703" s="107" t="inlineStr">
        <is>
          <t>T2: Fuga de información</t>
        </is>
      </c>
      <c r="AC703" s="107" t="inlineStr">
        <is>
          <t>Registro Físico</t>
        </is>
      </c>
    </row>
    <row r="704">
      <c r="A704" s="96"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c r="Y704" s="107" t="inlineStr">
        <is>
          <t>Implementado</t>
        </is>
      </c>
      <c r="Z704" s="107" t="inlineStr">
        <is>
          <t>[PR] Prevención</t>
        </is>
      </c>
      <c r="AA704" s="107" t="inlineStr">
        <is>
          <t>L5: Optimizado</t>
        </is>
      </c>
      <c r="AB704" s="107" t="inlineStr">
        <is>
          <t>T2: Fuga de información</t>
        </is>
      </c>
      <c r="AC704" s="107" t="inlineStr">
        <is>
          <t>Manual de Operaciones</t>
        </is>
      </c>
    </row>
    <row r="705">
      <c r="A705" s="96"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c r="Y705" s="107" t="inlineStr">
        <is>
          <t>Implementado</t>
        </is>
      </c>
      <c r="Z705" s="107" t="inlineStr">
        <is>
          <t>[PR] Prevención</t>
        </is>
      </c>
      <c r="AA705" s="107" t="inlineStr">
        <is>
          <t>L3: Proceso Definido</t>
        </is>
      </c>
      <c r="AB705" s="107" t="inlineStr">
        <is>
          <t>T2: Fuga de información</t>
        </is>
      </c>
      <c r="AC705" s="107" t="inlineStr">
        <is>
          <t>Manual de Operaciones</t>
        </is>
      </c>
    </row>
    <row r="706">
      <c r="A706" s="96"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c r="Y706" s="107" t="inlineStr">
        <is>
          <t>Planificado</t>
        </is>
      </c>
      <c r="Z706" s="107" t="inlineStr">
        <is>
          <t>[PR] Prevención</t>
        </is>
      </c>
      <c r="AA706" s="107" t="inlineStr">
        <is>
          <t>L2: Reproducible</t>
        </is>
      </c>
      <c r="AB706" s="107" t="inlineStr">
        <is>
          <t>T2: Fuga de información</t>
        </is>
      </c>
      <c r="AC706" s="107" t="inlineStr">
        <is>
          <t>Manual de Operaciones</t>
        </is>
      </c>
    </row>
    <row r="707">
      <c r="A707" s="96"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c r="Y707" s="107" t="inlineStr">
        <is>
          <t>Implementado</t>
        </is>
      </c>
      <c r="Z707" s="107" t="inlineStr">
        <is>
          <t>[PR] Prevención</t>
        </is>
      </c>
      <c r="AA707" s="107" t="inlineStr">
        <is>
          <t>L4: Gestionado</t>
        </is>
      </c>
      <c r="AB707" s="107" t="inlineStr">
        <is>
          <t>T2: Fuga de información</t>
        </is>
      </c>
      <c r="AC707" s="107" t="inlineStr">
        <is>
          <t>Manual de Operaciones</t>
        </is>
      </c>
    </row>
    <row r="708">
      <c r="A708" s="96"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c r="Y708" s="107" t="inlineStr">
        <is>
          <t>Implementado</t>
        </is>
      </c>
      <c r="Z708" s="107" t="inlineStr">
        <is>
          <t>[PR] Prevención</t>
        </is>
      </c>
      <c r="AA708" s="107" t="inlineStr">
        <is>
          <t>L4: Gestionado</t>
        </is>
      </c>
      <c r="AB708" s="107" t="inlineStr">
        <is>
          <t>T2: Fuga de información</t>
        </is>
      </c>
      <c r="AC708" s="107" t="inlineStr">
        <is>
          <t>Manual de Operaciones</t>
        </is>
      </c>
    </row>
    <row r="709">
      <c r="A709" s="96"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c r="Y709" s="107" t="inlineStr">
        <is>
          <t>Implementado</t>
        </is>
      </c>
      <c r="Z709" s="107" t="inlineStr">
        <is>
          <t>[PR] Prevención</t>
        </is>
      </c>
      <c r="AA709" s="107" t="inlineStr">
        <is>
          <t>L5: Optimizado</t>
        </is>
      </c>
      <c r="AB709" s="107" t="inlineStr">
        <is>
          <t>T2: Fuga de información</t>
        </is>
      </c>
      <c r="AC709" s="107" t="inlineStr">
        <is>
          <t>Manual de Operaciones</t>
        </is>
      </c>
    </row>
    <row r="710">
      <c r="A710" s="96"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c r="Y710" s="107" t="inlineStr">
        <is>
          <t>No Implementado</t>
        </is>
      </c>
      <c r="Z710" s="107" t="inlineStr">
        <is>
          <t>[PR] Prevención</t>
        </is>
      </c>
      <c r="AA710" s="107" t="inlineStr">
        <is>
          <t>L5: Optimizado</t>
        </is>
      </c>
      <c r="AB710" s="107" t="inlineStr">
        <is>
          <t>T2: Fuga de información</t>
        </is>
      </c>
      <c r="AC710" s="107" t="inlineStr">
        <is>
          <t>Manual de Operaciones</t>
        </is>
      </c>
    </row>
    <row r="711">
      <c r="A711" s="96"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c r="Y711" s="107" t="inlineStr">
        <is>
          <t>En Proceso</t>
        </is>
      </c>
      <c r="Z711" s="107" t="inlineStr">
        <is>
          <t>[PR] Prevención</t>
        </is>
      </c>
      <c r="AA711" s="107" t="inlineStr">
        <is>
          <t>L3: Proceso Definido</t>
        </is>
      </c>
      <c r="AB711" s="107" t="inlineStr">
        <is>
          <t>T2: Fuga de información</t>
        </is>
      </c>
      <c r="AC711" s="107" t="inlineStr">
        <is>
          <t>Manual de Operaciones</t>
        </is>
      </c>
    </row>
    <row r="712">
      <c r="A712" s="96"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c r="Y712" s="107" t="inlineStr">
        <is>
          <t>Implementado</t>
        </is>
      </c>
      <c r="Z712" s="107" t="inlineStr">
        <is>
          <t>[PR] Prevención</t>
        </is>
      </c>
      <c r="AA712" s="107" t="inlineStr">
        <is>
          <t>L3: Proceso Definido</t>
        </is>
      </c>
      <c r="AB712" s="107" t="inlineStr">
        <is>
          <t>T2: Fuga de información</t>
        </is>
      </c>
      <c r="AC712" s="107" t="inlineStr">
        <is>
          <t>Manual de Operaciones</t>
        </is>
      </c>
    </row>
    <row r="713">
      <c r="A713" s="96"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c r="Y713" s="107" t="inlineStr">
        <is>
          <t>Implementado</t>
        </is>
      </c>
      <c r="Z713" s="107" t="inlineStr">
        <is>
          <t>[PR] Prevención</t>
        </is>
      </c>
      <c r="AA713" s="107" t="inlineStr">
        <is>
          <t>L2: Reproducible</t>
        </is>
      </c>
      <c r="AB713" s="107" t="inlineStr">
        <is>
          <t>T2: Fuga de información</t>
        </is>
      </c>
      <c r="AC713" s="107" t="inlineStr">
        <is>
          <t>Manual de Operaciones</t>
        </is>
      </c>
    </row>
    <row r="714">
      <c r="A714" s="96"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c r="Y714" s="107" t="inlineStr">
        <is>
          <t>Planificado</t>
        </is>
      </c>
      <c r="Z714" s="107" t="inlineStr">
        <is>
          <t>[PR] Prevención</t>
        </is>
      </c>
      <c r="AA714" s="107" t="inlineStr">
        <is>
          <t>L3: Proceso Definido</t>
        </is>
      </c>
      <c r="AB714" s="107" t="inlineStr">
        <is>
          <t>T2: Fuga de información</t>
        </is>
      </c>
      <c r="AC714" s="107" t="inlineStr">
        <is>
          <t>Manual de Operaciones</t>
        </is>
      </c>
    </row>
    <row r="715">
      <c r="A715" s="96"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c r="Y715" s="107" t="inlineStr">
        <is>
          <t>Implementado</t>
        </is>
      </c>
      <c r="Z715" s="107" t="inlineStr">
        <is>
          <t>[PR] Prevención</t>
        </is>
      </c>
      <c r="AA715" s="107" t="inlineStr">
        <is>
          <t>L2: Reproducible</t>
        </is>
      </c>
      <c r="AB715" s="107" t="inlineStr">
        <is>
          <t>T2: Fuga de información</t>
        </is>
      </c>
      <c r="AC715" s="107" t="inlineStr">
        <is>
          <t>Manual de Operaciones</t>
        </is>
      </c>
    </row>
    <row r="716">
      <c r="A716" s="96"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c r="Y716" s="107" t="inlineStr">
        <is>
          <t>No Implementado</t>
        </is>
      </c>
      <c r="Z716" s="107" t="inlineStr">
        <is>
          <t>[PR] Prevención</t>
        </is>
      </c>
      <c r="AA716" s="107" t="inlineStr">
        <is>
          <t>L4: Gestionado</t>
        </is>
      </c>
      <c r="AB716" s="107" t="inlineStr">
        <is>
          <t>T2: Fuga de información</t>
        </is>
      </c>
      <c r="AC716" s="107" t="inlineStr">
        <is>
          <t>Manual de Operaciones</t>
        </is>
      </c>
    </row>
    <row r="717">
      <c r="A717" s="96"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c r="Y717" s="107" t="inlineStr">
        <is>
          <t>Implementado</t>
        </is>
      </c>
      <c r="Z717" s="107" t="inlineStr">
        <is>
          <t>[PR] Prevención</t>
        </is>
      </c>
      <c r="AA717" s="107" t="inlineStr">
        <is>
          <t>L4: Gestionado</t>
        </is>
      </c>
      <c r="AB717" s="107" t="inlineStr">
        <is>
          <t>T2: Fuga de información</t>
        </is>
      </c>
      <c r="AC717" s="107" t="inlineStr">
        <is>
          <t>Manual de Operaciones</t>
        </is>
      </c>
    </row>
    <row r="718">
      <c r="A718" s="96"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c r="Y718" s="107" t="inlineStr">
        <is>
          <t>Implementado</t>
        </is>
      </c>
      <c r="Z718" s="107" t="inlineStr">
        <is>
          <t>[DC] Detección</t>
        </is>
      </c>
      <c r="AA718" s="107" t="inlineStr">
        <is>
          <t>L2: Reproducible</t>
        </is>
      </c>
      <c r="AB718" s="107" t="inlineStr">
        <is>
          <t>T2: Fuga de información</t>
        </is>
      </c>
      <c r="AC718" s="107" t="inlineStr">
        <is>
          <t>Registro Físico</t>
        </is>
      </c>
    </row>
    <row r="719" ht="12" customHeight="1" s="103">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c r="Y719" s="107" t="inlineStr">
        <is>
          <t>Implementado</t>
        </is>
      </c>
      <c r="Z719" s="107" t="inlineStr">
        <is>
          <t>[IM] Minimización</t>
        </is>
      </c>
      <c r="AA719" s="107" t="inlineStr">
        <is>
          <t>L2: Reproducible</t>
        </is>
      </c>
      <c r="AB719" s="107" t="inlineStr">
        <is>
          <t>T2: Fuga de información</t>
        </is>
      </c>
      <c r="AC719" s="107" t="inlineStr">
        <is>
          <t>Registro Físico</t>
        </is>
      </c>
    </row>
    <row r="720">
      <c r="A720" s="96"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c r="Y720" s="107" t="inlineStr">
        <is>
          <t>No Implementado</t>
        </is>
      </c>
      <c r="Z720" s="107" t="inlineStr">
        <is>
          <t>[MN] Monitorización</t>
        </is>
      </c>
      <c r="AA720" s="107" t="inlineStr">
        <is>
          <t>L4: Gestionado</t>
        </is>
      </c>
      <c r="AB720" s="107" t="inlineStr">
        <is>
          <t>T2: Fuga de información</t>
        </is>
      </c>
      <c r="AC720" s="107" t="inlineStr">
        <is>
          <t>Registro Físico</t>
        </is>
      </c>
    </row>
    <row r="721">
      <c r="A721" s="96"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c r="Y721" s="107" t="inlineStr">
        <is>
          <t>Planificado</t>
        </is>
      </c>
      <c r="Z721" s="107" t="inlineStr">
        <is>
          <t>[PR] Prevención</t>
        </is>
      </c>
      <c r="AA721" s="107" t="inlineStr">
        <is>
          <t>L5: Optimizado</t>
        </is>
      </c>
      <c r="AB721" s="107" t="inlineStr">
        <is>
          <t>T2: Fuga de información</t>
        </is>
      </c>
      <c r="AC721" s="107" t="inlineStr">
        <is>
          <t>Manual de Operaciones</t>
        </is>
      </c>
    </row>
    <row r="722">
      <c r="A722" s="96"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c r="Y722" s="107" t="inlineStr">
        <is>
          <t>Implementado</t>
        </is>
      </c>
      <c r="Z722" s="107" t="inlineStr">
        <is>
          <t>[PR] Prevención</t>
        </is>
      </c>
      <c r="AA722" s="107" t="inlineStr">
        <is>
          <t>L5: Optimizado</t>
        </is>
      </c>
      <c r="AB722" s="107" t="inlineStr">
        <is>
          <t>T2: Fuga de información</t>
        </is>
      </c>
      <c r="AC722" s="107" t="inlineStr">
        <is>
          <t>Manual de Operaciones</t>
        </is>
      </c>
    </row>
    <row r="723">
      <c r="A723" s="96"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c r="Y723" s="107" t="inlineStr">
        <is>
          <t>En Proceso</t>
        </is>
      </c>
      <c r="Z723" s="107" t="inlineStr">
        <is>
          <t>[PR] Prevención</t>
        </is>
      </c>
      <c r="AA723" s="107" t="inlineStr">
        <is>
          <t>L4: Gestionado</t>
        </is>
      </c>
      <c r="AB723" s="107" t="inlineStr">
        <is>
          <t>T2: Fuga de información</t>
        </is>
      </c>
      <c r="AC723" s="107" t="inlineStr">
        <is>
          <t>Manual de Operaciones</t>
        </is>
      </c>
    </row>
    <row r="724" ht="20.45" customHeight="1" s="103">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c r="Y724" s="107" t="inlineStr">
        <is>
          <t>Planificado</t>
        </is>
      </c>
      <c r="Z724" s="107" t="inlineStr">
        <is>
          <t>[PR] Prevención</t>
        </is>
      </c>
      <c r="AA724" s="107" t="inlineStr">
        <is>
          <t>L5: Optimizado</t>
        </is>
      </c>
      <c r="AB724" s="107" t="inlineStr">
        <is>
          <t>T2: Fuga de información</t>
        </is>
      </c>
      <c r="AC724" s="107" t="inlineStr">
        <is>
          <t>Manual de Operaciones</t>
        </is>
      </c>
    </row>
    <row r="725">
      <c r="A725" s="96"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c r="Y725" s="107" t="inlineStr">
        <is>
          <t>No Implementado</t>
        </is>
      </c>
      <c r="Z725" s="107" t="inlineStr">
        <is>
          <t>[PR] Prevención</t>
        </is>
      </c>
      <c r="AA725" s="107" t="inlineStr">
        <is>
          <t>L4: Gestionado</t>
        </is>
      </c>
      <c r="AB725" s="107" t="inlineStr">
        <is>
          <t>T2: Fuga de información</t>
        </is>
      </c>
      <c r="AC725" s="107" t="inlineStr">
        <is>
          <t>Manual de Operaciones</t>
        </is>
      </c>
    </row>
    <row r="726">
      <c r="A726" s="96"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c r="Y726" s="107" t="inlineStr">
        <is>
          <t>Planificado</t>
        </is>
      </c>
      <c r="Z726" s="107" t="inlineStr">
        <is>
          <t>[PR] Prevención</t>
        </is>
      </c>
      <c r="AA726" s="107" t="inlineStr">
        <is>
          <t>L2: Reproducible</t>
        </is>
      </c>
      <c r="AB726" s="107" t="inlineStr">
        <is>
          <t>T2: Fuga de información</t>
        </is>
      </c>
      <c r="AC726" s="107" t="inlineStr">
        <is>
          <t>Manual de Operaciones</t>
        </is>
      </c>
    </row>
    <row r="727">
      <c r="A727" s="96"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c r="Y727" s="107" t="inlineStr">
        <is>
          <t>Planificado</t>
        </is>
      </c>
      <c r="Z727" s="107" t="inlineStr">
        <is>
          <t>[PR] Prevención</t>
        </is>
      </c>
      <c r="AA727" s="107" t="inlineStr">
        <is>
          <t>L3: Proceso Definido</t>
        </is>
      </c>
      <c r="AB727" s="107" t="inlineStr">
        <is>
          <t>T2: Fuga de información</t>
        </is>
      </c>
      <c r="AC727" s="107" t="inlineStr">
        <is>
          <t>Manual de Operaciones</t>
        </is>
      </c>
    </row>
    <row r="728">
      <c r="A728" s="96"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c r="Y728" s="107" t="inlineStr">
        <is>
          <t>Implementado</t>
        </is>
      </c>
      <c r="Z728" s="107" t="inlineStr">
        <is>
          <t>[PR] Prevención</t>
        </is>
      </c>
      <c r="AA728" s="107" t="inlineStr">
        <is>
          <t>L5: Optimizado</t>
        </is>
      </c>
      <c r="AB728" s="107" t="inlineStr">
        <is>
          <t>T2: Fuga de información</t>
        </is>
      </c>
      <c r="AC728" s="107" t="inlineStr">
        <is>
          <t>Manual de Operaciones</t>
        </is>
      </c>
    </row>
    <row r="729">
      <c r="A729" s="96"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c r="Y729" s="107" t="inlineStr">
        <is>
          <t>En Proceso</t>
        </is>
      </c>
      <c r="Z729" s="107" t="inlineStr">
        <is>
          <t>[PR] Prevención</t>
        </is>
      </c>
      <c r="AA729" s="107" t="inlineStr">
        <is>
          <t>L4: Gestionado</t>
        </is>
      </c>
      <c r="AB729" s="107" t="inlineStr">
        <is>
          <t>T2: Fuga de información</t>
        </is>
      </c>
      <c r="AC729" s="107" t="inlineStr">
        <is>
          <t>Manual de Operaciones</t>
        </is>
      </c>
    </row>
    <row r="730">
      <c r="A730" s="96"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c r="Y730" s="107" t="inlineStr">
        <is>
          <t>Planificado</t>
        </is>
      </c>
      <c r="Z730" s="107" t="inlineStr">
        <is>
          <t>[PR] Prevención</t>
        </is>
      </c>
      <c r="AA730" s="107" t="inlineStr">
        <is>
          <t>L2: Reproducible</t>
        </is>
      </c>
      <c r="AB730" s="107" t="inlineStr">
        <is>
          <t>T2: Fuga de información</t>
        </is>
      </c>
      <c r="AC730" s="107" t="inlineStr">
        <is>
          <t>Manual de Operaciones</t>
        </is>
      </c>
    </row>
    <row r="731">
      <c r="A731" s="96"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c r="Y731" s="107" t="inlineStr">
        <is>
          <t>Planificado</t>
        </is>
      </c>
      <c r="Z731" s="107" t="inlineStr">
        <is>
          <t>[PR] Prevención</t>
        </is>
      </c>
      <c r="AA731" s="107" t="inlineStr">
        <is>
          <t>L2: Reproducible</t>
        </is>
      </c>
      <c r="AB731" s="107" t="inlineStr">
        <is>
          <t>T2: Fuga de información</t>
        </is>
      </c>
      <c r="AC731" s="107" t="inlineStr">
        <is>
          <t>Manual de Operaciones</t>
        </is>
      </c>
    </row>
    <row r="732">
      <c r="A732" s="96"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c r="Y732" s="107" t="inlineStr">
        <is>
          <t>Implementado</t>
        </is>
      </c>
      <c r="Z732" s="107" t="inlineStr">
        <is>
          <t>[PR] Prevención</t>
        </is>
      </c>
      <c r="AA732" s="107" t="inlineStr">
        <is>
          <t>L2: Reproducible</t>
        </is>
      </c>
      <c r="AB732" s="107" t="inlineStr">
        <is>
          <t>T2: Fuga de información</t>
        </is>
      </c>
      <c r="AC732" s="107" t="inlineStr">
        <is>
          <t>Manual de Operaciones</t>
        </is>
      </c>
    </row>
    <row r="733">
      <c r="A733" s="96"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c r="Y733" s="107" t="inlineStr">
        <is>
          <t>Implementado</t>
        </is>
      </c>
      <c r="Z733" s="107" t="inlineStr">
        <is>
          <t>[PR] Prevención</t>
        </is>
      </c>
      <c r="AA733" s="107" t="inlineStr">
        <is>
          <t>L2: Reproducible</t>
        </is>
      </c>
      <c r="AB733" s="107" t="inlineStr">
        <is>
          <t>T2: Fuga de información</t>
        </is>
      </c>
      <c r="AC733" s="107" t="inlineStr">
        <is>
          <t>Manual de Operaciones</t>
        </is>
      </c>
    </row>
    <row r="734">
      <c r="A734" s="96"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c r="Y734" s="107" t="inlineStr">
        <is>
          <t>Implementado</t>
        </is>
      </c>
      <c r="Z734" s="107" t="inlineStr">
        <is>
          <t>[PR] Prevención</t>
        </is>
      </c>
      <c r="AA734" s="107" t="inlineStr">
        <is>
          <t>L5: Optimizado</t>
        </is>
      </c>
      <c r="AB734" s="107" t="inlineStr">
        <is>
          <t>T2: Fuga de información</t>
        </is>
      </c>
      <c r="AC734" s="107" t="inlineStr">
        <is>
          <t>Manual de Operaciones</t>
        </is>
      </c>
    </row>
    <row r="735">
      <c r="A735" s="96"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c r="Y735" s="107" t="inlineStr">
        <is>
          <t>Implementado</t>
        </is>
      </c>
      <c r="Z735" s="107" t="inlineStr">
        <is>
          <t>[PR] Prevención</t>
        </is>
      </c>
      <c r="AA735" s="107" t="inlineStr">
        <is>
          <t>L3: Proceso Definido</t>
        </is>
      </c>
      <c r="AB735" s="107" t="inlineStr">
        <is>
          <t>T2: Fuga de información</t>
        </is>
      </c>
      <c r="AC735" s="107" t="inlineStr">
        <is>
          <t>Manual de Operaciones</t>
        </is>
      </c>
    </row>
    <row r="736">
      <c r="A736" s="96"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c r="Y736" s="107" t="inlineStr">
        <is>
          <t>Implementado</t>
        </is>
      </c>
      <c r="Z736" s="107" t="inlineStr">
        <is>
          <t>[PR] Prevención</t>
        </is>
      </c>
      <c r="AA736" s="107" t="inlineStr">
        <is>
          <t>L5: Optimizado</t>
        </is>
      </c>
      <c r="AB736" s="107" t="inlineStr">
        <is>
          <t>T2: Fuga de información</t>
        </is>
      </c>
      <c r="AC736" s="107" t="inlineStr">
        <is>
          <t>Manual de Operaciones</t>
        </is>
      </c>
    </row>
    <row r="737">
      <c r="A737" s="96"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c r="Y737" s="107" t="inlineStr">
        <is>
          <t>No Implementado</t>
        </is>
      </c>
      <c r="Z737" s="107" t="inlineStr">
        <is>
          <t>[PR] Prevención</t>
        </is>
      </c>
      <c r="AA737" s="107" t="inlineStr">
        <is>
          <t>L3: Proceso Definido</t>
        </is>
      </c>
      <c r="AB737" s="107" t="inlineStr">
        <is>
          <t>T2: Fuga de información</t>
        </is>
      </c>
      <c r="AC737" s="107" t="inlineStr">
        <is>
          <t>Manual de Operaciones</t>
        </is>
      </c>
    </row>
    <row r="738">
      <c r="A738" s="96"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c r="Y738" s="107" t="inlineStr">
        <is>
          <t>En Proceso</t>
        </is>
      </c>
      <c r="Z738" s="107" t="inlineStr">
        <is>
          <t>[PR] Prevención</t>
        </is>
      </c>
      <c r="AA738" s="107" t="inlineStr">
        <is>
          <t>L2: Reproducible</t>
        </is>
      </c>
      <c r="AB738" s="107" t="inlineStr">
        <is>
          <t>T2: Fuga de información</t>
        </is>
      </c>
      <c r="AC738" s="107" t="inlineStr">
        <is>
          <t>Manual de Operaciones</t>
        </is>
      </c>
    </row>
    <row r="739">
      <c r="A739" s="96"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c r="Y739" s="107" t="inlineStr">
        <is>
          <t>Implementado</t>
        </is>
      </c>
      <c r="Z739" s="107" t="inlineStr">
        <is>
          <t>[PR] Prevención</t>
        </is>
      </c>
      <c r="AA739" s="107" t="inlineStr">
        <is>
          <t>L2: Reproducible</t>
        </is>
      </c>
      <c r="AB739" s="107" t="inlineStr">
        <is>
          <t>T2: Fuga de información</t>
        </is>
      </c>
      <c r="AC739" s="107" t="inlineStr">
        <is>
          <t>Manual de Operaciones</t>
        </is>
      </c>
    </row>
    <row r="740">
      <c r="A740" s="96"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c r="Y740" s="107" t="inlineStr">
        <is>
          <t>Implementado</t>
        </is>
      </c>
      <c r="Z740" s="107" t="inlineStr">
        <is>
          <t>[PR] Prevención</t>
        </is>
      </c>
      <c r="AA740" s="107" t="inlineStr">
        <is>
          <t>L2: Reproducible</t>
        </is>
      </c>
      <c r="AB740" s="107" t="inlineStr">
        <is>
          <t>T2: Fuga de información</t>
        </is>
      </c>
      <c r="AC740" s="107" t="inlineStr">
        <is>
          <t>Manual de Operaciones</t>
        </is>
      </c>
    </row>
    <row r="741">
      <c r="A741" s="96"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c r="Y741" s="107" t="inlineStr">
        <is>
          <t>Implementado</t>
        </is>
      </c>
      <c r="Z741" s="107" t="inlineStr">
        <is>
          <t>[PR] Prevención</t>
        </is>
      </c>
      <c r="AA741" s="107" t="inlineStr">
        <is>
          <t>L4: Gestionado</t>
        </is>
      </c>
      <c r="AB741" s="107" t="inlineStr">
        <is>
          <t>T2: Fuga de información</t>
        </is>
      </c>
      <c r="AC741" s="107" t="inlineStr">
        <is>
          <t>Manual de Operaciones</t>
        </is>
      </c>
    </row>
    <row r="742">
      <c r="A742" s="96"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c r="Y742" s="107" t="inlineStr">
        <is>
          <t>Planificado</t>
        </is>
      </c>
      <c r="Z742" s="107" t="inlineStr">
        <is>
          <t>[PR] Prevención</t>
        </is>
      </c>
      <c r="AA742" s="107" t="inlineStr">
        <is>
          <t>L3: Proceso Definido</t>
        </is>
      </c>
      <c r="AB742" s="107" t="inlineStr">
        <is>
          <t>T2: Fuga de información</t>
        </is>
      </c>
      <c r="AC742" s="107" t="inlineStr">
        <is>
          <t>Manual de Operaciones</t>
        </is>
      </c>
    </row>
    <row r="743">
      <c r="A743" s="96"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c r="Y743" s="107" t="inlineStr">
        <is>
          <t>Implementado</t>
        </is>
      </c>
      <c r="Z743" s="107" t="inlineStr">
        <is>
          <t>[PR] Prevención</t>
        </is>
      </c>
      <c r="AA743" s="107" t="inlineStr">
        <is>
          <t>L4: Gestionado</t>
        </is>
      </c>
      <c r="AB743" s="107" t="inlineStr">
        <is>
          <t>T2: Fuga de información</t>
        </is>
      </c>
      <c r="AC743" s="107" t="inlineStr">
        <is>
          <t>Manual de Operaciones</t>
        </is>
      </c>
    </row>
    <row r="744">
      <c r="A744" s="96"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c r="Y744" s="107" t="inlineStr">
        <is>
          <t>Planificado</t>
        </is>
      </c>
      <c r="Z744" s="107" t="inlineStr">
        <is>
          <t>[PR] Prevención</t>
        </is>
      </c>
      <c r="AA744" s="107" t="inlineStr">
        <is>
          <t>L4: Gestionado</t>
        </is>
      </c>
      <c r="AB744" s="107" t="inlineStr">
        <is>
          <t>T2: Fuga de información</t>
        </is>
      </c>
      <c r="AC744" s="107" t="inlineStr">
        <is>
          <t>Manual de Operaciones</t>
        </is>
      </c>
    </row>
    <row r="745">
      <c r="A745" s="96"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c r="Y745" s="107" t="inlineStr">
        <is>
          <t>Implementado</t>
        </is>
      </c>
      <c r="Z745" s="107" t="inlineStr">
        <is>
          <t>[PR] Prevención</t>
        </is>
      </c>
      <c r="AA745" s="107" t="inlineStr">
        <is>
          <t>L4: Gestionado</t>
        </is>
      </c>
      <c r="AB745" s="107" t="inlineStr">
        <is>
          <t>T2: Fuga de información</t>
        </is>
      </c>
      <c r="AC745" s="107" t="inlineStr">
        <is>
          <t>Manual de Operaciones</t>
        </is>
      </c>
    </row>
    <row r="746">
      <c r="A746" s="96"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c r="Y746" s="107" t="inlineStr">
        <is>
          <t>Implementado</t>
        </is>
      </c>
      <c r="Z746" s="107" t="inlineStr">
        <is>
          <t>[PR] Prevención</t>
        </is>
      </c>
      <c r="AA746" s="107" t="inlineStr">
        <is>
          <t>L2: Reproducible</t>
        </is>
      </c>
      <c r="AB746" s="107" t="inlineStr">
        <is>
          <t>T2: Fuga de información</t>
        </is>
      </c>
      <c r="AC746" s="107" t="inlineStr">
        <is>
          <t>Manual de Operaciones</t>
        </is>
      </c>
    </row>
    <row r="747">
      <c r="A747" s="96"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c r="Y747" s="107" t="inlineStr">
        <is>
          <t>En Proceso</t>
        </is>
      </c>
      <c r="Z747" s="107" t="inlineStr">
        <is>
          <t>[PR] Prevención</t>
        </is>
      </c>
      <c r="AA747" s="107" t="inlineStr">
        <is>
          <t>L5: Optimizado</t>
        </is>
      </c>
      <c r="AB747" s="107" t="inlineStr">
        <is>
          <t>T2: Fuga de información</t>
        </is>
      </c>
      <c r="AC747" s="107" t="inlineStr">
        <is>
          <t>Manual de Operaciones</t>
        </is>
      </c>
    </row>
    <row r="748">
      <c r="A748" s="96"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c r="Y748" s="107" t="inlineStr">
        <is>
          <t>Implementado</t>
        </is>
      </c>
      <c r="Z748" s="107" t="inlineStr">
        <is>
          <t>[PR] Prevención</t>
        </is>
      </c>
      <c r="AA748" s="107" t="inlineStr">
        <is>
          <t>L4: Gestionado</t>
        </is>
      </c>
      <c r="AB748" s="107" t="inlineStr">
        <is>
          <t>T2: Fuga de información</t>
        </is>
      </c>
      <c r="AC748" s="107" t="inlineStr">
        <is>
          <t>Manual de Operaciones</t>
        </is>
      </c>
    </row>
    <row r="749">
      <c r="A749" s="96"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c r="Y749" s="107" t="inlineStr">
        <is>
          <t>En Proceso</t>
        </is>
      </c>
      <c r="Z749" s="107" t="inlineStr">
        <is>
          <t>[PR] Prevención</t>
        </is>
      </c>
      <c r="AA749" s="107" t="inlineStr">
        <is>
          <t>L5: Optimizado</t>
        </is>
      </c>
      <c r="AB749" s="107" t="inlineStr">
        <is>
          <t>T2: Fuga de información</t>
        </is>
      </c>
      <c r="AC749" s="107" t="inlineStr">
        <is>
          <t>Manual de Operaciones</t>
        </is>
      </c>
    </row>
    <row r="750">
      <c r="A750" s="96"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c r="Y750" s="107" t="inlineStr">
        <is>
          <t>Implementado</t>
        </is>
      </c>
      <c r="Z750" s="107" t="inlineStr">
        <is>
          <t>[PR] Prevención</t>
        </is>
      </c>
      <c r="AA750" s="107" t="inlineStr">
        <is>
          <t>L5: Optimizado</t>
        </is>
      </c>
      <c r="AB750" s="107" t="inlineStr">
        <is>
          <t>T2: Fuga de información</t>
        </is>
      </c>
      <c r="AC750" s="107" t="inlineStr">
        <is>
          <t>Manual de Operaciones</t>
        </is>
      </c>
    </row>
    <row r="751">
      <c r="A751" s="96"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c r="Y751" s="107" t="inlineStr">
        <is>
          <t>Implementado</t>
        </is>
      </c>
      <c r="Z751" s="107" t="inlineStr">
        <is>
          <t>[PR] Prevención</t>
        </is>
      </c>
      <c r="AA751" s="107" t="inlineStr">
        <is>
          <t>L2: Reproducible</t>
        </is>
      </c>
      <c r="AB751" s="107" t="inlineStr">
        <is>
          <t>T2: Fuga de información</t>
        </is>
      </c>
      <c r="AC751" s="107" t="inlineStr">
        <is>
          <t>Manual de Operaciones</t>
        </is>
      </c>
    </row>
    <row r="752">
      <c r="A752" s="96"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c r="Y752" s="107" t="inlineStr">
        <is>
          <t>Implementado</t>
        </is>
      </c>
      <c r="Z752" s="107" t="inlineStr">
        <is>
          <t>[PR] Prevención</t>
        </is>
      </c>
      <c r="AA752" s="107" t="inlineStr">
        <is>
          <t>L2: Reproducible</t>
        </is>
      </c>
      <c r="AB752" s="107" t="inlineStr">
        <is>
          <t>T2: Fuga de información</t>
        </is>
      </c>
      <c r="AC752" s="107" t="inlineStr">
        <is>
          <t>Manual de Operaciones</t>
        </is>
      </c>
    </row>
    <row r="753">
      <c r="A753" s="96"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c r="Y753" s="107" t="inlineStr">
        <is>
          <t>Implementado</t>
        </is>
      </c>
      <c r="Z753" s="107" t="inlineStr">
        <is>
          <t>[PR] Prevención</t>
        </is>
      </c>
      <c r="AA753" s="107" t="inlineStr">
        <is>
          <t>L2: Reproducible</t>
        </is>
      </c>
      <c r="AB753" s="107" t="inlineStr">
        <is>
          <t>T2: Fuga de información</t>
        </is>
      </c>
      <c r="AC753" s="107" t="inlineStr">
        <is>
          <t>Manual de Operaciones</t>
        </is>
      </c>
    </row>
    <row r="754">
      <c r="A754" s="96"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c r="Y754" s="107" t="inlineStr">
        <is>
          <t>Implementado</t>
        </is>
      </c>
      <c r="Z754" s="107" t="inlineStr">
        <is>
          <t>[PR] Prevención</t>
        </is>
      </c>
      <c r="AA754" s="107" t="inlineStr">
        <is>
          <t>L5: Optimizado</t>
        </is>
      </c>
      <c r="AB754" s="107" t="inlineStr">
        <is>
          <t>T2: Fuga de información</t>
        </is>
      </c>
      <c r="AC754" s="107" t="inlineStr">
        <is>
          <t>Manual de Operaciones</t>
        </is>
      </c>
    </row>
    <row r="755">
      <c r="A755" s="96"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c r="Y755" s="107" t="inlineStr">
        <is>
          <t>Planificado</t>
        </is>
      </c>
      <c r="Z755" s="107" t="inlineStr">
        <is>
          <t>[PR] Prevención</t>
        </is>
      </c>
      <c r="AA755" s="107" t="inlineStr">
        <is>
          <t>L4: Gestionado</t>
        </is>
      </c>
      <c r="AB755" s="107" t="inlineStr">
        <is>
          <t>T2: Fuga de información</t>
        </is>
      </c>
      <c r="AC755" s="107" t="inlineStr">
        <is>
          <t>Manual de Operaciones</t>
        </is>
      </c>
    </row>
    <row r="756">
      <c r="A756" s="96"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c r="Y756" s="107" t="inlineStr">
        <is>
          <t>Implementado</t>
        </is>
      </c>
      <c r="Z756" s="107" t="inlineStr">
        <is>
          <t>[PR] Prevención</t>
        </is>
      </c>
      <c r="AA756" s="107" t="inlineStr">
        <is>
          <t>L5: Optimizado</t>
        </is>
      </c>
      <c r="AB756" s="107" t="inlineStr">
        <is>
          <t>T2: Fuga de información</t>
        </is>
      </c>
      <c r="AC756" s="107" t="inlineStr">
        <is>
          <t>Manual de Operaciones</t>
        </is>
      </c>
    </row>
    <row r="757">
      <c r="A757" s="96"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c r="Y757" s="107" t="inlineStr">
        <is>
          <t>Implementado</t>
        </is>
      </c>
      <c r="Z757" s="107" t="inlineStr">
        <is>
          <t>[PR] Prevención</t>
        </is>
      </c>
      <c r="AA757" s="107" t="inlineStr">
        <is>
          <t>L2: Reproducible</t>
        </is>
      </c>
      <c r="AB757" s="107" t="inlineStr">
        <is>
          <t>T2: Fuga de información</t>
        </is>
      </c>
      <c r="AC757" s="107" t="inlineStr">
        <is>
          <t>Manual de Operaciones</t>
        </is>
      </c>
    </row>
    <row r="758">
      <c r="A758" s="96"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c r="Y758" s="107" t="inlineStr">
        <is>
          <t>Implementado</t>
        </is>
      </c>
      <c r="Z758" s="107" t="inlineStr">
        <is>
          <t>[PR] Prevención</t>
        </is>
      </c>
      <c r="AA758" s="107" t="inlineStr">
        <is>
          <t>L3: Proceso Definido</t>
        </is>
      </c>
      <c r="AB758" s="107" t="inlineStr">
        <is>
          <t>T2: Fuga de información</t>
        </is>
      </c>
      <c r="AC758" s="107" t="inlineStr">
        <is>
          <t>Manual de Operaciones</t>
        </is>
      </c>
    </row>
    <row r="759">
      <c r="A759" s="96"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c r="Y759" s="107" t="inlineStr">
        <is>
          <t>Implementado</t>
        </is>
      </c>
      <c r="Z759" s="107" t="inlineStr">
        <is>
          <t>[PR] Prevención</t>
        </is>
      </c>
      <c r="AA759" s="107" t="inlineStr">
        <is>
          <t>L4: Gestionado</t>
        </is>
      </c>
      <c r="AB759" s="107" t="inlineStr">
        <is>
          <t>T2: Fuga de información</t>
        </is>
      </c>
      <c r="AC759" s="107" t="inlineStr">
        <is>
          <t>Manual de Operaciones</t>
        </is>
      </c>
    </row>
    <row r="760">
      <c r="A760" s="96"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c r="Y760" s="107" t="inlineStr">
        <is>
          <t>Implementado</t>
        </is>
      </c>
      <c r="Z760" s="107" t="inlineStr">
        <is>
          <t>[PR] Prevención</t>
        </is>
      </c>
      <c r="AA760" s="107" t="inlineStr">
        <is>
          <t>L3: Proceso Definido</t>
        </is>
      </c>
      <c r="AB760" s="107" t="inlineStr">
        <is>
          <t>T2: Fuga de información</t>
        </is>
      </c>
      <c r="AC760" s="107" t="inlineStr">
        <is>
          <t>Manual de Operaciones</t>
        </is>
      </c>
    </row>
    <row r="761">
      <c r="A761" s="96"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c r="Y761" s="107" t="inlineStr">
        <is>
          <t>No Implementado</t>
        </is>
      </c>
      <c r="Z761" s="107" t="inlineStr">
        <is>
          <t>[PR] Prevención</t>
        </is>
      </c>
      <c r="AA761" s="107" t="inlineStr">
        <is>
          <t>L2: Reproducible</t>
        </is>
      </c>
      <c r="AB761" s="107" t="inlineStr">
        <is>
          <t>T2: Fuga de información</t>
        </is>
      </c>
      <c r="AC761" s="107" t="inlineStr">
        <is>
          <t>Manual de Operaciones</t>
        </is>
      </c>
    </row>
    <row r="762">
      <c r="A762" s="96"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c r="Y762" s="107" t="inlineStr">
        <is>
          <t>Implementado</t>
        </is>
      </c>
      <c r="Z762" s="107" t="inlineStr">
        <is>
          <t>[PR] Prevención</t>
        </is>
      </c>
      <c r="AA762" s="107" t="inlineStr">
        <is>
          <t>L2: Reproducible</t>
        </is>
      </c>
      <c r="AB762" s="107" t="inlineStr">
        <is>
          <t>T2: Fuga de información</t>
        </is>
      </c>
      <c r="AC762" s="107" t="inlineStr">
        <is>
          <t>Manual de Operaciones</t>
        </is>
      </c>
    </row>
    <row r="763">
      <c r="A763" s="96"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c r="Y763" s="107" t="inlineStr">
        <is>
          <t>Implementado</t>
        </is>
      </c>
      <c r="Z763" s="107" t="inlineStr">
        <is>
          <t>[PR] Prevención</t>
        </is>
      </c>
      <c r="AA763" s="107" t="inlineStr">
        <is>
          <t>L5: Optimizado</t>
        </is>
      </c>
      <c r="AB763" s="107" t="inlineStr">
        <is>
          <t>T2: Fuga de información</t>
        </is>
      </c>
      <c r="AC763" s="107" t="inlineStr">
        <is>
          <t>Manual de Operaciones</t>
        </is>
      </c>
    </row>
    <row r="764">
      <c r="A764" s="96"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c r="Y764" s="107" t="inlineStr">
        <is>
          <t>En Proceso</t>
        </is>
      </c>
      <c r="Z764" s="107" t="inlineStr">
        <is>
          <t>[PR] Prevención</t>
        </is>
      </c>
      <c r="AA764" s="107" t="inlineStr">
        <is>
          <t>L5: Optimizado</t>
        </is>
      </c>
      <c r="AB764" s="107" t="inlineStr">
        <is>
          <t>T2: Fuga de información</t>
        </is>
      </c>
      <c r="AC764" s="107" t="inlineStr">
        <is>
          <t>Manual de Operaciones</t>
        </is>
      </c>
    </row>
    <row r="765">
      <c r="A765" s="96"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c r="Y765" s="107" t="inlineStr">
        <is>
          <t>Implementado</t>
        </is>
      </c>
      <c r="Z765" s="107" t="inlineStr">
        <is>
          <t>[PR] Prevención</t>
        </is>
      </c>
      <c r="AA765" s="107" t="inlineStr">
        <is>
          <t>L4: Gestionado</t>
        </is>
      </c>
      <c r="AB765" s="107" t="inlineStr">
        <is>
          <t>T2: Fuga de información</t>
        </is>
      </c>
      <c r="AC765" s="107" t="inlineStr">
        <is>
          <t>Registro Físico</t>
        </is>
      </c>
    </row>
    <row r="766" ht="12" customHeight="1" s="103">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c r="Y766" s="107" t="inlineStr">
        <is>
          <t>Implementado</t>
        </is>
      </c>
      <c r="Z766" s="107" t="inlineStr">
        <is>
          <t>[CR] Corrección</t>
        </is>
      </c>
      <c r="AA766" s="107" t="inlineStr">
        <is>
          <t>L5: Optimizado</t>
        </is>
      </c>
      <c r="AB766" s="107" t="inlineStr">
        <is>
          <t>T1: Accesos no autorizados</t>
        </is>
      </c>
      <c r="AC766" s="107" t="inlineStr">
        <is>
          <t>Bitácora de Sistemas</t>
        </is>
      </c>
    </row>
    <row r="767" ht="20.45" customHeight="1" s="103">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c r="Y767" s="107" t="inlineStr">
        <is>
          <t>En Proceso</t>
        </is>
      </c>
      <c r="Z767" s="107" t="inlineStr">
        <is>
          <t>[RC] Recuperación</t>
        </is>
      </c>
      <c r="AA767" s="107" t="inlineStr">
        <is>
          <t>L2: Reproducible</t>
        </is>
      </c>
      <c r="AB767" s="107" t="inlineStr">
        <is>
          <t>T2: Fuga de información</t>
        </is>
      </c>
      <c r="AC767" s="107" t="inlineStr">
        <is>
          <t>Registro Físico</t>
        </is>
      </c>
    </row>
    <row r="768" ht="12" customHeight="1" s="103">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c r="Y768" s="107" t="inlineStr">
        <is>
          <t>Planificado</t>
        </is>
      </c>
      <c r="Z768" s="107" t="inlineStr">
        <is>
          <t>[MN] Monitorización</t>
        </is>
      </c>
      <c r="AA768" s="107" t="inlineStr">
        <is>
          <t>L4: Gestionado</t>
        </is>
      </c>
      <c r="AB768" s="107" t="inlineStr">
        <is>
          <t>T1: Accesos no autorizados</t>
        </is>
      </c>
      <c r="AC768" s="107" t="inlineStr">
        <is>
          <t>Bitácora de Sistemas</t>
        </is>
      </c>
    </row>
    <row r="769" ht="20.45" customHeight="1" s="103">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c r="Y769" s="107" t="inlineStr">
        <is>
          <t>Implementado</t>
        </is>
      </c>
      <c r="Z769" s="107" t="inlineStr">
        <is>
          <t>[CR] Corrección</t>
        </is>
      </c>
      <c r="AA769" s="107" t="inlineStr">
        <is>
          <t>L5: Optimizado</t>
        </is>
      </c>
      <c r="AB769" s="107" t="inlineStr">
        <is>
          <t>T2: Fuga de información</t>
        </is>
      </c>
      <c r="AC769" s="107" t="inlineStr">
        <is>
          <t>Registro Físico</t>
        </is>
      </c>
    </row>
    <row r="770" ht="20.45" customHeight="1" s="103">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c r="Y770" s="107" t="inlineStr">
        <is>
          <t>Implementado</t>
        </is>
      </c>
      <c r="Z770" s="107" t="inlineStr">
        <is>
          <t>[PR] Prevención</t>
        </is>
      </c>
      <c r="AA770" s="107" t="inlineStr">
        <is>
          <t>L4: Gestionado</t>
        </is>
      </c>
      <c r="AB770" s="107" t="inlineStr">
        <is>
          <t>T1: Accesos no autorizados</t>
        </is>
      </c>
      <c r="AC770" s="107" t="inlineStr">
        <is>
          <t>Bitácora de Sistemas</t>
        </is>
      </c>
    </row>
    <row r="771" ht="12" customHeight="1" s="103">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c r="Y771" s="107" t="inlineStr">
        <is>
          <t>Implementado</t>
        </is>
      </c>
      <c r="Z771" s="107" t="inlineStr">
        <is>
          <t>[DR] Disuasión</t>
        </is>
      </c>
      <c r="AA771" s="107" t="inlineStr">
        <is>
          <t>L2: Reproducible</t>
        </is>
      </c>
      <c r="AB771" s="107" t="inlineStr">
        <is>
          <t>T1: Accesos no autorizados</t>
        </is>
      </c>
      <c r="AC771" s="107" t="inlineStr">
        <is>
          <t>Bitácora de Sistemas</t>
        </is>
      </c>
    </row>
    <row r="772" ht="12" customHeight="1" s="103">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c r="Y772" s="107" t="inlineStr">
        <is>
          <t>Planificado</t>
        </is>
      </c>
      <c r="Z772" s="107" t="inlineStr">
        <is>
          <t>[IM] Minimización</t>
        </is>
      </c>
      <c r="AA772" s="107" t="inlineStr">
        <is>
          <t>L3: Proceso Definido</t>
        </is>
      </c>
      <c r="AB772" s="107" t="inlineStr">
        <is>
          <t>T1: Accesos no autorizados</t>
        </is>
      </c>
      <c r="AC772" s="107" t="inlineStr">
        <is>
          <t>Bitácora de Sistemas</t>
        </is>
      </c>
    </row>
    <row r="773" ht="12" customHeight="1" s="103">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c r="Y773" s="107" t="inlineStr">
        <is>
          <t>Implementado</t>
        </is>
      </c>
      <c r="Z773" s="107" t="inlineStr">
        <is>
          <t>[RC] Recuperación</t>
        </is>
      </c>
      <c r="AA773" s="107" t="inlineStr">
        <is>
          <t>L5: Optimizado</t>
        </is>
      </c>
      <c r="AB773" s="107" t="inlineStr">
        <is>
          <t>T1: Accesos no autorizados</t>
        </is>
      </c>
      <c r="AC773" s="107" t="inlineStr">
        <is>
          <t>Bitácora de Sistemas</t>
        </is>
      </c>
    </row>
    <row r="774" ht="12" customHeight="1" s="103">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c r="Y774" s="107" t="inlineStr">
        <is>
          <t>Implementado</t>
        </is>
      </c>
      <c r="Z774" s="107" t="inlineStr">
        <is>
          <t>[EL] Eliminación</t>
        </is>
      </c>
      <c r="AA774" s="107" t="inlineStr">
        <is>
          <t>L2: Reproducible</t>
        </is>
      </c>
      <c r="AB774" s="107" t="inlineStr">
        <is>
          <t>T1: Accesos no autorizados</t>
        </is>
      </c>
      <c r="AC774" s="107" t="inlineStr">
        <is>
          <t>Bitácora de Sistemas</t>
        </is>
      </c>
    </row>
    <row r="775" ht="12" customHeight="1" s="103">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c r="Y775" s="107" t="inlineStr">
        <is>
          <t>Implementado</t>
        </is>
      </c>
      <c r="Z775" s="107" t="inlineStr">
        <is>
          <t>[PR] Prevención</t>
        </is>
      </c>
      <c r="AA775" s="107" t="inlineStr">
        <is>
          <t>L3: Proceso Definido</t>
        </is>
      </c>
      <c r="AB775" s="107" t="inlineStr">
        <is>
          <t>T2: Fuga de información</t>
        </is>
      </c>
      <c r="AC775" s="107" t="inlineStr">
        <is>
          <t>Manual de Operaciones</t>
        </is>
      </c>
    </row>
    <row r="776" ht="20.45" customHeight="1" s="103">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c r="Y776" s="107" t="inlineStr">
        <is>
          <t>Implementado</t>
        </is>
      </c>
      <c r="Z776" s="107" t="inlineStr">
        <is>
          <t>[DR] Disuasión</t>
        </is>
      </c>
      <c r="AA776" s="107" t="inlineStr">
        <is>
          <t>L2: Reproducible</t>
        </is>
      </c>
      <c r="AB776" s="107" t="inlineStr">
        <is>
          <t>T2: Fuga de información</t>
        </is>
      </c>
      <c r="AC776" s="107" t="inlineStr">
        <is>
          <t>Registro Físico</t>
        </is>
      </c>
    </row>
    <row r="777" ht="20.45" customHeight="1" s="103">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c r="Y777" s="107" t="inlineStr">
        <is>
          <t>En Proceso</t>
        </is>
      </c>
      <c r="Z777" s="107" t="inlineStr">
        <is>
          <t>[MN] Monitorización</t>
        </is>
      </c>
      <c r="AA777" s="107" t="inlineStr">
        <is>
          <t>L5: Optimizado</t>
        </is>
      </c>
      <c r="AB777" s="107" t="inlineStr">
        <is>
          <t>T2: Fuga de información</t>
        </is>
      </c>
      <c r="AC777" s="107" t="inlineStr">
        <is>
          <t>Registro Físico</t>
        </is>
      </c>
    </row>
    <row r="778" ht="20.45" customHeight="1" s="103">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c r="Y778" s="107" t="inlineStr">
        <is>
          <t>Implementado</t>
        </is>
      </c>
      <c r="Z778" s="107" t="inlineStr">
        <is>
          <t>[MN] Monitorización</t>
        </is>
      </c>
      <c r="AA778" s="107" t="inlineStr">
        <is>
          <t>L3: Proceso Definido</t>
        </is>
      </c>
      <c r="AB778" s="107" t="inlineStr">
        <is>
          <t>T2: Fuga de información</t>
        </is>
      </c>
      <c r="AC778" s="107" t="inlineStr">
        <is>
          <t>Registro Físico</t>
        </is>
      </c>
    </row>
    <row r="779">
      <c r="A779" s="96"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c r="Y779" s="107" t="inlineStr">
        <is>
          <t>Implementado</t>
        </is>
      </c>
      <c r="Z779" s="107" t="inlineStr">
        <is>
          <t>[EL] Eliminación</t>
        </is>
      </c>
      <c r="AA779" s="107" t="inlineStr">
        <is>
          <t>L3: Proceso Definido</t>
        </is>
      </c>
      <c r="AB779" s="107" t="inlineStr">
        <is>
          <t>T2: Fuga de información</t>
        </is>
      </c>
      <c r="AC779" s="107" t="inlineStr">
        <is>
          <t>Registro Físico</t>
        </is>
      </c>
    </row>
    <row r="780" ht="20.45" customHeight="1" s="103">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c r="Y780" s="107" t="inlineStr">
        <is>
          <t>No Implementado</t>
        </is>
      </c>
      <c r="Z780" s="107" t="inlineStr">
        <is>
          <t>[EL] Eliminación</t>
        </is>
      </c>
      <c r="AA780" s="107" t="inlineStr">
        <is>
          <t>L2: Reproducible</t>
        </is>
      </c>
      <c r="AB780" s="107" t="inlineStr">
        <is>
          <t>T2: Fuga de información</t>
        </is>
      </c>
      <c r="AC780" s="107" t="inlineStr">
        <is>
          <t>Registro Físico</t>
        </is>
      </c>
    </row>
    <row r="781" ht="20.45" customHeight="1" s="103">
      <c r="A781" s="96"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c r="Y781" s="107" t="inlineStr">
        <is>
          <t>Implementado</t>
        </is>
      </c>
      <c r="Z781" s="107" t="inlineStr">
        <is>
          <t>[CR] Corrección</t>
        </is>
      </c>
      <c r="AA781" s="107" t="inlineStr">
        <is>
          <t>L2: Reproducible</t>
        </is>
      </c>
      <c r="AB781" s="107" t="inlineStr">
        <is>
          <t>T2: Fuga de información</t>
        </is>
      </c>
      <c r="AC781" s="107" t="inlineStr">
        <is>
          <t>Registro Físico</t>
        </is>
      </c>
    </row>
    <row r="782">
      <c r="A782" s="96"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c r="Y782" s="107" t="inlineStr">
        <is>
          <t>Implementado</t>
        </is>
      </c>
      <c r="Z782" s="107" t="inlineStr">
        <is>
          <t>[DR] Disuasión</t>
        </is>
      </c>
      <c r="AA782" s="107" t="inlineStr">
        <is>
          <t>L4: Gestionado</t>
        </is>
      </c>
      <c r="AB782" s="107" t="inlineStr">
        <is>
          <t>T2: Fuga de información</t>
        </is>
      </c>
      <c r="AC782" s="107" t="inlineStr">
        <is>
          <t>Registro Físico</t>
        </is>
      </c>
    </row>
    <row r="783" ht="20.45" customHeight="1" s="103">
      <c r="A783" s="96"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c r="Y783" s="107" t="inlineStr">
        <is>
          <t>Implementado</t>
        </is>
      </c>
      <c r="Z783" s="107" t="inlineStr">
        <is>
          <t>[DC] Detección</t>
        </is>
      </c>
      <c r="AA783" s="107" t="inlineStr">
        <is>
          <t>L2: Reproducible</t>
        </is>
      </c>
      <c r="AB783" s="107" t="inlineStr">
        <is>
          <t>T2: Fuga de información</t>
        </is>
      </c>
      <c r="AC783" s="107" t="inlineStr">
        <is>
          <t>Registro Físico</t>
        </is>
      </c>
    </row>
    <row r="784" ht="20.45" customHeight="1" s="103">
      <c r="A784" s="96"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c r="Y784" s="107" t="inlineStr">
        <is>
          <t>Implementado</t>
        </is>
      </c>
      <c r="Z784" s="107" t="inlineStr">
        <is>
          <t>[PR] Prevención</t>
        </is>
      </c>
      <c r="AA784" s="107" t="inlineStr">
        <is>
          <t>L2: Reproducible</t>
        </is>
      </c>
      <c r="AB784" s="107" t="inlineStr">
        <is>
          <t>T2: Fuga de información</t>
        </is>
      </c>
      <c r="AC784" s="107" t="inlineStr">
        <is>
          <t>Registro Físico</t>
        </is>
      </c>
    </row>
    <row r="785">
      <c r="A785" s="96"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c r="Y785" s="107" t="inlineStr">
        <is>
          <t>Implementado</t>
        </is>
      </c>
      <c r="Z785" s="107" t="inlineStr">
        <is>
          <t>[DC] Detección</t>
        </is>
      </c>
      <c r="AA785" s="107" t="inlineStr">
        <is>
          <t>L4: Gestionado</t>
        </is>
      </c>
      <c r="AB785" s="107" t="inlineStr">
        <is>
          <t>T1: Accesos no autorizados</t>
        </is>
      </c>
      <c r="AC785" s="107" t="inlineStr">
        <is>
          <t>Bitácora de Sistemas</t>
        </is>
      </c>
    </row>
    <row r="786">
      <c r="A786" s="96"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c r="Y786" s="107" t="inlineStr">
        <is>
          <t>Implementado</t>
        </is>
      </c>
      <c r="Z786" s="107" t="inlineStr">
        <is>
          <t>[DC] Detección</t>
        </is>
      </c>
      <c r="AA786" s="107" t="inlineStr">
        <is>
          <t>L4: Gestionado</t>
        </is>
      </c>
      <c r="AB786" s="107" t="inlineStr">
        <is>
          <t>T2: Fuga de información</t>
        </is>
      </c>
      <c r="AC786" s="107" t="inlineStr">
        <is>
          <t>Registro Físico</t>
        </is>
      </c>
    </row>
    <row r="787">
      <c r="A787" s="96"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c r="Y787" s="107" t="inlineStr">
        <is>
          <t>No Implementado</t>
        </is>
      </c>
      <c r="Z787" s="107" t="inlineStr">
        <is>
          <t>[CR] Corrección</t>
        </is>
      </c>
      <c r="AA787" s="107" t="inlineStr">
        <is>
          <t>L4: Gestionado</t>
        </is>
      </c>
      <c r="AB787" s="107" t="inlineStr">
        <is>
          <t>T2: Fuga de información</t>
        </is>
      </c>
      <c r="AC787" s="107" t="inlineStr">
        <is>
          <t>Registro Físico</t>
        </is>
      </c>
    </row>
    <row r="788" ht="20.45" customHeight="1" s="103">
      <c r="A788" s="96"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c r="Y788" s="107" t="inlineStr">
        <is>
          <t>No Implementado</t>
        </is>
      </c>
      <c r="Z788" s="107" t="inlineStr">
        <is>
          <t>[RC] Recuperación</t>
        </is>
      </c>
      <c r="AA788" s="107" t="inlineStr">
        <is>
          <t>L3: Proceso Definido</t>
        </is>
      </c>
      <c r="AB788" s="107" t="inlineStr">
        <is>
          <t>T2: Fuga de información</t>
        </is>
      </c>
      <c r="AC788" s="107" t="inlineStr">
        <is>
          <t>Registro Físico</t>
        </is>
      </c>
    </row>
    <row r="789" ht="20.45" customHeight="1" s="103">
      <c r="A789" s="96"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c r="Y789" s="107" t="inlineStr">
        <is>
          <t>Implementado</t>
        </is>
      </c>
      <c r="Z789" s="107" t="inlineStr">
        <is>
          <t>[CR] Corrección</t>
        </is>
      </c>
      <c r="AA789" s="107" t="inlineStr">
        <is>
          <t>L2: Reproducible</t>
        </is>
      </c>
      <c r="AB789" s="107" t="inlineStr">
        <is>
          <t>T2: Fuga de información</t>
        </is>
      </c>
      <c r="AC789" s="107" t="inlineStr">
        <is>
          <t>Registro Físico</t>
        </is>
      </c>
    </row>
    <row r="790" ht="20.45" customHeight="1" s="103">
      <c r="A790" s="96"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c r="Y790" s="107" t="inlineStr">
        <is>
          <t>Implementado</t>
        </is>
      </c>
      <c r="Z790" s="107" t="inlineStr">
        <is>
          <t>[EL] Eliminación</t>
        </is>
      </c>
      <c r="AA790" s="107" t="inlineStr">
        <is>
          <t>L2: Reproducible</t>
        </is>
      </c>
      <c r="AB790" s="107" t="inlineStr">
        <is>
          <t>T2: Fuga de información</t>
        </is>
      </c>
      <c r="AC790" s="107" t="inlineStr">
        <is>
          <t>Registro Físico</t>
        </is>
      </c>
    </row>
    <row r="791" ht="20.45" customHeight="1" s="103">
      <c r="A791" s="96"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c r="Y791" s="107" t="inlineStr">
        <is>
          <t>En Proceso</t>
        </is>
      </c>
      <c r="Z791" s="107" t="inlineStr">
        <is>
          <t>[CR] Corrección</t>
        </is>
      </c>
      <c r="AA791" s="107" t="inlineStr">
        <is>
          <t>L3: Proceso Definido</t>
        </is>
      </c>
      <c r="AB791" s="107" t="inlineStr">
        <is>
          <t>T2: Fuga de información</t>
        </is>
      </c>
      <c r="AC791" s="107" t="inlineStr">
        <is>
          <t>Registro Físico</t>
        </is>
      </c>
    </row>
    <row r="792" ht="20.45" customHeight="1" s="103">
      <c r="A792" s="96"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c r="Y792" s="107" t="inlineStr">
        <is>
          <t>En Proceso</t>
        </is>
      </c>
      <c r="Z792" s="107" t="inlineStr">
        <is>
          <t>[MN] Monitorización</t>
        </is>
      </c>
      <c r="AA792" s="107" t="inlineStr">
        <is>
          <t>L5: Optimizado</t>
        </is>
      </c>
      <c r="AB792" s="107" t="inlineStr">
        <is>
          <t>T2: Fuga de información</t>
        </is>
      </c>
      <c r="AC792" s="107" t="inlineStr">
        <is>
          <t>Registro Físico</t>
        </is>
      </c>
    </row>
    <row r="793" ht="20.45" customHeight="1" s="103">
      <c r="A793" s="96"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c r="Y793" s="107" t="inlineStr">
        <is>
          <t>No Implementado</t>
        </is>
      </c>
      <c r="Z793" s="107" t="inlineStr">
        <is>
          <t>[PR] Prevención</t>
        </is>
      </c>
      <c r="AA793" s="107" t="inlineStr">
        <is>
          <t>L2: Reproducible</t>
        </is>
      </c>
      <c r="AB793" s="107" t="inlineStr">
        <is>
          <t>T2: Fuga de información</t>
        </is>
      </c>
      <c r="AC793" s="107" t="inlineStr">
        <is>
          <t>Registro Físico</t>
        </is>
      </c>
    </row>
    <row r="794" ht="20.45" customHeight="1" s="103">
      <c r="A794" s="96"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c r="Y794" s="107" t="inlineStr">
        <is>
          <t>Implementado</t>
        </is>
      </c>
      <c r="Z794" s="107" t="inlineStr">
        <is>
          <t>[PR] Prevención</t>
        </is>
      </c>
      <c r="AA794" s="107" t="inlineStr">
        <is>
          <t>L3: Proceso Definido</t>
        </is>
      </c>
      <c r="AB794" s="107" t="inlineStr">
        <is>
          <t>T2: Fuga de información</t>
        </is>
      </c>
      <c r="AC794" s="107" t="inlineStr">
        <is>
          <t>Registro Físico</t>
        </is>
      </c>
    </row>
    <row r="795" ht="20.45" customHeight="1" s="103">
      <c r="A795" s="96"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c r="Y795" s="107" t="inlineStr">
        <is>
          <t>En Proceso</t>
        </is>
      </c>
      <c r="Z795" s="107" t="inlineStr">
        <is>
          <t>[DR] Disuasión</t>
        </is>
      </c>
      <c r="AA795" s="107" t="inlineStr">
        <is>
          <t>L5: Optimizado</t>
        </is>
      </c>
      <c r="AB795" s="107" t="inlineStr">
        <is>
          <t>T2: Fuga de información</t>
        </is>
      </c>
      <c r="AC795" s="107" t="inlineStr">
        <is>
          <t>Registro Físico</t>
        </is>
      </c>
    </row>
    <row r="796" ht="20.45" customHeight="1" s="103">
      <c r="A796" s="96"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c r="Y796" s="107" t="inlineStr">
        <is>
          <t>Implementado</t>
        </is>
      </c>
      <c r="Z796" s="107" t="inlineStr">
        <is>
          <t>[PR] Prevención</t>
        </is>
      </c>
      <c r="AA796" s="107" t="inlineStr">
        <is>
          <t>L5: Optimizado</t>
        </is>
      </c>
      <c r="AB796" s="107" t="inlineStr">
        <is>
          <t>T2: Fuga de información</t>
        </is>
      </c>
      <c r="AC796" s="107" t="inlineStr">
        <is>
          <t>Registro Físico</t>
        </is>
      </c>
    </row>
    <row r="797" ht="24" customHeight="1" s="103">
      <c r="A797" s="96"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c r="Y797" s="107" t="inlineStr">
        <is>
          <t>Implementado</t>
        </is>
      </c>
      <c r="Z797" s="107" t="inlineStr">
        <is>
          <t>[DR] Disuasión</t>
        </is>
      </c>
      <c r="AA797" s="107" t="inlineStr">
        <is>
          <t>L3: Proceso Definido</t>
        </is>
      </c>
      <c r="AB797" s="107" t="inlineStr">
        <is>
          <t>T2: Fuga de información</t>
        </is>
      </c>
      <c r="AC797" s="107" t="inlineStr">
        <is>
          <t>Registro Físico</t>
        </is>
      </c>
    </row>
    <row r="798">
      <c r="A798" s="96"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c r="Y798" s="107" t="inlineStr">
        <is>
          <t>En Proceso</t>
        </is>
      </c>
      <c r="Z798" s="107" t="inlineStr">
        <is>
          <t>[PR] Prevención</t>
        </is>
      </c>
      <c r="AA798" s="107" t="inlineStr">
        <is>
          <t>L2: Reproducible</t>
        </is>
      </c>
      <c r="AB798" s="107" t="inlineStr">
        <is>
          <t>T2: Fuga de información</t>
        </is>
      </c>
      <c r="AC798" s="107" t="inlineStr">
        <is>
          <t>Registro Físico</t>
        </is>
      </c>
    </row>
    <row r="799">
      <c r="A799" s="96"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c r="Y799" s="107" t="inlineStr">
        <is>
          <t>Implementado</t>
        </is>
      </c>
      <c r="Z799" s="107" t="inlineStr">
        <is>
          <t>[IM] Minimización</t>
        </is>
      </c>
      <c r="AA799" s="107" t="inlineStr">
        <is>
          <t>L4: Gestionado</t>
        </is>
      </c>
      <c r="AB799" s="107" t="inlineStr">
        <is>
          <t>T2: Fuga de información</t>
        </is>
      </c>
      <c r="AC799" s="107" t="inlineStr">
        <is>
          <t>Registro Físico</t>
        </is>
      </c>
    </row>
    <row r="800">
      <c r="A800" s="96"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c r="Y800" s="107" t="inlineStr">
        <is>
          <t>No Implementado</t>
        </is>
      </c>
      <c r="Z800" s="107" t="inlineStr">
        <is>
          <t>[DR] Disuasión</t>
        </is>
      </c>
      <c r="AA800" s="107" t="inlineStr">
        <is>
          <t>L4: Gestionado</t>
        </is>
      </c>
      <c r="AB800" s="107" t="inlineStr">
        <is>
          <t>T1: Accesos no autorizados</t>
        </is>
      </c>
      <c r="AC800" s="107" t="inlineStr">
        <is>
          <t>Bitácora de Sistemas</t>
        </is>
      </c>
    </row>
    <row r="801">
      <c r="A801" s="96"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c r="Y801" s="107" t="inlineStr">
        <is>
          <t>Implementado</t>
        </is>
      </c>
      <c r="Z801" s="107" t="inlineStr">
        <is>
          <t>[DR] Disuasión</t>
        </is>
      </c>
      <c r="AA801" s="107" t="inlineStr">
        <is>
          <t>L3: Proceso Definido</t>
        </is>
      </c>
      <c r="AB801" s="107" t="inlineStr">
        <is>
          <t>T2: Fuga de información</t>
        </is>
      </c>
      <c r="AC801" s="107" t="inlineStr">
        <is>
          <t>Registro Físico</t>
        </is>
      </c>
    </row>
    <row r="802">
      <c r="A802" s="96"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c r="Y802" s="107" t="inlineStr">
        <is>
          <t>Implementado</t>
        </is>
      </c>
      <c r="Z802" s="107" t="inlineStr">
        <is>
          <t>[IM] Minimización</t>
        </is>
      </c>
      <c r="AA802" s="107" t="inlineStr">
        <is>
          <t>L4: Gestionado</t>
        </is>
      </c>
      <c r="AB802" s="107" t="inlineStr">
        <is>
          <t>T2: Fuga de información</t>
        </is>
      </c>
      <c r="AC802" s="107" t="inlineStr">
        <is>
          <t>Registro Físico</t>
        </is>
      </c>
    </row>
    <row r="803">
      <c r="A803" s="96"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c r="Y803" s="107" t="inlineStr">
        <is>
          <t>Implementado</t>
        </is>
      </c>
      <c r="Z803" s="107" t="inlineStr">
        <is>
          <t>[DC] Detección</t>
        </is>
      </c>
      <c r="AA803" s="107" t="inlineStr">
        <is>
          <t>L5: Optimizado</t>
        </is>
      </c>
      <c r="AB803" s="107" t="inlineStr">
        <is>
          <t>T2: Fuga de información</t>
        </is>
      </c>
      <c r="AC803" s="107" t="inlineStr">
        <is>
          <t>Registro Físico</t>
        </is>
      </c>
    </row>
    <row r="804">
      <c r="A804" s="96"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c r="Y804" s="107" t="inlineStr">
        <is>
          <t>No Implementado</t>
        </is>
      </c>
      <c r="Z804" s="107" t="inlineStr">
        <is>
          <t>[PR] Prevención</t>
        </is>
      </c>
      <c r="AA804" s="107" t="inlineStr">
        <is>
          <t>L3: Proceso Definido</t>
        </is>
      </c>
      <c r="AB804" s="107" t="inlineStr">
        <is>
          <t>T2: Fuga de información</t>
        </is>
      </c>
      <c r="AC804" s="107" t="inlineStr">
        <is>
          <t>Registro Físico</t>
        </is>
      </c>
    </row>
    <row r="805">
      <c r="A805" s="96"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c r="Y805" s="107" t="inlineStr">
        <is>
          <t>Implementado</t>
        </is>
      </c>
      <c r="Z805" s="107" t="inlineStr">
        <is>
          <t>[EL] Eliminación</t>
        </is>
      </c>
      <c r="AA805" s="107" t="inlineStr">
        <is>
          <t>L2: Reproducible</t>
        </is>
      </c>
      <c r="AB805" s="107" t="inlineStr">
        <is>
          <t>T2: Fuga de información</t>
        </is>
      </c>
      <c r="AC805" s="107" t="inlineStr">
        <is>
          <t>Registro Físico</t>
        </is>
      </c>
    </row>
    <row r="806">
      <c r="A806" s="96"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c r="Y806" s="107" t="inlineStr">
        <is>
          <t>Implementado</t>
        </is>
      </c>
      <c r="Z806" s="107" t="inlineStr">
        <is>
          <t>[PR] Prevención</t>
        </is>
      </c>
      <c r="AA806" s="107" t="inlineStr">
        <is>
          <t>L4: Gestionado</t>
        </is>
      </c>
      <c r="AB806" s="107" t="inlineStr">
        <is>
          <t>T2: Fuga de información</t>
        </is>
      </c>
      <c r="AC806" s="107" t="inlineStr">
        <is>
          <t>Registro Físico</t>
        </is>
      </c>
    </row>
    <row r="807">
      <c r="A807" s="96"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c r="Y807" s="107" t="inlineStr">
        <is>
          <t>Implementado</t>
        </is>
      </c>
      <c r="Z807" s="107" t="inlineStr">
        <is>
          <t>[RC] Recuperación</t>
        </is>
      </c>
      <c r="AA807" s="107" t="inlineStr">
        <is>
          <t>L4: Gestionado</t>
        </is>
      </c>
      <c r="AB807" s="107" t="inlineStr">
        <is>
          <t>T2: Fuga de información</t>
        </is>
      </c>
      <c r="AC807" s="107" t="inlineStr">
        <is>
          <t>Registro Físico</t>
        </is>
      </c>
    </row>
    <row r="808">
      <c r="A808" s="96"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c r="Y808" s="107" t="inlineStr">
        <is>
          <t>Planificado</t>
        </is>
      </c>
      <c r="Z808" s="107" t="inlineStr">
        <is>
          <t>[CR] Corrección</t>
        </is>
      </c>
      <c r="AA808" s="107" t="inlineStr">
        <is>
          <t>L4: Gestionado</t>
        </is>
      </c>
      <c r="AB808" s="107" t="inlineStr">
        <is>
          <t>T2: Fuga de información</t>
        </is>
      </c>
      <c r="AC808" s="107" t="inlineStr">
        <is>
          <t>Registro Físico</t>
        </is>
      </c>
    </row>
    <row r="809">
      <c r="A809" s="96"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c r="Y809" s="107" t="inlineStr">
        <is>
          <t>Implementado</t>
        </is>
      </c>
      <c r="Z809" s="107" t="inlineStr">
        <is>
          <t>[PR] Prevención</t>
        </is>
      </c>
      <c r="AA809" s="107" t="inlineStr">
        <is>
          <t>L4: Gestionado</t>
        </is>
      </c>
      <c r="AB809" s="107" t="inlineStr">
        <is>
          <t>T2: Fuga de información</t>
        </is>
      </c>
      <c r="AC809" s="107" t="inlineStr">
        <is>
          <t>Registro Físico</t>
        </is>
      </c>
    </row>
    <row r="810">
      <c r="A810" s="96"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c r="Y810" s="107" t="inlineStr">
        <is>
          <t>No Implementado</t>
        </is>
      </c>
      <c r="Z810" s="107" t="inlineStr">
        <is>
          <t>[MN] Monitorización</t>
        </is>
      </c>
      <c r="AA810" s="107" t="inlineStr">
        <is>
          <t>L3: Proceso Definido</t>
        </is>
      </c>
      <c r="AB810" s="107" t="inlineStr">
        <is>
          <t>T2: Fuga de información</t>
        </is>
      </c>
      <c r="AC810" s="107" t="inlineStr">
        <is>
          <t>Registro Físico</t>
        </is>
      </c>
    </row>
    <row r="811">
      <c r="A811" s="96"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c r="Y811" s="107" t="inlineStr">
        <is>
          <t>Implementado</t>
        </is>
      </c>
      <c r="Z811" s="107" t="inlineStr">
        <is>
          <t>[MN] Monitorización</t>
        </is>
      </c>
      <c r="AA811" s="107" t="inlineStr">
        <is>
          <t>L2: Reproducible</t>
        </is>
      </c>
      <c r="AB811" s="107" t="inlineStr">
        <is>
          <t>T2: Fuga de información</t>
        </is>
      </c>
      <c r="AC811" s="107" t="inlineStr">
        <is>
          <t>Registro Físico</t>
        </is>
      </c>
    </row>
    <row r="812">
      <c r="A812" s="96"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c r="Y812" s="107" t="inlineStr">
        <is>
          <t>Implementado</t>
        </is>
      </c>
      <c r="Z812" s="107" t="inlineStr">
        <is>
          <t>[MN] Monitorización</t>
        </is>
      </c>
      <c r="AA812" s="107" t="inlineStr">
        <is>
          <t>L3: Proceso Definido</t>
        </is>
      </c>
      <c r="AB812" s="107" t="inlineStr">
        <is>
          <t>T2: Fuga de información</t>
        </is>
      </c>
      <c r="AC812" s="107" t="inlineStr">
        <is>
          <t>Registro Físico</t>
        </is>
      </c>
    </row>
    <row r="813">
      <c r="A813" s="96"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c r="Y813" s="107" t="inlineStr">
        <is>
          <t>Implementado</t>
        </is>
      </c>
      <c r="Z813" s="107" t="inlineStr">
        <is>
          <t>[DC] Detección</t>
        </is>
      </c>
      <c r="AA813" s="107" t="inlineStr">
        <is>
          <t>L3: Proceso Definido</t>
        </is>
      </c>
      <c r="AB813" s="107" t="inlineStr">
        <is>
          <t>T2: Fuga de información</t>
        </is>
      </c>
      <c r="AC813" s="107" t="inlineStr">
        <is>
          <t>Registro Físico</t>
        </is>
      </c>
    </row>
    <row r="814">
      <c r="A814" s="96"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c r="Y814" s="107" t="inlineStr">
        <is>
          <t>Implementado</t>
        </is>
      </c>
      <c r="Z814" s="107" t="inlineStr">
        <is>
          <t>[EL] Eliminación</t>
        </is>
      </c>
      <c r="AA814" s="107" t="inlineStr">
        <is>
          <t>L4: Gestionado</t>
        </is>
      </c>
      <c r="AB814" s="107" t="inlineStr">
        <is>
          <t>T2: Fuga de información</t>
        </is>
      </c>
      <c r="AC814" s="107" t="inlineStr">
        <is>
          <t>Registro Físico</t>
        </is>
      </c>
    </row>
    <row r="815">
      <c r="A815" s="96"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c r="Y815" s="107" t="inlineStr">
        <is>
          <t>Planificado</t>
        </is>
      </c>
      <c r="Z815" s="107" t="inlineStr">
        <is>
          <t>[MN] Monitorización</t>
        </is>
      </c>
      <c r="AA815" s="107" t="inlineStr">
        <is>
          <t>L4: Gestionado</t>
        </is>
      </c>
      <c r="AB815" s="107" t="inlineStr">
        <is>
          <t>T2: Fuga de información</t>
        </is>
      </c>
      <c r="AC815" s="107" t="inlineStr">
        <is>
          <t>Registro Físico</t>
        </is>
      </c>
    </row>
    <row r="816">
      <c r="A816" s="96"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c r="Y816" s="107" t="inlineStr">
        <is>
          <t>En Proceso</t>
        </is>
      </c>
      <c r="Z816" s="107" t="inlineStr">
        <is>
          <t>[RC] Recuperación</t>
        </is>
      </c>
      <c r="AA816" s="107" t="inlineStr">
        <is>
          <t>L2: Reproducible</t>
        </is>
      </c>
      <c r="AB816" s="107" t="inlineStr">
        <is>
          <t>T2: Fuga de información</t>
        </is>
      </c>
      <c r="AC816" s="107" t="inlineStr">
        <is>
          <t>Registro Físico</t>
        </is>
      </c>
    </row>
    <row r="817">
      <c r="A817" s="96"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c r="Y817" s="107" t="inlineStr">
        <is>
          <t>Implementado</t>
        </is>
      </c>
      <c r="Z817" s="107" t="inlineStr">
        <is>
          <t>[MN] Monitorización</t>
        </is>
      </c>
      <c r="AA817" s="107" t="inlineStr">
        <is>
          <t>L3: Proceso Definido</t>
        </is>
      </c>
      <c r="AB817" s="107" t="inlineStr">
        <is>
          <t>T2: Fuga de información</t>
        </is>
      </c>
      <c r="AC817" s="107" t="inlineStr">
        <is>
          <t>Registro Físico</t>
        </is>
      </c>
    </row>
    <row r="818" ht="41.1" customHeight="1" s="103">
      <c r="A818" s="96"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c r="Y818" s="107" t="inlineStr">
        <is>
          <t>Implementado</t>
        </is>
      </c>
      <c r="Z818" s="107" t="inlineStr">
        <is>
          <t>[CR] Corrección</t>
        </is>
      </c>
      <c r="AA818" s="107" t="inlineStr">
        <is>
          <t>L3: Proceso Definido</t>
        </is>
      </c>
      <c r="AB818" s="107" t="inlineStr">
        <is>
          <t>T2: Fuga de información</t>
        </is>
      </c>
      <c r="AC818" s="107" t="inlineStr">
        <is>
          <t>Registro Físico</t>
        </is>
      </c>
    </row>
    <row r="819" ht="51" customHeight="1" s="103">
      <c r="A819" s="96"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c r="Y819" s="107" t="inlineStr">
        <is>
          <t>Implementado</t>
        </is>
      </c>
      <c r="Z819" s="107" t="inlineStr">
        <is>
          <t>[DR] Disuasión</t>
        </is>
      </c>
      <c r="AA819" s="107" t="inlineStr">
        <is>
          <t>L3: Proceso Definido</t>
        </is>
      </c>
      <c r="AB819" s="107" t="inlineStr">
        <is>
          <t>T2: Fuga de información</t>
        </is>
      </c>
      <c r="AC819" s="107" t="inlineStr">
        <is>
          <t>Registro Físico</t>
        </is>
      </c>
    </row>
    <row r="820" ht="61.35" customHeight="1" s="103">
      <c r="A820" s="96"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c r="Y820" s="107" t="inlineStr">
        <is>
          <t>Planificado</t>
        </is>
      </c>
      <c r="Z820" s="107" t="inlineStr">
        <is>
          <t>[DC] Detección</t>
        </is>
      </c>
      <c r="AA820" s="107" t="inlineStr">
        <is>
          <t>L5: Optimizado</t>
        </is>
      </c>
      <c r="AB820" s="107" t="inlineStr">
        <is>
          <t>T2: Fuga de información</t>
        </is>
      </c>
      <c r="AC820" s="107" t="inlineStr">
        <is>
          <t>Registro Físico</t>
        </is>
      </c>
    </row>
    <row r="821" ht="20.45" customHeight="1" s="103">
      <c r="A821" s="96"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c r="Y821" s="107" t="inlineStr">
        <is>
          <t>Implementado</t>
        </is>
      </c>
      <c r="Z821" s="107" t="inlineStr">
        <is>
          <t>[DR] Disuasión</t>
        </is>
      </c>
      <c r="AA821" s="107" t="inlineStr">
        <is>
          <t>L2: Reproducible</t>
        </is>
      </c>
      <c r="AB821" s="107" t="inlineStr">
        <is>
          <t>T2: Fuga de información</t>
        </is>
      </c>
      <c r="AC821" s="107" t="inlineStr">
        <is>
          <t>Registro Físico</t>
        </is>
      </c>
    </row>
    <row r="822" ht="30.6" customHeight="1" s="103">
      <c r="A822" s="96"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c r="Y822" s="107" t="inlineStr">
        <is>
          <t>Implementado</t>
        </is>
      </c>
      <c r="Z822" s="107" t="inlineStr">
        <is>
          <t>[IM] Minimización</t>
        </is>
      </c>
      <c r="AA822" s="107" t="inlineStr">
        <is>
          <t>L4: Gestionado</t>
        </is>
      </c>
      <c r="AB822" s="107" t="inlineStr">
        <is>
          <t>T2: Fuga de información</t>
        </is>
      </c>
      <c r="AC822" s="107" t="inlineStr">
        <is>
          <t>Registro Físico</t>
        </is>
      </c>
    </row>
    <row r="823" ht="20.45" customHeight="1" s="103">
      <c r="A823" s="96"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c r="Y823" s="107" t="inlineStr">
        <is>
          <t>Implementado</t>
        </is>
      </c>
      <c r="Z823" s="107" t="inlineStr">
        <is>
          <t>[CR] Corrección</t>
        </is>
      </c>
      <c r="AA823" s="107" t="inlineStr">
        <is>
          <t>L2: Reproducible</t>
        </is>
      </c>
      <c r="AB823" s="107" t="inlineStr">
        <is>
          <t>T2: Fuga de información</t>
        </is>
      </c>
      <c r="AC823" s="107" t="inlineStr">
        <is>
          <t>Registro Físico</t>
        </is>
      </c>
    </row>
    <row r="824">
      <c r="A824" s="96"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c r="Y824" s="107" t="inlineStr">
        <is>
          <t>Planificado</t>
        </is>
      </c>
      <c r="Z824" s="107" t="inlineStr">
        <is>
          <t>[PR] Prevención</t>
        </is>
      </c>
      <c r="AA824" s="107" t="inlineStr">
        <is>
          <t>L3: Proceso Definido</t>
        </is>
      </c>
      <c r="AB824" s="107" t="inlineStr">
        <is>
          <t>T2: Fuga de información</t>
        </is>
      </c>
      <c r="AC824" s="107" t="inlineStr">
        <is>
          <t>Manual de Operaciones</t>
        </is>
      </c>
    </row>
    <row r="825">
      <c r="A825" s="96"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c r="Y825" s="107" t="inlineStr">
        <is>
          <t>Planificado</t>
        </is>
      </c>
      <c r="Z825" s="107" t="inlineStr">
        <is>
          <t>[PR] Prevención</t>
        </is>
      </c>
      <c r="AA825" s="107" t="inlineStr">
        <is>
          <t>L2: Reproducible</t>
        </is>
      </c>
      <c r="AB825" s="107" t="inlineStr">
        <is>
          <t>T2: Fuga de información</t>
        </is>
      </c>
      <c r="AC825" s="107" t="inlineStr">
        <is>
          <t>Manual de Operaciones</t>
        </is>
      </c>
    </row>
    <row r="826">
      <c r="A826" s="96"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c r="Y826" s="107" t="inlineStr">
        <is>
          <t>Implementado</t>
        </is>
      </c>
      <c r="Z826" s="107" t="inlineStr">
        <is>
          <t>[IM] Minimización</t>
        </is>
      </c>
      <c r="AA826" s="107" t="inlineStr">
        <is>
          <t>L2: Reproducible</t>
        </is>
      </c>
      <c r="AB826" s="107" t="inlineStr">
        <is>
          <t>T2: Fuga de información</t>
        </is>
      </c>
      <c r="AC826" s="107" t="inlineStr">
        <is>
          <t>Registro Físico</t>
        </is>
      </c>
    </row>
    <row r="827">
      <c r="A827" s="96"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c r="Y827" s="107" t="inlineStr">
        <is>
          <t>Implementado</t>
        </is>
      </c>
      <c r="Z827" s="107" t="inlineStr">
        <is>
          <t>[PR] Prevención</t>
        </is>
      </c>
      <c r="AA827" s="107" t="inlineStr">
        <is>
          <t>L2: Reproducible</t>
        </is>
      </c>
      <c r="AB827" s="107" t="inlineStr">
        <is>
          <t>T2: Fuga de información</t>
        </is>
      </c>
      <c r="AC827" s="107" t="inlineStr">
        <is>
          <t>Manual de Operaciones</t>
        </is>
      </c>
    </row>
    <row r="828">
      <c r="A828" s="96"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c r="Y828" s="107" t="inlineStr">
        <is>
          <t>En Proceso</t>
        </is>
      </c>
      <c r="Z828" s="107" t="inlineStr">
        <is>
          <t>[PR] Prevención</t>
        </is>
      </c>
      <c r="AA828" s="107" t="inlineStr">
        <is>
          <t>L5: Optimizado</t>
        </is>
      </c>
      <c r="AB828" s="107" t="inlineStr">
        <is>
          <t>T2: Fuga de información</t>
        </is>
      </c>
      <c r="AC828" s="107" t="inlineStr">
        <is>
          <t>Manual de Operaciones</t>
        </is>
      </c>
    </row>
    <row r="829">
      <c r="A829" s="96"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c r="Y829" s="107" t="inlineStr">
        <is>
          <t>Implementado</t>
        </is>
      </c>
      <c r="Z829" s="107" t="inlineStr">
        <is>
          <t>[PR] Prevención</t>
        </is>
      </c>
      <c r="AA829" s="107" t="inlineStr">
        <is>
          <t>L4: Gestionado</t>
        </is>
      </c>
      <c r="AB829" s="107" t="inlineStr">
        <is>
          <t>T2: Fuga de información</t>
        </is>
      </c>
      <c r="AC829" s="107" t="inlineStr">
        <is>
          <t>Manual de Operaciones</t>
        </is>
      </c>
    </row>
    <row r="830">
      <c r="A830" s="96"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c r="Y830" s="107" t="inlineStr">
        <is>
          <t>En Proceso</t>
        </is>
      </c>
      <c r="Z830" s="107" t="inlineStr">
        <is>
          <t>[PR] Prevención</t>
        </is>
      </c>
      <c r="AA830" s="107" t="inlineStr">
        <is>
          <t>L3: Proceso Definido</t>
        </is>
      </c>
      <c r="AB830" s="107" t="inlineStr">
        <is>
          <t>T2: Fuga de información</t>
        </is>
      </c>
      <c r="AC830" s="107" t="inlineStr">
        <is>
          <t>Manual de Operaciones</t>
        </is>
      </c>
    </row>
    <row r="831">
      <c r="A831" s="96"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c r="Y831" s="107" t="inlineStr">
        <is>
          <t>Planificado</t>
        </is>
      </c>
      <c r="Z831" s="107" t="inlineStr">
        <is>
          <t>[PR] Prevención</t>
        </is>
      </c>
      <c r="AA831" s="107" t="inlineStr">
        <is>
          <t>L4: Gestionado</t>
        </is>
      </c>
      <c r="AB831" s="107" t="inlineStr">
        <is>
          <t>T2: Fuga de información</t>
        </is>
      </c>
      <c r="AC831" s="107" t="inlineStr">
        <is>
          <t>Manual de Operaciones</t>
        </is>
      </c>
    </row>
    <row r="832">
      <c r="A832" s="96"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c r="Y832" s="107" t="inlineStr">
        <is>
          <t>Implementado</t>
        </is>
      </c>
      <c r="Z832" s="107" t="inlineStr">
        <is>
          <t>[PR] Prevención</t>
        </is>
      </c>
      <c r="AA832" s="107" t="inlineStr">
        <is>
          <t>L4: Gestionado</t>
        </is>
      </c>
      <c r="AB832" s="107" t="inlineStr">
        <is>
          <t>T2: Fuga de información</t>
        </is>
      </c>
      <c r="AC832" s="107" t="inlineStr">
        <is>
          <t>Manual de Operaciones</t>
        </is>
      </c>
    </row>
    <row r="833">
      <c r="A833" s="96"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c r="Y833" s="107" t="inlineStr">
        <is>
          <t>Implementado</t>
        </is>
      </c>
      <c r="Z833" s="107" t="inlineStr">
        <is>
          <t>[PR] Prevención</t>
        </is>
      </c>
      <c r="AA833" s="107" t="inlineStr">
        <is>
          <t>L3: Proceso Definido</t>
        </is>
      </c>
      <c r="AB833" s="107" t="inlineStr">
        <is>
          <t>T2: Fuga de información</t>
        </is>
      </c>
      <c r="AC833" s="107" t="inlineStr">
        <is>
          <t>Manual de Operaciones</t>
        </is>
      </c>
    </row>
    <row r="834">
      <c r="A834" s="96"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c r="Y834" s="107" t="inlineStr">
        <is>
          <t>Implementado</t>
        </is>
      </c>
      <c r="Z834" s="107" t="inlineStr">
        <is>
          <t>[PR] Prevención</t>
        </is>
      </c>
      <c r="AA834" s="107" t="inlineStr">
        <is>
          <t>L5: Optimizado</t>
        </is>
      </c>
      <c r="AB834" s="107" t="inlineStr">
        <is>
          <t>T2: Fuga de información</t>
        </is>
      </c>
      <c r="AC834" s="107" t="inlineStr">
        <is>
          <t>Manual de Operaciones</t>
        </is>
      </c>
    </row>
    <row r="835">
      <c r="A835" s="96"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c r="Y835" s="107" t="inlineStr">
        <is>
          <t>No Implementado</t>
        </is>
      </c>
      <c r="Z835" s="107" t="inlineStr">
        <is>
          <t>[PR] Prevención</t>
        </is>
      </c>
      <c r="AA835" s="107" t="inlineStr">
        <is>
          <t>L3: Proceso Definido</t>
        </is>
      </c>
      <c r="AB835" s="107" t="inlineStr">
        <is>
          <t>T2: Fuga de información</t>
        </is>
      </c>
      <c r="AC835" s="107" t="inlineStr">
        <is>
          <t>Manual de Operaciones</t>
        </is>
      </c>
    </row>
    <row r="836">
      <c r="A836" s="96"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c r="Y836" s="107" t="inlineStr">
        <is>
          <t>Implementado</t>
        </is>
      </c>
      <c r="Z836" s="107" t="inlineStr">
        <is>
          <t>[PR] Prevención</t>
        </is>
      </c>
      <c r="AA836" s="107" t="inlineStr">
        <is>
          <t>L5: Optimizado</t>
        </is>
      </c>
      <c r="AB836" s="107" t="inlineStr">
        <is>
          <t>T2: Fuga de información</t>
        </is>
      </c>
      <c r="AC836" s="107" t="inlineStr">
        <is>
          <t>Manual de Operaciones</t>
        </is>
      </c>
    </row>
    <row r="837">
      <c r="A837" s="96"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c r="Y837" s="107" t="inlineStr">
        <is>
          <t>Planificado</t>
        </is>
      </c>
      <c r="Z837" s="107" t="inlineStr">
        <is>
          <t>[PR] Prevención</t>
        </is>
      </c>
      <c r="AA837" s="107" t="inlineStr">
        <is>
          <t>L3: Proceso Definido</t>
        </is>
      </c>
      <c r="AB837" s="107" t="inlineStr">
        <is>
          <t>T2: Fuga de información</t>
        </is>
      </c>
      <c r="AC837" s="107" t="inlineStr">
        <is>
          <t>Manual de Operaciones</t>
        </is>
      </c>
    </row>
    <row r="838">
      <c r="A838" s="96"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c r="Y838" s="107" t="inlineStr">
        <is>
          <t>Implementado</t>
        </is>
      </c>
      <c r="Z838" s="107" t="inlineStr">
        <is>
          <t>[PR] Prevención</t>
        </is>
      </c>
      <c r="AA838" s="107" t="inlineStr">
        <is>
          <t>L5: Optimizado</t>
        </is>
      </c>
      <c r="AB838" s="107" t="inlineStr">
        <is>
          <t>T2: Fuga de información</t>
        </is>
      </c>
      <c r="AC838" s="107" t="inlineStr">
        <is>
          <t>Manual de Operaciones</t>
        </is>
      </c>
    </row>
    <row r="839">
      <c r="A839" s="96"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c r="Y839" s="107" t="inlineStr">
        <is>
          <t>Implementado</t>
        </is>
      </c>
      <c r="Z839" s="107" t="inlineStr">
        <is>
          <t>[PR] Prevención</t>
        </is>
      </c>
      <c r="AA839" s="107" t="inlineStr">
        <is>
          <t>L4: Gestionado</t>
        </is>
      </c>
      <c r="AB839" s="107" t="inlineStr">
        <is>
          <t>T2: Fuga de información</t>
        </is>
      </c>
      <c r="AC839" s="107" t="inlineStr">
        <is>
          <t>Manual de Operaciones</t>
        </is>
      </c>
    </row>
    <row r="840">
      <c r="A840" s="96"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c r="Y840" s="107" t="inlineStr">
        <is>
          <t>Implementado</t>
        </is>
      </c>
      <c r="Z840" s="107" t="inlineStr">
        <is>
          <t>[PR] Prevención</t>
        </is>
      </c>
      <c r="AA840" s="107" t="inlineStr">
        <is>
          <t>L5: Optimizado</t>
        </is>
      </c>
      <c r="AB840" s="107" t="inlineStr">
        <is>
          <t>T2: Fuga de información</t>
        </is>
      </c>
      <c r="AC840" s="107" t="inlineStr">
        <is>
          <t>Manual de Operaciones</t>
        </is>
      </c>
    </row>
    <row r="841">
      <c r="A841" s="96"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c r="Y841" s="107" t="inlineStr">
        <is>
          <t>Implementado</t>
        </is>
      </c>
      <c r="Z841" s="107" t="inlineStr">
        <is>
          <t>[PR] Prevención</t>
        </is>
      </c>
      <c r="AA841" s="107" t="inlineStr">
        <is>
          <t>L2: Reproducible</t>
        </is>
      </c>
      <c r="AB841" s="107" t="inlineStr">
        <is>
          <t>T2: Fuga de información</t>
        </is>
      </c>
      <c r="AC841" s="107" t="inlineStr">
        <is>
          <t>Manual de Operaciones</t>
        </is>
      </c>
    </row>
    <row r="842">
      <c r="A842" s="96"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c r="Y842" s="107" t="inlineStr">
        <is>
          <t>Implementado</t>
        </is>
      </c>
      <c r="Z842" s="107" t="inlineStr">
        <is>
          <t>[PR] Prevención</t>
        </is>
      </c>
      <c r="AA842" s="107" t="inlineStr">
        <is>
          <t>L3: Proceso Definido</t>
        </is>
      </c>
      <c r="AB842" s="107" t="inlineStr">
        <is>
          <t>T2: Fuga de información</t>
        </is>
      </c>
      <c r="AC842" s="107" t="inlineStr">
        <is>
          <t>Manual de Operaciones</t>
        </is>
      </c>
    </row>
    <row r="843">
      <c r="A843" s="96"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c r="Y843" s="107" t="inlineStr">
        <is>
          <t>Implementado</t>
        </is>
      </c>
      <c r="Z843" s="107" t="inlineStr">
        <is>
          <t>[PR] Prevención</t>
        </is>
      </c>
      <c r="AA843" s="107" t="inlineStr">
        <is>
          <t>L2: Reproducible</t>
        </is>
      </c>
      <c r="AB843" s="107" t="inlineStr">
        <is>
          <t>T2: Fuga de información</t>
        </is>
      </c>
      <c r="AC843" s="107" t="inlineStr">
        <is>
          <t>Manual de Operaciones</t>
        </is>
      </c>
    </row>
    <row r="844">
      <c r="A844" s="96"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c r="Y844" s="107" t="inlineStr">
        <is>
          <t>Implementado</t>
        </is>
      </c>
      <c r="Z844" s="107" t="inlineStr">
        <is>
          <t>[PR] Prevención</t>
        </is>
      </c>
      <c r="AA844" s="107" t="inlineStr">
        <is>
          <t>L2: Reproducible</t>
        </is>
      </c>
      <c r="AB844" s="107" t="inlineStr">
        <is>
          <t>T2: Fuga de información</t>
        </is>
      </c>
      <c r="AC844" s="107" t="inlineStr">
        <is>
          <t>Manual de Operaciones</t>
        </is>
      </c>
    </row>
    <row r="845">
      <c r="A845" s="96"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c r="Y845" s="107" t="inlineStr">
        <is>
          <t>Planificado</t>
        </is>
      </c>
      <c r="Z845" s="107" t="inlineStr">
        <is>
          <t>[PR] Prevención</t>
        </is>
      </c>
      <c r="AA845" s="107" t="inlineStr">
        <is>
          <t>L4: Gestionado</t>
        </is>
      </c>
      <c r="AB845" s="107" t="inlineStr">
        <is>
          <t>T2: Fuga de información</t>
        </is>
      </c>
      <c r="AC845" s="107" t="inlineStr">
        <is>
          <t>Manual de Operaciones</t>
        </is>
      </c>
    </row>
    <row r="846">
      <c r="A846" s="96"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c r="Y846" s="107" t="inlineStr">
        <is>
          <t>Implementado</t>
        </is>
      </c>
      <c r="Z846" s="107" t="inlineStr">
        <is>
          <t>[PR] Prevención</t>
        </is>
      </c>
      <c r="AA846" s="107" t="inlineStr">
        <is>
          <t>L2: Reproducible</t>
        </is>
      </c>
      <c r="AB846" s="107" t="inlineStr">
        <is>
          <t>T2: Fuga de información</t>
        </is>
      </c>
      <c r="AC846" s="107" t="inlineStr">
        <is>
          <t>Manual de Operaciones</t>
        </is>
      </c>
    </row>
    <row r="847">
      <c r="A847" s="96"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c r="Y847" s="107" t="inlineStr">
        <is>
          <t>No Implementado</t>
        </is>
      </c>
      <c r="Z847" s="107" t="inlineStr">
        <is>
          <t>[PR] Prevención</t>
        </is>
      </c>
      <c r="AA847" s="107" t="inlineStr">
        <is>
          <t>L3: Proceso Definido</t>
        </is>
      </c>
      <c r="AB847" s="107" t="inlineStr">
        <is>
          <t>T2: Fuga de información</t>
        </is>
      </c>
      <c r="AC847" s="107" t="inlineStr">
        <is>
          <t>Manual de Operaciones</t>
        </is>
      </c>
    </row>
    <row r="848">
      <c r="A848" s="96"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c r="Y848" s="107" t="inlineStr">
        <is>
          <t>No Implementado</t>
        </is>
      </c>
      <c r="Z848" s="107" t="inlineStr">
        <is>
          <t>[PR] Prevención</t>
        </is>
      </c>
      <c r="AA848" s="107" t="inlineStr">
        <is>
          <t>L4: Gestionado</t>
        </is>
      </c>
      <c r="AB848" s="107" t="inlineStr">
        <is>
          <t>T2: Fuga de información</t>
        </is>
      </c>
      <c r="AC848" s="107" t="inlineStr">
        <is>
          <t>Manual de Operaciones</t>
        </is>
      </c>
    </row>
    <row r="849">
      <c r="A849" s="96"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c r="Y849" s="107" t="inlineStr">
        <is>
          <t>En Proceso</t>
        </is>
      </c>
      <c r="Z849" s="107" t="inlineStr">
        <is>
          <t>[PR] Prevención</t>
        </is>
      </c>
      <c r="AA849" s="107" t="inlineStr">
        <is>
          <t>L4: Gestionado</t>
        </is>
      </c>
      <c r="AB849" s="107" t="inlineStr">
        <is>
          <t>T2: Fuga de información</t>
        </is>
      </c>
      <c r="AC849" s="107" t="inlineStr">
        <is>
          <t>Manual de Operaciones</t>
        </is>
      </c>
    </row>
    <row r="850">
      <c r="A850" s="96"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c r="Y850" s="107" t="inlineStr">
        <is>
          <t>Implementado</t>
        </is>
      </c>
      <c r="Z850" s="107" t="inlineStr">
        <is>
          <t>[PR] Prevención</t>
        </is>
      </c>
      <c r="AA850" s="107" t="inlineStr">
        <is>
          <t>L3: Proceso Definido</t>
        </is>
      </c>
      <c r="AB850" s="107" t="inlineStr">
        <is>
          <t>T2: Fuga de información</t>
        </is>
      </c>
      <c r="AC850" s="107" t="inlineStr">
        <is>
          <t>Manual de Operaciones</t>
        </is>
      </c>
    </row>
    <row r="851">
      <c r="A851" s="96"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c r="Y851" s="107" t="inlineStr">
        <is>
          <t>Implementado</t>
        </is>
      </c>
      <c r="Z851" s="107" t="inlineStr">
        <is>
          <t>[PR] Prevención</t>
        </is>
      </c>
      <c r="AA851" s="107" t="inlineStr">
        <is>
          <t>L3: Proceso Definido</t>
        </is>
      </c>
      <c r="AB851" s="107" t="inlineStr">
        <is>
          <t>T2: Fuga de información</t>
        </is>
      </c>
      <c r="AC851" s="107" t="inlineStr">
        <is>
          <t>Manual de Operaciones</t>
        </is>
      </c>
    </row>
    <row r="852">
      <c r="A852" s="96"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c r="Y852" s="107" t="inlineStr">
        <is>
          <t>Implementado</t>
        </is>
      </c>
      <c r="Z852" s="107" t="inlineStr">
        <is>
          <t>[PR] Prevención</t>
        </is>
      </c>
      <c r="AA852" s="107" t="inlineStr">
        <is>
          <t>L2: Reproducible</t>
        </is>
      </c>
      <c r="AB852" s="107" t="inlineStr">
        <is>
          <t>T2: Fuga de información</t>
        </is>
      </c>
      <c r="AC852" s="107" t="inlineStr">
        <is>
          <t>Manual de Operaciones</t>
        </is>
      </c>
    </row>
    <row r="853">
      <c r="A853" s="96"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c r="Y853" s="107" t="inlineStr">
        <is>
          <t>Implementado</t>
        </is>
      </c>
      <c r="Z853" s="107" t="inlineStr">
        <is>
          <t>[PR] Prevención</t>
        </is>
      </c>
      <c r="AA853" s="107" t="inlineStr">
        <is>
          <t>L4: Gestionado</t>
        </is>
      </c>
      <c r="AB853" s="107" t="inlineStr">
        <is>
          <t>T2: Fuga de información</t>
        </is>
      </c>
      <c r="AC853" s="107" t="inlineStr">
        <is>
          <t>Manual de Operaciones</t>
        </is>
      </c>
    </row>
    <row r="854">
      <c r="A854" s="96"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c r="Y854" s="107" t="inlineStr">
        <is>
          <t>Planificado</t>
        </is>
      </c>
      <c r="Z854" s="107" t="inlineStr">
        <is>
          <t>[PR] Prevención</t>
        </is>
      </c>
      <c r="AA854" s="107" t="inlineStr">
        <is>
          <t>L5: Optimizado</t>
        </is>
      </c>
      <c r="AB854" s="107" t="inlineStr">
        <is>
          <t>T2: Fuga de información</t>
        </is>
      </c>
      <c r="AC854" s="107" t="inlineStr">
        <is>
          <t>Manual de Operaciones</t>
        </is>
      </c>
    </row>
    <row r="855">
      <c r="A855" s="96"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c r="Y855" s="107" t="inlineStr">
        <is>
          <t>Implementado</t>
        </is>
      </c>
      <c r="Z855" s="107" t="inlineStr">
        <is>
          <t>[PR] Prevención</t>
        </is>
      </c>
      <c r="AA855" s="107" t="inlineStr">
        <is>
          <t>L4: Gestionado</t>
        </is>
      </c>
      <c r="AB855" s="107" t="inlineStr">
        <is>
          <t>T2: Fuga de información</t>
        </is>
      </c>
      <c r="AC855" s="107" t="inlineStr">
        <is>
          <t>Manual de Operaciones</t>
        </is>
      </c>
    </row>
    <row r="856">
      <c r="A856" s="96"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c r="Y856" s="107" t="inlineStr">
        <is>
          <t>Implementado</t>
        </is>
      </c>
      <c r="Z856" s="107" t="inlineStr">
        <is>
          <t>[PR] Prevención</t>
        </is>
      </c>
      <c r="AA856" s="107" t="inlineStr">
        <is>
          <t>L4: Gestionado</t>
        </is>
      </c>
      <c r="AB856" s="107" t="inlineStr">
        <is>
          <t>T2: Fuga de información</t>
        </is>
      </c>
      <c r="AC856" s="107" t="inlineStr">
        <is>
          <t>Manual de Operaciones</t>
        </is>
      </c>
    </row>
    <row r="857">
      <c r="A857" s="96"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c r="Y857" s="107" t="inlineStr">
        <is>
          <t>Implementado</t>
        </is>
      </c>
      <c r="Z857" s="107" t="inlineStr">
        <is>
          <t>[PR] Prevención</t>
        </is>
      </c>
      <c r="AA857" s="107" t="inlineStr">
        <is>
          <t>L3: Proceso Definido</t>
        </is>
      </c>
      <c r="AB857" s="107" t="inlineStr">
        <is>
          <t>T2: Fuga de información</t>
        </is>
      </c>
      <c r="AC857" s="107" t="inlineStr">
        <is>
          <t>Manual de Operaciones</t>
        </is>
      </c>
    </row>
    <row r="858">
      <c r="A858" s="96"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c r="Y858" s="107" t="inlineStr">
        <is>
          <t>Implementado</t>
        </is>
      </c>
      <c r="Z858" s="107" t="inlineStr">
        <is>
          <t>[PR] Prevención</t>
        </is>
      </c>
      <c r="AA858" s="107" t="inlineStr">
        <is>
          <t>L2: Reproducible</t>
        </is>
      </c>
      <c r="AB858" s="107" t="inlineStr">
        <is>
          <t>T2: Fuga de información</t>
        </is>
      </c>
      <c r="AC858" s="107" t="inlineStr">
        <is>
          <t>Manual de Operaciones</t>
        </is>
      </c>
    </row>
    <row r="859">
      <c r="A859" s="96"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c r="Y859" s="107" t="inlineStr">
        <is>
          <t>Implementado</t>
        </is>
      </c>
      <c r="Z859" s="107" t="inlineStr">
        <is>
          <t>[PR] Prevención</t>
        </is>
      </c>
      <c r="AA859" s="107" t="inlineStr">
        <is>
          <t>L4: Gestionado</t>
        </is>
      </c>
      <c r="AB859" s="107" t="inlineStr">
        <is>
          <t>T2: Fuga de información</t>
        </is>
      </c>
      <c r="AC859" s="107" t="inlineStr">
        <is>
          <t>Manual de Operaciones</t>
        </is>
      </c>
    </row>
    <row r="860">
      <c r="A860" s="96"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c r="Y860" s="107" t="inlineStr">
        <is>
          <t>Planificado</t>
        </is>
      </c>
      <c r="Z860" s="107" t="inlineStr">
        <is>
          <t>[PR] Prevención</t>
        </is>
      </c>
      <c r="AA860" s="107" t="inlineStr">
        <is>
          <t>L3: Proceso Definido</t>
        </is>
      </c>
      <c r="AB860" s="107" t="inlineStr">
        <is>
          <t>T2: Fuga de información</t>
        </is>
      </c>
      <c r="AC860" s="107" t="inlineStr">
        <is>
          <t>Manual de Operaciones</t>
        </is>
      </c>
    </row>
    <row r="861">
      <c r="A861" s="96"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c r="Y861" s="107" t="inlineStr">
        <is>
          <t>En Proceso</t>
        </is>
      </c>
      <c r="Z861" s="107" t="inlineStr">
        <is>
          <t>[PR] Prevención</t>
        </is>
      </c>
      <c r="AA861" s="107" t="inlineStr">
        <is>
          <t>L5: Optimizado</t>
        </is>
      </c>
      <c r="AB861" s="107" t="inlineStr">
        <is>
          <t>T2: Fuga de información</t>
        </is>
      </c>
      <c r="AC861" s="107" t="inlineStr">
        <is>
          <t>Manual de Operaciones</t>
        </is>
      </c>
    </row>
    <row r="862">
      <c r="A862" s="96"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c r="Y862" s="107" t="inlineStr">
        <is>
          <t>Implementado</t>
        </is>
      </c>
      <c r="Z862" s="107" t="inlineStr">
        <is>
          <t>[PR] Prevención</t>
        </is>
      </c>
      <c r="AA862" s="107" t="inlineStr">
        <is>
          <t>L5: Optimizado</t>
        </is>
      </c>
      <c r="AB862" s="107" t="inlineStr">
        <is>
          <t>T2: Fuga de información</t>
        </is>
      </c>
      <c r="AC862" s="107" t="inlineStr">
        <is>
          <t>Manual de Operaciones</t>
        </is>
      </c>
    </row>
    <row r="863">
      <c r="A863" s="96"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c r="Y863" s="107" t="inlineStr">
        <is>
          <t>No Implementado</t>
        </is>
      </c>
      <c r="Z863" s="107" t="inlineStr">
        <is>
          <t>[PR] Prevención</t>
        </is>
      </c>
      <c r="AA863" s="107" t="inlineStr">
        <is>
          <t>L5: Optimizado</t>
        </is>
      </c>
      <c r="AB863" s="107" t="inlineStr">
        <is>
          <t>T2: Fuga de información</t>
        </is>
      </c>
      <c r="AC863" s="107" t="inlineStr">
        <is>
          <t>Manual de Operaciones</t>
        </is>
      </c>
    </row>
    <row r="864">
      <c r="A864" s="96"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c r="Y864" s="107" t="inlineStr">
        <is>
          <t>Implementado</t>
        </is>
      </c>
      <c r="Z864" s="107" t="inlineStr">
        <is>
          <t>[PR] Prevención</t>
        </is>
      </c>
      <c r="AA864" s="107" t="inlineStr">
        <is>
          <t>L4: Gestionado</t>
        </is>
      </c>
      <c r="AB864" s="107" t="inlineStr">
        <is>
          <t>T2: Fuga de información</t>
        </is>
      </c>
      <c r="AC864" s="107" t="inlineStr">
        <is>
          <t>Manual de Operaciones</t>
        </is>
      </c>
    </row>
    <row r="865">
      <c r="A865" s="96"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c r="Y865" s="107" t="inlineStr">
        <is>
          <t>Implementado</t>
        </is>
      </c>
      <c r="Z865" s="107" t="inlineStr">
        <is>
          <t>[PR] Prevención</t>
        </is>
      </c>
      <c r="AA865" s="107" t="inlineStr">
        <is>
          <t>L5: Optimizado</t>
        </is>
      </c>
      <c r="AB865" s="107" t="inlineStr">
        <is>
          <t>T2: Fuga de información</t>
        </is>
      </c>
      <c r="AC865" s="107" t="inlineStr">
        <is>
          <t>Manual de Operaciones</t>
        </is>
      </c>
    </row>
    <row r="866">
      <c r="A866" s="96"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c r="Y866" s="107" t="inlineStr">
        <is>
          <t>Implementado</t>
        </is>
      </c>
      <c r="Z866" s="107" t="inlineStr">
        <is>
          <t>[PR] Prevención</t>
        </is>
      </c>
      <c r="AA866" s="107" t="inlineStr">
        <is>
          <t>L3: Proceso Definido</t>
        </is>
      </c>
      <c r="AB866" s="107" t="inlineStr">
        <is>
          <t>T2: Fuga de información</t>
        </is>
      </c>
      <c r="AC866" s="107" t="inlineStr">
        <is>
          <t>Manual de Operaciones</t>
        </is>
      </c>
    </row>
    <row r="867">
      <c r="A867" s="96"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c r="Y867" s="107" t="inlineStr">
        <is>
          <t>Implementado</t>
        </is>
      </c>
      <c r="Z867" s="107" t="inlineStr">
        <is>
          <t>[PR] Prevención</t>
        </is>
      </c>
      <c r="AA867" s="107" t="inlineStr">
        <is>
          <t>L5: Optimizado</t>
        </is>
      </c>
      <c r="AB867" s="107" t="inlineStr">
        <is>
          <t>T2: Fuga de información</t>
        </is>
      </c>
      <c r="AC867" s="107" t="inlineStr">
        <is>
          <t>Manual de Operaciones</t>
        </is>
      </c>
    </row>
    <row r="868">
      <c r="A868" s="96"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c r="Y868" s="107" t="inlineStr">
        <is>
          <t>Implementado</t>
        </is>
      </c>
      <c r="Z868" s="107" t="inlineStr">
        <is>
          <t>[PR] Prevención</t>
        </is>
      </c>
      <c r="AA868" s="107" t="inlineStr">
        <is>
          <t>L2: Reproducible</t>
        </is>
      </c>
      <c r="AB868" s="107" t="inlineStr">
        <is>
          <t>T2: Fuga de información</t>
        </is>
      </c>
      <c r="AC868" s="107" t="inlineStr">
        <is>
          <t>Manual de Operaciones</t>
        </is>
      </c>
    </row>
    <row r="869">
      <c r="A869" s="96"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c r="Y869" s="107" t="inlineStr">
        <is>
          <t>Implementado</t>
        </is>
      </c>
      <c r="Z869" s="107" t="inlineStr">
        <is>
          <t>[PR] Prevención</t>
        </is>
      </c>
      <c r="AA869" s="107" t="inlineStr">
        <is>
          <t>L5: Optimizado</t>
        </is>
      </c>
      <c r="AB869" s="107" t="inlineStr">
        <is>
          <t>T2: Fuga de información</t>
        </is>
      </c>
      <c r="AC869" s="107" t="inlineStr">
        <is>
          <t>Manual de Operaciones</t>
        </is>
      </c>
    </row>
    <row r="870">
      <c r="A870" s="96"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c r="Y870" s="107" t="inlineStr">
        <is>
          <t>Implementado</t>
        </is>
      </c>
      <c r="Z870" s="107" t="inlineStr">
        <is>
          <t>[PR] Prevención</t>
        </is>
      </c>
      <c r="AA870" s="107" t="inlineStr">
        <is>
          <t>L4: Gestionado</t>
        </is>
      </c>
      <c r="AB870" s="107" t="inlineStr">
        <is>
          <t>T2: Fuga de información</t>
        </is>
      </c>
      <c r="AC870" s="107" t="inlineStr">
        <is>
          <t>Manual de Operaciones</t>
        </is>
      </c>
    </row>
    <row r="871">
      <c r="A871" s="96"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c r="Y871" s="107" t="inlineStr">
        <is>
          <t>Implementado</t>
        </is>
      </c>
      <c r="Z871" s="107" t="inlineStr">
        <is>
          <t>[PR] Prevención</t>
        </is>
      </c>
      <c r="AA871" s="107" t="inlineStr">
        <is>
          <t>L2: Reproducible</t>
        </is>
      </c>
      <c r="AB871" s="107" t="inlineStr">
        <is>
          <t>T2: Fuga de información</t>
        </is>
      </c>
      <c r="AC871" s="107" t="inlineStr">
        <is>
          <t>Manual de Operaciones</t>
        </is>
      </c>
    </row>
    <row r="872">
      <c r="A872" s="96"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c r="Y872" s="107" t="inlineStr">
        <is>
          <t>Implementado</t>
        </is>
      </c>
      <c r="Z872" s="107" t="inlineStr">
        <is>
          <t>[PR] Prevención</t>
        </is>
      </c>
      <c r="AA872" s="107" t="inlineStr">
        <is>
          <t>L4: Gestionado</t>
        </is>
      </c>
      <c r="AB872" s="107" t="inlineStr">
        <is>
          <t>T2: Fuga de información</t>
        </is>
      </c>
      <c r="AC872" s="107" t="inlineStr">
        <is>
          <t>Manual de Operaciones</t>
        </is>
      </c>
    </row>
    <row r="873">
      <c r="A873" s="96"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c r="Y873" s="107" t="inlineStr">
        <is>
          <t>No Implementado</t>
        </is>
      </c>
      <c r="Z873" s="107" t="inlineStr">
        <is>
          <t>[PR] Prevención</t>
        </is>
      </c>
      <c r="AA873" s="107" t="inlineStr">
        <is>
          <t>L3: Proceso Definido</t>
        </is>
      </c>
      <c r="AB873" s="107" t="inlineStr">
        <is>
          <t>T2: Fuga de información</t>
        </is>
      </c>
      <c r="AC873" s="107" t="inlineStr">
        <is>
          <t>Manual de Operaciones</t>
        </is>
      </c>
    </row>
    <row r="874">
      <c r="A874" s="96"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c r="Y874" s="107" t="inlineStr">
        <is>
          <t>Planificado</t>
        </is>
      </c>
      <c r="Z874" s="107" t="inlineStr">
        <is>
          <t>[PR] Prevención</t>
        </is>
      </c>
      <c r="AA874" s="107" t="inlineStr">
        <is>
          <t>L2: Reproducible</t>
        </is>
      </c>
      <c r="AB874" s="107" t="inlineStr">
        <is>
          <t>T2: Fuga de información</t>
        </is>
      </c>
      <c r="AC874" s="107" t="inlineStr">
        <is>
          <t>Manual de Operaciones</t>
        </is>
      </c>
    </row>
    <row r="875">
      <c r="A875" s="96"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c r="Y875" s="107" t="inlineStr">
        <is>
          <t>Implementado</t>
        </is>
      </c>
      <c r="Z875" s="107" t="inlineStr">
        <is>
          <t>[PR] Prevención</t>
        </is>
      </c>
      <c r="AA875" s="107" t="inlineStr">
        <is>
          <t>L4: Gestionado</t>
        </is>
      </c>
      <c r="AB875" s="107" t="inlineStr">
        <is>
          <t>T2: Fuga de información</t>
        </is>
      </c>
      <c r="AC875" s="107" t="inlineStr">
        <is>
          <t>Manual de Operaciones</t>
        </is>
      </c>
    </row>
    <row r="876">
      <c r="A876" s="96"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c r="Y876" s="107" t="inlineStr">
        <is>
          <t>No Implementado</t>
        </is>
      </c>
      <c r="Z876" s="107" t="inlineStr">
        <is>
          <t>[PR] Prevención</t>
        </is>
      </c>
      <c r="AA876" s="107" t="inlineStr">
        <is>
          <t>L2: Reproducible</t>
        </is>
      </c>
      <c r="AB876" s="107" t="inlineStr">
        <is>
          <t>T2: Fuga de información</t>
        </is>
      </c>
      <c r="AC876" s="107" t="inlineStr">
        <is>
          <t>Manual de Operaciones</t>
        </is>
      </c>
    </row>
    <row r="877">
      <c r="A877" s="96"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c r="Y877" s="107" t="inlineStr">
        <is>
          <t>Implementado</t>
        </is>
      </c>
      <c r="Z877" s="107" t="inlineStr">
        <is>
          <t>[PR] Prevención</t>
        </is>
      </c>
      <c r="AA877" s="107" t="inlineStr">
        <is>
          <t>L3: Proceso Definido</t>
        </is>
      </c>
      <c r="AB877" s="107" t="inlineStr">
        <is>
          <t>T2: Fuga de información</t>
        </is>
      </c>
      <c r="AC877" s="107" t="inlineStr">
        <is>
          <t>Manual de Operaciones</t>
        </is>
      </c>
    </row>
    <row r="878">
      <c r="A878" s="96"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c r="Y878" s="107" t="inlineStr">
        <is>
          <t>Planificado</t>
        </is>
      </c>
      <c r="Z878" s="107" t="inlineStr">
        <is>
          <t>[PR] Prevención</t>
        </is>
      </c>
      <c r="AA878" s="107" t="inlineStr">
        <is>
          <t>L3: Proceso Definido</t>
        </is>
      </c>
      <c r="AB878" s="107" t="inlineStr">
        <is>
          <t>T2: Fuga de información</t>
        </is>
      </c>
      <c r="AC878" s="107" t="inlineStr">
        <is>
          <t>Manual de Operaciones</t>
        </is>
      </c>
    </row>
    <row r="879">
      <c r="A879" s="96"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c r="Y879" s="107" t="inlineStr">
        <is>
          <t>Planificado</t>
        </is>
      </c>
      <c r="Z879" s="107" t="inlineStr">
        <is>
          <t>[PR] Prevención</t>
        </is>
      </c>
      <c r="AA879" s="107" t="inlineStr">
        <is>
          <t>L3: Proceso Definido</t>
        </is>
      </c>
      <c r="AB879" s="107" t="inlineStr">
        <is>
          <t>T2: Fuga de información</t>
        </is>
      </c>
      <c r="AC879" s="107" t="inlineStr">
        <is>
          <t>Manual de Operaciones</t>
        </is>
      </c>
    </row>
    <row r="880">
      <c r="A880" s="96"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c r="Y880" s="107" t="inlineStr">
        <is>
          <t>Implementado</t>
        </is>
      </c>
      <c r="Z880" s="107" t="inlineStr">
        <is>
          <t>[PR] Prevención</t>
        </is>
      </c>
      <c r="AA880" s="107" t="inlineStr">
        <is>
          <t>L2: Reproducible</t>
        </is>
      </c>
      <c r="AB880" s="107" t="inlineStr">
        <is>
          <t>T2: Fuga de información</t>
        </is>
      </c>
      <c r="AC880" s="107" t="inlineStr">
        <is>
          <t>Manual de Operaciones</t>
        </is>
      </c>
    </row>
    <row r="881">
      <c r="A881" s="96"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c r="Y881" s="107" t="inlineStr">
        <is>
          <t>Implementado</t>
        </is>
      </c>
      <c r="Z881" s="107" t="inlineStr">
        <is>
          <t>[PR] Prevención</t>
        </is>
      </c>
      <c r="AA881" s="107" t="inlineStr">
        <is>
          <t>L4: Gestionado</t>
        </is>
      </c>
      <c r="AB881" s="107" t="inlineStr">
        <is>
          <t>T2: Fuga de información</t>
        </is>
      </c>
      <c r="AC881" s="107" t="inlineStr">
        <is>
          <t>Manual de Operaciones</t>
        </is>
      </c>
    </row>
    <row r="882">
      <c r="A882" s="96"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c r="Y882" s="107" t="inlineStr">
        <is>
          <t>Implementado</t>
        </is>
      </c>
      <c r="Z882" s="107" t="inlineStr">
        <is>
          <t>[PR] Prevención</t>
        </is>
      </c>
      <c r="AA882" s="107" t="inlineStr">
        <is>
          <t>L2: Reproducible</t>
        </is>
      </c>
      <c r="AB882" s="107" t="inlineStr">
        <is>
          <t>T2: Fuga de información</t>
        </is>
      </c>
      <c r="AC882" s="107" t="inlineStr">
        <is>
          <t>Manual de Operaciones</t>
        </is>
      </c>
    </row>
    <row r="883">
      <c r="A883" s="96"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c r="Y883" s="107" t="inlineStr">
        <is>
          <t>Planificado</t>
        </is>
      </c>
      <c r="Z883" s="107" t="inlineStr">
        <is>
          <t>[PR] Prevención</t>
        </is>
      </c>
      <c r="AA883" s="107" t="inlineStr">
        <is>
          <t>L4: Gestionado</t>
        </is>
      </c>
      <c r="AB883" s="107" t="inlineStr">
        <is>
          <t>T2: Fuga de información</t>
        </is>
      </c>
      <c r="AC883" s="107" t="inlineStr">
        <is>
          <t>Manual de Operaciones</t>
        </is>
      </c>
    </row>
    <row r="884">
      <c r="A884" s="96"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c r="Y884" s="107" t="inlineStr">
        <is>
          <t>Implementado</t>
        </is>
      </c>
      <c r="Z884" s="107" t="inlineStr">
        <is>
          <t>[PR] Prevención</t>
        </is>
      </c>
      <c r="AA884" s="107" t="inlineStr">
        <is>
          <t>L2: Reproducible</t>
        </is>
      </c>
      <c r="AB884" s="107" t="inlineStr">
        <is>
          <t>T2: Fuga de información</t>
        </is>
      </c>
      <c r="AC884" s="107" t="inlineStr">
        <is>
          <t>Manual de Operaciones</t>
        </is>
      </c>
    </row>
    <row r="885">
      <c r="A885" s="96"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c r="Y885" s="107" t="inlineStr">
        <is>
          <t>Implementado</t>
        </is>
      </c>
      <c r="Z885" s="107" t="inlineStr">
        <is>
          <t>[PR] Prevención</t>
        </is>
      </c>
      <c r="AA885" s="107" t="inlineStr">
        <is>
          <t>L3: Proceso Definido</t>
        </is>
      </c>
      <c r="AB885" s="107" t="inlineStr">
        <is>
          <t>T2: Fuga de información</t>
        </is>
      </c>
      <c r="AC885" s="107" t="inlineStr">
        <is>
          <t>Manual de Operaciones</t>
        </is>
      </c>
    </row>
    <row r="886">
      <c r="A886" s="96"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c r="Y886" s="107" t="inlineStr">
        <is>
          <t>Implementado</t>
        </is>
      </c>
      <c r="Z886" s="107" t="inlineStr">
        <is>
          <t>[PR] Prevención</t>
        </is>
      </c>
      <c r="AA886" s="107" t="inlineStr">
        <is>
          <t>L2: Reproducible</t>
        </is>
      </c>
      <c r="AB886" s="107" t="inlineStr">
        <is>
          <t>T2: Fuga de información</t>
        </is>
      </c>
      <c r="AC886" s="107" t="inlineStr">
        <is>
          <t>Manual de Operaciones</t>
        </is>
      </c>
    </row>
    <row r="887">
      <c r="A887" s="96"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c r="Y887" s="107" t="inlineStr">
        <is>
          <t>Planificado</t>
        </is>
      </c>
      <c r="Z887" s="107" t="inlineStr">
        <is>
          <t>[PR] Prevención</t>
        </is>
      </c>
      <c r="AA887" s="107" t="inlineStr">
        <is>
          <t>L4: Gestionado</t>
        </is>
      </c>
      <c r="AB887" s="107" t="inlineStr">
        <is>
          <t>T2: Fuga de información</t>
        </is>
      </c>
      <c r="AC887" s="107" t="inlineStr">
        <is>
          <t>Manual de Operaciones</t>
        </is>
      </c>
    </row>
    <row r="888">
      <c r="A888" s="96"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c r="Y888" s="107" t="inlineStr">
        <is>
          <t>Planificado</t>
        </is>
      </c>
      <c r="Z888" s="107" t="inlineStr">
        <is>
          <t>[PR] Prevención</t>
        </is>
      </c>
      <c r="AA888" s="107" t="inlineStr">
        <is>
          <t>L3: Proceso Definido</t>
        </is>
      </c>
      <c r="AB888" s="107" t="inlineStr">
        <is>
          <t>T2: Fuga de información</t>
        </is>
      </c>
      <c r="AC888" s="107" t="inlineStr">
        <is>
          <t>Manual de Operaciones</t>
        </is>
      </c>
    </row>
    <row r="889">
      <c r="A889" s="96"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c r="Y889" s="107" t="inlineStr">
        <is>
          <t>No Implementado</t>
        </is>
      </c>
      <c r="Z889" s="107" t="inlineStr">
        <is>
          <t>[PR] Prevención</t>
        </is>
      </c>
      <c r="AA889" s="107" t="inlineStr">
        <is>
          <t>L4: Gestionado</t>
        </is>
      </c>
      <c r="AB889" s="107" t="inlineStr">
        <is>
          <t>T2: Fuga de información</t>
        </is>
      </c>
      <c r="AC889" s="107" t="inlineStr">
        <is>
          <t>Manual de Operaciones</t>
        </is>
      </c>
    </row>
    <row r="890">
      <c r="A890" s="96"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c r="Y890" s="107" t="inlineStr">
        <is>
          <t>Planificado</t>
        </is>
      </c>
      <c r="Z890" s="107" t="inlineStr">
        <is>
          <t>[PR] Prevención</t>
        </is>
      </c>
      <c r="AA890" s="107" t="inlineStr">
        <is>
          <t>L2: Reproducible</t>
        </is>
      </c>
      <c r="AB890" s="107" t="inlineStr">
        <is>
          <t>T2: Fuga de información</t>
        </is>
      </c>
      <c r="AC890" s="107" t="inlineStr">
        <is>
          <t>Manual de Operaciones</t>
        </is>
      </c>
    </row>
    <row r="891">
      <c r="A891" s="96"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c r="Y891" s="107" t="inlineStr">
        <is>
          <t>Implementado</t>
        </is>
      </c>
      <c r="Z891" s="107" t="inlineStr">
        <is>
          <t>[PR] Prevención</t>
        </is>
      </c>
      <c r="AA891" s="107" t="inlineStr">
        <is>
          <t>L2: Reproducible</t>
        </is>
      </c>
      <c r="AB891" s="107" t="inlineStr">
        <is>
          <t>T2: Fuga de información</t>
        </is>
      </c>
      <c r="AC891" s="107" t="inlineStr">
        <is>
          <t>Manual de Operaciones</t>
        </is>
      </c>
    </row>
    <row r="892">
      <c r="A892" s="96"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c r="Y892" s="107" t="inlineStr">
        <is>
          <t>Implementado</t>
        </is>
      </c>
      <c r="Z892" s="107" t="inlineStr">
        <is>
          <t>[PR] Prevención</t>
        </is>
      </c>
      <c r="AA892" s="107" t="inlineStr">
        <is>
          <t>L2: Reproducible</t>
        </is>
      </c>
      <c r="AB892" s="107" t="inlineStr">
        <is>
          <t>T2: Fuga de información</t>
        </is>
      </c>
      <c r="AC892" s="107" t="inlineStr">
        <is>
          <t>Manual de Operaciones</t>
        </is>
      </c>
    </row>
    <row r="893">
      <c r="A893" s="96"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c r="Y893" s="107" t="inlineStr">
        <is>
          <t>Implementado</t>
        </is>
      </c>
      <c r="Z893" s="107" t="inlineStr">
        <is>
          <t>[PR] Prevención</t>
        </is>
      </c>
      <c r="AA893" s="107" t="inlineStr">
        <is>
          <t>L3: Proceso Definido</t>
        </is>
      </c>
      <c r="AB893" s="107" t="inlineStr">
        <is>
          <t>T2: Fuga de información</t>
        </is>
      </c>
      <c r="AC893" s="107" t="inlineStr">
        <is>
          <t>Manual de Operaciones</t>
        </is>
      </c>
    </row>
    <row r="894">
      <c r="A894" s="96"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c r="Y894" s="107" t="inlineStr">
        <is>
          <t>No Implementado</t>
        </is>
      </c>
      <c r="Z894" s="107" t="inlineStr">
        <is>
          <t>[PR] Prevención</t>
        </is>
      </c>
      <c r="AA894" s="107" t="inlineStr">
        <is>
          <t>L3: Proceso Definido</t>
        </is>
      </c>
      <c r="AB894" s="107" t="inlineStr">
        <is>
          <t>T2: Fuga de información</t>
        </is>
      </c>
      <c r="AC894" s="107" t="inlineStr">
        <is>
          <t>Manual de Operaciones</t>
        </is>
      </c>
    </row>
    <row r="895">
      <c r="A895" s="96"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c r="Y895" s="107" t="inlineStr">
        <is>
          <t>Implementado</t>
        </is>
      </c>
      <c r="Z895" s="107" t="inlineStr">
        <is>
          <t>[PR] Prevención</t>
        </is>
      </c>
      <c r="AA895" s="107" t="inlineStr">
        <is>
          <t>L2: Reproducible</t>
        </is>
      </c>
      <c r="AB895" s="107" t="inlineStr">
        <is>
          <t>T2: Fuga de información</t>
        </is>
      </c>
      <c r="AC895" s="107" t="inlineStr">
        <is>
          <t>Manual de Operaciones</t>
        </is>
      </c>
    </row>
    <row r="896">
      <c r="A896" s="96"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c r="Y896" s="107" t="inlineStr">
        <is>
          <t>Implementado</t>
        </is>
      </c>
      <c r="Z896" s="107" t="inlineStr">
        <is>
          <t>[PR] Prevención</t>
        </is>
      </c>
      <c r="AA896" s="107" t="inlineStr">
        <is>
          <t>L2: Reproducible</t>
        </is>
      </c>
      <c r="AB896" s="107" t="inlineStr">
        <is>
          <t>T2: Fuga de información</t>
        </is>
      </c>
      <c r="AC896" s="107" t="inlineStr">
        <is>
          <t>Manual de Operaciones</t>
        </is>
      </c>
    </row>
    <row r="897">
      <c r="A897" s="96"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c r="Y897" s="107" t="inlineStr">
        <is>
          <t>Implementado</t>
        </is>
      </c>
      <c r="Z897" s="107" t="inlineStr">
        <is>
          <t>[PR] Prevención</t>
        </is>
      </c>
      <c r="AA897" s="107" t="inlineStr">
        <is>
          <t>L2: Reproducible</t>
        </is>
      </c>
      <c r="AB897" s="107" t="inlineStr">
        <is>
          <t>T2: Fuga de información</t>
        </is>
      </c>
      <c r="AC897" s="107" t="inlineStr">
        <is>
          <t>Manual de Operaciones</t>
        </is>
      </c>
    </row>
    <row r="898">
      <c r="A898" s="96"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c r="Y898" s="107" t="inlineStr">
        <is>
          <t>Implementado</t>
        </is>
      </c>
      <c r="Z898" s="107" t="inlineStr">
        <is>
          <t>[PR] Prevención</t>
        </is>
      </c>
      <c r="AA898" s="107" t="inlineStr">
        <is>
          <t>L3: Proceso Definido</t>
        </is>
      </c>
      <c r="AB898" s="107" t="inlineStr">
        <is>
          <t>T2: Fuga de información</t>
        </is>
      </c>
      <c r="AC898" s="107" t="inlineStr">
        <is>
          <t>Manual de Operaciones</t>
        </is>
      </c>
    </row>
    <row r="899">
      <c r="A899" s="96"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c r="Y899" s="107" t="inlineStr">
        <is>
          <t>En Proceso</t>
        </is>
      </c>
      <c r="Z899" s="107" t="inlineStr">
        <is>
          <t>[PR] Prevención</t>
        </is>
      </c>
      <c r="AA899" s="107" t="inlineStr">
        <is>
          <t>L5: Optimizado</t>
        </is>
      </c>
      <c r="AB899" s="107" t="inlineStr">
        <is>
          <t>T2: Fuga de información</t>
        </is>
      </c>
      <c r="AC899" s="107" t="inlineStr">
        <is>
          <t>Manual de Operaciones</t>
        </is>
      </c>
    </row>
    <row r="900">
      <c r="A900" s="96"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c r="Y900" s="107" t="inlineStr">
        <is>
          <t>En Proceso</t>
        </is>
      </c>
      <c r="Z900" s="107" t="inlineStr">
        <is>
          <t>[PR] Prevención</t>
        </is>
      </c>
      <c r="AA900" s="107" t="inlineStr">
        <is>
          <t>L5: Optimizado</t>
        </is>
      </c>
      <c r="AB900" s="107" t="inlineStr">
        <is>
          <t>T2: Fuga de información</t>
        </is>
      </c>
      <c r="AC900" s="107" t="inlineStr">
        <is>
          <t>Manual de Operaciones</t>
        </is>
      </c>
    </row>
    <row r="901">
      <c r="A901" s="96"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c r="Y901" s="107" t="inlineStr">
        <is>
          <t>Implementado</t>
        </is>
      </c>
      <c r="Z901" s="107" t="inlineStr">
        <is>
          <t>[PR] Prevención</t>
        </is>
      </c>
      <c r="AA901" s="107" t="inlineStr">
        <is>
          <t>L4: Gestionado</t>
        </is>
      </c>
      <c r="AB901" s="107" t="inlineStr">
        <is>
          <t>T2: Fuga de información</t>
        </is>
      </c>
      <c r="AC901" s="107" t="inlineStr">
        <is>
          <t>Manual de Operaciones</t>
        </is>
      </c>
    </row>
    <row r="902">
      <c r="A902" s="96"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c r="Y902" s="107" t="inlineStr">
        <is>
          <t>Implementado</t>
        </is>
      </c>
      <c r="Z902" s="107" t="inlineStr">
        <is>
          <t>[PR] Prevención</t>
        </is>
      </c>
      <c r="AA902" s="107" t="inlineStr">
        <is>
          <t>L5: Optimizado</t>
        </is>
      </c>
      <c r="AB902" s="107" t="inlineStr">
        <is>
          <t>T2: Fuga de información</t>
        </is>
      </c>
      <c r="AC902" s="107" t="inlineStr">
        <is>
          <t>Manual de Operaciones</t>
        </is>
      </c>
    </row>
    <row r="903">
      <c r="A903" s="96"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c r="Y903" s="107" t="inlineStr">
        <is>
          <t>Implementado</t>
        </is>
      </c>
      <c r="Z903" s="107" t="inlineStr">
        <is>
          <t>[PR] Prevención</t>
        </is>
      </c>
      <c r="AA903" s="107" t="inlineStr">
        <is>
          <t>L5: Optimizado</t>
        </is>
      </c>
      <c r="AB903" s="107" t="inlineStr">
        <is>
          <t>T2: Fuga de información</t>
        </is>
      </c>
      <c r="AC903" s="107" t="inlineStr">
        <is>
          <t>Manual de Operaciones</t>
        </is>
      </c>
    </row>
    <row r="904">
      <c r="A904" s="96"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c r="Y904" s="107" t="inlineStr">
        <is>
          <t>Implementado</t>
        </is>
      </c>
      <c r="Z904" s="107" t="inlineStr">
        <is>
          <t>[PR] Prevención</t>
        </is>
      </c>
      <c r="AA904" s="107" t="inlineStr">
        <is>
          <t>L4: Gestionado</t>
        </is>
      </c>
      <c r="AB904" s="107" t="inlineStr">
        <is>
          <t>T2: Fuga de información</t>
        </is>
      </c>
      <c r="AC904" s="107" t="inlineStr">
        <is>
          <t>Manual de Operaciones</t>
        </is>
      </c>
    </row>
    <row r="905">
      <c r="A905" s="96"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c r="Y905" s="107" t="inlineStr">
        <is>
          <t>En Proceso</t>
        </is>
      </c>
      <c r="Z905" s="107" t="inlineStr">
        <is>
          <t>[PR] Prevención</t>
        </is>
      </c>
      <c r="AA905" s="107" t="inlineStr">
        <is>
          <t>L3: Proceso Definido</t>
        </is>
      </c>
      <c r="AB905" s="107" t="inlineStr">
        <is>
          <t>T2: Fuga de información</t>
        </is>
      </c>
      <c r="AC905" s="107" t="inlineStr">
        <is>
          <t>Manual de Operaciones</t>
        </is>
      </c>
    </row>
    <row r="906">
      <c r="A906" s="96"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c r="Y906" s="107" t="inlineStr">
        <is>
          <t>Implementado</t>
        </is>
      </c>
      <c r="Z906" s="107" t="inlineStr">
        <is>
          <t>[PR] Prevención</t>
        </is>
      </c>
      <c r="AA906" s="107" t="inlineStr">
        <is>
          <t>L2: Reproducible</t>
        </is>
      </c>
      <c r="AB906" s="107" t="inlineStr">
        <is>
          <t>T2: Fuga de información</t>
        </is>
      </c>
      <c r="AC906" s="107" t="inlineStr">
        <is>
          <t>Manual de Operaciones</t>
        </is>
      </c>
    </row>
    <row r="907">
      <c r="A907" s="96"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c r="Y907" s="107" t="inlineStr">
        <is>
          <t>Implementado</t>
        </is>
      </c>
      <c r="Z907" s="107" t="inlineStr">
        <is>
          <t>[PR] Prevención</t>
        </is>
      </c>
      <c r="AA907" s="107" t="inlineStr">
        <is>
          <t>L5: Optimizado</t>
        </is>
      </c>
      <c r="AB907" s="107" t="inlineStr">
        <is>
          <t>T2: Fuga de información</t>
        </is>
      </c>
      <c r="AC907" s="107" t="inlineStr">
        <is>
          <t>Manual de Operaciones</t>
        </is>
      </c>
    </row>
    <row r="908">
      <c r="A908" s="96"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c r="Y908" s="107" t="inlineStr">
        <is>
          <t>Implementado</t>
        </is>
      </c>
      <c r="Z908" s="107" t="inlineStr">
        <is>
          <t>[PR] Prevención</t>
        </is>
      </c>
      <c r="AA908" s="107" t="inlineStr">
        <is>
          <t>L5: Optimizado</t>
        </is>
      </c>
      <c r="AB908" s="107" t="inlineStr">
        <is>
          <t>T2: Fuga de información</t>
        </is>
      </c>
      <c r="AC908" s="107" t="inlineStr">
        <is>
          <t>Manual de Operaciones</t>
        </is>
      </c>
    </row>
    <row r="909">
      <c r="A909" s="96"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c r="Y909" s="107" t="inlineStr">
        <is>
          <t>Implementado</t>
        </is>
      </c>
      <c r="Z909" s="107" t="inlineStr">
        <is>
          <t>[PR] Prevención</t>
        </is>
      </c>
      <c r="AA909" s="107" t="inlineStr">
        <is>
          <t>L5: Optimizado</t>
        </is>
      </c>
      <c r="AB909" s="107" t="inlineStr">
        <is>
          <t>T2: Fuga de información</t>
        </is>
      </c>
      <c r="AC909" s="107" t="inlineStr">
        <is>
          <t>Manual de Operaciones</t>
        </is>
      </c>
    </row>
    <row r="910">
      <c r="A910" s="96"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c r="Y910" s="107" t="inlineStr">
        <is>
          <t>Implementado</t>
        </is>
      </c>
      <c r="Z910" s="107" t="inlineStr">
        <is>
          <t>[PR] Prevención</t>
        </is>
      </c>
      <c r="AA910" s="107" t="inlineStr">
        <is>
          <t>L3: Proceso Definido</t>
        </is>
      </c>
      <c r="AB910" s="107" t="inlineStr">
        <is>
          <t>T2: Fuga de información</t>
        </is>
      </c>
      <c r="AC910" s="107" t="inlineStr">
        <is>
          <t>Manual de Operaciones</t>
        </is>
      </c>
    </row>
    <row r="911">
      <c r="A911" s="96"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c r="Y911" s="107" t="inlineStr">
        <is>
          <t>Implementado</t>
        </is>
      </c>
      <c r="Z911" s="107" t="inlineStr">
        <is>
          <t>[PR] Prevención</t>
        </is>
      </c>
      <c r="AA911" s="107" t="inlineStr">
        <is>
          <t>L2: Reproducible</t>
        </is>
      </c>
      <c r="AB911" s="107" t="inlineStr">
        <is>
          <t>T2: Fuga de información</t>
        </is>
      </c>
      <c r="AC911" s="107" t="inlineStr">
        <is>
          <t>Manual de Operaciones</t>
        </is>
      </c>
    </row>
    <row r="912">
      <c r="A912" s="96"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c r="Y912" s="107" t="inlineStr">
        <is>
          <t>Implementado</t>
        </is>
      </c>
      <c r="Z912" s="107" t="inlineStr">
        <is>
          <t>[PR] Prevención</t>
        </is>
      </c>
      <c r="AA912" s="107" t="inlineStr">
        <is>
          <t>L2: Reproducible</t>
        </is>
      </c>
      <c r="AB912" s="107" t="inlineStr">
        <is>
          <t>T2: Fuga de información</t>
        </is>
      </c>
      <c r="AC912" s="107" t="inlineStr">
        <is>
          <t>Manual de Operaciones</t>
        </is>
      </c>
    </row>
    <row r="913">
      <c r="A913" s="96"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c r="Y913" s="107" t="inlineStr">
        <is>
          <t>Implementado</t>
        </is>
      </c>
      <c r="Z913" s="107" t="inlineStr">
        <is>
          <t>[PR] Prevención</t>
        </is>
      </c>
      <c r="AA913" s="107" t="inlineStr">
        <is>
          <t>L3: Proceso Definido</t>
        </is>
      </c>
      <c r="AB913" s="107" t="inlineStr">
        <is>
          <t>T2: Fuga de información</t>
        </is>
      </c>
      <c r="AC913" s="107" t="inlineStr">
        <is>
          <t>Manual de Operaciones</t>
        </is>
      </c>
    </row>
    <row r="914">
      <c r="A914" s="96"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c r="Y914" s="107" t="inlineStr">
        <is>
          <t>Implementado</t>
        </is>
      </c>
      <c r="Z914" s="107" t="inlineStr">
        <is>
          <t>[PR] Prevención</t>
        </is>
      </c>
      <c r="AA914" s="107" t="inlineStr">
        <is>
          <t>L3: Proceso Definido</t>
        </is>
      </c>
      <c r="AB914" s="107" t="inlineStr">
        <is>
          <t>T2: Fuga de información</t>
        </is>
      </c>
      <c r="AC914" s="107" t="inlineStr">
        <is>
          <t>Manual de Operaciones</t>
        </is>
      </c>
    </row>
    <row r="915">
      <c r="A915" s="96"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c r="Y915" s="107" t="inlineStr">
        <is>
          <t>Implementado</t>
        </is>
      </c>
      <c r="Z915" s="107" t="inlineStr">
        <is>
          <t>[PR] Prevención</t>
        </is>
      </c>
      <c r="AA915" s="107" t="inlineStr">
        <is>
          <t>L3: Proceso Definido</t>
        </is>
      </c>
      <c r="AB915" s="107" t="inlineStr">
        <is>
          <t>T2: Fuga de información</t>
        </is>
      </c>
      <c r="AC915" s="107" t="inlineStr">
        <is>
          <t>Manual de Operaciones</t>
        </is>
      </c>
    </row>
    <row r="916">
      <c r="A916" s="96"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c r="Y916" s="107" t="inlineStr">
        <is>
          <t>Implementado</t>
        </is>
      </c>
      <c r="Z916" s="107" t="inlineStr">
        <is>
          <t>[PR] Prevención</t>
        </is>
      </c>
      <c r="AA916" s="107" t="inlineStr">
        <is>
          <t>L3: Proceso Definido</t>
        </is>
      </c>
      <c r="AB916" s="107" t="inlineStr">
        <is>
          <t>T2: Fuga de información</t>
        </is>
      </c>
      <c r="AC916" s="107" t="inlineStr">
        <is>
          <t>Manual de Operaciones</t>
        </is>
      </c>
    </row>
    <row r="917">
      <c r="A917" s="96"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c r="Y917" s="107" t="inlineStr">
        <is>
          <t>Implementado</t>
        </is>
      </c>
      <c r="Z917" s="107" t="inlineStr">
        <is>
          <t>[PR] Prevención</t>
        </is>
      </c>
      <c r="AA917" s="107" t="inlineStr">
        <is>
          <t>L2: Reproducible</t>
        </is>
      </c>
      <c r="AB917" s="107" t="inlineStr">
        <is>
          <t>T2: Fuga de información</t>
        </is>
      </c>
      <c r="AC917" s="107" t="inlineStr">
        <is>
          <t>Manual de Operaciones</t>
        </is>
      </c>
    </row>
    <row r="918">
      <c r="A918" s="96"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c r="Y918" s="107" t="inlineStr">
        <is>
          <t>Implementado</t>
        </is>
      </c>
      <c r="Z918" s="107" t="inlineStr">
        <is>
          <t>[PR] Prevención</t>
        </is>
      </c>
      <c r="AA918" s="107" t="inlineStr">
        <is>
          <t>L3: Proceso Definido</t>
        </is>
      </c>
      <c r="AB918" s="107" t="inlineStr">
        <is>
          <t>T2: Fuga de información</t>
        </is>
      </c>
      <c r="AC918" s="107" t="inlineStr">
        <is>
          <t>Manual de Operaciones</t>
        </is>
      </c>
    </row>
    <row r="919">
      <c r="A919" s="96"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c r="Y919" s="107" t="inlineStr">
        <is>
          <t>Implementado</t>
        </is>
      </c>
      <c r="Z919" s="107" t="inlineStr">
        <is>
          <t>[PR] Prevención</t>
        </is>
      </c>
      <c r="AA919" s="107" t="inlineStr">
        <is>
          <t>L2: Reproducible</t>
        </is>
      </c>
      <c r="AB919" s="107" t="inlineStr">
        <is>
          <t>T2: Fuga de información</t>
        </is>
      </c>
      <c r="AC919" s="107" t="inlineStr">
        <is>
          <t>Manual de Operaciones</t>
        </is>
      </c>
    </row>
    <row r="920">
      <c r="A920" s="96"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c r="Y920" s="107" t="inlineStr">
        <is>
          <t>En Proceso</t>
        </is>
      </c>
      <c r="Z920" s="107" t="inlineStr">
        <is>
          <t>[PR] Prevención</t>
        </is>
      </c>
      <c r="AA920" s="107" t="inlineStr">
        <is>
          <t>L5: Optimizado</t>
        </is>
      </c>
      <c r="AB920" s="107" t="inlineStr">
        <is>
          <t>T2: Fuga de información</t>
        </is>
      </c>
      <c r="AC920" s="107" t="inlineStr">
        <is>
          <t>Manual de Operaciones</t>
        </is>
      </c>
    </row>
    <row r="921">
      <c r="A921" s="96"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c r="Y921" s="107" t="inlineStr">
        <is>
          <t>Implementado</t>
        </is>
      </c>
      <c r="Z921" s="107" t="inlineStr">
        <is>
          <t>[PR] Prevención</t>
        </is>
      </c>
      <c r="AA921" s="107" t="inlineStr">
        <is>
          <t>L4: Gestionado</t>
        </is>
      </c>
      <c r="AB921" s="107" t="inlineStr">
        <is>
          <t>T2: Fuga de información</t>
        </is>
      </c>
      <c r="AC921" s="107" t="inlineStr">
        <is>
          <t>Manual de Operaciones</t>
        </is>
      </c>
    </row>
    <row r="922">
      <c r="A922" s="96"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c r="Y922" s="107" t="inlineStr">
        <is>
          <t>Implementado</t>
        </is>
      </c>
      <c r="Z922" s="107" t="inlineStr">
        <is>
          <t>[PR] Prevención</t>
        </is>
      </c>
      <c r="AA922" s="107" t="inlineStr">
        <is>
          <t>L4: Gestionado</t>
        </is>
      </c>
      <c r="AB922" s="107" t="inlineStr">
        <is>
          <t>T2: Fuga de información</t>
        </is>
      </c>
      <c r="AC922" s="107" t="inlineStr">
        <is>
          <t>Manual de Operaciones</t>
        </is>
      </c>
    </row>
    <row r="923">
      <c r="A923" s="96"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c r="Y923" s="107" t="inlineStr">
        <is>
          <t>Implementado</t>
        </is>
      </c>
      <c r="Z923" s="107" t="inlineStr">
        <is>
          <t>[RC] Recuperación</t>
        </is>
      </c>
      <c r="AA923" s="107" t="inlineStr">
        <is>
          <t>L5: Optimizado</t>
        </is>
      </c>
      <c r="AB923" s="107" t="inlineStr">
        <is>
          <t>T2: Fuga de información</t>
        </is>
      </c>
      <c r="AC923" s="107" t="inlineStr">
        <is>
          <t>Registro Físico</t>
        </is>
      </c>
    </row>
    <row r="924">
      <c r="A924" s="96"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c r="Y924" s="107" t="inlineStr">
        <is>
          <t>Implementado</t>
        </is>
      </c>
      <c r="Z924" s="107" t="inlineStr">
        <is>
          <t>[MN] Monitorización</t>
        </is>
      </c>
      <c r="AA924" s="107" t="inlineStr">
        <is>
          <t>L4: Gestionado</t>
        </is>
      </c>
      <c r="AB924" s="107" t="inlineStr">
        <is>
          <t>T2: Fuga de información</t>
        </is>
      </c>
      <c r="AC924" s="107" t="inlineStr">
        <is>
          <t>Registro Físico</t>
        </is>
      </c>
    </row>
    <row r="925">
      <c r="A925" s="96"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c r="Y925" s="107" t="inlineStr">
        <is>
          <t>No Implementado</t>
        </is>
      </c>
      <c r="Z925" s="107" t="inlineStr">
        <is>
          <t>[CR] Corrección</t>
        </is>
      </c>
      <c r="AA925" s="107" t="inlineStr">
        <is>
          <t>L3: Proceso Definido</t>
        </is>
      </c>
      <c r="AB925" s="107" t="inlineStr">
        <is>
          <t>T2: Fuga de información</t>
        </is>
      </c>
      <c r="AC925" s="107" t="inlineStr">
        <is>
          <t>Registro Físico</t>
        </is>
      </c>
    </row>
    <row r="926">
      <c r="A926" s="96"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c r="Y926" s="107" t="inlineStr">
        <is>
          <t>Implementado</t>
        </is>
      </c>
      <c r="Z926" s="107" t="inlineStr">
        <is>
          <t>[DC] Detección</t>
        </is>
      </c>
      <c r="AA926" s="107" t="inlineStr">
        <is>
          <t>L4: Gestionado</t>
        </is>
      </c>
      <c r="AB926" s="107" t="inlineStr">
        <is>
          <t>T2: Fuga de información</t>
        </is>
      </c>
      <c r="AC926" s="107" t="inlineStr">
        <is>
          <t>Registro Físico</t>
        </is>
      </c>
    </row>
    <row r="927">
      <c r="A927" s="96"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c r="Y927" s="107" t="inlineStr">
        <is>
          <t>No Implementado</t>
        </is>
      </c>
      <c r="Z927" s="107" t="inlineStr">
        <is>
          <t>[PR] Prevención</t>
        </is>
      </c>
      <c r="AA927" s="107" t="inlineStr">
        <is>
          <t>L3: Proceso Definido</t>
        </is>
      </c>
      <c r="AB927" s="107" t="inlineStr">
        <is>
          <t>T2: Fuga de información</t>
        </is>
      </c>
      <c r="AC927" s="107" t="inlineStr">
        <is>
          <t>Manual de Operaciones</t>
        </is>
      </c>
    </row>
    <row r="928">
      <c r="A928" s="96"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c r="Y928" s="107" t="inlineStr">
        <is>
          <t>Implementado</t>
        </is>
      </c>
      <c r="Z928" s="107" t="inlineStr">
        <is>
          <t>[DC] Detección</t>
        </is>
      </c>
      <c r="AA928" s="107" t="inlineStr">
        <is>
          <t>L3: Proceso Definido</t>
        </is>
      </c>
      <c r="AB928" s="107" t="inlineStr">
        <is>
          <t>T2: Fuga de información</t>
        </is>
      </c>
      <c r="AC928" s="107" t="inlineStr">
        <is>
          <t>Registro Físico</t>
        </is>
      </c>
    </row>
    <row r="929">
      <c r="A929" s="96"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c r="Y929" s="107" t="inlineStr">
        <is>
          <t>Implementado</t>
        </is>
      </c>
      <c r="Z929" s="107" t="inlineStr">
        <is>
          <t>[PR] Prevención</t>
        </is>
      </c>
      <c r="AA929" s="107" t="inlineStr">
        <is>
          <t>L2: Reproducible</t>
        </is>
      </c>
      <c r="AB929" s="107" t="inlineStr">
        <is>
          <t>T2: Fuga de información</t>
        </is>
      </c>
      <c r="AC929" s="107" t="inlineStr">
        <is>
          <t>Registro Físico</t>
        </is>
      </c>
    </row>
    <row r="930">
      <c r="A930" s="96"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c r="Y930" s="107" t="inlineStr">
        <is>
          <t>Implementado</t>
        </is>
      </c>
      <c r="Z930" s="107" t="inlineStr">
        <is>
          <t>[PR] Prevención</t>
        </is>
      </c>
      <c r="AA930" s="107" t="inlineStr">
        <is>
          <t>L2: Reproducible</t>
        </is>
      </c>
      <c r="AB930" s="107" t="inlineStr">
        <is>
          <t>T2: Fuga de información</t>
        </is>
      </c>
      <c r="AC930" s="107" t="inlineStr">
        <is>
          <t>Registro Físico</t>
        </is>
      </c>
    </row>
    <row r="931" ht="20.45" customHeight="1" s="103">
      <c r="A931" s="96"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c r="Y931" s="107" t="inlineStr">
        <is>
          <t>Planificado</t>
        </is>
      </c>
      <c r="Z931" s="107" t="inlineStr">
        <is>
          <t>[PR] Prevención</t>
        </is>
      </c>
      <c r="AA931" s="107" t="inlineStr">
        <is>
          <t>L2: Reproducible</t>
        </is>
      </c>
      <c r="AB931" s="107" t="inlineStr">
        <is>
          <t>T2: Fuga de información</t>
        </is>
      </c>
      <c r="AC931" s="107" t="inlineStr">
        <is>
          <t>Manual de Operaciones</t>
        </is>
      </c>
    </row>
    <row r="932" ht="24" customHeight="1" s="103">
      <c r="A932" s="96"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c r="Y932" s="107" t="inlineStr">
        <is>
          <t>En Proceso</t>
        </is>
      </c>
      <c r="Z932" s="107" t="inlineStr">
        <is>
          <t>[PR] Prevención</t>
        </is>
      </c>
      <c r="AA932" s="107" t="inlineStr">
        <is>
          <t>L2: Reproducible</t>
        </is>
      </c>
      <c r="AB932" s="107" t="inlineStr">
        <is>
          <t>T2: Fuga de información</t>
        </is>
      </c>
      <c r="AC932" s="107" t="inlineStr">
        <is>
          <t>Manual de Operaciones</t>
        </is>
      </c>
    </row>
    <row r="933">
      <c r="A933" s="96"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c r="Y933" s="107" t="inlineStr">
        <is>
          <t>Implementado</t>
        </is>
      </c>
      <c r="Z933" s="107" t="inlineStr">
        <is>
          <t>[PR] Prevención</t>
        </is>
      </c>
      <c r="AA933" s="107" t="inlineStr">
        <is>
          <t>L2: Reproducible</t>
        </is>
      </c>
      <c r="AB933" s="107" t="inlineStr">
        <is>
          <t>T2: Fuga de información</t>
        </is>
      </c>
      <c r="AC933" s="107" t="inlineStr">
        <is>
          <t>Manual de Operaciones</t>
        </is>
      </c>
    </row>
    <row r="934">
      <c r="A934" s="96"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c r="Y934" s="107" t="inlineStr">
        <is>
          <t>Planificado</t>
        </is>
      </c>
      <c r="Z934" s="107" t="inlineStr">
        <is>
          <t>[RC] Recuperación</t>
        </is>
      </c>
      <c r="AA934" s="107" t="inlineStr">
        <is>
          <t>L3: Proceso Definido</t>
        </is>
      </c>
      <c r="AB934" s="107" t="inlineStr">
        <is>
          <t>T2: Fuga de información</t>
        </is>
      </c>
      <c r="AC934" s="107" t="inlineStr">
        <is>
          <t>Registro Físico</t>
        </is>
      </c>
    </row>
    <row r="935">
      <c r="A935" s="96"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c r="Y935" s="107" t="inlineStr">
        <is>
          <t>Implementado</t>
        </is>
      </c>
      <c r="Z935" s="107" t="inlineStr">
        <is>
          <t>[DR] Disuasión</t>
        </is>
      </c>
      <c r="AA935" s="107" t="inlineStr">
        <is>
          <t>L2: Reproducible</t>
        </is>
      </c>
      <c r="AB935" s="107" t="inlineStr">
        <is>
          <t>T2: Fuga de información</t>
        </is>
      </c>
      <c r="AC935" s="107" t="inlineStr">
        <is>
          <t>Registro Físico</t>
        </is>
      </c>
    </row>
    <row r="936">
      <c r="A936" s="96"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c r="Y936" s="107" t="inlineStr">
        <is>
          <t>Implementado</t>
        </is>
      </c>
      <c r="Z936" s="107" t="inlineStr">
        <is>
          <t>[PR] Prevención</t>
        </is>
      </c>
      <c r="AA936" s="107" t="inlineStr">
        <is>
          <t>L5: Optimizado</t>
        </is>
      </c>
      <c r="AB936" s="107" t="inlineStr">
        <is>
          <t>T2: Fuga de información</t>
        </is>
      </c>
      <c r="AC936" s="107" t="inlineStr">
        <is>
          <t>Manual de Operaciones</t>
        </is>
      </c>
    </row>
    <row r="937">
      <c r="A937" s="96"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c r="Y937" s="107" t="inlineStr">
        <is>
          <t>Implementado</t>
        </is>
      </c>
      <c r="Z937" s="107" t="inlineStr">
        <is>
          <t>[PR] Prevención</t>
        </is>
      </c>
      <c r="AA937" s="107" t="inlineStr">
        <is>
          <t>L4: Gestionado</t>
        </is>
      </c>
      <c r="AB937" s="107" t="inlineStr">
        <is>
          <t>T2: Fuga de información</t>
        </is>
      </c>
      <c r="AC937" s="107" t="inlineStr">
        <is>
          <t>Manual de Operaciones</t>
        </is>
      </c>
    </row>
    <row r="938">
      <c r="A938" s="96"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c r="Y938" s="107" t="inlineStr">
        <is>
          <t>Implementado</t>
        </is>
      </c>
      <c r="Z938" s="107" t="inlineStr">
        <is>
          <t>[PR] Prevención</t>
        </is>
      </c>
      <c r="AA938" s="107" t="inlineStr">
        <is>
          <t>L3: Proceso Definido</t>
        </is>
      </c>
      <c r="AB938" s="107" t="inlineStr">
        <is>
          <t>T2: Fuga de información</t>
        </is>
      </c>
      <c r="AC938" s="107" t="inlineStr">
        <is>
          <t>Manual de Operaciones</t>
        </is>
      </c>
    </row>
    <row r="939">
      <c r="A939" s="96"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c r="Y939" s="107" t="inlineStr">
        <is>
          <t>En Proceso</t>
        </is>
      </c>
      <c r="Z939" s="107" t="inlineStr">
        <is>
          <t>[PR] Prevención</t>
        </is>
      </c>
      <c r="AA939" s="107" t="inlineStr">
        <is>
          <t>L3: Proceso Definido</t>
        </is>
      </c>
      <c r="AB939" s="107" t="inlineStr">
        <is>
          <t>T2: Fuga de información</t>
        </is>
      </c>
      <c r="AC939" s="107" t="inlineStr">
        <is>
          <t>Manual de Operaciones</t>
        </is>
      </c>
    </row>
    <row r="940">
      <c r="A940" s="96"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c r="Y940" s="107" t="inlineStr">
        <is>
          <t>Implementado</t>
        </is>
      </c>
      <c r="Z940" s="107" t="inlineStr">
        <is>
          <t>[PR] Prevención</t>
        </is>
      </c>
      <c r="AA940" s="107" t="inlineStr">
        <is>
          <t>L4: Gestionado</t>
        </is>
      </c>
      <c r="AB940" s="107" t="inlineStr">
        <is>
          <t>T2: Fuga de información</t>
        </is>
      </c>
      <c r="AC940" s="107" t="inlineStr">
        <is>
          <t>Manual de Operaciones</t>
        </is>
      </c>
    </row>
    <row r="941">
      <c r="A941" s="96"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c r="Y941" s="107" t="inlineStr">
        <is>
          <t>Planificado</t>
        </is>
      </c>
      <c r="Z941" s="107" t="inlineStr">
        <is>
          <t>[PR] Prevención</t>
        </is>
      </c>
      <c r="AA941" s="107" t="inlineStr">
        <is>
          <t>L5: Optimizado</t>
        </is>
      </c>
      <c r="AB941" s="107" t="inlineStr">
        <is>
          <t>T2: Fuga de información</t>
        </is>
      </c>
      <c r="AC941" s="107" t="inlineStr">
        <is>
          <t>Manual de Operaciones</t>
        </is>
      </c>
    </row>
    <row r="942">
      <c r="A942" s="96"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c r="Y942" s="107" t="inlineStr">
        <is>
          <t>Implementado</t>
        </is>
      </c>
      <c r="Z942" s="107" t="inlineStr">
        <is>
          <t>[IM] Minimización</t>
        </is>
      </c>
      <c r="AA942" s="107" t="inlineStr">
        <is>
          <t>L4: Gestionado</t>
        </is>
      </c>
      <c r="AB942" s="107" t="inlineStr">
        <is>
          <t>T2: Fuga de información</t>
        </is>
      </c>
      <c r="AC942" s="107" t="inlineStr">
        <is>
          <t>Registro Físico</t>
        </is>
      </c>
    </row>
    <row r="943">
      <c r="A943" s="96"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c r="Y943" s="107" t="inlineStr">
        <is>
          <t>Implementado</t>
        </is>
      </c>
      <c r="Z943" s="107" t="inlineStr">
        <is>
          <t>[RC] Recuperación</t>
        </is>
      </c>
      <c r="AA943" s="107" t="inlineStr">
        <is>
          <t>L3: Proceso Definido</t>
        </is>
      </c>
      <c r="AB943" s="107" t="inlineStr">
        <is>
          <t>T2: Fuga de información</t>
        </is>
      </c>
      <c r="AC943" s="107" t="inlineStr">
        <is>
          <t>Registro Físico</t>
        </is>
      </c>
    </row>
    <row r="944">
      <c r="A944" s="96"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c r="Y944" s="107" t="inlineStr">
        <is>
          <t>Planificado</t>
        </is>
      </c>
      <c r="Z944" s="107" t="inlineStr">
        <is>
          <t>[IM] Minimización</t>
        </is>
      </c>
      <c r="AA944" s="107" t="inlineStr">
        <is>
          <t>L4: Gestionado</t>
        </is>
      </c>
      <c r="AB944" s="107" t="inlineStr">
        <is>
          <t>T2: Fuga de información</t>
        </is>
      </c>
      <c r="AC944" s="107" t="inlineStr">
        <is>
          <t>Registro Físico</t>
        </is>
      </c>
    </row>
    <row r="945">
      <c r="A945" s="96"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c r="Y945" s="107" t="inlineStr">
        <is>
          <t>Implementado</t>
        </is>
      </c>
      <c r="Z945" s="107" t="inlineStr">
        <is>
          <t>[PR] Prevención</t>
        </is>
      </c>
      <c r="AA945" s="107" t="inlineStr">
        <is>
          <t>L2: Reproducible</t>
        </is>
      </c>
      <c r="AB945" s="107" t="inlineStr">
        <is>
          <t>T2: Fuga de información</t>
        </is>
      </c>
      <c r="AC945" s="107" t="inlineStr">
        <is>
          <t>Manual de Operaciones</t>
        </is>
      </c>
    </row>
    <row r="946">
      <c r="A946" s="96"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c r="Y946" s="107" t="inlineStr">
        <is>
          <t>Planificado</t>
        </is>
      </c>
      <c r="Z946" s="107" t="inlineStr">
        <is>
          <t>[PR] Prevención</t>
        </is>
      </c>
      <c r="AA946" s="107" t="inlineStr">
        <is>
          <t>L2: Reproducible</t>
        </is>
      </c>
      <c r="AB946" s="107" t="inlineStr">
        <is>
          <t>T2: Fuga de información</t>
        </is>
      </c>
      <c r="AC946" s="107" t="inlineStr">
        <is>
          <t>Manual de Operaciones</t>
        </is>
      </c>
    </row>
    <row r="947">
      <c r="A947" s="96"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c r="Y947" s="107" t="inlineStr">
        <is>
          <t>Implementado</t>
        </is>
      </c>
      <c r="Z947" s="107" t="inlineStr">
        <is>
          <t>[PR] Prevención</t>
        </is>
      </c>
      <c r="AA947" s="107" t="inlineStr">
        <is>
          <t>L2: Reproducible</t>
        </is>
      </c>
      <c r="AB947" s="107" t="inlineStr">
        <is>
          <t>T2: Fuga de información</t>
        </is>
      </c>
      <c r="AC947" s="107" t="inlineStr">
        <is>
          <t>Manual de Operaciones</t>
        </is>
      </c>
    </row>
    <row r="948">
      <c r="A948" s="96"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c r="Y948" s="107" t="inlineStr">
        <is>
          <t>En Proceso</t>
        </is>
      </c>
      <c r="Z948" s="107" t="inlineStr">
        <is>
          <t>[RC] Recuperación</t>
        </is>
      </c>
      <c r="AA948" s="107" t="inlineStr">
        <is>
          <t>L5: Optimizado</t>
        </is>
      </c>
      <c r="AB948" s="107" t="inlineStr">
        <is>
          <t>T2: Fuga de información</t>
        </is>
      </c>
      <c r="AC948" s="107" t="inlineStr">
        <is>
          <t>Registro Físico</t>
        </is>
      </c>
    </row>
    <row r="949">
      <c r="A949" s="96"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c r="Y949" s="107" t="inlineStr">
        <is>
          <t>Implementado</t>
        </is>
      </c>
      <c r="Z949" s="107" t="inlineStr">
        <is>
          <t>[PR] Prevención</t>
        </is>
      </c>
      <c r="AA949" s="107" t="inlineStr">
        <is>
          <t>L4: Gestionado</t>
        </is>
      </c>
      <c r="AB949" s="107" t="inlineStr">
        <is>
          <t>T2: Fuga de información</t>
        </is>
      </c>
      <c r="AC949" s="107" t="inlineStr">
        <is>
          <t>Manual de Operaciones</t>
        </is>
      </c>
    </row>
    <row r="950">
      <c r="A950" s="96"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c r="Y950" s="107" t="inlineStr">
        <is>
          <t>Planificado</t>
        </is>
      </c>
      <c r="Z950" s="107" t="inlineStr">
        <is>
          <t>[PR] Prevención</t>
        </is>
      </c>
      <c r="AA950" s="107" t="inlineStr">
        <is>
          <t>L2: Reproducible</t>
        </is>
      </c>
      <c r="AB950" s="107" t="inlineStr">
        <is>
          <t>T2: Fuga de información</t>
        </is>
      </c>
      <c r="AC950" s="107" t="inlineStr">
        <is>
          <t>Manual de Operaciones</t>
        </is>
      </c>
    </row>
    <row r="951">
      <c r="A951" s="96"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c r="Y951" s="107" t="inlineStr">
        <is>
          <t>En Proceso</t>
        </is>
      </c>
      <c r="Z951" s="107" t="inlineStr">
        <is>
          <t>[PR] Prevención</t>
        </is>
      </c>
      <c r="AA951" s="107" t="inlineStr">
        <is>
          <t>L5: Optimizado</t>
        </is>
      </c>
      <c r="AB951" s="107" t="inlineStr">
        <is>
          <t>T2: Fuga de información</t>
        </is>
      </c>
      <c r="AC951" s="107" t="inlineStr">
        <is>
          <t>Manual de Operaciones</t>
        </is>
      </c>
    </row>
    <row r="952">
      <c r="A952" s="96"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c r="Y952" s="107" t="inlineStr">
        <is>
          <t>Implementado</t>
        </is>
      </c>
      <c r="Z952" s="107" t="inlineStr">
        <is>
          <t>[PR] Prevención</t>
        </is>
      </c>
      <c r="AA952" s="107" t="inlineStr">
        <is>
          <t>L4: Gestionado</t>
        </is>
      </c>
      <c r="AB952" s="107" t="inlineStr">
        <is>
          <t>T2: Fuga de información</t>
        </is>
      </c>
      <c r="AC952" s="107" t="inlineStr">
        <is>
          <t>Manual de Operaciones</t>
        </is>
      </c>
    </row>
    <row r="953">
      <c r="A953" s="96"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c r="Y953" s="107" t="inlineStr">
        <is>
          <t>No Implementado</t>
        </is>
      </c>
      <c r="Z953" s="107" t="inlineStr">
        <is>
          <t>[PR] Prevención</t>
        </is>
      </c>
      <c r="AA953" s="107" t="inlineStr">
        <is>
          <t>L4: Gestionado</t>
        </is>
      </c>
      <c r="AB953" s="107" t="inlineStr">
        <is>
          <t>T2: Fuga de información</t>
        </is>
      </c>
      <c r="AC953" s="107" t="inlineStr">
        <is>
          <t>Manual de Operaciones</t>
        </is>
      </c>
    </row>
    <row r="954">
      <c r="A954" s="96"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c r="Y954" s="107" t="inlineStr">
        <is>
          <t>Implementado</t>
        </is>
      </c>
      <c r="Z954" s="107" t="inlineStr">
        <is>
          <t>[PR] Prevención</t>
        </is>
      </c>
      <c r="AA954" s="107" t="inlineStr">
        <is>
          <t>L5: Optimizado</t>
        </is>
      </c>
      <c r="AB954" s="107" t="inlineStr">
        <is>
          <t>T2: Fuga de información</t>
        </is>
      </c>
      <c r="AC954" s="107" t="inlineStr">
        <is>
          <t>Manual de Operaciones</t>
        </is>
      </c>
    </row>
    <row r="955">
      <c r="A955" s="96"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c r="Y955" s="107" t="inlineStr">
        <is>
          <t>Implementado</t>
        </is>
      </c>
      <c r="Z955" s="107" t="inlineStr">
        <is>
          <t>[PR] Prevención</t>
        </is>
      </c>
      <c r="AA955" s="107" t="inlineStr">
        <is>
          <t>L5: Optimizado</t>
        </is>
      </c>
      <c r="AB955" s="107" t="inlineStr">
        <is>
          <t>T2: Fuga de información</t>
        </is>
      </c>
      <c r="AC955" s="107" t="inlineStr">
        <is>
          <t>Manual de Operaciones</t>
        </is>
      </c>
    </row>
    <row r="956">
      <c r="A956" s="96"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c r="Y956" s="107" t="inlineStr">
        <is>
          <t>Implementado</t>
        </is>
      </c>
      <c r="Z956" s="107" t="inlineStr">
        <is>
          <t>[PR] Prevención</t>
        </is>
      </c>
      <c r="AA956" s="107" t="inlineStr">
        <is>
          <t>L4: Gestionado</t>
        </is>
      </c>
      <c r="AB956" s="107" t="inlineStr">
        <is>
          <t>T2: Fuga de información</t>
        </is>
      </c>
      <c r="AC956" s="107" t="inlineStr">
        <is>
          <t>Manual de Operaciones</t>
        </is>
      </c>
    </row>
    <row r="957">
      <c r="A957" s="96"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c r="Y957" s="107" t="inlineStr">
        <is>
          <t>Planificado</t>
        </is>
      </c>
      <c r="Z957" s="107" t="inlineStr">
        <is>
          <t>[PR] Prevención</t>
        </is>
      </c>
      <c r="AA957" s="107" t="inlineStr">
        <is>
          <t>L3: Proceso Definido</t>
        </is>
      </c>
      <c r="AB957" s="107" t="inlineStr">
        <is>
          <t>T2: Fuga de información</t>
        </is>
      </c>
      <c r="AC957" s="107" t="inlineStr">
        <is>
          <t>Manual de Operaciones</t>
        </is>
      </c>
    </row>
    <row r="958">
      <c r="A958" s="96"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c r="Y958" s="107" t="inlineStr">
        <is>
          <t>Implementado</t>
        </is>
      </c>
      <c r="Z958" s="107" t="inlineStr">
        <is>
          <t>[PR] Prevención</t>
        </is>
      </c>
      <c r="AA958" s="107" t="inlineStr">
        <is>
          <t>L3: Proceso Definido</t>
        </is>
      </c>
      <c r="AB958" s="107" t="inlineStr">
        <is>
          <t>T2: Fuga de información</t>
        </is>
      </c>
      <c r="AC958" s="107" t="inlineStr">
        <is>
          <t>Manual de Operaciones</t>
        </is>
      </c>
    </row>
    <row r="959">
      <c r="A959" s="96"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c r="Y959" s="107" t="inlineStr">
        <is>
          <t>Implementado</t>
        </is>
      </c>
      <c r="Z959" s="107" t="inlineStr">
        <is>
          <t>[PR] Prevención</t>
        </is>
      </c>
      <c r="AA959" s="107" t="inlineStr">
        <is>
          <t>L4: Gestionado</t>
        </is>
      </c>
      <c r="AB959" s="107" t="inlineStr">
        <is>
          <t>T2: Fuga de información</t>
        </is>
      </c>
      <c r="AC959" s="107" t="inlineStr">
        <is>
          <t>Manual de Operaciones</t>
        </is>
      </c>
    </row>
    <row r="960">
      <c r="A960" s="96"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c r="Y960" s="107" t="inlineStr">
        <is>
          <t>Implementado</t>
        </is>
      </c>
      <c r="Z960" s="107" t="inlineStr">
        <is>
          <t>[PR] Prevención</t>
        </is>
      </c>
      <c r="AA960" s="107" t="inlineStr">
        <is>
          <t>L4: Gestionado</t>
        </is>
      </c>
      <c r="AB960" s="107" t="inlineStr">
        <is>
          <t>T2: Fuga de información</t>
        </is>
      </c>
      <c r="AC960" s="107" t="inlineStr">
        <is>
          <t>Manual de Operaciones</t>
        </is>
      </c>
    </row>
    <row r="961">
      <c r="A961" s="96"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c r="Y961" s="107" t="inlineStr">
        <is>
          <t>En Proceso</t>
        </is>
      </c>
      <c r="Z961" s="107" t="inlineStr">
        <is>
          <t>[PR] Prevención</t>
        </is>
      </c>
      <c r="AA961" s="107" t="inlineStr">
        <is>
          <t>L2: Reproducible</t>
        </is>
      </c>
      <c r="AB961" s="107" t="inlineStr">
        <is>
          <t>T2: Fuga de información</t>
        </is>
      </c>
      <c r="AC961" s="107" t="inlineStr">
        <is>
          <t>Manual de Operaciones</t>
        </is>
      </c>
    </row>
    <row r="962">
      <c r="A962" s="96"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c r="Y962" s="107" t="inlineStr">
        <is>
          <t>Implementado</t>
        </is>
      </c>
      <c r="Z962" s="107" t="inlineStr">
        <is>
          <t>[PR] Prevención</t>
        </is>
      </c>
      <c r="AA962" s="107" t="inlineStr">
        <is>
          <t>L4: Gestionado</t>
        </is>
      </c>
      <c r="AB962" s="107" t="inlineStr">
        <is>
          <t>T2: Fuga de información</t>
        </is>
      </c>
      <c r="AC962" s="107" t="inlineStr">
        <is>
          <t>Manual de Operaciones</t>
        </is>
      </c>
    </row>
    <row r="963">
      <c r="A963" s="96"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c r="Y963" s="107" t="inlineStr">
        <is>
          <t>Implementado</t>
        </is>
      </c>
      <c r="Z963" s="107" t="inlineStr">
        <is>
          <t>[PR] Prevención</t>
        </is>
      </c>
      <c r="AA963" s="107" t="inlineStr">
        <is>
          <t>L4: Gestionado</t>
        </is>
      </c>
      <c r="AB963" s="107" t="inlineStr">
        <is>
          <t>T2: Fuga de información</t>
        </is>
      </c>
      <c r="AC963" s="107" t="inlineStr">
        <is>
          <t>Manual de Operaciones</t>
        </is>
      </c>
    </row>
    <row r="964">
      <c r="A964" s="96"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c r="Y964" s="107" t="inlineStr">
        <is>
          <t>Implementado</t>
        </is>
      </c>
      <c r="Z964" s="107" t="inlineStr">
        <is>
          <t>[PR] Prevención</t>
        </is>
      </c>
      <c r="AA964" s="107" t="inlineStr">
        <is>
          <t>L3: Proceso Definido</t>
        </is>
      </c>
      <c r="AB964" s="107" t="inlineStr">
        <is>
          <t>T2: Fuga de información</t>
        </is>
      </c>
      <c r="AC964" s="107" t="inlineStr">
        <is>
          <t>Registro Físico</t>
        </is>
      </c>
    </row>
    <row r="965">
      <c r="A965" s="96"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c r="Y965" s="107" t="inlineStr">
        <is>
          <t>Implementado</t>
        </is>
      </c>
      <c r="Z965" s="107" t="inlineStr">
        <is>
          <t>[DR] Disuasión</t>
        </is>
      </c>
      <c r="AA965" s="107" t="inlineStr">
        <is>
          <t>L2: Reproducible</t>
        </is>
      </c>
      <c r="AB965" s="107" t="inlineStr">
        <is>
          <t>T2: Fuga de información</t>
        </is>
      </c>
      <c r="AC965" s="107" t="inlineStr">
        <is>
          <t>Registro Físico</t>
        </is>
      </c>
    </row>
    <row r="966">
      <c r="A966" s="96"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c r="Y966" s="107" t="inlineStr">
        <is>
          <t>Implementado</t>
        </is>
      </c>
      <c r="Z966" s="107" t="inlineStr">
        <is>
          <t>[PR] Prevención</t>
        </is>
      </c>
      <c r="AA966" s="107" t="inlineStr">
        <is>
          <t>L3: Proceso Definido</t>
        </is>
      </c>
      <c r="AB966" s="107" t="inlineStr">
        <is>
          <t>T2: Fuga de información</t>
        </is>
      </c>
      <c r="AC966" s="107" t="inlineStr">
        <is>
          <t>Registro Físico</t>
        </is>
      </c>
    </row>
    <row r="967">
      <c r="A967" s="96"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c r="Y967" s="107" t="inlineStr">
        <is>
          <t>No Implementado</t>
        </is>
      </c>
      <c r="Z967" s="107" t="inlineStr">
        <is>
          <t>[PR] Prevención</t>
        </is>
      </c>
      <c r="AA967" s="107" t="inlineStr">
        <is>
          <t>L4: Gestionado</t>
        </is>
      </c>
      <c r="AB967" s="107" t="inlineStr">
        <is>
          <t>T2: Fuga de información</t>
        </is>
      </c>
      <c r="AC967" s="107" t="inlineStr">
        <is>
          <t>Manual de Operaciones</t>
        </is>
      </c>
    </row>
    <row r="968">
      <c r="A968" s="96"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c r="Y968" s="107" t="inlineStr">
        <is>
          <t>Implementado</t>
        </is>
      </c>
      <c r="Z968" s="107" t="inlineStr">
        <is>
          <t>[PR] Prevención</t>
        </is>
      </c>
      <c r="AA968" s="107" t="inlineStr">
        <is>
          <t>L4: Gestionado</t>
        </is>
      </c>
      <c r="AB968" s="107" t="inlineStr">
        <is>
          <t>T2: Fuga de información</t>
        </is>
      </c>
      <c r="AC968" s="107" t="inlineStr">
        <is>
          <t>Registro Físico</t>
        </is>
      </c>
    </row>
    <row r="969">
      <c r="A969" s="96"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c r="Y969" s="107" t="inlineStr">
        <is>
          <t>Implementado</t>
        </is>
      </c>
      <c r="Z969" s="107" t="inlineStr">
        <is>
          <t>[CR] Corrección</t>
        </is>
      </c>
      <c r="AA969" s="107" t="inlineStr">
        <is>
          <t>L4: Gestionado</t>
        </is>
      </c>
      <c r="AB969" s="107" t="inlineStr">
        <is>
          <t>T2: Fuga de información</t>
        </is>
      </c>
      <c r="AC969" s="107" t="inlineStr">
        <is>
          <t>Registro Físico</t>
        </is>
      </c>
    </row>
    <row r="970" ht="20.45" customHeight="1" s="103">
      <c r="A970" s="96"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c r="Y970" s="107" t="inlineStr">
        <is>
          <t>Implementado</t>
        </is>
      </c>
      <c r="Z970" s="107" t="inlineStr">
        <is>
          <t>[PR] Prevención</t>
        </is>
      </c>
      <c r="AA970" s="107" t="inlineStr">
        <is>
          <t>L5: Optimizado</t>
        </is>
      </c>
      <c r="AB970" s="107" t="inlineStr">
        <is>
          <t>T2: Fuga de información</t>
        </is>
      </c>
      <c r="AC970" s="107" t="inlineStr">
        <is>
          <t>Manual de Operaciones</t>
        </is>
      </c>
    </row>
    <row r="971">
      <c r="A971" s="96"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c r="Y971" s="107" t="inlineStr">
        <is>
          <t>Implementado</t>
        </is>
      </c>
      <c r="Z971" s="107" t="inlineStr">
        <is>
          <t>[PR] Prevención</t>
        </is>
      </c>
      <c r="AA971" s="107" t="inlineStr">
        <is>
          <t>L2: Reproducible</t>
        </is>
      </c>
      <c r="AB971" s="107" t="inlineStr">
        <is>
          <t>T2: Fuga de información</t>
        </is>
      </c>
      <c r="AC971" s="107" t="inlineStr">
        <is>
          <t>Manual de Operaciones</t>
        </is>
      </c>
    </row>
    <row r="972">
      <c r="A972" s="96"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c r="Y972" s="107" t="inlineStr">
        <is>
          <t>Implementado</t>
        </is>
      </c>
      <c r="Z972" s="107" t="inlineStr">
        <is>
          <t>[PR] Prevención</t>
        </is>
      </c>
      <c r="AA972" s="107" t="inlineStr">
        <is>
          <t>L3: Proceso Definido</t>
        </is>
      </c>
      <c r="AB972" s="107" t="inlineStr">
        <is>
          <t>T2: Fuga de información</t>
        </is>
      </c>
      <c r="AC972" s="107" t="inlineStr">
        <is>
          <t>Manual de Operaciones</t>
        </is>
      </c>
    </row>
    <row r="973">
      <c r="A973" s="96"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c r="Y973" s="107" t="inlineStr">
        <is>
          <t>Planificado</t>
        </is>
      </c>
      <c r="Z973" s="107" t="inlineStr">
        <is>
          <t>[EL] Eliminación</t>
        </is>
      </c>
      <c r="AA973" s="107" t="inlineStr">
        <is>
          <t>L4: Gestionado</t>
        </is>
      </c>
      <c r="AB973" s="107" t="inlineStr">
        <is>
          <t>T2: Fuga de información</t>
        </is>
      </c>
      <c r="AC973" s="107" t="inlineStr">
        <is>
          <t>Registro Físico</t>
        </is>
      </c>
    </row>
    <row r="974">
      <c r="A974" s="96"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c r="Y974" s="107" t="inlineStr">
        <is>
          <t>Implementado</t>
        </is>
      </c>
      <c r="Z974" s="107" t="inlineStr">
        <is>
          <t>[PR] Prevención</t>
        </is>
      </c>
      <c r="AA974" s="107" t="inlineStr">
        <is>
          <t>L4: Gestionado</t>
        </is>
      </c>
      <c r="AB974" s="107" t="inlineStr">
        <is>
          <t>T2: Fuga de información</t>
        </is>
      </c>
      <c r="AC974" s="107" t="inlineStr">
        <is>
          <t>Manual de Operaciones</t>
        </is>
      </c>
    </row>
    <row r="975">
      <c r="A975" s="96"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c r="Y975" s="107" t="inlineStr">
        <is>
          <t>Implementado</t>
        </is>
      </c>
      <c r="Z975" s="107" t="inlineStr">
        <is>
          <t>[PR] Prevención</t>
        </is>
      </c>
      <c r="AA975" s="107" t="inlineStr">
        <is>
          <t>L4: Gestionado</t>
        </is>
      </c>
      <c r="AB975" s="107" t="inlineStr">
        <is>
          <t>T2: Fuga de información</t>
        </is>
      </c>
      <c r="AC975" s="107" t="inlineStr">
        <is>
          <t>Manual de Operaciones</t>
        </is>
      </c>
    </row>
    <row r="976">
      <c r="A976" s="96"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c r="Y976" s="107" t="inlineStr">
        <is>
          <t>Planificado</t>
        </is>
      </c>
      <c r="Z976" s="107" t="inlineStr">
        <is>
          <t>[CR] Corrección</t>
        </is>
      </c>
      <c r="AA976" s="107" t="inlineStr">
        <is>
          <t>L4: Gestionado</t>
        </is>
      </c>
      <c r="AB976" s="107" t="inlineStr">
        <is>
          <t>T2: Fuga de información</t>
        </is>
      </c>
      <c r="AC976" s="107" t="inlineStr">
        <is>
          <t>Registro Físico</t>
        </is>
      </c>
    </row>
    <row r="977">
      <c r="A977" s="96"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c r="Y977" s="107" t="inlineStr">
        <is>
          <t>Implementado</t>
        </is>
      </c>
      <c r="Z977" s="107" t="inlineStr">
        <is>
          <t>[IM] Minimización</t>
        </is>
      </c>
      <c r="AA977" s="107" t="inlineStr">
        <is>
          <t>L3: Proceso Definido</t>
        </is>
      </c>
      <c r="AB977" s="107" t="inlineStr">
        <is>
          <t>T2: Fuga de información</t>
        </is>
      </c>
      <c r="AC977" s="107" t="inlineStr">
        <is>
          <t>Registro Físico</t>
        </is>
      </c>
    </row>
    <row r="978">
      <c r="A978" s="96"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c r="Y978" s="107" t="inlineStr">
        <is>
          <t>Implementado</t>
        </is>
      </c>
      <c r="Z978" s="107" t="inlineStr">
        <is>
          <t>[PR] Prevención</t>
        </is>
      </c>
      <c r="AA978" s="107" t="inlineStr">
        <is>
          <t>L5: Optimizado</t>
        </is>
      </c>
      <c r="AB978" s="107" t="inlineStr">
        <is>
          <t>T2: Fuga de información</t>
        </is>
      </c>
      <c r="AC978" s="107" t="inlineStr">
        <is>
          <t>Manual de Operaciones</t>
        </is>
      </c>
    </row>
    <row r="979">
      <c r="A979" s="96"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c r="Y979" s="107" t="inlineStr">
        <is>
          <t>Implementado</t>
        </is>
      </c>
      <c r="Z979" s="107" t="inlineStr">
        <is>
          <t>[PR] Prevención</t>
        </is>
      </c>
      <c r="AA979" s="107" t="inlineStr">
        <is>
          <t>L4: Gestionado</t>
        </is>
      </c>
      <c r="AB979" s="107" t="inlineStr">
        <is>
          <t>T2: Fuga de información</t>
        </is>
      </c>
      <c r="AC979" s="107" t="inlineStr">
        <is>
          <t>Manual de Operaciones</t>
        </is>
      </c>
    </row>
    <row r="980">
      <c r="A980" s="96"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c r="Y980" s="107" t="inlineStr">
        <is>
          <t>Implementado</t>
        </is>
      </c>
      <c r="Z980" s="107" t="inlineStr">
        <is>
          <t>[PR] Prevención</t>
        </is>
      </c>
      <c r="AA980" s="107" t="inlineStr">
        <is>
          <t>L3: Proceso Definido</t>
        </is>
      </c>
      <c r="AB980" s="107" t="inlineStr">
        <is>
          <t>T2: Fuga de información</t>
        </is>
      </c>
      <c r="AC980" s="107" t="inlineStr">
        <is>
          <t>Manual de Operaciones</t>
        </is>
      </c>
    </row>
    <row r="981">
      <c r="A981" s="96"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c r="Y981" s="107" t="inlineStr">
        <is>
          <t>No Implementado</t>
        </is>
      </c>
      <c r="Z981" s="107" t="inlineStr">
        <is>
          <t>[PR] Prevención</t>
        </is>
      </c>
      <c r="AA981" s="107" t="inlineStr">
        <is>
          <t>L5: Optimizado</t>
        </is>
      </c>
      <c r="AB981" s="107" t="inlineStr">
        <is>
          <t>T2: Fuga de información</t>
        </is>
      </c>
      <c r="AC981" s="107" t="inlineStr">
        <is>
          <t>Manual de Operaciones</t>
        </is>
      </c>
    </row>
    <row r="982">
      <c r="A982" s="96"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c r="Y982" s="107" t="inlineStr">
        <is>
          <t>Planificado</t>
        </is>
      </c>
      <c r="Z982" s="107" t="inlineStr">
        <is>
          <t>[PR] Prevención</t>
        </is>
      </c>
      <c r="AA982" s="107" t="inlineStr">
        <is>
          <t>L3: Proceso Definido</t>
        </is>
      </c>
      <c r="AB982" s="107" t="inlineStr">
        <is>
          <t>T2: Fuga de información</t>
        </is>
      </c>
      <c r="AC982" s="107" t="inlineStr">
        <is>
          <t>Manual de Operaciones</t>
        </is>
      </c>
    </row>
    <row r="983">
      <c r="A983" s="96"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c r="Y983" s="107" t="inlineStr">
        <is>
          <t>Planificado</t>
        </is>
      </c>
      <c r="Z983" s="107" t="inlineStr">
        <is>
          <t>[DR] Disuasión</t>
        </is>
      </c>
      <c r="AA983" s="107" t="inlineStr">
        <is>
          <t>L4: Gestionado</t>
        </is>
      </c>
      <c r="AB983" s="107" t="inlineStr">
        <is>
          <t>T2: Fuga de información</t>
        </is>
      </c>
      <c r="AC983" s="107" t="inlineStr">
        <is>
          <t>Registro Físico</t>
        </is>
      </c>
    </row>
    <row r="984">
      <c r="A984" s="96"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c r="Y984" s="107" t="inlineStr">
        <is>
          <t>Implementado</t>
        </is>
      </c>
      <c r="Z984" s="107" t="inlineStr">
        <is>
          <t>[PR] Prevención</t>
        </is>
      </c>
      <c r="AA984" s="107" t="inlineStr">
        <is>
          <t>L5: Optimizado</t>
        </is>
      </c>
      <c r="AB984" s="107" t="inlineStr">
        <is>
          <t>T2: Fuga de información</t>
        </is>
      </c>
      <c r="AC984" s="107" t="inlineStr">
        <is>
          <t>Manual de Operaciones</t>
        </is>
      </c>
    </row>
    <row r="985">
      <c r="A985" s="96"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c r="Y985" s="107" t="inlineStr">
        <is>
          <t>En Proceso</t>
        </is>
      </c>
      <c r="Z985" s="107" t="inlineStr">
        <is>
          <t>[PR] Prevención</t>
        </is>
      </c>
      <c r="AA985" s="107" t="inlineStr">
        <is>
          <t>L5: Optimizado</t>
        </is>
      </c>
      <c r="AB985" s="107" t="inlineStr">
        <is>
          <t>T2: Fuga de información</t>
        </is>
      </c>
      <c r="AC985" s="107" t="inlineStr">
        <is>
          <t>Registro Físico</t>
        </is>
      </c>
    </row>
    <row r="986">
      <c r="A986" s="96"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c r="Y986" s="107" t="inlineStr">
        <is>
          <t>Implementado</t>
        </is>
      </c>
      <c r="Z986" s="107" t="inlineStr">
        <is>
          <t>[PR] Prevención</t>
        </is>
      </c>
      <c r="AA986" s="107" t="inlineStr">
        <is>
          <t>L3: Proceso Definido</t>
        </is>
      </c>
      <c r="AB986" s="107" t="inlineStr">
        <is>
          <t>T2: Fuga de información</t>
        </is>
      </c>
      <c r="AC986" s="107" t="inlineStr">
        <is>
          <t>Manual de Operaciones</t>
        </is>
      </c>
    </row>
    <row r="987">
      <c r="A987" s="96"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c r="Y987" s="107" t="inlineStr">
        <is>
          <t>Implementado</t>
        </is>
      </c>
      <c r="Z987" s="107" t="inlineStr">
        <is>
          <t>[PR] Prevención</t>
        </is>
      </c>
      <c r="AA987" s="107" t="inlineStr">
        <is>
          <t>L4: Gestionado</t>
        </is>
      </c>
      <c r="AB987" s="107" t="inlineStr">
        <is>
          <t>T2: Fuga de información</t>
        </is>
      </c>
      <c r="AC987" s="107" t="inlineStr">
        <is>
          <t>Manual de Operaciones</t>
        </is>
      </c>
    </row>
    <row r="988">
      <c r="A988" s="96"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c r="Y988" s="107" t="inlineStr">
        <is>
          <t>Implementado</t>
        </is>
      </c>
      <c r="Z988" s="107" t="inlineStr">
        <is>
          <t>[EL] Eliminación</t>
        </is>
      </c>
      <c r="AA988" s="107" t="inlineStr">
        <is>
          <t>L5: Optimizado</t>
        </is>
      </c>
      <c r="AB988" s="107" t="inlineStr">
        <is>
          <t>T2: Fuga de información</t>
        </is>
      </c>
      <c r="AC988" s="107" t="inlineStr">
        <is>
          <t>Registro Físico</t>
        </is>
      </c>
    </row>
    <row r="989">
      <c r="A989" s="96"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c r="Y989" s="107" t="inlineStr">
        <is>
          <t>En Proceso</t>
        </is>
      </c>
      <c r="Z989" s="107" t="inlineStr">
        <is>
          <t>[PR] Prevención</t>
        </is>
      </c>
      <c r="AA989" s="107" t="inlineStr">
        <is>
          <t>L3: Proceso Definido</t>
        </is>
      </c>
      <c r="AB989" s="107" t="inlineStr">
        <is>
          <t>T2: Fuga de información</t>
        </is>
      </c>
      <c r="AC989" s="107" t="inlineStr">
        <is>
          <t>Manual de Operaciones</t>
        </is>
      </c>
    </row>
    <row r="990">
      <c r="A990" s="96"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c r="Y990" s="107" t="inlineStr">
        <is>
          <t>Implementado</t>
        </is>
      </c>
      <c r="Z990" s="107" t="inlineStr">
        <is>
          <t>[PR] Prevención</t>
        </is>
      </c>
      <c r="AA990" s="107" t="inlineStr">
        <is>
          <t>L2: Reproducible</t>
        </is>
      </c>
      <c r="AB990" s="107" t="inlineStr">
        <is>
          <t>T2: Fuga de información</t>
        </is>
      </c>
      <c r="AC990" s="107" t="inlineStr">
        <is>
          <t>Manual de Operaciones</t>
        </is>
      </c>
    </row>
    <row r="991">
      <c r="A991" s="96"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c r="Y991" s="107" t="inlineStr">
        <is>
          <t>Implementado</t>
        </is>
      </c>
      <c r="Z991" s="107" t="inlineStr">
        <is>
          <t>[DC] Detección</t>
        </is>
      </c>
      <c r="AA991" s="107" t="inlineStr">
        <is>
          <t>L2: Reproducible</t>
        </is>
      </c>
      <c r="AB991" s="107" t="inlineStr">
        <is>
          <t>T2: Fuga de información</t>
        </is>
      </c>
      <c r="AC991" s="107" t="inlineStr">
        <is>
          <t>Registro Físico</t>
        </is>
      </c>
    </row>
    <row r="992">
      <c r="A992" s="96"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c r="Y992" s="107" t="inlineStr">
        <is>
          <t>Planificado</t>
        </is>
      </c>
      <c r="Z992" s="107" t="inlineStr">
        <is>
          <t>[PR] Prevención</t>
        </is>
      </c>
      <c r="AA992" s="107" t="inlineStr">
        <is>
          <t>L5: Optimizado</t>
        </is>
      </c>
      <c r="AB992" s="107" t="inlineStr">
        <is>
          <t>T2: Fuga de información</t>
        </is>
      </c>
      <c r="AC992" s="107" t="inlineStr">
        <is>
          <t>Manual de Operaciones</t>
        </is>
      </c>
    </row>
    <row r="993">
      <c r="A993" s="96"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c r="Y993" s="107" t="inlineStr">
        <is>
          <t>Implementado</t>
        </is>
      </c>
      <c r="Z993" s="107" t="inlineStr">
        <is>
          <t>[PR] Prevención</t>
        </is>
      </c>
      <c r="AA993" s="107" t="inlineStr">
        <is>
          <t>L2: Reproducible</t>
        </is>
      </c>
      <c r="AB993" s="107" t="inlineStr">
        <is>
          <t>T2: Fuga de información</t>
        </is>
      </c>
      <c r="AC993" s="107" t="inlineStr">
        <is>
          <t>Manual de Operaciones</t>
        </is>
      </c>
    </row>
    <row r="994">
      <c r="A994" s="96"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c r="Y994" s="107" t="inlineStr">
        <is>
          <t>Implementado</t>
        </is>
      </c>
      <c r="Z994" s="107" t="inlineStr">
        <is>
          <t>[PR] Prevención</t>
        </is>
      </c>
      <c r="AA994" s="107" t="inlineStr">
        <is>
          <t>L5: Optimizado</t>
        </is>
      </c>
      <c r="AB994" s="107" t="inlineStr">
        <is>
          <t>T2: Fuga de información</t>
        </is>
      </c>
      <c r="AC994" s="107" t="inlineStr">
        <is>
          <t>Manual de Operaciones</t>
        </is>
      </c>
    </row>
    <row r="995">
      <c r="A995" s="96"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c r="Y995" s="107" t="inlineStr">
        <is>
          <t>Implementado</t>
        </is>
      </c>
      <c r="Z995" s="107" t="inlineStr">
        <is>
          <t>[PR] Prevención</t>
        </is>
      </c>
      <c r="AA995" s="107" t="inlineStr">
        <is>
          <t>L2: Reproducible</t>
        </is>
      </c>
      <c r="AB995" s="107" t="inlineStr">
        <is>
          <t>T2: Fuga de información</t>
        </is>
      </c>
      <c r="AC995" s="107" t="inlineStr">
        <is>
          <t>Manual de Operaciones</t>
        </is>
      </c>
    </row>
    <row r="996">
      <c r="A996" s="96"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c r="Y996" s="107" t="inlineStr">
        <is>
          <t>Implementado</t>
        </is>
      </c>
      <c r="Z996" s="107" t="inlineStr">
        <is>
          <t>[PR] Prevención</t>
        </is>
      </c>
      <c r="AA996" s="107" t="inlineStr">
        <is>
          <t>L3: Proceso Definido</t>
        </is>
      </c>
      <c r="AB996" s="107" t="inlineStr">
        <is>
          <t>T2: Fuga de información</t>
        </is>
      </c>
      <c r="AC996" s="107" t="inlineStr">
        <is>
          <t>Manual de Operaciones</t>
        </is>
      </c>
    </row>
    <row r="997">
      <c r="A997" s="96"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c r="Y997" s="107" t="inlineStr">
        <is>
          <t>Implementado</t>
        </is>
      </c>
      <c r="Z997" s="107" t="inlineStr">
        <is>
          <t>[PR] Prevención</t>
        </is>
      </c>
      <c r="AA997" s="107" t="inlineStr">
        <is>
          <t>L2: Reproducible</t>
        </is>
      </c>
      <c r="AB997" s="107" t="inlineStr">
        <is>
          <t>T2: Fuga de información</t>
        </is>
      </c>
      <c r="AC997" s="107" t="inlineStr">
        <is>
          <t>Manual de Operaciones</t>
        </is>
      </c>
    </row>
    <row r="998">
      <c r="A998" s="96"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c r="Y998" s="107" t="inlineStr">
        <is>
          <t>Implementado</t>
        </is>
      </c>
      <c r="Z998" s="107" t="inlineStr">
        <is>
          <t>[PR] Prevención</t>
        </is>
      </c>
      <c r="AA998" s="107" t="inlineStr">
        <is>
          <t>L2: Reproducible</t>
        </is>
      </c>
      <c r="AB998" s="107" t="inlineStr">
        <is>
          <t>T2: Fuga de información</t>
        </is>
      </c>
      <c r="AC998" s="107" t="inlineStr">
        <is>
          <t>Manual de Operaciones</t>
        </is>
      </c>
    </row>
    <row r="999">
      <c r="A999" s="96"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c r="Y999" s="107" t="inlineStr">
        <is>
          <t>Implementado</t>
        </is>
      </c>
      <c r="Z999" s="107" t="inlineStr">
        <is>
          <t>[EL] Eliminación</t>
        </is>
      </c>
      <c r="AA999" s="107" t="inlineStr">
        <is>
          <t>L2: Reproducible</t>
        </is>
      </c>
      <c r="AB999" s="107" t="inlineStr">
        <is>
          <t>T2: Fuga de información</t>
        </is>
      </c>
      <c r="AC999" s="107" t="inlineStr">
        <is>
          <t>Registro Físico</t>
        </is>
      </c>
    </row>
    <row r="1000">
      <c r="A1000" s="96"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c r="Y1000" s="107" t="inlineStr">
        <is>
          <t>Implementado</t>
        </is>
      </c>
      <c r="Z1000" s="107" t="inlineStr">
        <is>
          <t>[EL] Eliminación</t>
        </is>
      </c>
      <c r="AA1000" s="107" t="inlineStr">
        <is>
          <t>L5: Optimizado</t>
        </is>
      </c>
      <c r="AB1000" s="107" t="inlineStr">
        <is>
          <t>T2: Fuga de información</t>
        </is>
      </c>
      <c r="AC1000" s="107" t="inlineStr">
        <is>
          <t>Registro Físico</t>
        </is>
      </c>
    </row>
    <row r="1001">
      <c r="A1001" s="96"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c r="Y1001" s="107" t="inlineStr">
        <is>
          <t>En Proceso</t>
        </is>
      </c>
      <c r="Z1001" s="107" t="inlineStr">
        <is>
          <t>[PR] Prevención</t>
        </is>
      </c>
      <c r="AA1001" s="107" t="inlineStr">
        <is>
          <t>L5: Optimizado</t>
        </is>
      </c>
      <c r="AB1001" s="107" t="inlineStr">
        <is>
          <t>T2: Fuga de información</t>
        </is>
      </c>
      <c r="AC1001" s="107" t="inlineStr">
        <is>
          <t>Manual de Operaciones</t>
        </is>
      </c>
    </row>
    <row r="1002">
      <c r="A1002" s="96"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c r="Y1002" s="107" t="inlineStr">
        <is>
          <t>Implementado</t>
        </is>
      </c>
      <c r="Z1002" s="107" t="inlineStr">
        <is>
          <t>[PR] Prevención</t>
        </is>
      </c>
      <c r="AA1002" s="107" t="inlineStr">
        <is>
          <t>L3: Proceso Definido</t>
        </is>
      </c>
      <c r="AB1002" s="107" t="inlineStr">
        <is>
          <t>T2: Fuga de información</t>
        </is>
      </c>
      <c r="AC1002" s="107" t="inlineStr">
        <is>
          <t>Manual de Operaciones</t>
        </is>
      </c>
    </row>
    <row r="1003">
      <c r="A1003" s="96"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c r="Y1003" s="107" t="inlineStr">
        <is>
          <t>Implementado</t>
        </is>
      </c>
      <c r="Z1003" s="107" t="inlineStr">
        <is>
          <t>[IM] Minimización</t>
        </is>
      </c>
      <c r="AA1003" s="107" t="inlineStr">
        <is>
          <t>L3: Proceso Definido</t>
        </is>
      </c>
      <c r="AB1003" s="107" t="inlineStr">
        <is>
          <t>T2: Fuga de información</t>
        </is>
      </c>
      <c r="AC1003" s="107" t="inlineStr">
        <is>
          <t>Registro Físico</t>
        </is>
      </c>
    </row>
    <row r="1004">
      <c r="A1004" s="96"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c r="Y1004" s="107" t="inlineStr">
        <is>
          <t>Planificado</t>
        </is>
      </c>
      <c r="Z1004" s="107" t="inlineStr">
        <is>
          <t>[PR] Prevención</t>
        </is>
      </c>
      <c r="AA1004" s="107" t="inlineStr">
        <is>
          <t>L5: Optimizado</t>
        </is>
      </c>
      <c r="AB1004" s="107" t="inlineStr">
        <is>
          <t>T2: Fuga de información</t>
        </is>
      </c>
      <c r="AC1004" s="107" t="inlineStr">
        <is>
          <t>Manual de Operaciones</t>
        </is>
      </c>
    </row>
    <row r="1005">
      <c r="A1005" s="96"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c r="Y1005" s="107" t="inlineStr">
        <is>
          <t>Implementado</t>
        </is>
      </c>
      <c r="Z1005" s="107" t="inlineStr">
        <is>
          <t>[PR] Prevención</t>
        </is>
      </c>
      <c r="AA1005" s="107" t="inlineStr">
        <is>
          <t>L3: Proceso Definido</t>
        </is>
      </c>
      <c r="AB1005" s="107" t="inlineStr">
        <is>
          <t>T2: Fuga de información</t>
        </is>
      </c>
      <c r="AC1005" s="107" t="inlineStr">
        <is>
          <t>Manual de Operaciones</t>
        </is>
      </c>
    </row>
    <row r="1006">
      <c r="A1006" s="96"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c r="Y1006" s="107" t="inlineStr">
        <is>
          <t>Implementado</t>
        </is>
      </c>
      <c r="Z1006" s="107" t="inlineStr">
        <is>
          <t>[PR] Prevención</t>
        </is>
      </c>
      <c r="AA1006" s="107" t="inlineStr">
        <is>
          <t>L4: Gestionado</t>
        </is>
      </c>
      <c r="AB1006" s="107" t="inlineStr">
        <is>
          <t>T2: Fuga de información</t>
        </is>
      </c>
      <c r="AC1006" s="107" t="inlineStr">
        <is>
          <t>Manual de Operaciones</t>
        </is>
      </c>
    </row>
    <row r="1007">
      <c r="A1007" s="96"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c r="Y1007" s="107" t="inlineStr">
        <is>
          <t>Implementado</t>
        </is>
      </c>
      <c r="Z1007" s="107" t="inlineStr">
        <is>
          <t>[DC] Detección</t>
        </is>
      </c>
      <c r="AA1007" s="107" t="inlineStr">
        <is>
          <t>L5: Optimizado</t>
        </is>
      </c>
      <c r="AB1007" s="107" t="inlineStr">
        <is>
          <t>T2: Fuga de información</t>
        </is>
      </c>
      <c r="AC1007" s="107" t="inlineStr">
        <is>
          <t>Registro Físico</t>
        </is>
      </c>
    </row>
    <row r="1008">
      <c r="A1008" s="96"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c r="Y1008" s="107" t="inlineStr">
        <is>
          <t>Implementado</t>
        </is>
      </c>
      <c r="Z1008" s="107" t="inlineStr">
        <is>
          <t>[PR] Prevención</t>
        </is>
      </c>
      <c r="AA1008" s="107" t="inlineStr">
        <is>
          <t>L4: Gestionado</t>
        </is>
      </c>
      <c r="AB1008" s="107" t="inlineStr">
        <is>
          <t>T2: Fuga de información</t>
        </is>
      </c>
      <c r="AC1008" s="107" t="inlineStr">
        <is>
          <t>Manual de Operaciones</t>
        </is>
      </c>
    </row>
    <row r="1009">
      <c r="A1009" s="96"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c r="Y1009" s="107" t="inlineStr">
        <is>
          <t>Implementado</t>
        </is>
      </c>
      <c r="Z1009" s="107" t="inlineStr">
        <is>
          <t>[PR] Prevención</t>
        </is>
      </c>
      <c r="AA1009" s="107" t="inlineStr">
        <is>
          <t>L4: Gestionado</t>
        </is>
      </c>
      <c r="AB1009" s="107" t="inlineStr">
        <is>
          <t>T2: Fuga de información</t>
        </is>
      </c>
      <c r="AC1009" s="107" t="inlineStr">
        <is>
          <t>Manual de Operaciones</t>
        </is>
      </c>
    </row>
    <row r="1010">
      <c r="A1010" s="96"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c r="Y1010" s="107" t="inlineStr">
        <is>
          <t>Implementado</t>
        </is>
      </c>
      <c r="Z1010" s="107" t="inlineStr">
        <is>
          <t>[PR] Prevención</t>
        </is>
      </c>
      <c r="AA1010" s="107" t="inlineStr">
        <is>
          <t>L4: Gestionado</t>
        </is>
      </c>
      <c r="AB1010" s="107" t="inlineStr">
        <is>
          <t>T2: Fuga de información</t>
        </is>
      </c>
      <c r="AC1010" s="107" t="inlineStr">
        <is>
          <t>Manual de Operaciones</t>
        </is>
      </c>
    </row>
    <row r="1011">
      <c r="A1011" s="96"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c r="Y1011" s="107" t="inlineStr">
        <is>
          <t>Implementado</t>
        </is>
      </c>
      <c r="Z1011" s="107" t="inlineStr">
        <is>
          <t>[PR] Prevención</t>
        </is>
      </c>
      <c r="AA1011" s="107" t="inlineStr">
        <is>
          <t>L4: Gestionado</t>
        </is>
      </c>
      <c r="AB1011" s="107" t="inlineStr">
        <is>
          <t>T2: Fuga de información</t>
        </is>
      </c>
      <c r="AC1011" s="107" t="inlineStr">
        <is>
          <t>Manual de Operaciones</t>
        </is>
      </c>
    </row>
    <row r="1012">
      <c r="A1012" s="96"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c r="Y1012" s="107" t="inlineStr">
        <is>
          <t>Implementado</t>
        </is>
      </c>
      <c r="Z1012" s="107" t="inlineStr">
        <is>
          <t>[PR] Prevención</t>
        </is>
      </c>
      <c r="AA1012" s="107" t="inlineStr">
        <is>
          <t>L3: Proceso Definido</t>
        </is>
      </c>
      <c r="AB1012" s="107" t="inlineStr">
        <is>
          <t>T2: Fuga de información</t>
        </is>
      </c>
      <c r="AC1012" s="107" t="inlineStr">
        <is>
          <t>Manual de Operaciones</t>
        </is>
      </c>
    </row>
    <row r="1013">
      <c r="A1013" s="96"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c r="Y1013" s="107" t="inlineStr">
        <is>
          <t>Implementado</t>
        </is>
      </c>
      <c r="Z1013" s="107" t="inlineStr">
        <is>
          <t>[PR] Prevención</t>
        </is>
      </c>
      <c r="AA1013" s="107" t="inlineStr">
        <is>
          <t>L2: Reproducible</t>
        </is>
      </c>
      <c r="AB1013" s="107" t="inlineStr">
        <is>
          <t>T2: Fuga de información</t>
        </is>
      </c>
      <c r="AC1013" s="107" t="inlineStr">
        <is>
          <t>Manual de Operaciones</t>
        </is>
      </c>
    </row>
    <row r="1014">
      <c r="A1014" s="96"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c r="Y1014" s="107" t="inlineStr">
        <is>
          <t>No Implementado</t>
        </is>
      </c>
      <c r="Z1014" s="107" t="inlineStr">
        <is>
          <t>[PR] Prevención</t>
        </is>
      </c>
      <c r="AA1014" s="107" t="inlineStr">
        <is>
          <t>L4: Gestionado</t>
        </is>
      </c>
      <c r="AB1014" s="107" t="inlineStr">
        <is>
          <t>T2: Fuga de información</t>
        </is>
      </c>
      <c r="AC1014" s="107" t="inlineStr">
        <is>
          <t>Manual de Operaciones</t>
        </is>
      </c>
    </row>
    <row r="1015">
      <c r="A1015" s="96"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c r="Y1015" s="107" t="inlineStr">
        <is>
          <t>Implementado</t>
        </is>
      </c>
      <c r="Z1015" s="107" t="inlineStr">
        <is>
          <t>[PR] Prevención</t>
        </is>
      </c>
      <c r="AA1015" s="107" t="inlineStr">
        <is>
          <t>L3: Proceso Definido</t>
        </is>
      </c>
      <c r="AB1015" s="107" t="inlineStr">
        <is>
          <t>T2: Fuga de información</t>
        </is>
      </c>
      <c r="AC1015" s="107" t="inlineStr">
        <is>
          <t>Manual de Operaciones</t>
        </is>
      </c>
    </row>
    <row r="1016">
      <c r="A1016" s="96"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c r="Y1016" s="107" t="inlineStr">
        <is>
          <t>Planificado</t>
        </is>
      </c>
      <c r="Z1016" s="107" t="inlineStr">
        <is>
          <t>[PR] Prevención</t>
        </is>
      </c>
      <c r="AA1016" s="107" t="inlineStr">
        <is>
          <t>L4: Gestionado</t>
        </is>
      </c>
      <c r="AB1016" s="107" t="inlineStr">
        <is>
          <t>T2: Fuga de información</t>
        </is>
      </c>
      <c r="AC1016" s="107" t="inlineStr">
        <is>
          <t>Manual de Operaciones</t>
        </is>
      </c>
    </row>
    <row r="1017">
      <c r="A1017" s="96"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c r="Y1017" s="107" t="inlineStr">
        <is>
          <t>En Proceso</t>
        </is>
      </c>
      <c r="Z1017" s="107" t="inlineStr">
        <is>
          <t>[PR] Prevención</t>
        </is>
      </c>
      <c r="AA1017" s="107" t="inlineStr">
        <is>
          <t>L3: Proceso Definido</t>
        </is>
      </c>
      <c r="AB1017" s="107" t="inlineStr">
        <is>
          <t>T2: Fuga de información</t>
        </is>
      </c>
      <c r="AC1017" s="107" t="inlineStr">
        <is>
          <t>Manual de Operaciones</t>
        </is>
      </c>
    </row>
    <row r="1018">
      <c r="A1018" s="96"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c r="Y1018" s="107" t="inlineStr">
        <is>
          <t>En Proceso</t>
        </is>
      </c>
      <c r="Z1018" s="107" t="inlineStr">
        <is>
          <t>[PR] Prevención</t>
        </is>
      </c>
      <c r="AA1018" s="107" t="inlineStr">
        <is>
          <t>L3: Proceso Definido</t>
        </is>
      </c>
      <c r="AB1018" s="107" t="inlineStr">
        <is>
          <t>T2: Fuga de información</t>
        </is>
      </c>
      <c r="AC1018" s="107" t="inlineStr">
        <is>
          <t>Manual de Operaciones</t>
        </is>
      </c>
    </row>
    <row r="1019">
      <c r="A1019" s="96"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c r="Y1019" s="107" t="inlineStr">
        <is>
          <t>Implementado</t>
        </is>
      </c>
      <c r="Z1019" s="107" t="inlineStr">
        <is>
          <t>[EL] Eliminación</t>
        </is>
      </c>
      <c r="AA1019" s="107" t="inlineStr">
        <is>
          <t>L4: Gestionado</t>
        </is>
      </c>
      <c r="AB1019" s="107" t="inlineStr">
        <is>
          <t>T2: Fuga de información</t>
        </is>
      </c>
      <c r="AC1019" s="107" t="inlineStr">
        <is>
          <t>Registro Físico</t>
        </is>
      </c>
    </row>
    <row r="1020">
      <c r="A1020" s="96"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c r="Y1020" s="107" t="inlineStr">
        <is>
          <t>Implementado</t>
        </is>
      </c>
      <c r="Z1020" s="107" t="inlineStr">
        <is>
          <t>[PR] Prevención</t>
        </is>
      </c>
      <c r="AA1020" s="107" t="inlineStr">
        <is>
          <t>L3: Proceso Definido</t>
        </is>
      </c>
      <c r="AB1020" s="107" t="inlineStr">
        <is>
          <t>T2: Fuga de información</t>
        </is>
      </c>
      <c r="AC1020" s="107" t="inlineStr">
        <is>
          <t>Manual de Operaciones</t>
        </is>
      </c>
    </row>
    <row r="1021">
      <c r="A1021" s="96"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c r="Y1021" s="107" t="inlineStr">
        <is>
          <t>Implementado</t>
        </is>
      </c>
      <c r="Z1021" s="107" t="inlineStr">
        <is>
          <t>[PR] Prevención</t>
        </is>
      </c>
      <c r="AA1021" s="107" t="inlineStr">
        <is>
          <t>L2: Reproducible</t>
        </is>
      </c>
      <c r="AB1021" s="107" t="inlineStr">
        <is>
          <t>T2: Fuga de información</t>
        </is>
      </c>
      <c r="AC1021" s="107" t="inlineStr">
        <is>
          <t>Manual de Operaciones</t>
        </is>
      </c>
    </row>
    <row r="1022">
      <c r="A1022" s="96"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c r="Y1022" s="107" t="inlineStr">
        <is>
          <t>Implementado</t>
        </is>
      </c>
      <c r="Z1022" s="107" t="inlineStr">
        <is>
          <t>[PR] Prevención</t>
        </is>
      </c>
      <c r="AA1022" s="107" t="inlineStr">
        <is>
          <t>L2: Reproducible</t>
        </is>
      </c>
      <c r="AB1022" s="107" t="inlineStr">
        <is>
          <t>T2: Fuga de información</t>
        </is>
      </c>
      <c r="AC1022" s="107" t="inlineStr">
        <is>
          <t>Manual de Operaciones</t>
        </is>
      </c>
    </row>
    <row r="1023">
      <c r="A1023" s="96"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c r="Y1023" s="107" t="inlineStr">
        <is>
          <t>Implementado</t>
        </is>
      </c>
      <c r="Z1023" s="107" t="inlineStr">
        <is>
          <t>[IM] Minimización</t>
        </is>
      </c>
      <c r="AA1023" s="107" t="inlineStr">
        <is>
          <t>L3: Proceso Definido</t>
        </is>
      </c>
      <c r="AB1023" s="107" t="inlineStr">
        <is>
          <t>T2: Fuga de información</t>
        </is>
      </c>
      <c r="AC1023" s="107" t="inlineStr">
        <is>
          <t>Registro Físico</t>
        </is>
      </c>
    </row>
    <row r="1024">
      <c r="A1024" s="96"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c r="Y1024" s="107" t="inlineStr">
        <is>
          <t>Implementado</t>
        </is>
      </c>
      <c r="Z1024" s="107" t="inlineStr">
        <is>
          <t>[CR] Corrección</t>
        </is>
      </c>
      <c r="AA1024" s="107" t="inlineStr">
        <is>
          <t>L3: Proceso Definido</t>
        </is>
      </c>
      <c r="AB1024" s="107" t="inlineStr">
        <is>
          <t>T2: Fuga de información</t>
        </is>
      </c>
      <c r="AC1024" s="107" t="inlineStr">
        <is>
          <t>Registro Físico</t>
        </is>
      </c>
    </row>
    <row r="1025">
      <c r="A1025" s="96"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c r="Y1025" s="107" t="inlineStr">
        <is>
          <t>En Proceso</t>
        </is>
      </c>
      <c r="Z1025" s="107" t="inlineStr">
        <is>
          <t>[EL] Eliminación</t>
        </is>
      </c>
      <c r="AA1025" s="107" t="inlineStr">
        <is>
          <t>L4: Gestionado</t>
        </is>
      </c>
      <c r="AB1025" s="107" t="inlineStr">
        <is>
          <t>T2: Fuga de información</t>
        </is>
      </c>
      <c r="AC1025" s="107" t="inlineStr">
        <is>
          <t>Registro Físico</t>
        </is>
      </c>
    </row>
    <row r="1026">
      <c r="A1026" s="96"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c r="Y1026" s="107" t="inlineStr">
        <is>
          <t>No Implementado</t>
        </is>
      </c>
      <c r="Z1026" s="107" t="inlineStr">
        <is>
          <t>[PR] Prevención</t>
        </is>
      </c>
      <c r="AA1026" s="107" t="inlineStr">
        <is>
          <t>L3: Proceso Definido</t>
        </is>
      </c>
      <c r="AB1026" s="107" t="inlineStr">
        <is>
          <t>T2: Fuga de información</t>
        </is>
      </c>
      <c r="AC1026" s="107" t="inlineStr">
        <is>
          <t>Manual de Operaciones</t>
        </is>
      </c>
    </row>
    <row r="1027">
      <c r="A1027" s="96"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c r="Y1027" s="107" t="inlineStr">
        <is>
          <t>No Implementado</t>
        </is>
      </c>
      <c r="Z1027" s="107" t="inlineStr">
        <is>
          <t>[DC] Detección</t>
        </is>
      </c>
      <c r="AA1027" s="107" t="inlineStr">
        <is>
          <t>L5: Optimizado</t>
        </is>
      </c>
      <c r="AB1027" s="107" t="inlineStr">
        <is>
          <t>T1: Accesos no autorizados</t>
        </is>
      </c>
      <c r="AC1027" s="107" t="inlineStr">
        <is>
          <t>Bitácora de Sistemas</t>
        </is>
      </c>
    </row>
    <row r="1028">
      <c r="A1028" s="96"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c r="Y1028" s="107" t="inlineStr">
        <is>
          <t>Implementado</t>
        </is>
      </c>
      <c r="Z1028" s="107" t="inlineStr">
        <is>
          <t>[PR] Prevención</t>
        </is>
      </c>
      <c r="AA1028" s="107" t="inlineStr">
        <is>
          <t>L3: Proceso Definido</t>
        </is>
      </c>
      <c r="AB1028" s="107" t="inlineStr">
        <is>
          <t>T2: Fuga de información</t>
        </is>
      </c>
      <c r="AC1028" s="107" t="inlineStr">
        <is>
          <t>Manual de Operaciones</t>
        </is>
      </c>
    </row>
    <row r="1029">
      <c r="A1029" s="96"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c r="Y1029" s="107" t="inlineStr">
        <is>
          <t>Implementado</t>
        </is>
      </c>
      <c r="Z1029" s="107" t="inlineStr">
        <is>
          <t>[PR] Prevención</t>
        </is>
      </c>
      <c r="AA1029" s="107" t="inlineStr">
        <is>
          <t>L5: Optimizado</t>
        </is>
      </c>
      <c r="AB1029" s="107" t="inlineStr">
        <is>
          <t>T2: Fuga de información</t>
        </is>
      </c>
      <c r="AC1029" s="107" t="inlineStr">
        <is>
          <t>Manual de Operaciones</t>
        </is>
      </c>
    </row>
    <row r="1030">
      <c r="A1030" s="96"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c r="Y1030" s="107" t="inlineStr">
        <is>
          <t>No Implementado</t>
        </is>
      </c>
      <c r="Z1030" s="107" t="inlineStr">
        <is>
          <t>[PR] Prevención</t>
        </is>
      </c>
      <c r="AA1030" s="107" t="inlineStr">
        <is>
          <t>L5: Optimizado</t>
        </is>
      </c>
      <c r="AB1030" s="107" t="inlineStr">
        <is>
          <t>T2: Fuga de información</t>
        </is>
      </c>
      <c r="AC1030" s="107" t="inlineStr">
        <is>
          <t>Manual de Operaciones</t>
        </is>
      </c>
    </row>
    <row r="1031">
      <c r="A1031" s="96"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c r="Y1031" s="107" t="inlineStr">
        <is>
          <t>Implementado</t>
        </is>
      </c>
      <c r="Z1031" s="107" t="inlineStr">
        <is>
          <t>[PR] Prevención</t>
        </is>
      </c>
      <c r="AA1031" s="107" t="inlineStr">
        <is>
          <t>L3: Proceso Definido</t>
        </is>
      </c>
      <c r="AB1031" s="107" t="inlineStr">
        <is>
          <t>T2: Fuga de información</t>
        </is>
      </c>
      <c r="AC1031" s="107" t="inlineStr">
        <is>
          <t>Manual de Operaciones</t>
        </is>
      </c>
    </row>
    <row r="1032">
      <c r="A1032" s="96"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c r="Y1032" s="107" t="inlineStr">
        <is>
          <t>Implementado</t>
        </is>
      </c>
      <c r="Z1032" s="107" t="inlineStr">
        <is>
          <t>[PR] Prevención</t>
        </is>
      </c>
      <c r="AA1032" s="107" t="inlineStr">
        <is>
          <t>L3: Proceso Definido</t>
        </is>
      </c>
      <c r="AB1032" s="107" t="inlineStr">
        <is>
          <t>T2: Fuga de información</t>
        </is>
      </c>
      <c r="AC1032" s="107" t="inlineStr">
        <is>
          <t>Manual de Operaciones</t>
        </is>
      </c>
    </row>
    <row r="1033">
      <c r="A1033" s="96"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c r="Y1033" s="107" t="inlineStr">
        <is>
          <t>Planificado</t>
        </is>
      </c>
      <c r="Z1033" s="107" t="inlineStr">
        <is>
          <t>[PR] Prevención</t>
        </is>
      </c>
      <c r="AA1033" s="107" t="inlineStr">
        <is>
          <t>L4: Gestionado</t>
        </is>
      </c>
      <c r="AB1033" s="107" t="inlineStr">
        <is>
          <t>T2: Fuga de información</t>
        </is>
      </c>
      <c r="AC1033" s="107" t="inlineStr">
        <is>
          <t>Manual de Operaciones</t>
        </is>
      </c>
    </row>
    <row r="1034">
      <c r="A1034" s="96"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c r="Y1034" s="107" t="inlineStr">
        <is>
          <t>Implementado</t>
        </is>
      </c>
      <c r="Z1034" s="107" t="inlineStr">
        <is>
          <t>[DC] Detección</t>
        </is>
      </c>
      <c r="AA1034" s="107" t="inlineStr">
        <is>
          <t>L5: Optimizado</t>
        </is>
      </c>
      <c r="AB1034" s="107" t="inlineStr">
        <is>
          <t>T1: Accesos no autorizados</t>
        </is>
      </c>
      <c r="AC1034" s="107" t="inlineStr">
        <is>
          <t>Bitácora de Sistemas</t>
        </is>
      </c>
    </row>
    <row r="1035">
      <c r="A1035" s="96"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c r="Y1035" s="107" t="inlineStr">
        <is>
          <t>En Proceso</t>
        </is>
      </c>
      <c r="Z1035" s="107" t="inlineStr">
        <is>
          <t>[PR] Prevención</t>
        </is>
      </c>
      <c r="AA1035" s="107" t="inlineStr">
        <is>
          <t>L2: Reproducible</t>
        </is>
      </c>
      <c r="AB1035" s="107" t="inlineStr">
        <is>
          <t>T1: Accesos no autorizados</t>
        </is>
      </c>
      <c r="AC1035" s="107" t="inlineStr">
        <is>
          <t>Bitácora de Sistemas</t>
        </is>
      </c>
    </row>
    <row r="1036">
      <c r="A1036" s="96"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c r="Y1036" s="107" t="inlineStr">
        <is>
          <t>Implementado</t>
        </is>
      </c>
      <c r="Z1036" s="107" t="inlineStr">
        <is>
          <t>[PR] Prevención</t>
        </is>
      </c>
      <c r="AA1036" s="107" t="inlineStr">
        <is>
          <t>L2: Reproducible</t>
        </is>
      </c>
      <c r="AB1036" s="107" t="inlineStr">
        <is>
          <t>T2: Fuga de información</t>
        </is>
      </c>
      <c r="AC1036" s="107" t="inlineStr">
        <is>
          <t>Manual de Operaciones</t>
        </is>
      </c>
    </row>
    <row r="1037">
      <c r="A1037" s="96"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c r="Y1037" s="107" t="inlineStr">
        <is>
          <t>Implementado</t>
        </is>
      </c>
      <c r="Z1037" s="107" t="inlineStr">
        <is>
          <t>[PR] Prevención</t>
        </is>
      </c>
      <c r="AA1037" s="107" t="inlineStr">
        <is>
          <t>L3: Proceso Definido</t>
        </is>
      </c>
      <c r="AB1037" s="107" t="inlineStr">
        <is>
          <t>T2: Fuga de información</t>
        </is>
      </c>
      <c r="AC1037" s="107" t="inlineStr">
        <is>
          <t>Manual de Operaciones</t>
        </is>
      </c>
    </row>
    <row r="1038">
      <c r="A1038" s="96"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c r="Y1038" s="107" t="inlineStr">
        <is>
          <t>En Proceso</t>
        </is>
      </c>
      <c r="Z1038" s="107" t="inlineStr">
        <is>
          <t>[PR] Prevención</t>
        </is>
      </c>
      <c r="AA1038" s="107" t="inlineStr">
        <is>
          <t>L3: Proceso Definido</t>
        </is>
      </c>
      <c r="AB1038" s="107" t="inlineStr">
        <is>
          <t>T2: Fuga de información</t>
        </is>
      </c>
      <c r="AC1038" s="107" t="inlineStr">
        <is>
          <t>Manual de Operaciones</t>
        </is>
      </c>
    </row>
    <row r="1039">
      <c r="A1039" s="96"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c r="Y1039" s="107" t="inlineStr">
        <is>
          <t>Implementado</t>
        </is>
      </c>
      <c r="Z1039" s="107" t="inlineStr">
        <is>
          <t>[PR] Prevención</t>
        </is>
      </c>
      <c r="AA1039" s="107" t="inlineStr">
        <is>
          <t>L2: Reproducible</t>
        </is>
      </c>
      <c r="AB1039" s="107" t="inlineStr">
        <is>
          <t>T2: Fuga de información</t>
        </is>
      </c>
      <c r="AC1039" s="107" t="inlineStr">
        <is>
          <t>Manual de Operaciones</t>
        </is>
      </c>
    </row>
    <row r="1040">
      <c r="A1040" s="96"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c r="Y1040" s="107" t="inlineStr">
        <is>
          <t>Implementado</t>
        </is>
      </c>
      <c r="Z1040" s="107" t="inlineStr">
        <is>
          <t>[PR] Prevención</t>
        </is>
      </c>
      <c r="AA1040" s="107" t="inlineStr">
        <is>
          <t>L3: Proceso Definido</t>
        </is>
      </c>
      <c r="AB1040" s="107" t="inlineStr">
        <is>
          <t>T2: Fuga de información</t>
        </is>
      </c>
      <c r="AC1040" s="107" t="inlineStr">
        <is>
          <t>Manual de Operaciones</t>
        </is>
      </c>
    </row>
    <row r="1041">
      <c r="A1041" s="96"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c r="Y1041" s="107" t="inlineStr">
        <is>
          <t>Implementado</t>
        </is>
      </c>
      <c r="Z1041" s="107" t="inlineStr">
        <is>
          <t>[PR] Prevención</t>
        </is>
      </c>
      <c r="AA1041" s="107" t="inlineStr">
        <is>
          <t>L2: Reproducible</t>
        </is>
      </c>
      <c r="AB1041" s="107" t="inlineStr">
        <is>
          <t>T2: Fuga de información</t>
        </is>
      </c>
      <c r="AC1041" s="107" t="inlineStr">
        <is>
          <t>Manual de Operaciones</t>
        </is>
      </c>
    </row>
    <row r="1042">
      <c r="A1042" s="96"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c r="Y1042" s="107" t="inlineStr">
        <is>
          <t>Implementado</t>
        </is>
      </c>
      <c r="Z1042" s="107" t="inlineStr">
        <is>
          <t>[PR] Prevención</t>
        </is>
      </c>
      <c r="AA1042" s="107" t="inlineStr">
        <is>
          <t>L3: Proceso Definido</t>
        </is>
      </c>
      <c r="AB1042" s="107" t="inlineStr">
        <is>
          <t>T2: Fuga de información</t>
        </is>
      </c>
      <c r="AC1042" s="107" t="inlineStr">
        <is>
          <t>Manual de Operaciones</t>
        </is>
      </c>
    </row>
    <row r="1043">
      <c r="A1043" s="96"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c r="Y1043" s="107" t="inlineStr">
        <is>
          <t>Implementado</t>
        </is>
      </c>
      <c r="Z1043" s="107" t="inlineStr">
        <is>
          <t>[PR] Prevención</t>
        </is>
      </c>
      <c r="AA1043" s="107" t="inlineStr">
        <is>
          <t>L3: Proceso Definido</t>
        </is>
      </c>
      <c r="AB1043" s="107" t="inlineStr">
        <is>
          <t>T2: Fuga de información</t>
        </is>
      </c>
      <c r="AC1043" s="107" t="inlineStr">
        <is>
          <t>Manual de Operaciones</t>
        </is>
      </c>
    </row>
    <row r="1044">
      <c r="A1044" s="96"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c r="Y1044" s="107" t="inlineStr">
        <is>
          <t>Implementado</t>
        </is>
      </c>
      <c r="Z1044" s="107" t="inlineStr">
        <is>
          <t>[PR] Prevención</t>
        </is>
      </c>
      <c r="AA1044" s="107" t="inlineStr">
        <is>
          <t>L3: Proceso Definido</t>
        </is>
      </c>
      <c r="AB1044" s="107" t="inlineStr">
        <is>
          <t>T2: Fuga de información</t>
        </is>
      </c>
      <c r="AC1044" s="107" t="inlineStr">
        <is>
          <t>Manual de Operaciones</t>
        </is>
      </c>
    </row>
    <row r="1045">
      <c r="A1045" s="96"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c r="Y1045" s="107" t="inlineStr">
        <is>
          <t>Implementado</t>
        </is>
      </c>
      <c r="Z1045" s="107" t="inlineStr">
        <is>
          <t>[PR] Prevención</t>
        </is>
      </c>
      <c r="AA1045" s="107" t="inlineStr">
        <is>
          <t>L5: Optimizado</t>
        </is>
      </c>
      <c r="AB1045" s="107" t="inlineStr">
        <is>
          <t>T2: Fuga de información</t>
        </is>
      </c>
      <c r="AC1045" s="107" t="inlineStr">
        <is>
          <t>Manual de Operaciones</t>
        </is>
      </c>
    </row>
    <row r="1046">
      <c r="A1046" s="96"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c r="Y1046" s="107" t="inlineStr">
        <is>
          <t>Implementado</t>
        </is>
      </c>
      <c r="Z1046" s="107" t="inlineStr">
        <is>
          <t>[PR] Prevención</t>
        </is>
      </c>
      <c r="AA1046" s="107" t="inlineStr">
        <is>
          <t>L4: Gestionado</t>
        </is>
      </c>
      <c r="AB1046" s="107" t="inlineStr">
        <is>
          <t>T2: Fuga de información</t>
        </is>
      </c>
      <c r="AC1046" s="107" t="inlineStr">
        <is>
          <t>Manual de Operaciones</t>
        </is>
      </c>
    </row>
    <row r="1047">
      <c r="A1047" s="96"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c r="Y1047" s="107" t="inlineStr">
        <is>
          <t>Implementado</t>
        </is>
      </c>
      <c r="Z1047" s="107" t="inlineStr">
        <is>
          <t>[PR] Prevención</t>
        </is>
      </c>
      <c r="AA1047" s="107" t="inlineStr">
        <is>
          <t>L2: Reproducible</t>
        </is>
      </c>
      <c r="AB1047" s="107" t="inlineStr">
        <is>
          <t>T2: Fuga de información</t>
        </is>
      </c>
      <c r="AC1047" s="107" t="inlineStr">
        <is>
          <t>Manual de Operaciones</t>
        </is>
      </c>
    </row>
    <row r="1048">
      <c r="A1048" s="96"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c r="Y1048" s="107" t="inlineStr">
        <is>
          <t>Implementado</t>
        </is>
      </c>
      <c r="Z1048" s="107" t="inlineStr">
        <is>
          <t>[RC] Recuperación</t>
        </is>
      </c>
      <c r="AA1048" s="107" t="inlineStr">
        <is>
          <t>L4: Gestionado</t>
        </is>
      </c>
      <c r="AB1048" s="107" t="inlineStr">
        <is>
          <t>T2: Fuga de información</t>
        </is>
      </c>
      <c r="AC1048" s="107" t="inlineStr">
        <is>
          <t>Registro Físico</t>
        </is>
      </c>
    </row>
    <row r="1049">
      <c r="A1049" s="96"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c r="Y1049" s="107" t="inlineStr">
        <is>
          <t>Implementado</t>
        </is>
      </c>
      <c r="Z1049" s="107" t="inlineStr">
        <is>
          <t>[PR] Prevención</t>
        </is>
      </c>
      <c r="AA1049" s="107" t="inlineStr">
        <is>
          <t>L4: Gestionado</t>
        </is>
      </c>
      <c r="AB1049" s="107" t="inlineStr">
        <is>
          <t>T2: Fuga de información</t>
        </is>
      </c>
      <c r="AC1049" s="107" t="inlineStr">
        <is>
          <t>Manual de Operaciones</t>
        </is>
      </c>
    </row>
    <row r="1050">
      <c r="A1050" s="96"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c r="Y1050" s="107" t="inlineStr">
        <is>
          <t>Implementado</t>
        </is>
      </c>
      <c r="Z1050" s="107" t="inlineStr">
        <is>
          <t>[PR] Prevención</t>
        </is>
      </c>
      <c r="AA1050" s="107" t="inlineStr">
        <is>
          <t>L4: Gestionado</t>
        </is>
      </c>
      <c r="AB1050" s="107" t="inlineStr">
        <is>
          <t>T2: Fuga de información</t>
        </is>
      </c>
      <c r="AC1050" s="107" t="inlineStr">
        <is>
          <t>Manual de Operaciones</t>
        </is>
      </c>
    </row>
    <row r="1051">
      <c r="A1051" s="96"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c r="Y1051" s="107" t="inlineStr">
        <is>
          <t>Implementado</t>
        </is>
      </c>
      <c r="Z1051" s="107" t="inlineStr">
        <is>
          <t>[PR] Prevención</t>
        </is>
      </c>
      <c r="AA1051" s="107" t="inlineStr">
        <is>
          <t>L5: Optimizado</t>
        </is>
      </c>
      <c r="AB1051" s="107" t="inlineStr">
        <is>
          <t>T2: Fuga de información</t>
        </is>
      </c>
      <c r="AC1051" s="107" t="inlineStr">
        <is>
          <t>Manual de Operaciones</t>
        </is>
      </c>
    </row>
    <row r="1052">
      <c r="A1052" s="96"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c r="Y1052" s="107" t="inlineStr">
        <is>
          <t>No Implementado</t>
        </is>
      </c>
      <c r="Z1052" s="107" t="inlineStr">
        <is>
          <t>[RC] Recuperación</t>
        </is>
      </c>
      <c r="AA1052" s="107" t="inlineStr">
        <is>
          <t>L3: Proceso Definido</t>
        </is>
      </c>
      <c r="AB1052" s="107" t="inlineStr">
        <is>
          <t>T2: Fuga de información</t>
        </is>
      </c>
      <c r="AC1052" s="107" t="inlineStr">
        <is>
          <t>Registro Físico</t>
        </is>
      </c>
    </row>
    <row r="1053">
      <c r="A1053" s="96"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c r="Y1053" s="107" t="inlineStr">
        <is>
          <t>Implementado</t>
        </is>
      </c>
      <c r="Z1053" s="107" t="inlineStr">
        <is>
          <t>[PR] Prevención</t>
        </is>
      </c>
      <c r="AA1053" s="107" t="inlineStr">
        <is>
          <t>L3: Proceso Definido</t>
        </is>
      </c>
      <c r="AB1053" s="107" t="inlineStr">
        <is>
          <t>T2: Fuga de información</t>
        </is>
      </c>
      <c r="AC1053" s="107" t="inlineStr">
        <is>
          <t>Manual de Operaciones</t>
        </is>
      </c>
    </row>
    <row r="1054">
      <c r="A1054" s="96"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c r="Y1054" s="107" t="inlineStr">
        <is>
          <t>Implementado</t>
        </is>
      </c>
      <c r="Z1054" s="107" t="inlineStr">
        <is>
          <t>[PR] Prevención</t>
        </is>
      </c>
      <c r="AA1054" s="107" t="inlineStr">
        <is>
          <t>L2: Reproducible</t>
        </is>
      </c>
      <c r="AB1054" s="107" t="inlineStr">
        <is>
          <t>T2: Fuga de información</t>
        </is>
      </c>
      <c r="AC1054" s="107" t="inlineStr">
        <is>
          <t>Manual de Operaciones</t>
        </is>
      </c>
    </row>
    <row r="1055">
      <c r="A1055" s="96"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c r="Y1055" s="107" t="inlineStr">
        <is>
          <t>Implementado</t>
        </is>
      </c>
      <c r="Z1055" s="107" t="inlineStr">
        <is>
          <t>[PR] Prevención</t>
        </is>
      </c>
      <c r="AA1055" s="107" t="inlineStr">
        <is>
          <t>L4: Gestionado</t>
        </is>
      </c>
      <c r="AB1055" s="107" t="inlineStr">
        <is>
          <t>T2: Fuga de información</t>
        </is>
      </c>
      <c r="AC1055" s="107" t="inlineStr">
        <is>
          <t>Manual de Operaciones</t>
        </is>
      </c>
    </row>
    <row r="1056">
      <c r="A1056" s="96"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c r="Y1056" s="107" t="inlineStr">
        <is>
          <t>Implementado</t>
        </is>
      </c>
      <c r="Z1056" s="107" t="inlineStr">
        <is>
          <t>[PR] Prevención</t>
        </is>
      </c>
      <c r="AA1056" s="107" t="inlineStr">
        <is>
          <t>L5: Optimizado</t>
        </is>
      </c>
      <c r="AB1056" s="107" t="inlineStr">
        <is>
          <t>T2: Fuga de información</t>
        </is>
      </c>
      <c r="AC1056" s="107" t="inlineStr">
        <is>
          <t>Manual de Operaciones</t>
        </is>
      </c>
    </row>
    <row r="1057">
      <c r="A1057" s="96"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c r="Y1057" s="107" t="inlineStr">
        <is>
          <t>Implementado</t>
        </is>
      </c>
      <c r="Z1057" s="107" t="inlineStr">
        <is>
          <t>[PR] Prevención</t>
        </is>
      </c>
      <c r="AA1057" s="107" t="inlineStr">
        <is>
          <t>L5: Optimizado</t>
        </is>
      </c>
      <c r="AB1057" s="107" t="inlineStr">
        <is>
          <t>T2: Fuga de información</t>
        </is>
      </c>
      <c r="AC1057" s="107" t="inlineStr">
        <is>
          <t>Manual de Operaciones</t>
        </is>
      </c>
    </row>
    <row r="1058">
      <c r="A1058" s="96"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c r="Y1058" s="107" t="inlineStr">
        <is>
          <t>Implementado</t>
        </is>
      </c>
      <c r="Z1058" s="107" t="inlineStr">
        <is>
          <t>[PR] Prevención</t>
        </is>
      </c>
      <c r="AA1058" s="107" t="inlineStr">
        <is>
          <t>L2: Reproducible</t>
        </is>
      </c>
      <c r="AB1058" s="107" t="inlineStr">
        <is>
          <t>T2: Fuga de información</t>
        </is>
      </c>
      <c r="AC1058" s="107" t="inlineStr">
        <is>
          <t>Manual de Operaciones</t>
        </is>
      </c>
    </row>
    <row r="1059">
      <c r="A1059" s="96"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c r="Y1059" s="107" t="inlineStr">
        <is>
          <t>Implementado</t>
        </is>
      </c>
      <c r="Z1059" s="107" t="inlineStr">
        <is>
          <t>[PR] Prevención</t>
        </is>
      </c>
      <c r="AA1059" s="107" t="inlineStr">
        <is>
          <t>L5: Optimizado</t>
        </is>
      </c>
      <c r="AB1059" s="107" t="inlineStr">
        <is>
          <t>T2: Fuga de información</t>
        </is>
      </c>
      <c r="AC1059" s="107" t="inlineStr">
        <is>
          <t>Manual de Operaciones</t>
        </is>
      </c>
    </row>
    <row r="1060">
      <c r="A1060" s="96"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c r="Y1060" s="107" t="inlineStr">
        <is>
          <t>Implementado</t>
        </is>
      </c>
      <c r="Z1060" s="107" t="inlineStr">
        <is>
          <t>[PR] Prevención</t>
        </is>
      </c>
      <c r="AA1060" s="107" t="inlineStr">
        <is>
          <t>L3: Proceso Definido</t>
        </is>
      </c>
      <c r="AB1060" s="107" t="inlineStr">
        <is>
          <t>T2: Fuga de información</t>
        </is>
      </c>
      <c r="AC1060" s="107" t="inlineStr">
        <is>
          <t>Manual de Operaciones</t>
        </is>
      </c>
    </row>
    <row r="1061">
      <c r="A1061" s="96"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c r="Y1061" s="107" t="inlineStr">
        <is>
          <t>No Implementado</t>
        </is>
      </c>
      <c r="Z1061" s="107" t="inlineStr">
        <is>
          <t>[PR] Prevención</t>
        </is>
      </c>
      <c r="AA1061" s="107" t="inlineStr">
        <is>
          <t>L2: Reproducible</t>
        </is>
      </c>
      <c r="AB1061" s="107" t="inlineStr">
        <is>
          <t>T2: Fuga de información</t>
        </is>
      </c>
      <c r="AC1061" s="107" t="inlineStr">
        <is>
          <t>Manual de Operaciones</t>
        </is>
      </c>
    </row>
    <row r="1062">
      <c r="A1062" s="96"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c r="Y1062" s="107" t="inlineStr">
        <is>
          <t>Implementado</t>
        </is>
      </c>
      <c r="Z1062" s="107" t="inlineStr">
        <is>
          <t>[PR] Prevención</t>
        </is>
      </c>
      <c r="AA1062" s="107" t="inlineStr">
        <is>
          <t>L2: Reproducible</t>
        </is>
      </c>
      <c r="AB1062" s="107" t="inlineStr">
        <is>
          <t>T2: Fuga de información</t>
        </is>
      </c>
      <c r="AC1062" s="107" t="inlineStr">
        <is>
          <t>Manual de Operaciones</t>
        </is>
      </c>
    </row>
    <row r="1063">
      <c r="A1063" s="96"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c r="Y1063" s="107" t="inlineStr">
        <is>
          <t>Implementado</t>
        </is>
      </c>
      <c r="Z1063" s="107" t="inlineStr">
        <is>
          <t>[PR] Prevención</t>
        </is>
      </c>
      <c r="AA1063" s="107" t="inlineStr">
        <is>
          <t>L3: Proceso Definido</t>
        </is>
      </c>
      <c r="AB1063" s="107" t="inlineStr">
        <is>
          <t>T2: Fuga de información</t>
        </is>
      </c>
      <c r="AC1063" s="107" t="inlineStr">
        <is>
          <t>Manual de Operaciones</t>
        </is>
      </c>
    </row>
    <row r="1064">
      <c r="A1064" s="96"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c r="Y1064" s="107" t="inlineStr">
        <is>
          <t>Implementado</t>
        </is>
      </c>
      <c r="Z1064" s="107" t="inlineStr">
        <is>
          <t>[PR] Prevención</t>
        </is>
      </c>
      <c r="AA1064" s="107" t="inlineStr">
        <is>
          <t>L2: Reproducible</t>
        </is>
      </c>
      <c r="AB1064" s="107" t="inlineStr">
        <is>
          <t>T2: Fuga de información</t>
        </is>
      </c>
      <c r="AC1064" s="107" t="inlineStr">
        <is>
          <t>Manual de Operaciones</t>
        </is>
      </c>
    </row>
    <row r="1065">
      <c r="A1065" s="96"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c r="Y1065" s="107" t="inlineStr">
        <is>
          <t>Implementado</t>
        </is>
      </c>
      <c r="Z1065" s="107" t="inlineStr">
        <is>
          <t>[PR] Prevención</t>
        </is>
      </c>
      <c r="AA1065" s="107" t="inlineStr">
        <is>
          <t>L5: Optimizado</t>
        </is>
      </c>
      <c r="AB1065" s="107" t="inlineStr">
        <is>
          <t>T2: Fuga de información</t>
        </is>
      </c>
      <c r="AC1065" s="107" t="inlineStr">
        <is>
          <t>Manual de Operaciones</t>
        </is>
      </c>
    </row>
    <row r="1066">
      <c r="A1066" s="96"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c r="Y1066" s="107" t="inlineStr">
        <is>
          <t>Implementado</t>
        </is>
      </c>
      <c r="Z1066" s="107" t="inlineStr">
        <is>
          <t>[PR] Prevención</t>
        </is>
      </c>
      <c r="AA1066" s="107" t="inlineStr">
        <is>
          <t>L5: Optimizado</t>
        </is>
      </c>
      <c r="AB1066" s="107" t="inlineStr">
        <is>
          <t>T2: Fuga de información</t>
        </is>
      </c>
      <c r="AC1066" s="107" t="inlineStr">
        <is>
          <t>Manual de Operaciones</t>
        </is>
      </c>
    </row>
    <row r="1067">
      <c r="A1067" s="96"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c r="Y1067" s="107" t="inlineStr">
        <is>
          <t>Implementado</t>
        </is>
      </c>
      <c r="Z1067" s="107" t="inlineStr">
        <is>
          <t>[PR] Prevención</t>
        </is>
      </c>
      <c r="AA1067" s="107" t="inlineStr">
        <is>
          <t>L5: Optimizado</t>
        </is>
      </c>
      <c r="AB1067" s="107" t="inlineStr">
        <is>
          <t>T2: Fuga de información</t>
        </is>
      </c>
      <c r="AC1067" s="107" t="inlineStr">
        <is>
          <t>Manual de Operaciones</t>
        </is>
      </c>
    </row>
    <row r="1068">
      <c r="A1068" s="96"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c r="Y1068" s="107" t="inlineStr">
        <is>
          <t>Implementado</t>
        </is>
      </c>
      <c r="Z1068" s="107" t="inlineStr">
        <is>
          <t>[PR] Prevención</t>
        </is>
      </c>
      <c r="AA1068" s="107" t="inlineStr">
        <is>
          <t>L3: Proceso Definido</t>
        </is>
      </c>
      <c r="AB1068" s="107" t="inlineStr">
        <is>
          <t>T2: Fuga de información</t>
        </is>
      </c>
      <c r="AC1068" s="107" t="inlineStr">
        <is>
          <t>Manual de Operaciones</t>
        </is>
      </c>
    </row>
    <row r="1069">
      <c r="A1069" s="96"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c r="Y1069" s="107" t="inlineStr">
        <is>
          <t>Implementado</t>
        </is>
      </c>
      <c r="Z1069" s="107" t="inlineStr">
        <is>
          <t>[PR] Prevención</t>
        </is>
      </c>
      <c r="AA1069" s="107" t="inlineStr">
        <is>
          <t>L2: Reproducible</t>
        </is>
      </c>
      <c r="AB1069" s="107" t="inlineStr">
        <is>
          <t>T2: Fuga de información</t>
        </is>
      </c>
      <c r="AC1069" s="107" t="inlineStr">
        <is>
          <t>Manual de Operaciones</t>
        </is>
      </c>
    </row>
    <row r="1070">
      <c r="A1070" s="96"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c r="Y1070" s="107" t="inlineStr">
        <is>
          <t>Implementado</t>
        </is>
      </c>
      <c r="Z1070" s="107" t="inlineStr">
        <is>
          <t>[PR] Prevención</t>
        </is>
      </c>
      <c r="AA1070" s="107" t="inlineStr">
        <is>
          <t>L4: Gestionado</t>
        </is>
      </c>
      <c r="AB1070" s="107" t="inlineStr">
        <is>
          <t>T2: Fuga de información</t>
        </is>
      </c>
      <c r="AC1070" s="107" t="inlineStr">
        <is>
          <t>Manual de Operaciones</t>
        </is>
      </c>
    </row>
    <row r="1071">
      <c r="A1071" s="96"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c r="Y1071" s="107" t="inlineStr">
        <is>
          <t>En Proceso</t>
        </is>
      </c>
      <c r="Z1071" s="107" t="inlineStr">
        <is>
          <t>[PR] Prevención</t>
        </is>
      </c>
      <c r="AA1071" s="107" t="inlineStr">
        <is>
          <t>L3: Proceso Definido</t>
        </is>
      </c>
      <c r="AB1071" s="107" t="inlineStr">
        <is>
          <t>T2: Fuga de información</t>
        </is>
      </c>
      <c r="AC1071" s="107" t="inlineStr">
        <is>
          <t>Manual de Operaciones</t>
        </is>
      </c>
    </row>
    <row r="1072">
      <c r="A1072" s="96"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c r="Y1072" s="107" t="inlineStr">
        <is>
          <t>Implementado</t>
        </is>
      </c>
      <c r="Z1072" s="107" t="inlineStr">
        <is>
          <t>[PR] Prevención</t>
        </is>
      </c>
      <c r="AA1072" s="107" t="inlineStr">
        <is>
          <t>L3: Proceso Definido</t>
        </is>
      </c>
      <c r="AB1072" s="107" t="inlineStr">
        <is>
          <t>T2: Fuga de información</t>
        </is>
      </c>
      <c r="AC1072" s="107" t="inlineStr">
        <is>
          <t>Manual de Operaciones</t>
        </is>
      </c>
    </row>
    <row r="1073">
      <c r="A1073" s="96"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c r="Y1073" s="107" t="inlineStr">
        <is>
          <t>Implementado</t>
        </is>
      </c>
      <c r="Z1073" s="107" t="inlineStr">
        <is>
          <t>[PR] Prevención</t>
        </is>
      </c>
      <c r="AA1073" s="107" t="inlineStr">
        <is>
          <t>L2: Reproducible</t>
        </is>
      </c>
      <c r="AB1073" s="107" t="inlineStr">
        <is>
          <t>T2: Fuga de información</t>
        </is>
      </c>
      <c r="AC1073" s="107" t="inlineStr">
        <is>
          <t>Manual de Operaciones</t>
        </is>
      </c>
    </row>
    <row r="1074">
      <c r="A1074" s="96"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c r="Y1074" s="107" t="inlineStr">
        <is>
          <t>Implementado</t>
        </is>
      </c>
      <c r="Z1074" s="107" t="inlineStr">
        <is>
          <t>[PR] Prevención</t>
        </is>
      </c>
      <c r="AA1074" s="107" t="inlineStr">
        <is>
          <t>L3: Proceso Definido</t>
        </is>
      </c>
      <c r="AB1074" s="107" t="inlineStr">
        <is>
          <t>T2: Fuga de información</t>
        </is>
      </c>
      <c r="AC1074" s="107" t="inlineStr">
        <is>
          <t>Manual de Operaciones</t>
        </is>
      </c>
    </row>
    <row r="1075">
      <c r="A1075" s="96"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c r="Y1075" s="107" t="inlineStr">
        <is>
          <t>En Proceso</t>
        </is>
      </c>
      <c r="Z1075" s="107" t="inlineStr">
        <is>
          <t>[PR] Prevención</t>
        </is>
      </c>
      <c r="AA1075" s="107" t="inlineStr">
        <is>
          <t>L4: Gestionado</t>
        </is>
      </c>
      <c r="AB1075" s="107" t="inlineStr">
        <is>
          <t>T2: Fuga de información</t>
        </is>
      </c>
      <c r="AC1075" s="107" t="inlineStr">
        <is>
          <t>Manual de Operaciones</t>
        </is>
      </c>
    </row>
    <row r="1076">
      <c r="A1076" s="96"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c r="Y1076" s="107" t="inlineStr">
        <is>
          <t>Implementado</t>
        </is>
      </c>
      <c r="Z1076" s="107" t="inlineStr">
        <is>
          <t>[PR] Prevención</t>
        </is>
      </c>
      <c r="AA1076" s="107" t="inlineStr">
        <is>
          <t>L4: Gestionado</t>
        </is>
      </c>
      <c r="AB1076" s="107" t="inlineStr">
        <is>
          <t>T2: Fuga de información</t>
        </is>
      </c>
      <c r="AC1076" s="107" t="inlineStr">
        <is>
          <t>Manual de Operaciones</t>
        </is>
      </c>
    </row>
    <row r="1077">
      <c r="A1077" s="96"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c r="Y1077" s="107" t="inlineStr">
        <is>
          <t>Implementado</t>
        </is>
      </c>
      <c r="Z1077" s="107" t="inlineStr">
        <is>
          <t>[PR] Prevención</t>
        </is>
      </c>
      <c r="AA1077" s="107" t="inlineStr">
        <is>
          <t>L5: Optimizado</t>
        </is>
      </c>
      <c r="AB1077" s="107" t="inlineStr">
        <is>
          <t>T2: Fuga de información</t>
        </is>
      </c>
      <c r="AC1077" s="107" t="inlineStr">
        <is>
          <t>Manual de Operaciones</t>
        </is>
      </c>
    </row>
    <row r="1078">
      <c r="A1078" s="96"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c r="Y1078" s="107" t="inlineStr">
        <is>
          <t>Implementado</t>
        </is>
      </c>
      <c r="Z1078" s="107" t="inlineStr">
        <is>
          <t>[PR] Prevención</t>
        </is>
      </c>
      <c r="AA1078" s="107" t="inlineStr">
        <is>
          <t>L4: Gestionado</t>
        </is>
      </c>
      <c r="AB1078" s="107" t="inlineStr">
        <is>
          <t>T2: Fuga de información</t>
        </is>
      </c>
      <c r="AC1078" s="107" t="inlineStr">
        <is>
          <t>Manual de Operaciones</t>
        </is>
      </c>
    </row>
    <row r="1079">
      <c r="A1079" s="96"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c r="Y1079" s="107" t="inlineStr">
        <is>
          <t>Implementado</t>
        </is>
      </c>
      <c r="Z1079" s="107" t="inlineStr">
        <is>
          <t>[PR] Prevención</t>
        </is>
      </c>
      <c r="AA1079" s="107" t="inlineStr">
        <is>
          <t>L2: Reproducible</t>
        </is>
      </c>
      <c r="AB1079" s="107" t="inlineStr">
        <is>
          <t>T2: Fuga de información</t>
        </is>
      </c>
      <c r="AC1079" s="107" t="inlineStr">
        <is>
          <t>Manual de Operaciones</t>
        </is>
      </c>
    </row>
    <row r="1080">
      <c r="A1080" s="96"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c r="Y1080" s="107" t="inlineStr">
        <is>
          <t>Planificado</t>
        </is>
      </c>
      <c r="Z1080" s="107" t="inlineStr">
        <is>
          <t>[PR] Prevención</t>
        </is>
      </c>
      <c r="AA1080" s="107" t="inlineStr">
        <is>
          <t>L4: Gestionado</t>
        </is>
      </c>
      <c r="AB1080" s="107" t="inlineStr">
        <is>
          <t>T2: Fuga de información</t>
        </is>
      </c>
      <c r="AC1080" s="107" t="inlineStr">
        <is>
          <t>Manual de Operaciones</t>
        </is>
      </c>
    </row>
    <row r="1081">
      <c r="A1081" s="96"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c r="Y1081" s="107" t="inlineStr">
        <is>
          <t>Implementado</t>
        </is>
      </c>
      <c r="Z1081" s="107" t="inlineStr">
        <is>
          <t>[PR] Prevención</t>
        </is>
      </c>
      <c r="AA1081" s="107" t="inlineStr">
        <is>
          <t>L4: Gestionado</t>
        </is>
      </c>
      <c r="AB1081" s="107" t="inlineStr">
        <is>
          <t>T2: Fuga de información</t>
        </is>
      </c>
      <c r="AC1081" s="107" t="inlineStr">
        <is>
          <t>Manual de Operaciones</t>
        </is>
      </c>
    </row>
    <row r="1082">
      <c r="A1082" s="96"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c r="Y1082" s="107" t="inlineStr">
        <is>
          <t>Implementado</t>
        </is>
      </c>
      <c r="Z1082" s="107" t="inlineStr">
        <is>
          <t>[PR] Prevención</t>
        </is>
      </c>
      <c r="AA1082" s="107" t="inlineStr">
        <is>
          <t>L2: Reproducible</t>
        </is>
      </c>
      <c r="AB1082" s="107" t="inlineStr">
        <is>
          <t>T2: Fuga de información</t>
        </is>
      </c>
      <c r="AC1082" s="107" t="inlineStr">
        <is>
          <t>Manual de Operaciones</t>
        </is>
      </c>
    </row>
    <row r="1083">
      <c r="A1083" s="96"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c r="Y1083" s="107" t="inlineStr">
        <is>
          <t>Implementado</t>
        </is>
      </c>
      <c r="Z1083" s="107" t="inlineStr">
        <is>
          <t>[IM] Minimización</t>
        </is>
      </c>
      <c r="AA1083" s="107" t="inlineStr">
        <is>
          <t>L5: Optimizado</t>
        </is>
      </c>
      <c r="AB1083" s="107" t="inlineStr">
        <is>
          <t>T1: Accesos no autorizados</t>
        </is>
      </c>
      <c r="AC1083" s="107" t="inlineStr">
        <is>
          <t>Bitácora de Sistemas</t>
        </is>
      </c>
    </row>
    <row r="1084">
      <c r="A1084" s="96"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c r="Y1084" s="107" t="inlineStr">
        <is>
          <t>Implementado</t>
        </is>
      </c>
      <c r="Z1084" s="107" t="inlineStr">
        <is>
          <t>[PR] Prevención</t>
        </is>
      </c>
      <c r="AA1084" s="107" t="inlineStr">
        <is>
          <t>L3: Proceso Definido</t>
        </is>
      </c>
      <c r="AB1084" s="107" t="inlineStr">
        <is>
          <t>T2: Fuga de información</t>
        </is>
      </c>
      <c r="AC1084" s="107" t="inlineStr">
        <is>
          <t>Manual de Operaciones</t>
        </is>
      </c>
    </row>
    <row r="1085">
      <c r="A1085" s="96"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c r="Y1085" s="107" t="inlineStr">
        <is>
          <t>No Implementado</t>
        </is>
      </c>
      <c r="Z1085" s="107" t="inlineStr">
        <is>
          <t>[PR] Prevención</t>
        </is>
      </c>
      <c r="AA1085" s="107" t="inlineStr">
        <is>
          <t>L4: Gestionado</t>
        </is>
      </c>
      <c r="AB1085" s="107" t="inlineStr">
        <is>
          <t>T2: Fuga de información</t>
        </is>
      </c>
      <c r="AC1085" s="107" t="inlineStr">
        <is>
          <t>Manual de Operaciones</t>
        </is>
      </c>
    </row>
    <row r="1086">
      <c r="A1086" s="96"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c r="Y1086" s="107" t="inlineStr">
        <is>
          <t>Implementado</t>
        </is>
      </c>
      <c r="Z1086" s="107" t="inlineStr">
        <is>
          <t>[PR] Prevención</t>
        </is>
      </c>
      <c r="AA1086" s="107" t="inlineStr">
        <is>
          <t>L5: Optimizado</t>
        </is>
      </c>
      <c r="AB1086" s="107" t="inlineStr">
        <is>
          <t>T2: Fuga de información</t>
        </is>
      </c>
      <c r="AC1086" s="107" t="inlineStr">
        <is>
          <t>Manual de Operaciones</t>
        </is>
      </c>
    </row>
    <row r="1087">
      <c r="A1087" s="96"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c r="Y1087" s="107" t="inlineStr">
        <is>
          <t>Implementado</t>
        </is>
      </c>
      <c r="Z1087" s="107" t="inlineStr">
        <is>
          <t>[PR] Prevención</t>
        </is>
      </c>
      <c r="AA1087" s="107" t="inlineStr">
        <is>
          <t>L4: Gestionado</t>
        </is>
      </c>
      <c r="AB1087" s="107" t="inlineStr">
        <is>
          <t>T2: Fuga de información</t>
        </is>
      </c>
      <c r="AC1087" s="107" t="inlineStr">
        <is>
          <t>Manual de Operaciones</t>
        </is>
      </c>
    </row>
    <row r="1088">
      <c r="A1088" s="96"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c r="Y1088" s="107" t="inlineStr">
        <is>
          <t>Planificado</t>
        </is>
      </c>
      <c r="Z1088" s="107" t="inlineStr">
        <is>
          <t>[PR] Prevención</t>
        </is>
      </c>
      <c r="AA1088" s="107" t="inlineStr">
        <is>
          <t>L2: Reproducible</t>
        </is>
      </c>
      <c r="AB1088" s="107" t="inlineStr">
        <is>
          <t>T2: Fuga de información</t>
        </is>
      </c>
      <c r="AC1088" s="107" t="inlineStr">
        <is>
          <t>Manual de Operaciones</t>
        </is>
      </c>
    </row>
    <row r="1089">
      <c r="A1089" s="96"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c r="Y1089" s="107" t="inlineStr">
        <is>
          <t>Implementado</t>
        </is>
      </c>
      <c r="Z1089" s="107" t="inlineStr">
        <is>
          <t>[PR] Prevención</t>
        </is>
      </c>
      <c r="AA1089" s="107" t="inlineStr">
        <is>
          <t>L2: Reproducible</t>
        </is>
      </c>
      <c r="AB1089" s="107" t="inlineStr">
        <is>
          <t>T2: Fuga de información</t>
        </is>
      </c>
      <c r="AC1089" s="107" t="inlineStr">
        <is>
          <t>Manual de Operaciones</t>
        </is>
      </c>
    </row>
    <row r="1090">
      <c r="A1090" s="96"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c r="Y1090" s="107" t="inlineStr">
        <is>
          <t>No Implementado</t>
        </is>
      </c>
      <c r="Z1090" s="107" t="inlineStr">
        <is>
          <t>[PR] Prevención</t>
        </is>
      </c>
      <c r="AA1090" s="107" t="inlineStr">
        <is>
          <t>L4: Gestionado</t>
        </is>
      </c>
      <c r="AB1090" s="107" t="inlineStr">
        <is>
          <t>T2: Fuga de información</t>
        </is>
      </c>
      <c r="AC1090" s="107" t="inlineStr">
        <is>
          <t>Manual de Operaciones</t>
        </is>
      </c>
    </row>
    <row r="1091">
      <c r="A1091" s="96"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c r="Y1091" s="107" t="inlineStr">
        <is>
          <t>Implementado</t>
        </is>
      </c>
      <c r="Z1091" s="107" t="inlineStr">
        <is>
          <t>[PR] Prevención</t>
        </is>
      </c>
      <c r="AA1091" s="107" t="inlineStr">
        <is>
          <t>L4: Gestionado</t>
        </is>
      </c>
      <c r="AB1091" s="107" t="inlineStr">
        <is>
          <t>T2: Fuga de información</t>
        </is>
      </c>
      <c r="AC1091" s="107" t="inlineStr">
        <is>
          <t>Manual de Operaciones</t>
        </is>
      </c>
    </row>
    <row r="1092">
      <c r="A1092" s="96"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c r="Y1092" s="107" t="inlineStr">
        <is>
          <t>Implementado</t>
        </is>
      </c>
      <c r="Z1092" s="107" t="inlineStr">
        <is>
          <t>[PR] Prevención</t>
        </is>
      </c>
      <c r="AA1092" s="107" t="inlineStr">
        <is>
          <t>L5: Optimizado</t>
        </is>
      </c>
      <c r="AB1092" s="107" t="inlineStr">
        <is>
          <t>T2: Fuga de información</t>
        </is>
      </c>
      <c r="AC1092" s="107" t="inlineStr">
        <is>
          <t>Manual de Operaciones</t>
        </is>
      </c>
    </row>
    <row r="1093">
      <c r="A1093" s="96"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c r="Y1093" s="107" t="inlineStr">
        <is>
          <t>Implementado</t>
        </is>
      </c>
      <c r="Z1093" s="107" t="inlineStr">
        <is>
          <t>[PR] Prevención</t>
        </is>
      </c>
      <c r="AA1093" s="107" t="inlineStr">
        <is>
          <t>L2: Reproducible</t>
        </is>
      </c>
      <c r="AB1093" s="107" t="inlineStr">
        <is>
          <t>T2: Fuga de información</t>
        </is>
      </c>
      <c r="AC1093" s="107" t="inlineStr">
        <is>
          <t>Manual de Operaciones</t>
        </is>
      </c>
    </row>
    <row r="1094">
      <c r="A1094" s="96"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c r="Y1094" s="107" t="inlineStr">
        <is>
          <t>Implementado</t>
        </is>
      </c>
      <c r="Z1094" s="107" t="inlineStr">
        <is>
          <t>[PR] Prevención</t>
        </is>
      </c>
      <c r="AA1094" s="107" t="inlineStr">
        <is>
          <t>L5: Optimizado</t>
        </is>
      </c>
      <c r="AB1094" s="107" t="inlineStr">
        <is>
          <t>T2: Fuga de información</t>
        </is>
      </c>
      <c r="AC1094" s="107" t="inlineStr">
        <is>
          <t>Manual de Operaciones</t>
        </is>
      </c>
    </row>
    <row r="1095">
      <c r="A1095" s="96"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c r="Y1095" s="107" t="inlineStr">
        <is>
          <t>Planificado</t>
        </is>
      </c>
      <c r="Z1095" s="107" t="inlineStr">
        <is>
          <t>[PR] Prevención</t>
        </is>
      </c>
      <c r="AA1095" s="107" t="inlineStr">
        <is>
          <t>L5: Optimizado</t>
        </is>
      </c>
      <c r="AB1095" s="107" t="inlineStr">
        <is>
          <t>T2: Fuga de información</t>
        </is>
      </c>
      <c r="AC1095" s="107" t="inlineStr">
        <is>
          <t>Manual de Operaciones</t>
        </is>
      </c>
    </row>
    <row r="1096">
      <c r="A1096" s="96"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c r="Y1096" s="107" t="inlineStr">
        <is>
          <t>Implementado</t>
        </is>
      </c>
      <c r="Z1096" s="107" t="inlineStr">
        <is>
          <t>[PR] Prevención</t>
        </is>
      </c>
      <c r="AA1096" s="107" t="inlineStr">
        <is>
          <t>L4: Gestionado</t>
        </is>
      </c>
      <c r="AB1096" s="107" t="inlineStr">
        <is>
          <t>T2: Fuga de información</t>
        </is>
      </c>
      <c r="AC1096" s="107" t="inlineStr">
        <is>
          <t>Manual de Operaciones</t>
        </is>
      </c>
    </row>
    <row r="1097">
      <c r="A1097" s="96"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c r="Y1097" s="107" t="inlineStr">
        <is>
          <t>Implementado</t>
        </is>
      </c>
      <c r="Z1097" s="107" t="inlineStr">
        <is>
          <t>[PR] Prevención</t>
        </is>
      </c>
      <c r="AA1097" s="107" t="inlineStr">
        <is>
          <t>L4: Gestionado</t>
        </is>
      </c>
      <c r="AB1097" s="107" t="inlineStr">
        <is>
          <t>T2: Fuga de información</t>
        </is>
      </c>
      <c r="AC1097" s="107" t="inlineStr">
        <is>
          <t>Manual de Operaciones</t>
        </is>
      </c>
    </row>
    <row r="1098">
      <c r="A1098" s="96"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c r="Y1098" s="107" t="inlineStr">
        <is>
          <t>Implementado</t>
        </is>
      </c>
      <c r="Z1098" s="107" t="inlineStr">
        <is>
          <t>[PR] Prevención</t>
        </is>
      </c>
      <c r="AA1098" s="107" t="inlineStr">
        <is>
          <t>L3: Proceso Definido</t>
        </is>
      </c>
      <c r="AB1098" s="107" t="inlineStr">
        <is>
          <t>T2: Fuga de información</t>
        </is>
      </c>
      <c r="AC1098" s="107" t="inlineStr">
        <is>
          <t>Manual de Operaciones</t>
        </is>
      </c>
    </row>
    <row r="1099">
      <c r="A1099" s="96"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c r="Y1099" s="107" t="inlineStr">
        <is>
          <t>No Implementado</t>
        </is>
      </c>
      <c r="Z1099" s="107" t="inlineStr">
        <is>
          <t>[PR] Prevención</t>
        </is>
      </c>
      <c r="AA1099" s="107" t="inlineStr">
        <is>
          <t>L2: Reproducible</t>
        </is>
      </c>
      <c r="AB1099" s="107" t="inlineStr">
        <is>
          <t>T2: Fuga de información</t>
        </is>
      </c>
      <c r="AC1099" s="107" t="inlineStr">
        <is>
          <t>Manual de Operaciones</t>
        </is>
      </c>
    </row>
    <row r="1100">
      <c r="A1100" s="96"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c r="Y1100" s="107" t="inlineStr">
        <is>
          <t>Implementado</t>
        </is>
      </c>
      <c r="Z1100" s="107" t="inlineStr">
        <is>
          <t>[IM] Minimización</t>
        </is>
      </c>
      <c r="AA1100" s="107" t="inlineStr">
        <is>
          <t>L5: Optimizado</t>
        </is>
      </c>
      <c r="AB1100" s="107" t="inlineStr">
        <is>
          <t>T2: Fuga de información</t>
        </is>
      </c>
      <c r="AC1100" s="107" t="inlineStr">
        <is>
          <t>Registro Físico</t>
        </is>
      </c>
    </row>
    <row r="1101">
      <c r="A1101" s="96"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c r="Y1101" s="107" t="inlineStr">
        <is>
          <t>Implementado</t>
        </is>
      </c>
      <c r="Z1101" s="107" t="inlineStr">
        <is>
          <t>[DR] Disuasión</t>
        </is>
      </c>
      <c r="AA1101" s="107" t="inlineStr">
        <is>
          <t>L4: Gestionado</t>
        </is>
      </c>
      <c r="AB1101" s="107" t="inlineStr">
        <is>
          <t>T2: Fuga de información</t>
        </is>
      </c>
      <c r="AC1101" s="107" t="inlineStr">
        <is>
          <t>Registro Físico</t>
        </is>
      </c>
    </row>
    <row r="1102">
      <c r="A1102" s="96"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c r="Y1102" s="107" t="inlineStr">
        <is>
          <t>Planificado</t>
        </is>
      </c>
      <c r="Z1102" s="107" t="inlineStr">
        <is>
          <t>[PR] Prevención</t>
        </is>
      </c>
      <c r="AA1102" s="107" t="inlineStr">
        <is>
          <t>L3: Proceso Definido</t>
        </is>
      </c>
      <c r="AB1102" s="107" t="inlineStr">
        <is>
          <t>T2: Fuga de información</t>
        </is>
      </c>
      <c r="AC1102" s="107" t="inlineStr">
        <is>
          <t>Manual de Operaciones</t>
        </is>
      </c>
    </row>
    <row r="1103">
      <c r="A1103" s="96"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c r="Y1103" s="107" t="inlineStr">
        <is>
          <t>Implementado</t>
        </is>
      </c>
      <c r="Z1103" s="107" t="inlineStr">
        <is>
          <t>[PR] Prevención</t>
        </is>
      </c>
      <c r="AA1103" s="107" t="inlineStr">
        <is>
          <t>L3: Proceso Definido</t>
        </is>
      </c>
      <c r="AB1103" s="107" t="inlineStr">
        <is>
          <t>T2: Fuga de información</t>
        </is>
      </c>
      <c r="AC1103" s="107" t="inlineStr">
        <is>
          <t>Registro Físico</t>
        </is>
      </c>
    </row>
    <row r="1104">
      <c r="A1104" s="96"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c r="Y1104" s="107" t="inlineStr">
        <is>
          <t>Implementado</t>
        </is>
      </c>
      <c r="Z1104" s="107" t="inlineStr">
        <is>
          <t>[DC] Detección</t>
        </is>
      </c>
      <c r="AA1104" s="107" t="inlineStr">
        <is>
          <t>L2: Reproducible</t>
        </is>
      </c>
      <c r="AB1104" s="107" t="inlineStr">
        <is>
          <t>T2: Fuga de información</t>
        </is>
      </c>
      <c r="AC1104" s="107" t="inlineStr">
        <is>
          <t>Registro Físico</t>
        </is>
      </c>
    </row>
    <row r="1105">
      <c r="A1105" s="96"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c r="Y1105" s="107" t="inlineStr">
        <is>
          <t>En Proceso</t>
        </is>
      </c>
      <c r="Z1105" s="107" t="inlineStr">
        <is>
          <t>[DC] Detección</t>
        </is>
      </c>
      <c r="AA1105" s="107" t="inlineStr">
        <is>
          <t>L2: Reproducible</t>
        </is>
      </c>
      <c r="AB1105" s="107" t="inlineStr">
        <is>
          <t>T2: Fuga de información</t>
        </is>
      </c>
      <c r="AC1105" s="107" t="inlineStr">
        <is>
          <t>Registro Físico</t>
        </is>
      </c>
    </row>
    <row r="1106">
      <c r="A1106" s="96"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c r="Y1106" s="107" t="inlineStr">
        <is>
          <t>Implementado</t>
        </is>
      </c>
      <c r="Z1106" s="107" t="inlineStr">
        <is>
          <t>[DC] Detección</t>
        </is>
      </c>
      <c r="AA1106" s="107" t="inlineStr">
        <is>
          <t>L3: Proceso Definido</t>
        </is>
      </c>
      <c r="AB1106" s="107" t="inlineStr">
        <is>
          <t>T2: Fuga de información</t>
        </is>
      </c>
      <c r="AC1106" s="107" t="inlineStr">
        <is>
          <t>Registro Físico</t>
        </is>
      </c>
    </row>
    <row r="1107">
      <c r="A1107" s="96"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c r="Y1107" s="107" t="inlineStr">
        <is>
          <t>En Proceso</t>
        </is>
      </c>
      <c r="Z1107" s="107" t="inlineStr">
        <is>
          <t>[PR] Prevención</t>
        </is>
      </c>
      <c r="AA1107" s="107" t="inlineStr">
        <is>
          <t>L4: Gestionado</t>
        </is>
      </c>
      <c r="AB1107" s="107" t="inlineStr">
        <is>
          <t>T2: Fuga de información</t>
        </is>
      </c>
      <c r="AC1107" s="107" t="inlineStr">
        <is>
          <t>Manual de Operaciones</t>
        </is>
      </c>
    </row>
    <row r="1108">
      <c r="A1108" s="96"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c r="Y1108" s="107" t="inlineStr">
        <is>
          <t>Implementado</t>
        </is>
      </c>
      <c r="Z1108" s="107" t="inlineStr">
        <is>
          <t>[PR] Prevención</t>
        </is>
      </c>
      <c r="AA1108" s="107" t="inlineStr">
        <is>
          <t>L4: Gestionado</t>
        </is>
      </c>
      <c r="AB1108" s="107" t="inlineStr">
        <is>
          <t>T2: Fuga de información</t>
        </is>
      </c>
      <c r="AC1108" s="107" t="inlineStr">
        <is>
          <t>Manual de Operaciones</t>
        </is>
      </c>
    </row>
    <row r="1109">
      <c r="A1109" s="96"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c r="Y1109" s="107" t="inlineStr">
        <is>
          <t>Implementado</t>
        </is>
      </c>
      <c r="Z1109" s="107" t="inlineStr">
        <is>
          <t>[PR] Prevención</t>
        </is>
      </c>
      <c r="AA1109" s="107" t="inlineStr">
        <is>
          <t>L5: Optimizado</t>
        </is>
      </c>
      <c r="AB1109" s="107" t="inlineStr">
        <is>
          <t>T2: Fuga de información</t>
        </is>
      </c>
      <c r="AC1109" s="107" t="inlineStr">
        <is>
          <t>Manual de Operaciones</t>
        </is>
      </c>
    </row>
    <row r="1110">
      <c r="A1110" s="96"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c r="Y1110" s="107" t="inlineStr">
        <is>
          <t>Implementado</t>
        </is>
      </c>
      <c r="Z1110" s="107" t="inlineStr">
        <is>
          <t>[PR] Prevención</t>
        </is>
      </c>
      <c r="AA1110" s="107" t="inlineStr">
        <is>
          <t>L4: Gestionado</t>
        </is>
      </c>
      <c r="AB1110" s="107" t="inlineStr">
        <is>
          <t>T2: Fuga de información</t>
        </is>
      </c>
      <c r="AC1110" s="107" t="inlineStr">
        <is>
          <t>Manual de Operaciones</t>
        </is>
      </c>
    </row>
    <row r="1111">
      <c r="A1111" s="96"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c r="Y1111" s="107" t="inlineStr">
        <is>
          <t>Implementado</t>
        </is>
      </c>
      <c r="Z1111" s="107" t="inlineStr">
        <is>
          <t>[PR] Prevención</t>
        </is>
      </c>
      <c r="AA1111" s="107" t="inlineStr">
        <is>
          <t>L3: Proceso Definido</t>
        </is>
      </c>
      <c r="AB1111" s="107" t="inlineStr">
        <is>
          <t>T2: Fuga de información</t>
        </is>
      </c>
      <c r="AC1111" s="107" t="inlineStr">
        <is>
          <t>Manual de Operaciones</t>
        </is>
      </c>
    </row>
    <row r="1112">
      <c r="A1112" s="96"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c r="Y1112" s="107" t="inlineStr">
        <is>
          <t>Planificado</t>
        </is>
      </c>
      <c r="Z1112" s="107" t="inlineStr">
        <is>
          <t>[PR] Prevención</t>
        </is>
      </c>
      <c r="AA1112" s="107" t="inlineStr">
        <is>
          <t>L4: Gestionado</t>
        </is>
      </c>
      <c r="AB1112" s="107" t="inlineStr">
        <is>
          <t>T2: Fuga de información</t>
        </is>
      </c>
      <c r="AC1112" s="107" t="inlineStr">
        <is>
          <t>Manual de Operaciones</t>
        </is>
      </c>
    </row>
    <row r="1113">
      <c r="A1113" s="96"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c r="Y1113" s="107" t="inlineStr">
        <is>
          <t>Implementado</t>
        </is>
      </c>
      <c r="Z1113" s="107" t="inlineStr">
        <is>
          <t>[EL] Eliminación</t>
        </is>
      </c>
      <c r="AA1113" s="107" t="inlineStr">
        <is>
          <t>L5: Optimizado</t>
        </is>
      </c>
      <c r="AB1113" s="107" t="inlineStr">
        <is>
          <t>T2: Fuga de información</t>
        </is>
      </c>
      <c r="AC1113" s="107" t="inlineStr">
        <is>
          <t>Registro Físico</t>
        </is>
      </c>
    </row>
    <row r="1114">
      <c r="A1114" s="96"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c r="Y1114" s="107" t="inlineStr">
        <is>
          <t>Implementado</t>
        </is>
      </c>
      <c r="Z1114" s="107" t="inlineStr">
        <is>
          <t>[DR] Disuasión</t>
        </is>
      </c>
      <c r="AA1114" s="107" t="inlineStr">
        <is>
          <t>L5: Optimizado</t>
        </is>
      </c>
      <c r="AB1114" s="107" t="inlineStr">
        <is>
          <t>T2: Fuga de información</t>
        </is>
      </c>
      <c r="AC1114" s="107" t="inlineStr">
        <is>
          <t>Registro Físico</t>
        </is>
      </c>
    </row>
    <row r="1115">
      <c r="A1115" s="96"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c r="Y1115" s="107" t="inlineStr">
        <is>
          <t>En Proceso</t>
        </is>
      </c>
      <c r="Z1115" s="107" t="inlineStr">
        <is>
          <t>[CR] Corrección</t>
        </is>
      </c>
      <c r="AA1115" s="107" t="inlineStr">
        <is>
          <t>L5: Optimizado</t>
        </is>
      </c>
      <c r="AB1115" s="107" t="inlineStr">
        <is>
          <t>T2: Fuga de información</t>
        </is>
      </c>
      <c r="AC1115" s="107" t="inlineStr">
        <is>
          <t>Registro Físico</t>
        </is>
      </c>
    </row>
    <row r="1116">
      <c r="A1116" s="96"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c r="Y1116" s="107" t="inlineStr">
        <is>
          <t>Implementado</t>
        </is>
      </c>
      <c r="Z1116" s="107" t="inlineStr">
        <is>
          <t>[PR] Prevención</t>
        </is>
      </c>
      <c r="AA1116" s="107" t="inlineStr">
        <is>
          <t>L4: Gestionado</t>
        </is>
      </c>
      <c r="AB1116" s="107" t="inlineStr">
        <is>
          <t>T2: Fuga de información</t>
        </is>
      </c>
      <c r="AC1116" s="107" t="inlineStr">
        <is>
          <t>Manual de Operaciones</t>
        </is>
      </c>
    </row>
    <row r="1117">
      <c r="A1117" s="96"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c r="Y1117" s="107" t="inlineStr">
        <is>
          <t>Implementado</t>
        </is>
      </c>
      <c r="Z1117" s="107" t="inlineStr">
        <is>
          <t>[PR] Prevención</t>
        </is>
      </c>
      <c r="AA1117" s="107" t="inlineStr">
        <is>
          <t>L2: Reproducible</t>
        </is>
      </c>
      <c r="AB1117" s="107" t="inlineStr">
        <is>
          <t>T2: Fuga de información</t>
        </is>
      </c>
      <c r="AC1117" s="107" t="inlineStr">
        <is>
          <t>Manual de Operaciones</t>
        </is>
      </c>
    </row>
    <row r="1118">
      <c r="A1118" s="96"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c r="Y1118" s="107" t="inlineStr">
        <is>
          <t>Implementado</t>
        </is>
      </c>
      <c r="Z1118" s="107" t="inlineStr">
        <is>
          <t>[DR] Disuasión</t>
        </is>
      </c>
      <c r="AA1118" s="107" t="inlineStr">
        <is>
          <t>L4: Gestionado</t>
        </is>
      </c>
      <c r="AB1118" s="107" t="inlineStr">
        <is>
          <t>T2: Fuga de información</t>
        </is>
      </c>
      <c r="AC1118" s="107" t="inlineStr">
        <is>
          <t>Registro Físico</t>
        </is>
      </c>
    </row>
    <row r="1119">
      <c r="A1119" s="96"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c r="Y1119" s="107" t="inlineStr">
        <is>
          <t>Implementado</t>
        </is>
      </c>
      <c r="Z1119" s="107" t="inlineStr">
        <is>
          <t>[PR] Prevención</t>
        </is>
      </c>
      <c r="AA1119" s="107" t="inlineStr">
        <is>
          <t>L3: Proceso Definido</t>
        </is>
      </c>
      <c r="AB1119" s="107" t="inlineStr">
        <is>
          <t>T2: Fuga de información</t>
        </is>
      </c>
      <c r="AC1119" s="107" t="inlineStr">
        <is>
          <t>Manual de Operaciones</t>
        </is>
      </c>
    </row>
    <row r="1120">
      <c r="A1120" s="96"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c r="Y1120" s="107" t="inlineStr">
        <is>
          <t>No Implementado</t>
        </is>
      </c>
      <c r="Z1120" s="107" t="inlineStr">
        <is>
          <t>[RC] Recuperación</t>
        </is>
      </c>
      <c r="AA1120" s="107" t="inlineStr">
        <is>
          <t>L4: Gestionado</t>
        </is>
      </c>
      <c r="AB1120" s="107" t="inlineStr">
        <is>
          <t>T1: Accesos no autorizados</t>
        </is>
      </c>
      <c r="AC1120" s="107" t="inlineStr">
        <is>
          <t>Bitácora de Sistemas</t>
        </is>
      </c>
    </row>
    <row r="1121">
      <c r="A1121" s="96"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c r="Y1121" s="107" t="inlineStr">
        <is>
          <t>Implementado</t>
        </is>
      </c>
      <c r="Z1121" s="107" t="inlineStr">
        <is>
          <t>[PR] Prevención</t>
        </is>
      </c>
      <c r="AA1121" s="107" t="inlineStr">
        <is>
          <t>L5: Optimizado</t>
        </is>
      </c>
      <c r="AB1121" s="107" t="inlineStr">
        <is>
          <t>T2: Fuga de información</t>
        </is>
      </c>
      <c r="AC1121" s="107" t="inlineStr">
        <is>
          <t>Manual de Operaciones</t>
        </is>
      </c>
    </row>
    <row r="1122">
      <c r="A1122" s="96"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c r="Y1122" s="107" t="inlineStr">
        <is>
          <t>En Proceso</t>
        </is>
      </c>
      <c r="Z1122" s="107" t="inlineStr">
        <is>
          <t>[PR] Prevención</t>
        </is>
      </c>
      <c r="AA1122" s="107" t="inlineStr">
        <is>
          <t>L3: Proceso Definido</t>
        </is>
      </c>
      <c r="AB1122" s="107" t="inlineStr">
        <is>
          <t>T2: Fuga de información</t>
        </is>
      </c>
      <c r="AC1122" s="107" t="inlineStr">
        <is>
          <t>Manual de Operaciones</t>
        </is>
      </c>
    </row>
    <row r="1123">
      <c r="A1123" s="96"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c r="Y1123" s="107" t="inlineStr">
        <is>
          <t>Implementado</t>
        </is>
      </c>
      <c r="Z1123" s="107" t="inlineStr">
        <is>
          <t>[DR] Disuasión</t>
        </is>
      </c>
      <c r="AA1123" s="107" t="inlineStr">
        <is>
          <t>L2: Reproducible</t>
        </is>
      </c>
      <c r="AB1123" s="107" t="inlineStr">
        <is>
          <t>T1: Accesos no autorizados</t>
        </is>
      </c>
      <c r="AC1123" s="107" t="inlineStr">
        <is>
          <t>Bitácora de Sistemas</t>
        </is>
      </c>
    </row>
    <row r="1124">
      <c r="A1124" s="96"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c r="Y1124" s="107" t="inlineStr">
        <is>
          <t>En Proceso</t>
        </is>
      </c>
      <c r="Z1124" s="107" t="inlineStr">
        <is>
          <t>[PR] Prevención</t>
        </is>
      </c>
      <c r="AA1124" s="107" t="inlineStr">
        <is>
          <t>L5: Optimizado</t>
        </is>
      </c>
      <c r="AB1124" s="107" t="inlineStr">
        <is>
          <t>T2: Fuga de información</t>
        </is>
      </c>
      <c r="AC1124" s="107" t="inlineStr">
        <is>
          <t>Manual de Operaciones</t>
        </is>
      </c>
    </row>
    <row r="1125">
      <c r="A1125" s="96"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c r="Y1125" s="107" t="inlineStr">
        <is>
          <t>Implementado</t>
        </is>
      </c>
      <c r="Z1125" s="107" t="inlineStr">
        <is>
          <t>[DR] Disuasión</t>
        </is>
      </c>
      <c r="AA1125" s="107" t="inlineStr">
        <is>
          <t>L3: Proceso Definido</t>
        </is>
      </c>
      <c r="AB1125" s="107" t="inlineStr">
        <is>
          <t>T2: Fuga de información</t>
        </is>
      </c>
      <c r="AC1125" s="107" t="inlineStr">
        <is>
          <t>Registro Físico</t>
        </is>
      </c>
    </row>
    <row r="1126">
      <c r="A1126" s="96"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c r="Y1126" s="107" t="inlineStr">
        <is>
          <t>Implementado</t>
        </is>
      </c>
      <c r="Z1126" s="107" t="inlineStr">
        <is>
          <t>[EL] Eliminación</t>
        </is>
      </c>
      <c r="AA1126" s="107" t="inlineStr">
        <is>
          <t>L5: Optimizado</t>
        </is>
      </c>
      <c r="AB1126" s="107" t="inlineStr">
        <is>
          <t>T2: Fuga de información</t>
        </is>
      </c>
      <c r="AC1126" s="107" t="inlineStr">
        <is>
          <t>Registro Físico</t>
        </is>
      </c>
    </row>
    <row r="1127">
      <c r="A1127" s="96"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c r="Y1127" s="107" t="inlineStr">
        <is>
          <t>Implementado</t>
        </is>
      </c>
      <c r="Z1127" s="107" t="inlineStr">
        <is>
          <t>[PR] Prevención</t>
        </is>
      </c>
      <c r="AA1127" s="107" t="inlineStr">
        <is>
          <t>L3: Proceso Definido</t>
        </is>
      </c>
      <c r="AB1127" s="107" t="inlineStr">
        <is>
          <t>T1: Accesos no autorizados</t>
        </is>
      </c>
      <c r="AC1127" s="107" t="inlineStr">
        <is>
          <t>Bitácora de Sistemas</t>
        </is>
      </c>
    </row>
    <row r="1128">
      <c r="A1128" s="96"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c r="Y1128" s="107" t="inlineStr">
        <is>
          <t>Implementado</t>
        </is>
      </c>
      <c r="Z1128" s="107" t="inlineStr">
        <is>
          <t>[DC] Detección</t>
        </is>
      </c>
      <c r="AA1128" s="107" t="inlineStr">
        <is>
          <t>L5: Optimizado</t>
        </is>
      </c>
      <c r="AB1128" s="107" t="inlineStr">
        <is>
          <t>T2: Fuga de información</t>
        </is>
      </c>
      <c r="AC1128" s="107" t="inlineStr">
        <is>
          <t>Registro Físico</t>
        </is>
      </c>
    </row>
    <row r="1129">
      <c r="A1129" s="96"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c r="Y1129" s="107" t="inlineStr">
        <is>
          <t>Implementado</t>
        </is>
      </c>
      <c r="Z1129" s="107" t="inlineStr">
        <is>
          <t>[MN] Monitorización</t>
        </is>
      </c>
      <c r="AA1129" s="107" t="inlineStr">
        <is>
          <t>L3: Proceso Definido</t>
        </is>
      </c>
      <c r="AB1129" s="107" t="inlineStr">
        <is>
          <t>T2: Fuga de información</t>
        </is>
      </c>
      <c r="AC1129" s="107" t="inlineStr">
        <is>
          <t>Registro Físico</t>
        </is>
      </c>
    </row>
    <row r="1130">
      <c r="A1130" s="96"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c r="Y1130" s="107" t="inlineStr">
        <is>
          <t>Implementado</t>
        </is>
      </c>
      <c r="Z1130" s="107" t="inlineStr">
        <is>
          <t>[PR] Prevención</t>
        </is>
      </c>
      <c r="AA1130" s="107" t="inlineStr">
        <is>
          <t>L4: Gestionado</t>
        </is>
      </c>
      <c r="AB1130" s="107" t="inlineStr">
        <is>
          <t>T2: Fuga de información</t>
        </is>
      </c>
      <c r="AC1130" s="107" t="inlineStr">
        <is>
          <t>Manual de Operaciones</t>
        </is>
      </c>
    </row>
    <row r="1131">
      <c r="A1131" s="96"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c r="Y1131" s="107" t="inlineStr">
        <is>
          <t>Implementado</t>
        </is>
      </c>
      <c r="Z1131" s="107" t="inlineStr">
        <is>
          <t>[PR] Prevención</t>
        </is>
      </c>
      <c r="AA1131" s="107" t="inlineStr">
        <is>
          <t>L3: Proceso Definido</t>
        </is>
      </c>
      <c r="AB1131" s="107" t="inlineStr">
        <is>
          <t>T2: Fuga de información</t>
        </is>
      </c>
      <c r="AC1131" s="107" t="inlineStr">
        <is>
          <t>Manual de Operaciones</t>
        </is>
      </c>
    </row>
    <row r="1132">
      <c r="A1132" s="96"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c r="Y1132" s="107" t="inlineStr">
        <is>
          <t>Implementado</t>
        </is>
      </c>
      <c r="Z1132" s="107" t="inlineStr">
        <is>
          <t>[PR] Prevención</t>
        </is>
      </c>
      <c r="AA1132" s="107" t="inlineStr">
        <is>
          <t>L3: Proceso Definido</t>
        </is>
      </c>
      <c r="AB1132" s="107" t="inlineStr">
        <is>
          <t>T2: Fuga de información</t>
        </is>
      </c>
      <c r="AC1132" s="107" t="inlineStr">
        <is>
          <t>Manual de Operaciones</t>
        </is>
      </c>
    </row>
    <row r="1133">
      <c r="A1133" s="96"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c r="Y1133" s="107" t="inlineStr">
        <is>
          <t>Implementado</t>
        </is>
      </c>
      <c r="Z1133" s="107" t="inlineStr">
        <is>
          <t>[PR] Prevención</t>
        </is>
      </c>
      <c r="AA1133" s="107" t="inlineStr">
        <is>
          <t>L5: Optimizado</t>
        </is>
      </c>
      <c r="AB1133" s="107" t="inlineStr">
        <is>
          <t>T2: Fuga de información</t>
        </is>
      </c>
      <c r="AC1133" s="107" t="inlineStr">
        <is>
          <t>Manual de Operaciones</t>
        </is>
      </c>
    </row>
    <row r="1134">
      <c r="A1134" s="96"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c r="Y1134" s="107" t="inlineStr">
        <is>
          <t>En Proceso</t>
        </is>
      </c>
      <c r="Z1134" s="107" t="inlineStr">
        <is>
          <t>[IM] Minimización</t>
        </is>
      </c>
      <c r="AA1134" s="107" t="inlineStr">
        <is>
          <t>L4: Gestionado</t>
        </is>
      </c>
      <c r="AB1134" s="107" t="inlineStr">
        <is>
          <t>T2: Fuga de información</t>
        </is>
      </c>
      <c r="AC1134" s="107" t="inlineStr">
        <is>
          <t>Registro Físico</t>
        </is>
      </c>
    </row>
    <row r="1135">
      <c r="A1135" s="96"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c r="Y1135" s="107" t="inlineStr">
        <is>
          <t>Implementado</t>
        </is>
      </c>
      <c r="Z1135" s="107" t="inlineStr">
        <is>
          <t>[IM] Minimización</t>
        </is>
      </c>
      <c r="AA1135" s="107" t="inlineStr">
        <is>
          <t>L5: Optimizado</t>
        </is>
      </c>
      <c r="AB1135" s="107" t="inlineStr">
        <is>
          <t>T2: Fuga de información</t>
        </is>
      </c>
      <c r="AC1135" s="107" t="inlineStr">
        <is>
          <t>Registro Físico</t>
        </is>
      </c>
    </row>
    <row r="1136">
      <c r="A1136" s="96"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c r="Y1136" s="107" t="inlineStr">
        <is>
          <t>Implementado</t>
        </is>
      </c>
      <c r="Z1136" s="107" t="inlineStr">
        <is>
          <t>[PR] Prevención</t>
        </is>
      </c>
      <c r="AA1136" s="107" t="inlineStr">
        <is>
          <t>L3: Proceso Definido</t>
        </is>
      </c>
      <c r="AB1136" s="107" t="inlineStr">
        <is>
          <t>T2: Fuga de información</t>
        </is>
      </c>
      <c r="AC1136" s="107" t="inlineStr">
        <is>
          <t>Manual de Operaciones</t>
        </is>
      </c>
    </row>
    <row r="1137">
      <c r="A1137" s="96"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c r="Y1137" s="107" t="inlineStr">
        <is>
          <t>Implementado</t>
        </is>
      </c>
      <c r="Z1137" s="107" t="inlineStr">
        <is>
          <t>[PR] Prevención</t>
        </is>
      </c>
      <c r="AA1137" s="107" t="inlineStr">
        <is>
          <t>L3: Proceso Definido</t>
        </is>
      </c>
      <c r="AB1137" s="107" t="inlineStr">
        <is>
          <t>T2: Fuga de información</t>
        </is>
      </c>
      <c r="AC1137" s="107" t="inlineStr">
        <is>
          <t>Manual de Operaciones</t>
        </is>
      </c>
    </row>
    <row r="1138">
      <c r="A1138" s="96"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c r="Y1138" s="107" t="inlineStr">
        <is>
          <t>Planificado</t>
        </is>
      </c>
      <c r="Z1138" s="107" t="inlineStr">
        <is>
          <t>[PR] Prevención</t>
        </is>
      </c>
      <c r="AA1138" s="107" t="inlineStr">
        <is>
          <t>L3: Proceso Definido</t>
        </is>
      </c>
      <c r="AB1138" s="107" t="inlineStr">
        <is>
          <t>T2: Fuga de información</t>
        </is>
      </c>
      <c r="AC1138" s="107" t="inlineStr">
        <is>
          <t>Manual de Operaciones</t>
        </is>
      </c>
    </row>
    <row r="1139">
      <c r="A1139" s="96"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c r="Y1139" s="107" t="inlineStr">
        <is>
          <t>Implementado</t>
        </is>
      </c>
      <c r="Z1139" s="107" t="inlineStr">
        <is>
          <t>[PR] Prevención</t>
        </is>
      </c>
      <c r="AA1139" s="107" t="inlineStr">
        <is>
          <t>L2: Reproducible</t>
        </is>
      </c>
      <c r="AB1139" s="107" t="inlineStr">
        <is>
          <t>T2: Fuga de información</t>
        </is>
      </c>
      <c r="AC1139" s="107" t="inlineStr">
        <is>
          <t>Manual de Operaciones</t>
        </is>
      </c>
    </row>
    <row r="1140">
      <c r="A1140" s="96"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c r="Y1140" s="107" t="inlineStr">
        <is>
          <t>Implementado</t>
        </is>
      </c>
      <c r="Z1140" s="107" t="inlineStr">
        <is>
          <t>[PR] Prevención</t>
        </is>
      </c>
      <c r="AA1140" s="107" t="inlineStr">
        <is>
          <t>L3: Proceso Definido</t>
        </is>
      </c>
      <c r="AB1140" s="107" t="inlineStr">
        <is>
          <t>T2: Fuga de información</t>
        </is>
      </c>
      <c r="AC1140" s="107" t="inlineStr">
        <is>
          <t>Manual de Operaciones</t>
        </is>
      </c>
    </row>
    <row r="1141">
      <c r="A1141" s="96"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c r="Y1141" s="107" t="inlineStr">
        <is>
          <t>No Implementado</t>
        </is>
      </c>
      <c r="Z1141" s="107" t="inlineStr">
        <is>
          <t>[PR] Prevención</t>
        </is>
      </c>
      <c r="AA1141" s="107" t="inlineStr">
        <is>
          <t>L3: Proceso Definido</t>
        </is>
      </c>
      <c r="AB1141" s="107" t="inlineStr">
        <is>
          <t>T2: Fuga de información</t>
        </is>
      </c>
      <c r="AC1141" s="107" t="inlineStr">
        <is>
          <t>Manual de Operaciones</t>
        </is>
      </c>
    </row>
    <row r="1142">
      <c r="A1142" s="96"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c r="Y1142" s="107" t="inlineStr">
        <is>
          <t>Implementado</t>
        </is>
      </c>
      <c r="Z1142" s="107" t="inlineStr">
        <is>
          <t>[DC] Detección</t>
        </is>
      </c>
      <c r="AA1142" s="107" t="inlineStr">
        <is>
          <t>L2: Reproducible</t>
        </is>
      </c>
      <c r="AB1142" s="107" t="inlineStr">
        <is>
          <t>T2: Fuga de información</t>
        </is>
      </c>
      <c r="AC1142" s="107" t="inlineStr">
        <is>
          <t>Registro Físico</t>
        </is>
      </c>
    </row>
    <row r="1143">
      <c r="A1143" s="96"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c r="Y1143" s="107" t="inlineStr">
        <is>
          <t>Implementado</t>
        </is>
      </c>
      <c r="Z1143" s="107" t="inlineStr">
        <is>
          <t>[DR] Disuasión</t>
        </is>
      </c>
      <c r="AA1143" s="107" t="inlineStr">
        <is>
          <t>L2: Reproducible</t>
        </is>
      </c>
      <c r="AB1143" s="107" t="inlineStr">
        <is>
          <t>T2: Fuga de información</t>
        </is>
      </c>
      <c r="AC1143" s="107" t="inlineStr">
        <is>
          <t>Registro Físico</t>
        </is>
      </c>
    </row>
    <row r="1144">
      <c r="A1144" s="96"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c r="Y1144" s="107" t="inlineStr">
        <is>
          <t>Planificado</t>
        </is>
      </c>
      <c r="Z1144" s="107" t="inlineStr">
        <is>
          <t>[RC] Recuperación</t>
        </is>
      </c>
      <c r="AA1144" s="107" t="inlineStr">
        <is>
          <t>L3: Proceso Definido</t>
        </is>
      </c>
      <c r="AB1144" s="107" t="inlineStr">
        <is>
          <t>T2: Fuga de información</t>
        </is>
      </c>
      <c r="AC1144" s="107" t="inlineStr">
        <is>
          <t>Registro Físico</t>
        </is>
      </c>
    </row>
    <row r="1145">
      <c r="A1145" s="96"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c r="Y1145" s="107" t="inlineStr">
        <is>
          <t>No Implementado</t>
        </is>
      </c>
      <c r="Z1145" s="107" t="inlineStr">
        <is>
          <t>[PR] Prevención</t>
        </is>
      </c>
      <c r="AA1145" s="107" t="inlineStr">
        <is>
          <t>L2: Reproducible</t>
        </is>
      </c>
      <c r="AB1145" s="107" t="inlineStr">
        <is>
          <t>T2: Fuga de información</t>
        </is>
      </c>
      <c r="AC1145" s="107" t="inlineStr">
        <is>
          <t>Manual de Operaciones</t>
        </is>
      </c>
    </row>
    <row r="1146">
      <c r="A1146" s="96"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c r="Y1146" s="107" t="inlineStr">
        <is>
          <t>Implementado</t>
        </is>
      </c>
      <c r="Z1146" s="107" t="inlineStr">
        <is>
          <t>[PR] Prevención</t>
        </is>
      </c>
      <c r="AA1146" s="107" t="inlineStr">
        <is>
          <t>L4: Gestionado</t>
        </is>
      </c>
      <c r="AB1146" s="107" t="inlineStr">
        <is>
          <t>T2: Fuga de información</t>
        </is>
      </c>
      <c r="AC1146" s="107" t="inlineStr">
        <is>
          <t>Manual de Operaciones</t>
        </is>
      </c>
    </row>
    <row r="1147">
      <c r="A1147" s="96"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c r="Y1147" s="107" t="inlineStr">
        <is>
          <t>Implementado</t>
        </is>
      </c>
      <c r="Z1147" s="107" t="inlineStr">
        <is>
          <t>[DC] Detección</t>
        </is>
      </c>
      <c r="AA1147" s="107" t="inlineStr">
        <is>
          <t>L5: Optimizado</t>
        </is>
      </c>
      <c r="AB1147" s="107" t="inlineStr">
        <is>
          <t>T2: Fuga de información</t>
        </is>
      </c>
      <c r="AC1147" s="107" t="inlineStr">
        <is>
          <t>Registro Físico</t>
        </is>
      </c>
    </row>
    <row r="1148">
      <c r="A1148" s="96"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c r="Y1148" s="107" t="inlineStr">
        <is>
          <t>En Proceso</t>
        </is>
      </c>
      <c r="Z1148" s="107" t="inlineStr">
        <is>
          <t>[CR] Corrección</t>
        </is>
      </c>
      <c r="AA1148" s="107" t="inlineStr">
        <is>
          <t>L3: Proceso Definido</t>
        </is>
      </c>
      <c r="AB1148" s="107" t="inlineStr">
        <is>
          <t>T2: Fuga de información</t>
        </is>
      </c>
      <c r="AC1148" s="107" t="inlineStr">
        <is>
          <t>Registro Físico</t>
        </is>
      </c>
    </row>
    <row r="1149">
      <c r="A1149" s="96"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c r="Y1149" s="107" t="inlineStr">
        <is>
          <t>Implementado</t>
        </is>
      </c>
      <c r="Z1149" s="107" t="inlineStr">
        <is>
          <t>[PR] Prevención</t>
        </is>
      </c>
      <c r="AA1149" s="107" t="inlineStr">
        <is>
          <t>L5: Optimizado</t>
        </is>
      </c>
      <c r="AB1149" s="107" t="inlineStr">
        <is>
          <t>T2: Fuga de información</t>
        </is>
      </c>
      <c r="AC1149" s="107" t="inlineStr">
        <is>
          <t>Manual de Operaciones</t>
        </is>
      </c>
    </row>
    <row r="1150">
      <c r="A1150" s="96"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c r="Y1150" s="107" t="inlineStr">
        <is>
          <t>Planificado</t>
        </is>
      </c>
      <c r="Z1150" s="107" t="inlineStr">
        <is>
          <t>[PR] Prevención</t>
        </is>
      </c>
      <c r="AA1150" s="107" t="inlineStr">
        <is>
          <t>L3: Proceso Definido</t>
        </is>
      </c>
      <c r="AB1150" s="107" t="inlineStr">
        <is>
          <t>T2: Fuga de información</t>
        </is>
      </c>
      <c r="AC1150" s="107" t="inlineStr">
        <is>
          <t>Manual de Operaciones</t>
        </is>
      </c>
    </row>
    <row r="1151">
      <c r="A1151" s="96"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c r="Y1151" s="107" t="inlineStr">
        <is>
          <t>Implementado</t>
        </is>
      </c>
      <c r="Z1151" s="107" t="inlineStr">
        <is>
          <t>[PR] Prevención</t>
        </is>
      </c>
      <c r="AA1151" s="107" t="inlineStr">
        <is>
          <t>L2: Reproducible</t>
        </is>
      </c>
      <c r="AB1151" s="107" t="inlineStr">
        <is>
          <t>T2: Fuga de información</t>
        </is>
      </c>
      <c r="AC1151" s="107" t="inlineStr">
        <is>
          <t>Manual de Operaciones</t>
        </is>
      </c>
    </row>
    <row r="1152">
      <c r="A1152" s="96"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c r="Y1152" s="107" t="inlineStr">
        <is>
          <t>Implementado</t>
        </is>
      </c>
      <c r="Z1152" s="107" t="inlineStr">
        <is>
          <t>[PR] Prevención</t>
        </is>
      </c>
      <c r="AA1152" s="107" t="inlineStr">
        <is>
          <t>L2: Reproducible</t>
        </is>
      </c>
      <c r="AB1152" s="107" t="inlineStr">
        <is>
          <t>T2: Fuga de información</t>
        </is>
      </c>
      <c r="AC1152" s="107" t="inlineStr">
        <is>
          <t>Manual de Operaciones</t>
        </is>
      </c>
    </row>
    <row r="1153">
      <c r="A1153" s="96"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c r="Y1153" s="107" t="inlineStr">
        <is>
          <t>No Implementado</t>
        </is>
      </c>
      <c r="Z1153" s="107" t="inlineStr">
        <is>
          <t>[PR] Prevención</t>
        </is>
      </c>
      <c r="AA1153" s="107" t="inlineStr">
        <is>
          <t>L5: Optimizado</t>
        </is>
      </c>
      <c r="AB1153" s="107" t="inlineStr">
        <is>
          <t>T2: Fuga de información</t>
        </is>
      </c>
      <c r="AC1153" s="107" t="inlineStr">
        <is>
          <t>Manual de Operaciones</t>
        </is>
      </c>
    </row>
    <row r="1154">
      <c r="A1154" s="96"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c r="Y1154" s="107" t="inlineStr">
        <is>
          <t>Implementado</t>
        </is>
      </c>
      <c r="Z1154" s="107" t="inlineStr">
        <is>
          <t>[PR] Prevención</t>
        </is>
      </c>
      <c r="AA1154" s="107" t="inlineStr">
        <is>
          <t>L3: Proceso Definido</t>
        </is>
      </c>
      <c r="AB1154" s="107" t="inlineStr">
        <is>
          <t>T2: Fuga de información</t>
        </is>
      </c>
      <c r="AC1154" s="107" t="inlineStr">
        <is>
          <t>Manual de Operaciones</t>
        </is>
      </c>
    </row>
    <row r="1155">
      <c r="A1155" s="96"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c r="Y1155" s="107" t="inlineStr">
        <is>
          <t>No Implementado</t>
        </is>
      </c>
      <c r="Z1155" s="107" t="inlineStr">
        <is>
          <t>[PR] Prevención</t>
        </is>
      </c>
      <c r="AA1155" s="107" t="inlineStr">
        <is>
          <t>L2: Reproducible</t>
        </is>
      </c>
      <c r="AB1155" s="107" t="inlineStr">
        <is>
          <t>T2: Fuga de información</t>
        </is>
      </c>
      <c r="AC1155" s="107" t="inlineStr">
        <is>
          <t>Manual de Operaciones</t>
        </is>
      </c>
    </row>
    <row r="1156">
      <c r="A1156" s="96"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c r="Y1156" s="107" t="inlineStr">
        <is>
          <t>Implementado</t>
        </is>
      </c>
      <c r="Z1156" s="107" t="inlineStr">
        <is>
          <t>[PR] Prevención</t>
        </is>
      </c>
      <c r="AA1156" s="107" t="inlineStr">
        <is>
          <t>L5: Optimizado</t>
        </is>
      </c>
      <c r="AB1156" s="107" t="inlineStr">
        <is>
          <t>T2: Fuga de información</t>
        </is>
      </c>
      <c r="AC1156" s="107" t="inlineStr">
        <is>
          <t>Manual de Operaciones</t>
        </is>
      </c>
    </row>
    <row r="1157">
      <c r="A1157" s="96"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c r="Y1157" s="107" t="inlineStr">
        <is>
          <t>Implementado</t>
        </is>
      </c>
      <c r="Z1157" s="107" t="inlineStr">
        <is>
          <t>[PR] Prevención</t>
        </is>
      </c>
      <c r="AA1157" s="107" t="inlineStr">
        <is>
          <t>L5: Optimizado</t>
        </is>
      </c>
      <c r="AB1157" s="107" t="inlineStr">
        <is>
          <t>T2: Fuga de información</t>
        </is>
      </c>
      <c r="AC1157" s="107" t="inlineStr">
        <is>
          <t>Manual de Operaciones</t>
        </is>
      </c>
    </row>
    <row r="1158">
      <c r="A1158" s="96"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c r="Y1158" s="107" t="inlineStr">
        <is>
          <t>Planificado</t>
        </is>
      </c>
      <c r="Z1158" s="107" t="inlineStr">
        <is>
          <t>[PR] Prevención</t>
        </is>
      </c>
      <c r="AA1158" s="107" t="inlineStr">
        <is>
          <t>L4: Gestionado</t>
        </is>
      </c>
      <c r="AB1158" s="107" t="inlineStr">
        <is>
          <t>T2: Fuga de información</t>
        </is>
      </c>
      <c r="AC1158" s="107" t="inlineStr">
        <is>
          <t>Manual de Operaciones</t>
        </is>
      </c>
    </row>
    <row r="1159">
      <c r="A1159" s="96"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c r="Y1159" s="107" t="inlineStr">
        <is>
          <t>Implementado</t>
        </is>
      </c>
      <c r="Z1159" s="107" t="inlineStr">
        <is>
          <t>[PR] Prevención</t>
        </is>
      </c>
      <c r="AA1159" s="107" t="inlineStr">
        <is>
          <t>L3: Proceso Definido</t>
        </is>
      </c>
      <c r="AB1159" s="107" t="inlineStr">
        <is>
          <t>T2: Fuga de información</t>
        </is>
      </c>
      <c r="AC1159" s="107" t="inlineStr">
        <is>
          <t>Manual de Operaciones</t>
        </is>
      </c>
    </row>
    <row r="1160">
      <c r="A1160" s="96"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c r="Y1160" s="107" t="inlineStr">
        <is>
          <t>Implementado</t>
        </is>
      </c>
      <c r="Z1160" s="107" t="inlineStr">
        <is>
          <t>[PR] Prevención</t>
        </is>
      </c>
      <c r="AA1160" s="107" t="inlineStr">
        <is>
          <t>L2: Reproducible</t>
        </is>
      </c>
      <c r="AB1160" s="107" t="inlineStr">
        <is>
          <t>T2: Fuga de información</t>
        </is>
      </c>
      <c r="AC1160" s="107" t="inlineStr">
        <is>
          <t>Manual de Operaciones</t>
        </is>
      </c>
    </row>
    <row r="1161">
      <c r="A1161" s="96"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c r="Y1161" s="107" t="inlineStr">
        <is>
          <t>Implementado</t>
        </is>
      </c>
      <c r="Z1161" s="107" t="inlineStr">
        <is>
          <t>[PR] Prevención</t>
        </is>
      </c>
      <c r="AA1161" s="107" t="inlineStr">
        <is>
          <t>L5: Optimizado</t>
        </is>
      </c>
      <c r="AB1161" s="107" t="inlineStr">
        <is>
          <t>T2: Fuga de información</t>
        </is>
      </c>
      <c r="AC1161" s="107" t="inlineStr">
        <is>
          <t>Manual de Operaciones</t>
        </is>
      </c>
    </row>
    <row r="1162">
      <c r="A1162" s="96"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c r="Y1162" s="107" t="inlineStr">
        <is>
          <t>No Implementado</t>
        </is>
      </c>
      <c r="Z1162" s="107" t="inlineStr">
        <is>
          <t>[PR] Prevención</t>
        </is>
      </c>
      <c r="AA1162" s="107" t="inlineStr">
        <is>
          <t>L2: Reproducible</t>
        </is>
      </c>
      <c r="AB1162" s="107" t="inlineStr">
        <is>
          <t>T2: Fuga de información</t>
        </is>
      </c>
      <c r="AC1162" s="107" t="inlineStr">
        <is>
          <t>Manual de Operaciones</t>
        </is>
      </c>
    </row>
    <row r="1163">
      <c r="A1163" s="96"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c r="Y1163" s="107" t="inlineStr">
        <is>
          <t>Implementado</t>
        </is>
      </c>
      <c r="Z1163" s="107" t="inlineStr">
        <is>
          <t>[PR] Prevención</t>
        </is>
      </c>
      <c r="AA1163" s="107" t="inlineStr">
        <is>
          <t>L3: Proceso Definido</t>
        </is>
      </c>
      <c r="AB1163" s="107" t="inlineStr">
        <is>
          <t>T2: Fuga de información</t>
        </is>
      </c>
      <c r="AC1163" s="107" t="inlineStr">
        <is>
          <t>Manual de Operaciones</t>
        </is>
      </c>
    </row>
    <row r="1164">
      <c r="A1164" s="96"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c r="Y1164" s="107" t="inlineStr">
        <is>
          <t>Implementado</t>
        </is>
      </c>
      <c r="Z1164" s="107" t="inlineStr">
        <is>
          <t>[PR] Prevención</t>
        </is>
      </c>
      <c r="AA1164" s="107" t="inlineStr">
        <is>
          <t>L3: Proceso Definido</t>
        </is>
      </c>
      <c r="AB1164" s="107" t="inlineStr">
        <is>
          <t>T2: Fuga de información</t>
        </is>
      </c>
      <c r="AC1164" s="107" t="inlineStr">
        <is>
          <t>Manual de Operaciones</t>
        </is>
      </c>
    </row>
    <row r="1165">
      <c r="A1165" s="96"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c r="Y1165" s="107" t="inlineStr">
        <is>
          <t>Implementado</t>
        </is>
      </c>
      <c r="Z1165" s="107" t="inlineStr">
        <is>
          <t>[PR] Prevención</t>
        </is>
      </c>
      <c r="AA1165" s="107" t="inlineStr">
        <is>
          <t>L3: Proceso Definido</t>
        </is>
      </c>
      <c r="AB1165" s="107" t="inlineStr">
        <is>
          <t>T2: Fuga de información</t>
        </is>
      </c>
      <c r="AC1165" s="107" t="inlineStr">
        <is>
          <t>Manual de Operaciones</t>
        </is>
      </c>
    </row>
    <row r="1166">
      <c r="A1166" s="96"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c r="Y1166" s="107" t="inlineStr">
        <is>
          <t>Implementado</t>
        </is>
      </c>
      <c r="Z1166" s="107" t="inlineStr">
        <is>
          <t>[PR] Prevención</t>
        </is>
      </c>
      <c r="AA1166" s="107" t="inlineStr">
        <is>
          <t>L3: Proceso Definido</t>
        </is>
      </c>
      <c r="AB1166" s="107" t="inlineStr">
        <is>
          <t>T2: Fuga de información</t>
        </is>
      </c>
      <c r="AC1166" s="107" t="inlineStr">
        <is>
          <t>Manual de Operaciones</t>
        </is>
      </c>
    </row>
    <row r="1167">
      <c r="A1167" s="96"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c r="Y1167" s="107" t="inlineStr">
        <is>
          <t>En Proceso</t>
        </is>
      </c>
      <c r="Z1167" s="107" t="inlineStr">
        <is>
          <t>[PR] Prevención</t>
        </is>
      </c>
      <c r="AA1167" s="107" t="inlineStr">
        <is>
          <t>L5: Optimizado</t>
        </is>
      </c>
      <c r="AB1167" s="107" t="inlineStr">
        <is>
          <t>T2: Fuga de información</t>
        </is>
      </c>
      <c r="AC1167" s="107" t="inlineStr">
        <is>
          <t>Manual de Operaciones</t>
        </is>
      </c>
    </row>
    <row r="1168">
      <c r="A1168" s="96"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c r="Y1168" s="107" t="inlineStr">
        <is>
          <t>Implementado</t>
        </is>
      </c>
      <c r="Z1168" s="107" t="inlineStr">
        <is>
          <t>[PR] Prevención</t>
        </is>
      </c>
      <c r="AA1168" s="107" t="inlineStr">
        <is>
          <t>L2: Reproducible</t>
        </is>
      </c>
      <c r="AB1168" s="107" t="inlineStr">
        <is>
          <t>T2: Fuga de información</t>
        </is>
      </c>
      <c r="AC1168" s="107" t="inlineStr">
        <is>
          <t>Manual de Operaciones</t>
        </is>
      </c>
    </row>
    <row r="1169">
      <c r="A1169" s="96"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c r="Y1169" s="107" t="inlineStr">
        <is>
          <t>Implementado</t>
        </is>
      </c>
      <c r="Z1169" s="107" t="inlineStr">
        <is>
          <t>[PR] Prevención</t>
        </is>
      </c>
      <c r="AA1169" s="107" t="inlineStr">
        <is>
          <t>L3: Proceso Definido</t>
        </is>
      </c>
      <c r="AB1169" s="107" t="inlineStr">
        <is>
          <t>T2: Fuga de información</t>
        </is>
      </c>
      <c r="AC1169" s="107" t="inlineStr">
        <is>
          <t>Manual de Operaciones</t>
        </is>
      </c>
    </row>
    <row r="1170">
      <c r="A1170" s="96"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c r="Y1170" s="107" t="inlineStr">
        <is>
          <t>En Proceso</t>
        </is>
      </c>
      <c r="Z1170" s="107" t="inlineStr">
        <is>
          <t>[PR] Prevención</t>
        </is>
      </c>
      <c r="AA1170" s="107" t="inlineStr">
        <is>
          <t>L5: Optimizado</t>
        </is>
      </c>
      <c r="AB1170" s="107" t="inlineStr">
        <is>
          <t>T2: Fuga de información</t>
        </is>
      </c>
      <c r="AC1170" s="107" t="inlineStr">
        <is>
          <t>Manual de Operaciones</t>
        </is>
      </c>
    </row>
    <row r="1171">
      <c r="A1171" s="96"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c r="Y1171" s="107" t="inlineStr">
        <is>
          <t>Implementado</t>
        </is>
      </c>
      <c r="Z1171" s="107" t="inlineStr">
        <is>
          <t>[PR] Prevención</t>
        </is>
      </c>
      <c r="AA1171" s="107" t="inlineStr">
        <is>
          <t>L4: Gestionado</t>
        </is>
      </c>
      <c r="AB1171" s="107" t="inlineStr">
        <is>
          <t>T2: Fuga de información</t>
        </is>
      </c>
      <c r="AC1171" s="107" t="inlineStr">
        <is>
          <t>Manual de Operaciones</t>
        </is>
      </c>
    </row>
    <row r="1172">
      <c r="A1172" s="96"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c r="Y1172" s="107" t="inlineStr">
        <is>
          <t>Implementado</t>
        </is>
      </c>
      <c r="Z1172" s="107" t="inlineStr">
        <is>
          <t>[PR] Prevención</t>
        </is>
      </c>
      <c r="AA1172" s="107" t="inlineStr">
        <is>
          <t>L2: Reproducible</t>
        </is>
      </c>
      <c r="AB1172" s="107" t="inlineStr">
        <is>
          <t>T2: Fuga de información</t>
        </is>
      </c>
      <c r="AC1172" s="107" t="inlineStr">
        <is>
          <t>Manual de Operaciones</t>
        </is>
      </c>
    </row>
    <row r="1173">
      <c r="A1173" s="96"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c r="Y1173" s="107" t="inlineStr">
        <is>
          <t>Implementado</t>
        </is>
      </c>
      <c r="Z1173" s="107" t="inlineStr">
        <is>
          <t>[PR] Prevención</t>
        </is>
      </c>
      <c r="AA1173" s="107" t="inlineStr">
        <is>
          <t>L2: Reproducible</t>
        </is>
      </c>
      <c r="AB1173" s="107" t="inlineStr">
        <is>
          <t>T2: Fuga de información</t>
        </is>
      </c>
      <c r="AC1173" s="107" t="inlineStr">
        <is>
          <t>Manual de Operaciones</t>
        </is>
      </c>
    </row>
    <row r="1174">
      <c r="A1174" s="96"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c r="Y1174" s="107" t="inlineStr">
        <is>
          <t>En Proceso</t>
        </is>
      </c>
      <c r="Z1174" s="107" t="inlineStr">
        <is>
          <t>[PR] Prevención</t>
        </is>
      </c>
      <c r="AA1174" s="107" t="inlineStr">
        <is>
          <t>L4: Gestionado</t>
        </is>
      </c>
      <c r="AB1174" s="107" t="inlineStr">
        <is>
          <t>T2: Fuga de información</t>
        </is>
      </c>
      <c r="AC1174" s="107" t="inlineStr">
        <is>
          <t>Manual de Operaciones</t>
        </is>
      </c>
    </row>
    <row r="1175">
      <c r="A1175" s="96"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c r="Y1175" s="107" t="inlineStr">
        <is>
          <t>Implementado</t>
        </is>
      </c>
      <c r="Z1175" s="107" t="inlineStr">
        <is>
          <t>[PR] Prevención</t>
        </is>
      </c>
      <c r="AA1175" s="107" t="inlineStr">
        <is>
          <t>L5: Optimizado</t>
        </is>
      </c>
      <c r="AB1175" s="107" t="inlineStr">
        <is>
          <t>T2: Fuga de información</t>
        </is>
      </c>
      <c r="AC1175" s="107" t="inlineStr">
        <is>
          <t>Manual de Operaciones</t>
        </is>
      </c>
    </row>
    <row r="1176">
      <c r="A1176" s="96"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c r="Y1176" s="107" t="inlineStr">
        <is>
          <t>Implementado</t>
        </is>
      </c>
      <c r="Z1176" s="107" t="inlineStr">
        <is>
          <t>[PR] Prevención</t>
        </is>
      </c>
      <c r="AA1176" s="107" t="inlineStr">
        <is>
          <t>L4: Gestionado</t>
        </is>
      </c>
      <c r="AB1176" s="107" t="inlineStr">
        <is>
          <t>T2: Fuga de información</t>
        </is>
      </c>
      <c r="AC1176" s="107" t="inlineStr">
        <is>
          <t>Manual de Operaciones</t>
        </is>
      </c>
    </row>
    <row r="1177">
      <c r="A1177" s="96"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c r="Y1177" s="107" t="inlineStr">
        <is>
          <t>Planificado</t>
        </is>
      </c>
      <c r="Z1177" s="107" t="inlineStr">
        <is>
          <t>[PR] Prevención</t>
        </is>
      </c>
      <c r="AA1177" s="107" t="inlineStr">
        <is>
          <t>L5: Optimizado</t>
        </is>
      </c>
      <c r="AB1177" s="107" t="inlineStr">
        <is>
          <t>T2: Fuga de información</t>
        </is>
      </c>
      <c r="AC1177" s="107" t="inlineStr">
        <is>
          <t>Manual de Operaciones</t>
        </is>
      </c>
    </row>
    <row r="1178">
      <c r="A1178" s="96"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c r="Y1178" s="107" t="inlineStr">
        <is>
          <t>Implementado</t>
        </is>
      </c>
      <c r="Z1178" s="107" t="inlineStr">
        <is>
          <t>[PR] Prevención</t>
        </is>
      </c>
      <c r="AA1178" s="107" t="inlineStr">
        <is>
          <t>L5: Optimizado</t>
        </is>
      </c>
      <c r="AB1178" s="107" t="inlineStr">
        <is>
          <t>T2: Fuga de información</t>
        </is>
      </c>
      <c r="AC1178" s="107" t="inlineStr">
        <is>
          <t>Manual de Operaciones</t>
        </is>
      </c>
    </row>
    <row r="1179">
      <c r="A1179" s="96"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c r="Y1179" s="107" t="inlineStr">
        <is>
          <t>Implementado</t>
        </is>
      </c>
      <c r="Z1179" s="107" t="inlineStr">
        <is>
          <t>[PR] Prevención</t>
        </is>
      </c>
      <c r="AA1179" s="107" t="inlineStr">
        <is>
          <t>L3: Proceso Definido</t>
        </is>
      </c>
      <c r="AB1179" s="107" t="inlineStr">
        <is>
          <t>T2: Fuga de información</t>
        </is>
      </c>
      <c r="AC1179" s="107" t="inlineStr">
        <is>
          <t>Manual de Operaciones</t>
        </is>
      </c>
    </row>
    <row r="1180">
      <c r="A1180" s="96"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c r="Y1180" s="107" t="inlineStr">
        <is>
          <t>Implementado</t>
        </is>
      </c>
      <c r="Z1180" s="107" t="inlineStr">
        <is>
          <t>[PR] Prevención</t>
        </is>
      </c>
      <c r="AA1180" s="107" t="inlineStr">
        <is>
          <t>L3: Proceso Definido</t>
        </is>
      </c>
      <c r="AB1180" s="107" t="inlineStr">
        <is>
          <t>T2: Fuga de información</t>
        </is>
      </c>
      <c r="AC1180" s="107" t="inlineStr">
        <is>
          <t>Manual de Operaciones</t>
        </is>
      </c>
    </row>
    <row r="1181">
      <c r="A1181" s="96"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c r="Y1181" s="107" t="inlineStr">
        <is>
          <t>Implementado</t>
        </is>
      </c>
      <c r="Z1181" s="107" t="inlineStr">
        <is>
          <t>[PR] Prevención</t>
        </is>
      </c>
      <c r="AA1181" s="107" t="inlineStr">
        <is>
          <t>L4: Gestionado</t>
        </is>
      </c>
      <c r="AB1181" s="107" t="inlineStr">
        <is>
          <t>T2: Fuga de información</t>
        </is>
      </c>
      <c r="AC1181" s="107" t="inlineStr">
        <is>
          <t>Manual de Operaciones</t>
        </is>
      </c>
    </row>
    <row r="1182">
      <c r="A1182" s="96"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c r="Y1182" s="107" t="inlineStr">
        <is>
          <t>En Proceso</t>
        </is>
      </c>
      <c r="Z1182" s="107" t="inlineStr">
        <is>
          <t>[PR] Prevención</t>
        </is>
      </c>
      <c r="AA1182" s="107" t="inlineStr">
        <is>
          <t>L2: Reproducible</t>
        </is>
      </c>
      <c r="AB1182" s="107" t="inlineStr">
        <is>
          <t>T2: Fuga de información</t>
        </is>
      </c>
      <c r="AC1182" s="107" t="inlineStr">
        <is>
          <t>Manual de Operaciones</t>
        </is>
      </c>
    </row>
    <row r="1183">
      <c r="A1183" s="96"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c r="Y1183" s="107" t="inlineStr">
        <is>
          <t>Implementado</t>
        </is>
      </c>
      <c r="Z1183" s="107" t="inlineStr">
        <is>
          <t>[PR] Prevención</t>
        </is>
      </c>
      <c r="AA1183" s="107" t="inlineStr">
        <is>
          <t>L2: Reproducible</t>
        </is>
      </c>
      <c r="AB1183" s="107" t="inlineStr">
        <is>
          <t>T2: Fuga de información</t>
        </is>
      </c>
      <c r="AC1183" s="107" t="inlineStr">
        <is>
          <t>Manual de Operaciones</t>
        </is>
      </c>
    </row>
    <row r="1184">
      <c r="A1184" s="96"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c r="Y1184" s="107" t="inlineStr">
        <is>
          <t>Implementado</t>
        </is>
      </c>
      <c r="Z1184" s="107" t="inlineStr">
        <is>
          <t>[PR] Prevención</t>
        </is>
      </c>
      <c r="AA1184" s="107" t="inlineStr">
        <is>
          <t>L5: Optimizado</t>
        </is>
      </c>
      <c r="AB1184" s="107" t="inlineStr">
        <is>
          <t>T2: Fuga de información</t>
        </is>
      </c>
      <c r="AC1184" s="107" t="inlineStr">
        <is>
          <t>Manual de Operaciones</t>
        </is>
      </c>
    </row>
    <row r="1185">
      <c r="A1185" s="96"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c r="Y1185" s="107" t="inlineStr">
        <is>
          <t>En Proceso</t>
        </is>
      </c>
      <c r="Z1185" s="107" t="inlineStr">
        <is>
          <t>[PR] Prevención</t>
        </is>
      </c>
      <c r="AA1185" s="107" t="inlineStr">
        <is>
          <t>L4: Gestionado</t>
        </is>
      </c>
      <c r="AB1185" s="107" t="inlineStr">
        <is>
          <t>T2: Fuga de información</t>
        </is>
      </c>
      <c r="AC1185" s="107" t="inlineStr">
        <is>
          <t>Manual de Operaciones</t>
        </is>
      </c>
    </row>
    <row r="1186">
      <c r="A1186" s="96"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c r="Y1186" s="107" t="inlineStr">
        <is>
          <t>Implementado</t>
        </is>
      </c>
      <c r="Z1186" s="107" t="inlineStr">
        <is>
          <t>[PR] Prevención</t>
        </is>
      </c>
      <c r="AA1186" s="107" t="inlineStr">
        <is>
          <t>L2: Reproducible</t>
        </is>
      </c>
      <c r="AB1186" s="107" t="inlineStr">
        <is>
          <t>T2: Fuga de información</t>
        </is>
      </c>
      <c r="AC1186" s="107" t="inlineStr">
        <is>
          <t>Manual de Operaciones</t>
        </is>
      </c>
    </row>
    <row r="1187">
      <c r="A1187" s="96"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c r="Y1187" s="107" t="inlineStr">
        <is>
          <t>Planificado</t>
        </is>
      </c>
      <c r="Z1187" s="107" t="inlineStr">
        <is>
          <t>[PR] Prevención</t>
        </is>
      </c>
      <c r="AA1187" s="107" t="inlineStr">
        <is>
          <t>L4: Gestionado</t>
        </is>
      </c>
      <c r="AB1187" s="107" t="inlineStr">
        <is>
          <t>T2: Fuga de información</t>
        </is>
      </c>
      <c r="AC1187" s="107" t="inlineStr">
        <is>
          <t>Manual de Operaciones</t>
        </is>
      </c>
    </row>
    <row r="1188">
      <c r="A1188" s="96"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c r="Y1188" s="107" t="inlineStr">
        <is>
          <t>Planificado</t>
        </is>
      </c>
      <c r="Z1188" s="107" t="inlineStr">
        <is>
          <t>[PR] Prevención</t>
        </is>
      </c>
      <c r="AA1188" s="107" t="inlineStr">
        <is>
          <t>L5: Optimizado</t>
        </is>
      </c>
      <c r="AB1188" s="107" t="inlineStr">
        <is>
          <t>T2: Fuga de información</t>
        </is>
      </c>
      <c r="AC1188" s="107" t="inlineStr">
        <is>
          <t>Manual de Operaciones</t>
        </is>
      </c>
    </row>
    <row r="1189">
      <c r="A1189" s="96"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c r="Y1189" s="107" t="inlineStr">
        <is>
          <t>Planificado</t>
        </is>
      </c>
      <c r="Z1189" s="107" t="inlineStr">
        <is>
          <t>[PR] Prevención</t>
        </is>
      </c>
      <c r="AA1189" s="107" t="inlineStr">
        <is>
          <t>L2: Reproducible</t>
        </is>
      </c>
      <c r="AB1189" s="107" t="inlineStr">
        <is>
          <t>T2: Fuga de información</t>
        </is>
      </c>
      <c r="AC1189" s="107" t="inlineStr">
        <is>
          <t>Manual de Operaciones</t>
        </is>
      </c>
    </row>
    <row r="1190">
      <c r="A1190" s="96"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c r="Y1190" s="107" t="inlineStr">
        <is>
          <t>Implementado</t>
        </is>
      </c>
      <c r="Z1190" s="107" t="inlineStr">
        <is>
          <t>[PR] Prevención</t>
        </is>
      </c>
      <c r="AA1190" s="107" t="inlineStr">
        <is>
          <t>L4: Gestionado</t>
        </is>
      </c>
      <c r="AB1190" s="107" t="inlineStr">
        <is>
          <t>T2: Fuga de información</t>
        </is>
      </c>
      <c r="AC1190" s="107" t="inlineStr">
        <is>
          <t>Manual de Operaciones</t>
        </is>
      </c>
    </row>
    <row r="1191">
      <c r="A1191" s="96"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c r="Y1191" s="107" t="inlineStr">
        <is>
          <t>Implementado</t>
        </is>
      </c>
      <c r="Z1191" s="107" t="inlineStr">
        <is>
          <t>[PR] Prevención</t>
        </is>
      </c>
      <c r="AA1191" s="107" t="inlineStr">
        <is>
          <t>L2: Reproducible</t>
        </is>
      </c>
      <c r="AB1191" s="107" t="inlineStr">
        <is>
          <t>T2: Fuga de información</t>
        </is>
      </c>
      <c r="AC1191" s="107" t="inlineStr">
        <is>
          <t>Manual de Operaciones</t>
        </is>
      </c>
    </row>
    <row r="1192">
      <c r="A1192" s="96"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c r="Y1192" s="107" t="inlineStr">
        <is>
          <t>No Implementado</t>
        </is>
      </c>
      <c r="Z1192" s="107" t="inlineStr">
        <is>
          <t>[PR] Prevención</t>
        </is>
      </c>
      <c r="AA1192" s="107" t="inlineStr">
        <is>
          <t>L5: Optimizado</t>
        </is>
      </c>
      <c r="AB1192" s="107" t="inlineStr">
        <is>
          <t>T2: Fuga de información</t>
        </is>
      </c>
      <c r="AC1192" s="107" t="inlineStr">
        <is>
          <t>Manual de Operaciones</t>
        </is>
      </c>
    </row>
    <row r="1193">
      <c r="A1193" s="96"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c r="Y1193" s="107" t="inlineStr">
        <is>
          <t>Implementado</t>
        </is>
      </c>
      <c r="Z1193" s="107" t="inlineStr">
        <is>
          <t>[PR] Prevención</t>
        </is>
      </c>
      <c r="AA1193" s="107" t="inlineStr">
        <is>
          <t>L2: Reproducible</t>
        </is>
      </c>
      <c r="AB1193" s="107" t="inlineStr">
        <is>
          <t>T2: Fuga de información</t>
        </is>
      </c>
      <c r="AC1193" s="107" t="inlineStr">
        <is>
          <t>Manual de Operaciones</t>
        </is>
      </c>
    </row>
    <row r="1194">
      <c r="A1194" s="96"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c r="Y1194" s="107" t="inlineStr">
        <is>
          <t>Implementado</t>
        </is>
      </c>
      <c r="Z1194" s="107" t="inlineStr">
        <is>
          <t>[PR] Prevención</t>
        </is>
      </c>
      <c r="AA1194" s="107" t="inlineStr">
        <is>
          <t>L2: Reproducible</t>
        </is>
      </c>
      <c r="AB1194" s="107" t="inlineStr">
        <is>
          <t>T2: Fuga de información</t>
        </is>
      </c>
      <c r="AC1194" s="107" t="inlineStr">
        <is>
          <t>Manual de Operaciones</t>
        </is>
      </c>
    </row>
    <row r="1195">
      <c r="A1195" s="96"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c r="Y1195" s="107" t="inlineStr">
        <is>
          <t>Implementado</t>
        </is>
      </c>
      <c r="Z1195" s="107" t="inlineStr">
        <is>
          <t>[PR] Prevención</t>
        </is>
      </c>
      <c r="AA1195" s="107" t="inlineStr">
        <is>
          <t>L4: Gestionado</t>
        </is>
      </c>
      <c r="AB1195" s="107" t="inlineStr">
        <is>
          <t>T2: Fuga de información</t>
        </is>
      </c>
      <c r="AC1195" s="107" t="inlineStr">
        <is>
          <t>Manual de Operaciones</t>
        </is>
      </c>
    </row>
    <row r="1196">
      <c r="A1196" s="96"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c r="Y1196" s="107" t="inlineStr">
        <is>
          <t>Implementado</t>
        </is>
      </c>
      <c r="Z1196" s="107" t="inlineStr">
        <is>
          <t>[PR] Prevención</t>
        </is>
      </c>
      <c r="AA1196" s="107" t="inlineStr">
        <is>
          <t>L2: Reproducible</t>
        </is>
      </c>
      <c r="AB1196" s="107" t="inlineStr">
        <is>
          <t>T2: Fuga de información</t>
        </is>
      </c>
      <c r="AC1196" s="107" t="inlineStr">
        <is>
          <t>Manual de Operaciones</t>
        </is>
      </c>
    </row>
    <row r="1197">
      <c r="A1197" s="96"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c r="Y1197" s="107" t="inlineStr">
        <is>
          <t>Implementado</t>
        </is>
      </c>
      <c r="Z1197" s="107" t="inlineStr">
        <is>
          <t>[PR] Prevención</t>
        </is>
      </c>
      <c r="AA1197" s="107" t="inlineStr">
        <is>
          <t>L5: Optimizado</t>
        </is>
      </c>
      <c r="AB1197" s="107" t="inlineStr">
        <is>
          <t>T2: Fuga de información</t>
        </is>
      </c>
      <c r="AC1197" s="107" t="inlineStr">
        <is>
          <t>Manual de Operaciones</t>
        </is>
      </c>
    </row>
    <row r="1198">
      <c r="A1198" s="96"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c r="Y1198" s="107" t="inlineStr">
        <is>
          <t>Implementado</t>
        </is>
      </c>
      <c r="Z1198" s="107" t="inlineStr">
        <is>
          <t>[PR] Prevención</t>
        </is>
      </c>
      <c r="AA1198" s="107" t="inlineStr">
        <is>
          <t>L2: Reproducible</t>
        </is>
      </c>
      <c r="AB1198" s="107" t="inlineStr">
        <is>
          <t>T2: Fuga de información</t>
        </is>
      </c>
      <c r="AC1198" s="107" t="inlineStr">
        <is>
          <t>Manual de Operaciones</t>
        </is>
      </c>
    </row>
    <row r="1199">
      <c r="A1199" s="96"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c r="Y1199" s="107" t="inlineStr">
        <is>
          <t>Implementado</t>
        </is>
      </c>
      <c r="Z1199" s="107" t="inlineStr">
        <is>
          <t>[PR] Prevención</t>
        </is>
      </c>
      <c r="AA1199" s="107" t="inlineStr">
        <is>
          <t>L4: Gestionado</t>
        </is>
      </c>
      <c r="AB1199" s="107" t="inlineStr">
        <is>
          <t>T2: Fuga de información</t>
        </is>
      </c>
      <c r="AC1199" s="107" t="inlineStr">
        <is>
          <t>Manual de Operaciones</t>
        </is>
      </c>
    </row>
    <row r="1200">
      <c r="A1200" s="96"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c r="Y1200" s="107" t="inlineStr">
        <is>
          <t>Planificado</t>
        </is>
      </c>
      <c r="Z1200" s="107" t="inlineStr">
        <is>
          <t>[PR] Prevención</t>
        </is>
      </c>
      <c r="AA1200" s="107" t="inlineStr">
        <is>
          <t>L5: Optimizado</t>
        </is>
      </c>
      <c r="AB1200" s="107" t="inlineStr">
        <is>
          <t>T2: Fuga de información</t>
        </is>
      </c>
      <c r="AC1200" s="107" t="inlineStr">
        <is>
          <t>Manual de Operaciones</t>
        </is>
      </c>
    </row>
    <row r="1201">
      <c r="A1201" s="96"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c r="Y1201" s="107" t="inlineStr">
        <is>
          <t>Implementado</t>
        </is>
      </c>
      <c r="Z1201" s="107" t="inlineStr">
        <is>
          <t>[PR] Prevención</t>
        </is>
      </c>
      <c r="AA1201" s="107" t="inlineStr">
        <is>
          <t>L4: Gestionado</t>
        </is>
      </c>
      <c r="AB1201" s="107" t="inlineStr">
        <is>
          <t>T2: Fuga de información</t>
        </is>
      </c>
      <c r="AC1201" s="107" t="inlineStr">
        <is>
          <t>Manual de Operaciones</t>
        </is>
      </c>
    </row>
    <row r="1202">
      <c r="A1202" s="96"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c r="Y1202" s="107" t="inlineStr">
        <is>
          <t>Implementado</t>
        </is>
      </c>
      <c r="Z1202" s="107" t="inlineStr">
        <is>
          <t>[PR] Prevención</t>
        </is>
      </c>
      <c r="AA1202" s="107" t="inlineStr">
        <is>
          <t>L4: Gestionado</t>
        </is>
      </c>
      <c r="AB1202" s="107" t="inlineStr">
        <is>
          <t>T2: Fuga de información</t>
        </is>
      </c>
      <c r="AC1202" s="107" t="inlineStr">
        <is>
          <t>Manual de Operaciones</t>
        </is>
      </c>
    </row>
    <row r="1203">
      <c r="A1203" s="96"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c r="Y1203" s="107" t="inlineStr">
        <is>
          <t>Planificado</t>
        </is>
      </c>
      <c r="Z1203" s="107" t="inlineStr">
        <is>
          <t>[PR] Prevención</t>
        </is>
      </c>
      <c r="AA1203" s="107" t="inlineStr">
        <is>
          <t>L2: Reproducible</t>
        </is>
      </c>
      <c r="AB1203" s="107" t="inlineStr">
        <is>
          <t>T2: Fuga de información</t>
        </is>
      </c>
      <c r="AC1203" s="107" t="inlineStr">
        <is>
          <t>Manual de Operaciones</t>
        </is>
      </c>
    </row>
    <row r="1204">
      <c r="A1204" s="96"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c r="Y1204" s="107" t="inlineStr">
        <is>
          <t>Implementado</t>
        </is>
      </c>
      <c r="Z1204" s="107" t="inlineStr">
        <is>
          <t>[PR] Prevención</t>
        </is>
      </c>
      <c r="AA1204" s="107" t="inlineStr">
        <is>
          <t>L4: Gestionado</t>
        </is>
      </c>
      <c r="AB1204" s="107" t="inlineStr">
        <is>
          <t>T2: Fuga de información</t>
        </is>
      </c>
      <c r="AC1204" s="107" t="inlineStr">
        <is>
          <t>Manual de Operaciones</t>
        </is>
      </c>
    </row>
    <row r="1205">
      <c r="A1205" s="96"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c r="Y1205" s="107" t="inlineStr">
        <is>
          <t>Planificado</t>
        </is>
      </c>
      <c r="Z1205" s="107" t="inlineStr">
        <is>
          <t>[PR] Prevención</t>
        </is>
      </c>
      <c r="AA1205" s="107" t="inlineStr">
        <is>
          <t>L5: Optimizado</t>
        </is>
      </c>
      <c r="AB1205" s="107" t="inlineStr">
        <is>
          <t>T2: Fuga de información</t>
        </is>
      </c>
      <c r="AC1205" s="107" t="inlineStr">
        <is>
          <t>Manual de Operaciones</t>
        </is>
      </c>
    </row>
    <row r="1206">
      <c r="A1206" s="96"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c r="Y1206" s="107" t="inlineStr">
        <is>
          <t>Implementado</t>
        </is>
      </c>
      <c r="Z1206" s="107" t="inlineStr">
        <is>
          <t>[PR] Prevención</t>
        </is>
      </c>
      <c r="AA1206" s="107" t="inlineStr">
        <is>
          <t>L5: Optimizado</t>
        </is>
      </c>
      <c r="AB1206" s="107" t="inlineStr">
        <is>
          <t>T2: Fuga de información</t>
        </is>
      </c>
      <c r="AC1206" s="107" t="inlineStr">
        <is>
          <t>Manual de Operaciones</t>
        </is>
      </c>
    </row>
    <row r="1207">
      <c r="A1207" s="96"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c r="Y1207" s="107" t="inlineStr">
        <is>
          <t>Implementado</t>
        </is>
      </c>
      <c r="Z1207" s="107" t="inlineStr">
        <is>
          <t>[PR] Prevención</t>
        </is>
      </c>
      <c r="AA1207" s="107" t="inlineStr">
        <is>
          <t>L4: Gestionado</t>
        </is>
      </c>
      <c r="AB1207" s="107" t="inlineStr">
        <is>
          <t>T2: Fuga de información</t>
        </is>
      </c>
      <c r="AC1207" s="107" t="inlineStr">
        <is>
          <t>Manual de Operaciones</t>
        </is>
      </c>
    </row>
    <row r="1208">
      <c r="A1208" s="96"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c r="Y1208" s="107" t="inlineStr">
        <is>
          <t>Implementado</t>
        </is>
      </c>
      <c r="Z1208" s="107" t="inlineStr">
        <is>
          <t>[PR] Prevención</t>
        </is>
      </c>
      <c r="AA1208" s="107" t="inlineStr">
        <is>
          <t>L3: Proceso Definido</t>
        </is>
      </c>
      <c r="AB1208" s="107" t="inlineStr">
        <is>
          <t>T2: Fuga de información</t>
        </is>
      </c>
      <c r="AC1208" s="107" t="inlineStr">
        <is>
          <t>Manual de Operaciones</t>
        </is>
      </c>
    </row>
    <row r="1209">
      <c r="A1209" s="96"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c r="Y1209" s="107" t="inlineStr">
        <is>
          <t>Implementado</t>
        </is>
      </c>
      <c r="Z1209" s="107" t="inlineStr">
        <is>
          <t>[PR] Prevención</t>
        </is>
      </c>
      <c r="AA1209" s="107" t="inlineStr">
        <is>
          <t>L3: Proceso Definido</t>
        </is>
      </c>
      <c r="AB1209" s="107" t="inlineStr">
        <is>
          <t>T2: Fuga de información</t>
        </is>
      </c>
      <c r="AC1209" s="107" t="inlineStr">
        <is>
          <t>Manual de Operaciones</t>
        </is>
      </c>
    </row>
    <row r="1210">
      <c r="A1210" s="96"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c r="Y1210" s="107" t="inlineStr">
        <is>
          <t>Implementado</t>
        </is>
      </c>
      <c r="Z1210" s="107" t="inlineStr">
        <is>
          <t>[PR] Prevención</t>
        </is>
      </c>
      <c r="AA1210" s="107" t="inlineStr">
        <is>
          <t>L4: Gestionado</t>
        </is>
      </c>
      <c r="AB1210" s="107" t="inlineStr">
        <is>
          <t>T2: Fuga de información</t>
        </is>
      </c>
      <c r="AC1210" s="107" t="inlineStr">
        <is>
          <t>Manual de Operaciones</t>
        </is>
      </c>
    </row>
    <row r="1211">
      <c r="A1211" s="96"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c r="Y1211" s="107" t="inlineStr">
        <is>
          <t>No Implementado</t>
        </is>
      </c>
      <c r="Z1211" s="107" t="inlineStr">
        <is>
          <t>[PR] Prevención</t>
        </is>
      </c>
      <c r="AA1211" s="107" t="inlineStr">
        <is>
          <t>L5: Optimizado</t>
        </is>
      </c>
      <c r="AB1211" s="107" t="inlineStr">
        <is>
          <t>T2: Fuga de información</t>
        </is>
      </c>
      <c r="AC1211" s="107" t="inlineStr">
        <is>
          <t>Manual de Operaciones</t>
        </is>
      </c>
    </row>
    <row r="1212">
      <c r="A1212" s="96"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c r="Y1212" s="107" t="inlineStr">
        <is>
          <t>Implementado</t>
        </is>
      </c>
      <c r="Z1212" s="107" t="inlineStr">
        <is>
          <t>[PR] Prevención</t>
        </is>
      </c>
      <c r="AA1212" s="107" t="inlineStr">
        <is>
          <t>L5: Optimizado</t>
        </is>
      </c>
      <c r="AB1212" s="107" t="inlineStr">
        <is>
          <t>T2: Fuga de información</t>
        </is>
      </c>
      <c r="AC1212" s="107" t="inlineStr">
        <is>
          <t>Manual de Operaciones</t>
        </is>
      </c>
    </row>
    <row r="1213">
      <c r="A1213" s="96"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c r="Y1213" s="107" t="inlineStr">
        <is>
          <t>Implementado</t>
        </is>
      </c>
      <c r="Z1213" s="107" t="inlineStr">
        <is>
          <t>[PR] Prevención</t>
        </is>
      </c>
      <c r="AA1213" s="107" t="inlineStr">
        <is>
          <t>L4: Gestionado</t>
        </is>
      </c>
      <c r="AB1213" s="107" t="inlineStr">
        <is>
          <t>T2: Fuga de información</t>
        </is>
      </c>
      <c r="AC1213" s="107" t="inlineStr">
        <is>
          <t>Manual de Operaciones</t>
        </is>
      </c>
    </row>
    <row r="1214">
      <c r="A1214" s="96"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c r="Y1214" s="107" t="inlineStr">
        <is>
          <t>Implementado</t>
        </is>
      </c>
      <c r="Z1214" s="107" t="inlineStr">
        <is>
          <t>[PR] Prevención</t>
        </is>
      </c>
      <c r="AA1214" s="107" t="inlineStr">
        <is>
          <t>L4: Gestionado</t>
        </is>
      </c>
      <c r="AB1214" s="107" t="inlineStr">
        <is>
          <t>T2: Fuga de información</t>
        </is>
      </c>
      <c r="AC1214" s="107" t="inlineStr">
        <is>
          <t>Manual de Operaciones</t>
        </is>
      </c>
    </row>
    <row r="1215">
      <c r="A1215" s="96"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c r="Y1215" s="107" t="inlineStr">
        <is>
          <t>Implementado</t>
        </is>
      </c>
      <c r="Z1215" s="107" t="inlineStr">
        <is>
          <t>[PR] Prevención</t>
        </is>
      </c>
      <c r="AA1215" s="107" t="inlineStr">
        <is>
          <t>L4: Gestionado</t>
        </is>
      </c>
      <c r="AB1215" s="107" t="inlineStr">
        <is>
          <t>T2: Fuga de información</t>
        </is>
      </c>
      <c r="AC1215" s="107" t="inlineStr">
        <is>
          <t>Manual de Operaciones</t>
        </is>
      </c>
    </row>
    <row r="1216">
      <c r="A1216" s="96"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c r="Y1216" s="107" t="inlineStr">
        <is>
          <t>Implementado</t>
        </is>
      </c>
      <c r="Z1216" s="107" t="inlineStr">
        <is>
          <t>[PR] Prevención</t>
        </is>
      </c>
      <c r="AA1216" s="107" t="inlineStr">
        <is>
          <t>L2: Reproducible</t>
        </is>
      </c>
      <c r="AB1216" s="107" t="inlineStr">
        <is>
          <t>T2: Fuga de información</t>
        </is>
      </c>
      <c r="AC1216" s="107" t="inlineStr">
        <is>
          <t>Manual de Operaciones</t>
        </is>
      </c>
    </row>
    <row r="1217">
      <c r="A1217" s="96"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c r="Y1217" s="107" t="inlineStr">
        <is>
          <t>Implementado</t>
        </is>
      </c>
      <c r="Z1217" s="107" t="inlineStr">
        <is>
          <t>[PR] Prevención</t>
        </is>
      </c>
      <c r="AA1217" s="107" t="inlineStr">
        <is>
          <t>L5: Optimizado</t>
        </is>
      </c>
      <c r="AB1217" s="107" t="inlineStr">
        <is>
          <t>T2: Fuga de información</t>
        </is>
      </c>
      <c r="AC1217" s="107" t="inlineStr">
        <is>
          <t>Manual de Operaciones</t>
        </is>
      </c>
    </row>
    <row r="1218">
      <c r="A1218" s="96"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c r="Y1218" s="107" t="inlineStr">
        <is>
          <t>Implementado</t>
        </is>
      </c>
      <c r="Z1218" s="107" t="inlineStr">
        <is>
          <t>[PR] Prevención</t>
        </is>
      </c>
      <c r="AA1218" s="107" t="inlineStr">
        <is>
          <t>L4: Gestionado</t>
        </is>
      </c>
      <c r="AB1218" s="107" t="inlineStr">
        <is>
          <t>T2: Fuga de información</t>
        </is>
      </c>
      <c r="AC1218" s="107" t="inlineStr">
        <is>
          <t>Manual de Operaciones</t>
        </is>
      </c>
    </row>
    <row r="1219">
      <c r="A1219" s="96"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c r="Y1219" s="107" t="inlineStr">
        <is>
          <t>Implementado</t>
        </is>
      </c>
      <c r="Z1219" s="107" t="inlineStr">
        <is>
          <t>[PR] Prevención</t>
        </is>
      </c>
      <c r="AA1219" s="107" t="inlineStr">
        <is>
          <t>L4: Gestionado</t>
        </is>
      </c>
      <c r="AB1219" s="107" t="inlineStr">
        <is>
          <t>T2: Fuga de información</t>
        </is>
      </c>
      <c r="AC1219" s="107" t="inlineStr">
        <is>
          <t>Manual de Operaciones</t>
        </is>
      </c>
    </row>
    <row r="1220">
      <c r="A1220" s="96"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c r="Y1220" s="107" t="inlineStr">
        <is>
          <t>Implementado</t>
        </is>
      </c>
      <c r="Z1220" s="107" t="inlineStr">
        <is>
          <t>[PR] Prevención</t>
        </is>
      </c>
      <c r="AA1220" s="107" t="inlineStr">
        <is>
          <t>L2: Reproducible</t>
        </is>
      </c>
      <c r="AB1220" s="107" t="inlineStr">
        <is>
          <t>T2: Fuga de información</t>
        </is>
      </c>
      <c r="AC1220" s="107" t="inlineStr">
        <is>
          <t>Manual de Operaciones</t>
        </is>
      </c>
    </row>
    <row r="1221">
      <c r="A1221" s="96"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c r="Y1221" s="107" t="inlineStr">
        <is>
          <t>Implementado</t>
        </is>
      </c>
      <c r="Z1221" s="107" t="inlineStr">
        <is>
          <t>[PR] Prevención</t>
        </is>
      </c>
      <c r="AA1221" s="107" t="inlineStr">
        <is>
          <t>L5: Optimizado</t>
        </is>
      </c>
      <c r="AB1221" s="107" t="inlineStr">
        <is>
          <t>T2: Fuga de información</t>
        </is>
      </c>
      <c r="AC1221" s="107" t="inlineStr">
        <is>
          <t>Manual de Operaciones</t>
        </is>
      </c>
    </row>
    <row r="1222">
      <c r="A1222" s="96"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c r="Y1222" s="107" t="inlineStr">
        <is>
          <t>Implementado</t>
        </is>
      </c>
      <c r="Z1222" s="107" t="inlineStr">
        <is>
          <t>[CR] Corrección</t>
        </is>
      </c>
      <c r="AA1222" s="107" t="inlineStr">
        <is>
          <t>L3: Proceso Definido</t>
        </is>
      </c>
      <c r="AB1222" s="107" t="inlineStr">
        <is>
          <t>T1: Accesos no autorizados</t>
        </is>
      </c>
      <c r="AC1222" s="107" t="inlineStr">
        <is>
          <t>Bitácora de Sistemas</t>
        </is>
      </c>
    </row>
    <row r="1223">
      <c r="A1223" s="96"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c r="Y1223" s="107" t="inlineStr">
        <is>
          <t>Implementado</t>
        </is>
      </c>
      <c r="Z1223" s="107" t="inlineStr">
        <is>
          <t>[RC] Recuperación</t>
        </is>
      </c>
      <c r="AA1223" s="107" t="inlineStr">
        <is>
          <t>L4: Gestionado</t>
        </is>
      </c>
      <c r="AB1223" s="107" t="inlineStr">
        <is>
          <t>T2: Fuga de información</t>
        </is>
      </c>
      <c r="AC1223" s="107" t="inlineStr">
        <is>
          <t>Registro Físico</t>
        </is>
      </c>
    </row>
    <row r="1224">
      <c r="A1224" s="96"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c r="Y1224" s="107" t="inlineStr">
        <is>
          <t>No Implementado</t>
        </is>
      </c>
      <c r="Z1224" s="107" t="inlineStr">
        <is>
          <t>[MN] Monitorización</t>
        </is>
      </c>
      <c r="AA1224" s="107" t="inlineStr">
        <is>
          <t>L2: Reproducible</t>
        </is>
      </c>
      <c r="AB1224" s="107" t="inlineStr">
        <is>
          <t>T2: Fuga de información</t>
        </is>
      </c>
      <c r="AC1224" s="107" t="inlineStr">
        <is>
          <t>Registro Físico</t>
        </is>
      </c>
    </row>
    <row r="1225">
      <c r="A1225" s="96"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c r="Y1225" s="107" t="inlineStr">
        <is>
          <t>Implementado</t>
        </is>
      </c>
      <c r="Z1225" s="107" t="inlineStr">
        <is>
          <t>[EL] Eliminación</t>
        </is>
      </c>
      <c r="AA1225" s="107" t="inlineStr">
        <is>
          <t>L5: Optimizado</t>
        </is>
      </c>
      <c r="AB1225" s="107" t="inlineStr">
        <is>
          <t>T2: Fuga de información</t>
        </is>
      </c>
      <c r="AC1225" s="107" t="inlineStr">
        <is>
          <t>Registro Físico</t>
        </is>
      </c>
    </row>
    <row r="1226">
      <c r="A1226" s="96"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c r="Y1226" s="107" t="inlineStr">
        <is>
          <t>Implementado</t>
        </is>
      </c>
      <c r="Z1226" s="107" t="inlineStr">
        <is>
          <t>[MN] Monitorización</t>
        </is>
      </c>
      <c r="AA1226" s="107" t="inlineStr">
        <is>
          <t>L5: Optimizado</t>
        </is>
      </c>
      <c r="AB1226" s="107" t="inlineStr">
        <is>
          <t>T2: Fuga de información</t>
        </is>
      </c>
      <c r="AC1226" s="107" t="inlineStr">
        <is>
          <t>Registro Físico</t>
        </is>
      </c>
    </row>
    <row r="1227">
      <c r="A1227" s="96"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c r="Y1227" s="107" t="inlineStr">
        <is>
          <t>Implementado</t>
        </is>
      </c>
      <c r="Z1227" s="107" t="inlineStr">
        <is>
          <t>[DC] Detección</t>
        </is>
      </c>
      <c r="AA1227" s="107" t="inlineStr">
        <is>
          <t>L2: Reproducible</t>
        </is>
      </c>
      <c r="AB1227" s="107" t="inlineStr">
        <is>
          <t>T2: Fuga de información</t>
        </is>
      </c>
      <c r="AC1227" s="107" t="inlineStr">
        <is>
          <t>Registro Físico</t>
        </is>
      </c>
    </row>
    <row r="1228">
      <c r="A1228" s="96"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c r="Y1228" s="107" t="inlineStr">
        <is>
          <t>Implementado</t>
        </is>
      </c>
      <c r="Z1228" s="107" t="inlineStr">
        <is>
          <t>[PR] Prevención</t>
        </is>
      </c>
      <c r="AA1228" s="107" t="inlineStr">
        <is>
          <t>L4: Gestionado</t>
        </is>
      </c>
      <c r="AB1228" s="107" t="inlineStr">
        <is>
          <t>T2: Fuga de información</t>
        </is>
      </c>
      <c r="AC1228" s="107" t="inlineStr">
        <is>
          <t>Manual de Operaciones</t>
        </is>
      </c>
    </row>
    <row r="1229">
      <c r="A1229" s="96"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c r="Y1229" s="107" t="inlineStr">
        <is>
          <t>Implementado</t>
        </is>
      </c>
      <c r="Z1229" s="107" t="inlineStr">
        <is>
          <t>[PR] Prevención</t>
        </is>
      </c>
      <c r="AA1229" s="107" t="inlineStr">
        <is>
          <t>L3: Proceso Definido</t>
        </is>
      </c>
      <c r="AB1229" s="107" t="inlineStr">
        <is>
          <t>T2: Fuga de información</t>
        </is>
      </c>
      <c r="AC1229" s="107" t="inlineStr">
        <is>
          <t>Manual de Operaciones</t>
        </is>
      </c>
    </row>
    <row r="1230">
      <c r="A1230" s="96"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c r="Y1230" s="107" t="inlineStr">
        <is>
          <t>Implementado</t>
        </is>
      </c>
      <c r="Z1230" s="107" t="inlineStr">
        <is>
          <t>[PR] Prevención</t>
        </is>
      </c>
      <c r="AA1230" s="107" t="inlineStr">
        <is>
          <t>L3: Proceso Definido</t>
        </is>
      </c>
      <c r="AB1230" s="107" t="inlineStr">
        <is>
          <t>T2: Fuga de información</t>
        </is>
      </c>
      <c r="AC1230" s="107" t="inlineStr">
        <is>
          <t>Manual de Operaciones</t>
        </is>
      </c>
    </row>
    <row r="1231">
      <c r="A1231" s="96"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c r="Y1231" s="107" t="inlineStr">
        <is>
          <t>No Implementado</t>
        </is>
      </c>
      <c r="Z1231" s="107" t="inlineStr">
        <is>
          <t>[MN] Monitorización</t>
        </is>
      </c>
      <c r="AA1231" s="107" t="inlineStr">
        <is>
          <t>L3: Proceso Definido</t>
        </is>
      </c>
      <c r="AB1231" s="107" t="inlineStr">
        <is>
          <t>T1: Accesos no autorizados</t>
        </is>
      </c>
      <c r="AC1231" s="107" t="inlineStr">
        <is>
          <t>Bitácora de Sistemas</t>
        </is>
      </c>
    </row>
    <row r="1232">
      <c r="A1232" s="96"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c r="Y1232" s="107" t="inlineStr">
        <is>
          <t>Implementado</t>
        </is>
      </c>
      <c r="Z1232" s="107" t="inlineStr">
        <is>
          <t>[PR] Prevención</t>
        </is>
      </c>
      <c r="AA1232" s="107" t="inlineStr">
        <is>
          <t>L5: Optimizado</t>
        </is>
      </c>
      <c r="AB1232" s="107" t="inlineStr">
        <is>
          <t>T2: Fuga de información</t>
        </is>
      </c>
      <c r="AC1232" s="107" t="inlineStr">
        <is>
          <t>Manual de Operaciones</t>
        </is>
      </c>
    </row>
    <row r="1233">
      <c r="A1233" s="96"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c r="Y1233" s="107" t="inlineStr">
        <is>
          <t>Planificado</t>
        </is>
      </c>
      <c r="Z1233" s="107" t="inlineStr">
        <is>
          <t>[PR] Prevención</t>
        </is>
      </c>
      <c r="AA1233" s="107" t="inlineStr">
        <is>
          <t>L3: Proceso Definido</t>
        </is>
      </c>
      <c r="AB1233" s="107" t="inlineStr">
        <is>
          <t>T2: Fuga de información</t>
        </is>
      </c>
      <c r="AC1233" s="107" t="inlineStr">
        <is>
          <t>Manual de Operaciones</t>
        </is>
      </c>
    </row>
    <row r="1234">
      <c r="A1234" s="96"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c r="Y1234" s="107" t="inlineStr">
        <is>
          <t>Implementado</t>
        </is>
      </c>
      <c r="Z1234" s="107" t="inlineStr">
        <is>
          <t>[PR] Prevención</t>
        </is>
      </c>
      <c r="AA1234" s="107" t="inlineStr">
        <is>
          <t>L5: Optimizado</t>
        </is>
      </c>
      <c r="AB1234" s="107" t="inlineStr">
        <is>
          <t>T2: Fuga de información</t>
        </is>
      </c>
      <c r="AC1234" s="107" t="inlineStr">
        <is>
          <t>Manual de Operaciones</t>
        </is>
      </c>
    </row>
    <row r="1235">
      <c r="A1235" s="96"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c r="Y1235" s="107" t="inlineStr">
        <is>
          <t>Implementado</t>
        </is>
      </c>
      <c r="Z1235" s="107" t="inlineStr">
        <is>
          <t>[PR] Prevención</t>
        </is>
      </c>
      <c r="AA1235" s="107" t="inlineStr">
        <is>
          <t>L5: Optimizado</t>
        </is>
      </c>
      <c r="AB1235" s="107" t="inlineStr">
        <is>
          <t>T2: Fuga de información</t>
        </is>
      </c>
      <c r="AC1235" s="107" t="inlineStr">
        <is>
          <t>Manual de Operaciones</t>
        </is>
      </c>
    </row>
    <row r="1236">
      <c r="A1236" s="96"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c r="Y1236" s="107" t="inlineStr">
        <is>
          <t>No Implementado</t>
        </is>
      </c>
      <c r="Z1236" s="107" t="inlineStr">
        <is>
          <t>[PR] Prevención</t>
        </is>
      </c>
      <c r="AA1236" s="107" t="inlineStr">
        <is>
          <t>L5: Optimizado</t>
        </is>
      </c>
      <c r="AB1236" s="107" t="inlineStr">
        <is>
          <t>T2: Fuga de información</t>
        </is>
      </c>
      <c r="AC1236" s="107" t="inlineStr">
        <is>
          <t>Manual de Operaciones</t>
        </is>
      </c>
    </row>
    <row r="1237">
      <c r="A1237" s="96"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c r="Y1237" s="107" t="inlineStr">
        <is>
          <t>Planificado</t>
        </is>
      </c>
      <c r="Z1237" s="107" t="inlineStr">
        <is>
          <t>[PR] Prevención</t>
        </is>
      </c>
      <c r="AA1237" s="107" t="inlineStr">
        <is>
          <t>L4: Gestionado</t>
        </is>
      </c>
      <c r="AB1237" s="107" t="inlineStr">
        <is>
          <t>T2: Fuga de información</t>
        </is>
      </c>
      <c r="AC1237" s="107" t="inlineStr">
        <is>
          <t>Manual de Operaciones</t>
        </is>
      </c>
    </row>
    <row r="1238">
      <c r="A1238" s="96"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c r="Y1238" s="107" t="inlineStr">
        <is>
          <t>Implementado</t>
        </is>
      </c>
      <c r="Z1238" s="107" t="inlineStr">
        <is>
          <t>[PR] Prevención</t>
        </is>
      </c>
      <c r="AA1238" s="107" t="inlineStr">
        <is>
          <t>L2: Reproducible</t>
        </is>
      </c>
      <c r="AB1238" s="107" t="inlineStr">
        <is>
          <t>T2: Fuga de información</t>
        </is>
      </c>
      <c r="AC1238" s="107" t="inlineStr">
        <is>
          <t>Manual de Operaciones</t>
        </is>
      </c>
    </row>
    <row r="1239">
      <c r="A1239" s="96"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c r="Y1239" s="107" t="inlineStr">
        <is>
          <t>Implementado</t>
        </is>
      </c>
      <c r="Z1239" s="107" t="inlineStr">
        <is>
          <t>[PR] Prevención</t>
        </is>
      </c>
      <c r="AA1239" s="107" t="inlineStr">
        <is>
          <t>L5: Optimizado</t>
        </is>
      </c>
      <c r="AB1239" s="107" t="inlineStr">
        <is>
          <t>T2: Fuga de información</t>
        </is>
      </c>
      <c r="AC1239" s="107" t="inlineStr">
        <is>
          <t>Manual de Operaciones</t>
        </is>
      </c>
    </row>
    <row r="1240">
      <c r="A1240" s="96"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c r="Y1240" s="107" t="inlineStr">
        <is>
          <t>No Implementado</t>
        </is>
      </c>
      <c r="Z1240" s="107" t="inlineStr">
        <is>
          <t>[PR] Prevención</t>
        </is>
      </c>
      <c r="AA1240" s="107" t="inlineStr">
        <is>
          <t>L2: Reproducible</t>
        </is>
      </c>
      <c r="AB1240" s="107" t="inlineStr">
        <is>
          <t>T2: Fuga de información</t>
        </is>
      </c>
      <c r="AC1240" s="107" t="inlineStr">
        <is>
          <t>Manual de Operaciones</t>
        </is>
      </c>
    </row>
    <row r="1241">
      <c r="A1241" s="96"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c r="Y1241" s="107" t="inlineStr">
        <is>
          <t>Implementado</t>
        </is>
      </c>
      <c r="Z1241" s="107" t="inlineStr">
        <is>
          <t>[PR] Prevención</t>
        </is>
      </c>
      <c r="AA1241" s="107" t="inlineStr">
        <is>
          <t>L2: Reproducible</t>
        </is>
      </c>
      <c r="AB1241" s="107" t="inlineStr">
        <is>
          <t>T2: Fuga de información</t>
        </is>
      </c>
      <c r="AC1241" s="107" t="inlineStr">
        <is>
          <t>Manual de Operaciones</t>
        </is>
      </c>
    </row>
    <row r="1242">
      <c r="A1242" s="96"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c r="Y1242" s="107" t="inlineStr">
        <is>
          <t>No Implementado</t>
        </is>
      </c>
      <c r="Z1242" s="107" t="inlineStr">
        <is>
          <t>[PR] Prevención</t>
        </is>
      </c>
      <c r="AA1242" s="107" t="inlineStr">
        <is>
          <t>L5: Optimizado</t>
        </is>
      </c>
      <c r="AB1242" s="107" t="inlineStr">
        <is>
          <t>T2: Fuga de información</t>
        </is>
      </c>
      <c r="AC1242" s="107" t="inlineStr">
        <is>
          <t>Manual de Operaciones</t>
        </is>
      </c>
    </row>
    <row r="1243">
      <c r="A1243" s="96"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c r="Y1243" s="107" t="inlineStr">
        <is>
          <t>Implementado</t>
        </is>
      </c>
      <c r="Z1243" s="107" t="inlineStr">
        <is>
          <t>[PR] Prevención</t>
        </is>
      </c>
      <c r="AA1243" s="107" t="inlineStr">
        <is>
          <t>L5: Optimizado</t>
        </is>
      </c>
      <c r="AB1243" s="107" t="inlineStr">
        <is>
          <t>T2: Fuga de información</t>
        </is>
      </c>
      <c r="AC1243" s="107" t="inlineStr">
        <is>
          <t>Manual de Operaciones</t>
        </is>
      </c>
    </row>
    <row r="1244">
      <c r="A1244" s="96"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c r="Y1244" s="107" t="inlineStr">
        <is>
          <t>Implementado</t>
        </is>
      </c>
      <c r="Z1244" s="107" t="inlineStr">
        <is>
          <t>[PR] Prevención</t>
        </is>
      </c>
      <c r="AA1244" s="107" t="inlineStr">
        <is>
          <t>L3: Proceso Definido</t>
        </is>
      </c>
      <c r="AB1244" s="107" t="inlineStr">
        <is>
          <t>T2: Fuga de información</t>
        </is>
      </c>
      <c r="AC1244" s="107" t="inlineStr">
        <is>
          <t>Manual de Operaciones</t>
        </is>
      </c>
    </row>
    <row r="1245">
      <c r="A1245" s="96"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c r="Y1245" s="107" t="inlineStr">
        <is>
          <t>Implementado</t>
        </is>
      </c>
      <c r="Z1245" s="107" t="inlineStr">
        <is>
          <t>[PR] Prevención</t>
        </is>
      </c>
      <c r="AA1245" s="107" t="inlineStr">
        <is>
          <t>L4: Gestionado</t>
        </is>
      </c>
      <c r="AB1245" s="107" t="inlineStr">
        <is>
          <t>T2: Fuga de información</t>
        </is>
      </c>
      <c r="AC1245" s="107" t="inlineStr">
        <is>
          <t>Manual de Operaciones</t>
        </is>
      </c>
    </row>
    <row r="1246">
      <c r="A1246" s="96"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c r="Y1246" s="107" t="inlineStr">
        <is>
          <t>Implementado</t>
        </is>
      </c>
      <c r="Z1246" s="107" t="inlineStr">
        <is>
          <t>[PR] Prevención</t>
        </is>
      </c>
      <c r="AA1246" s="107" t="inlineStr">
        <is>
          <t>L3: Proceso Definido</t>
        </is>
      </c>
      <c r="AB1246" s="107" t="inlineStr">
        <is>
          <t>T2: Fuga de información</t>
        </is>
      </c>
      <c r="AC1246" s="107" t="inlineStr">
        <is>
          <t>Manual de Operaciones</t>
        </is>
      </c>
    </row>
    <row r="1247">
      <c r="A1247" s="96"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c r="Y1247" s="107" t="inlineStr">
        <is>
          <t>Implementado</t>
        </is>
      </c>
      <c r="Z1247" s="107" t="inlineStr">
        <is>
          <t>[PR] Prevención</t>
        </is>
      </c>
      <c r="AA1247" s="107" t="inlineStr">
        <is>
          <t>L3: Proceso Definido</t>
        </is>
      </c>
      <c r="AB1247" s="107" t="inlineStr">
        <is>
          <t>T2: Fuga de información</t>
        </is>
      </c>
      <c r="AC1247" s="107" t="inlineStr">
        <is>
          <t>Manual de Operaciones</t>
        </is>
      </c>
    </row>
    <row r="1248">
      <c r="A1248" s="96"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c r="Y1248" s="107" t="inlineStr">
        <is>
          <t>Implementado</t>
        </is>
      </c>
      <c r="Z1248" s="107" t="inlineStr">
        <is>
          <t>[PR] Prevención</t>
        </is>
      </c>
      <c r="AA1248" s="107" t="inlineStr">
        <is>
          <t>L5: Optimizado</t>
        </is>
      </c>
      <c r="AB1248" s="107" t="inlineStr">
        <is>
          <t>T2: Fuga de información</t>
        </is>
      </c>
      <c r="AC1248" s="107" t="inlineStr">
        <is>
          <t>Manual de Operaciones</t>
        </is>
      </c>
    </row>
    <row r="1249">
      <c r="A1249" s="96"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c r="Y1249" s="107" t="inlineStr">
        <is>
          <t>Implementado</t>
        </is>
      </c>
      <c r="Z1249" s="107" t="inlineStr">
        <is>
          <t>[PR] Prevención</t>
        </is>
      </c>
      <c r="AA1249" s="107" t="inlineStr">
        <is>
          <t>L5: Optimizado</t>
        </is>
      </c>
      <c r="AB1249" s="107" t="inlineStr">
        <is>
          <t>T2: Fuga de información</t>
        </is>
      </c>
      <c r="AC1249" s="107" t="inlineStr">
        <is>
          <t>Manual de Operaciones</t>
        </is>
      </c>
    </row>
    <row r="1250">
      <c r="A1250" s="96"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c r="Y1250" s="107" t="inlineStr">
        <is>
          <t>Implementado</t>
        </is>
      </c>
      <c r="Z1250" s="107" t="inlineStr">
        <is>
          <t>[PR] Prevención</t>
        </is>
      </c>
      <c r="AA1250" s="107" t="inlineStr">
        <is>
          <t>L5: Optimizado</t>
        </is>
      </c>
      <c r="AB1250" s="107" t="inlineStr">
        <is>
          <t>T2: Fuga de información</t>
        </is>
      </c>
      <c r="AC1250" s="107" t="inlineStr">
        <is>
          <t>Manual de Operaciones</t>
        </is>
      </c>
    </row>
    <row r="1251">
      <c r="A1251" s="96"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c r="Y1251" s="107" t="inlineStr">
        <is>
          <t>Planificado</t>
        </is>
      </c>
      <c r="Z1251" s="107" t="inlineStr">
        <is>
          <t>[PR] Prevención</t>
        </is>
      </c>
      <c r="AA1251" s="107" t="inlineStr">
        <is>
          <t>L2: Reproducible</t>
        </is>
      </c>
      <c r="AB1251" s="107" t="inlineStr">
        <is>
          <t>T2: Fuga de información</t>
        </is>
      </c>
      <c r="AC1251" s="107" t="inlineStr">
        <is>
          <t>Manual de Operaciones</t>
        </is>
      </c>
    </row>
    <row r="1252">
      <c r="A1252" s="96"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c r="Y1252" s="107" t="inlineStr">
        <is>
          <t>Implementado</t>
        </is>
      </c>
      <c r="Z1252" s="107" t="inlineStr">
        <is>
          <t>[DR] Disuasión</t>
        </is>
      </c>
      <c r="AA1252" s="107" t="inlineStr">
        <is>
          <t>L5: Optimizado</t>
        </is>
      </c>
      <c r="AB1252" s="107" t="inlineStr">
        <is>
          <t>T1: Accesos no autorizados</t>
        </is>
      </c>
      <c r="AC1252" s="107" t="inlineStr">
        <is>
          <t>Bitácora de Sistemas</t>
        </is>
      </c>
    </row>
    <row r="1253">
      <c r="A1253" s="96"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c r="Y1253" s="107" t="inlineStr">
        <is>
          <t>Implementado</t>
        </is>
      </c>
      <c r="Z1253" s="107" t="inlineStr">
        <is>
          <t>[PR] Prevención</t>
        </is>
      </c>
      <c r="AA1253" s="107" t="inlineStr">
        <is>
          <t>L4: Gestionado</t>
        </is>
      </c>
      <c r="AB1253" s="107" t="inlineStr">
        <is>
          <t>T2: Fuga de información</t>
        </is>
      </c>
      <c r="AC1253" s="107" t="inlineStr">
        <is>
          <t>Manual de Operaciones</t>
        </is>
      </c>
    </row>
    <row r="1254">
      <c r="A1254" s="96"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c r="Y1254" s="107" t="inlineStr">
        <is>
          <t>Implementado</t>
        </is>
      </c>
      <c r="Z1254" s="107" t="inlineStr">
        <is>
          <t>[PR] Prevención</t>
        </is>
      </c>
      <c r="AA1254" s="107" t="inlineStr">
        <is>
          <t>L4: Gestionado</t>
        </is>
      </c>
      <c r="AB1254" s="107" t="inlineStr">
        <is>
          <t>T2: Fuga de información</t>
        </is>
      </c>
      <c r="AC1254" s="107" t="inlineStr">
        <is>
          <t>Manual de Operaciones</t>
        </is>
      </c>
    </row>
    <row r="1255">
      <c r="A1255" s="96"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c r="Y1255" s="107" t="inlineStr">
        <is>
          <t>Implementado</t>
        </is>
      </c>
      <c r="Z1255" s="107" t="inlineStr">
        <is>
          <t>[PR] Prevención</t>
        </is>
      </c>
      <c r="AA1255" s="107" t="inlineStr">
        <is>
          <t>L2: Reproducible</t>
        </is>
      </c>
      <c r="AB1255" s="107" t="inlineStr">
        <is>
          <t>T2: Fuga de información</t>
        </is>
      </c>
      <c r="AC1255" s="107" t="inlineStr">
        <is>
          <t>Manual de Operaciones</t>
        </is>
      </c>
    </row>
    <row r="1256">
      <c r="A1256" s="96"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c r="Y1256" s="107" t="inlineStr">
        <is>
          <t>Implementado</t>
        </is>
      </c>
      <c r="Z1256" s="107" t="inlineStr">
        <is>
          <t>[PR] Prevención</t>
        </is>
      </c>
      <c r="AA1256" s="107" t="inlineStr">
        <is>
          <t>L2: Reproducible</t>
        </is>
      </c>
      <c r="AB1256" s="107" t="inlineStr">
        <is>
          <t>T2: Fuga de información</t>
        </is>
      </c>
      <c r="AC1256" s="107" t="inlineStr">
        <is>
          <t>Manual de Operaciones</t>
        </is>
      </c>
    </row>
    <row r="1257">
      <c r="A1257" s="96"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c r="Y1257" s="107" t="inlineStr">
        <is>
          <t>Implementado</t>
        </is>
      </c>
      <c r="Z1257" s="107" t="inlineStr">
        <is>
          <t>[PR] Prevención</t>
        </is>
      </c>
      <c r="AA1257" s="107" t="inlineStr">
        <is>
          <t>L3: Proceso Definido</t>
        </is>
      </c>
      <c r="AB1257" s="107" t="inlineStr">
        <is>
          <t>T2: Fuga de información</t>
        </is>
      </c>
      <c r="AC1257" s="107" t="inlineStr">
        <is>
          <t>Manual de Operaciones</t>
        </is>
      </c>
    </row>
    <row r="1258">
      <c r="A1258" s="96"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c r="Y1258" s="107" t="inlineStr">
        <is>
          <t>Implementado</t>
        </is>
      </c>
      <c r="Z1258" s="107" t="inlineStr">
        <is>
          <t>[PR] Prevención</t>
        </is>
      </c>
      <c r="AA1258" s="107" t="inlineStr">
        <is>
          <t>L2: Reproducible</t>
        </is>
      </c>
      <c r="AB1258" s="107" t="inlineStr">
        <is>
          <t>T2: Fuga de información</t>
        </is>
      </c>
      <c r="AC1258" s="107" t="inlineStr">
        <is>
          <t>Manual de Operaciones</t>
        </is>
      </c>
    </row>
    <row r="1259">
      <c r="A1259" s="96"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c r="Y1259" s="107" t="inlineStr">
        <is>
          <t>En Proceso</t>
        </is>
      </c>
      <c r="Z1259" s="107" t="inlineStr">
        <is>
          <t>[PR] Prevención</t>
        </is>
      </c>
      <c r="AA1259" s="107" t="inlineStr">
        <is>
          <t>L2: Reproducible</t>
        </is>
      </c>
      <c r="AB1259" s="107" t="inlineStr">
        <is>
          <t>T2: Fuga de información</t>
        </is>
      </c>
      <c r="AC1259" s="107" t="inlineStr">
        <is>
          <t>Manual de Operaciones</t>
        </is>
      </c>
    </row>
    <row r="1260">
      <c r="A1260" s="96"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c r="Y1260" s="107" t="inlineStr">
        <is>
          <t>No Implementado</t>
        </is>
      </c>
      <c r="Z1260" s="107" t="inlineStr">
        <is>
          <t>[PR] Prevención</t>
        </is>
      </c>
      <c r="AA1260" s="107" t="inlineStr">
        <is>
          <t>L2: Reproducible</t>
        </is>
      </c>
      <c r="AB1260" s="107" t="inlineStr">
        <is>
          <t>T2: Fuga de información</t>
        </is>
      </c>
      <c r="AC1260" s="107" t="inlineStr">
        <is>
          <t>Manual de Operaciones</t>
        </is>
      </c>
    </row>
    <row r="1261">
      <c r="A1261" s="96"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c r="Y1261" s="107" t="inlineStr">
        <is>
          <t>Implementado</t>
        </is>
      </c>
      <c r="Z1261" s="107" t="inlineStr">
        <is>
          <t>[PR] Prevención</t>
        </is>
      </c>
      <c r="AA1261" s="107" t="inlineStr">
        <is>
          <t>L5: Optimizado</t>
        </is>
      </c>
      <c r="AB1261" s="107" t="inlineStr">
        <is>
          <t>T2: Fuga de información</t>
        </is>
      </c>
      <c r="AC1261" s="107" t="inlineStr">
        <is>
          <t>Manual de Operaciones</t>
        </is>
      </c>
    </row>
    <row r="1262">
      <c r="A1262" s="96"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c r="Y1262" s="107" t="inlineStr">
        <is>
          <t>Implementado</t>
        </is>
      </c>
      <c r="Z1262" s="107" t="inlineStr">
        <is>
          <t>[PR] Prevención</t>
        </is>
      </c>
      <c r="AA1262" s="107" t="inlineStr">
        <is>
          <t>L4: Gestionado</t>
        </is>
      </c>
      <c r="AB1262" s="107" t="inlineStr">
        <is>
          <t>T2: Fuga de información</t>
        </is>
      </c>
      <c r="AC1262" s="107" t="inlineStr">
        <is>
          <t>Manual de Operaciones</t>
        </is>
      </c>
    </row>
    <row r="1263">
      <c r="A1263" s="96"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c r="Y1263" s="107" t="inlineStr">
        <is>
          <t>Planificado</t>
        </is>
      </c>
      <c r="Z1263" s="107" t="inlineStr">
        <is>
          <t>[PR] Prevención</t>
        </is>
      </c>
      <c r="AA1263" s="107" t="inlineStr">
        <is>
          <t>L4: Gestionado</t>
        </is>
      </c>
      <c r="AB1263" s="107" t="inlineStr">
        <is>
          <t>T2: Fuga de información</t>
        </is>
      </c>
      <c r="AC1263" s="107" t="inlineStr">
        <is>
          <t>Manual de Operaciones</t>
        </is>
      </c>
    </row>
    <row r="1264">
      <c r="A1264" s="96"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c r="Y1264" s="107" t="inlineStr">
        <is>
          <t>Implementado</t>
        </is>
      </c>
      <c r="Z1264" s="107" t="inlineStr">
        <is>
          <t>[PR] Prevención</t>
        </is>
      </c>
      <c r="AA1264" s="107" t="inlineStr">
        <is>
          <t>L5: Optimizado</t>
        </is>
      </c>
      <c r="AB1264" s="107" t="inlineStr">
        <is>
          <t>T2: Fuga de información</t>
        </is>
      </c>
      <c r="AC1264" s="107" t="inlineStr">
        <is>
          <t>Manual de Operaciones</t>
        </is>
      </c>
    </row>
    <row r="1265">
      <c r="A1265" s="96"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c r="Y1265" s="107" t="inlineStr">
        <is>
          <t>En Proceso</t>
        </is>
      </c>
      <c r="Z1265" s="107" t="inlineStr">
        <is>
          <t>[PR] Prevención</t>
        </is>
      </c>
      <c r="AA1265" s="107" t="inlineStr">
        <is>
          <t>L2: Reproducible</t>
        </is>
      </c>
      <c r="AB1265" s="107" t="inlineStr">
        <is>
          <t>T2: Fuga de información</t>
        </is>
      </c>
      <c r="AC1265" s="107" t="inlineStr">
        <is>
          <t>Manual de Operaciones</t>
        </is>
      </c>
    </row>
    <row r="1266">
      <c r="A1266" s="96"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c r="Y1266" s="107" t="inlineStr">
        <is>
          <t>Planificado</t>
        </is>
      </c>
      <c r="Z1266" s="107" t="inlineStr">
        <is>
          <t>[PR] Prevención</t>
        </is>
      </c>
      <c r="AA1266" s="107" t="inlineStr">
        <is>
          <t>L2: Reproducible</t>
        </is>
      </c>
      <c r="AB1266" s="107" t="inlineStr">
        <is>
          <t>T2: Fuga de información</t>
        </is>
      </c>
      <c r="AC1266" s="107" t="inlineStr">
        <is>
          <t>Manual de Operaciones</t>
        </is>
      </c>
    </row>
    <row r="1267">
      <c r="A1267" s="96"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c r="Y1267" s="107" t="inlineStr">
        <is>
          <t>En Proceso</t>
        </is>
      </c>
      <c r="Z1267" s="107" t="inlineStr">
        <is>
          <t>[PR] Prevención</t>
        </is>
      </c>
      <c r="AA1267" s="107" t="inlineStr">
        <is>
          <t>L3: Proceso Definido</t>
        </is>
      </c>
      <c r="AB1267" s="107" t="inlineStr">
        <is>
          <t>T2: Fuga de información</t>
        </is>
      </c>
      <c r="AC1267" s="107" t="inlineStr">
        <is>
          <t>Manual de Operaciones</t>
        </is>
      </c>
    </row>
    <row r="1268">
      <c r="A1268" s="96"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c r="Y1268" s="107" t="inlineStr">
        <is>
          <t>Implementado</t>
        </is>
      </c>
      <c r="Z1268" s="107" t="inlineStr">
        <is>
          <t>[PR] Prevención</t>
        </is>
      </c>
      <c r="AA1268" s="107" t="inlineStr">
        <is>
          <t>L2: Reproducible</t>
        </is>
      </c>
      <c r="AB1268" s="107" t="inlineStr">
        <is>
          <t>T2: Fuga de información</t>
        </is>
      </c>
      <c r="AC1268" s="107" t="inlineStr">
        <is>
          <t>Manual de Operaciones</t>
        </is>
      </c>
    </row>
    <row r="1269">
      <c r="A1269" s="96"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c r="Y1269" s="107" t="inlineStr">
        <is>
          <t>Planificado</t>
        </is>
      </c>
      <c r="Z1269" s="107" t="inlineStr">
        <is>
          <t>[PR] Prevención</t>
        </is>
      </c>
      <c r="AA1269" s="107" t="inlineStr">
        <is>
          <t>L2: Reproducible</t>
        </is>
      </c>
      <c r="AB1269" s="107" t="inlineStr">
        <is>
          <t>T2: Fuga de información</t>
        </is>
      </c>
      <c r="AC1269" s="107" t="inlineStr">
        <is>
          <t>Manual de Operaciones</t>
        </is>
      </c>
    </row>
    <row r="1270">
      <c r="A1270" s="96"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c r="Y1270" s="107" t="inlineStr">
        <is>
          <t>Implementado</t>
        </is>
      </c>
      <c r="Z1270" s="107" t="inlineStr">
        <is>
          <t>[PR] Prevención</t>
        </is>
      </c>
      <c r="AA1270" s="107" t="inlineStr">
        <is>
          <t>L4: Gestionado</t>
        </is>
      </c>
      <c r="AB1270" s="107" t="inlineStr">
        <is>
          <t>T2: Fuga de información</t>
        </is>
      </c>
      <c r="AC1270" s="107" t="inlineStr">
        <is>
          <t>Manual de Operaciones</t>
        </is>
      </c>
    </row>
    <row r="1271">
      <c r="A1271" s="96"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c r="Y1271" s="107" t="inlineStr">
        <is>
          <t>Planificado</t>
        </is>
      </c>
      <c r="Z1271" s="107" t="inlineStr">
        <is>
          <t>[PR] Prevención</t>
        </is>
      </c>
      <c r="AA1271" s="107" t="inlineStr">
        <is>
          <t>L2: Reproducible</t>
        </is>
      </c>
      <c r="AB1271" s="107" t="inlineStr">
        <is>
          <t>T2: Fuga de información</t>
        </is>
      </c>
      <c r="AC1271" s="107" t="inlineStr">
        <is>
          <t>Manual de Operaciones</t>
        </is>
      </c>
    </row>
    <row r="1272">
      <c r="A1272" s="96"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c r="Y1272" s="107" t="inlineStr">
        <is>
          <t>Implementado</t>
        </is>
      </c>
      <c r="Z1272" s="107" t="inlineStr">
        <is>
          <t>[PR] Prevención</t>
        </is>
      </c>
      <c r="AA1272" s="107" t="inlineStr">
        <is>
          <t>L4: Gestionado</t>
        </is>
      </c>
      <c r="AB1272" s="107" t="inlineStr">
        <is>
          <t>T2: Fuga de información</t>
        </is>
      </c>
      <c r="AC1272" s="107" t="inlineStr">
        <is>
          <t>Manual de Operaciones</t>
        </is>
      </c>
    </row>
    <row r="1273">
      <c r="A1273" s="96"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c r="Y1273" s="107" t="inlineStr">
        <is>
          <t>En Proceso</t>
        </is>
      </c>
      <c r="Z1273" s="107" t="inlineStr">
        <is>
          <t>[PR] Prevención</t>
        </is>
      </c>
      <c r="AA1273" s="107" t="inlineStr">
        <is>
          <t>L4: Gestionado</t>
        </is>
      </c>
      <c r="AB1273" s="107" t="inlineStr">
        <is>
          <t>T2: Fuga de información</t>
        </is>
      </c>
      <c r="AC1273" s="107" t="inlineStr">
        <is>
          <t>Manual de Operaciones</t>
        </is>
      </c>
    </row>
    <row r="1274">
      <c r="A1274" s="96"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c r="Y1274" s="107" t="inlineStr">
        <is>
          <t>Implementado</t>
        </is>
      </c>
      <c r="Z1274" s="107" t="inlineStr">
        <is>
          <t>[PR] Prevención</t>
        </is>
      </c>
      <c r="AA1274" s="107" t="inlineStr">
        <is>
          <t>L2: Reproducible</t>
        </is>
      </c>
      <c r="AB1274" s="107" t="inlineStr">
        <is>
          <t>T2: Fuga de información</t>
        </is>
      </c>
      <c r="AC1274" s="107" t="inlineStr">
        <is>
          <t>Manual de Operaciones</t>
        </is>
      </c>
    </row>
    <row r="1275">
      <c r="A1275" s="96"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c r="Y1275" s="107" t="inlineStr">
        <is>
          <t>No Implementado</t>
        </is>
      </c>
      <c r="Z1275" s="107" t="inlineStr">
        <is>
          <t>[PR] Prevención</t>
        </is>
      </c>
      <c r="AA1275" s="107" t="inlineStr">
        <is>
          <t>L3: Proceso Definido</t>
        </is>
      </c>
      <c r="AB1275" s="107" t="inlineStr">
        <is>
          <t>T2: Fuga de información</t>
        </is>
      </c>
      <c r="AC1275" s="107" t="inlineStr">
        <is>
          <t>Manual de Operaciones</t>
        </is>
      </c>
    </row>
    <row r="1276">
      <c r="A1276" s="96"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c r="Y1276" s="107" t="inlineStr">
        <is>
          <t>Implementado</t>
        </is>
      </c>
      <c r="Z1276" s="107" t="inlineStr">
        <is>
          <t>[PR] Prevención</t>
        </is>
      </c>
      <c r="AA1276" s="107" t="inlineStr">
        <is>
          <t>L5: Optimizado</t>
        </is>
      </c>
      <c r="AB1276" s="107" t="inlineStr">
        <is>
          <t>T2: Fuga de información</t>
        </is>
      </c>
      <c r="AC1276" s="107" t="inlineStr">
        <is>
          <t>Manual de Operaciones</t>
        </is>
      </c>
    </row>
    <row r="1277">
      <c r="A1277" s="96"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c r="Y1277" s="107" t="inlineStr">
        <is>
          <t>Implementado</t>
        </is>
      </c>
      <c r="Z1277" s="107" t="inlineStr">
        <is>
          <t>[PR] Prevención</t>
        </is>
      </c>
      <c r="AA1277" s="107" t="inlineStr">
        <is>
          <t>L5: Optimizado</t>
        </is>
      </c>
      <c r="AB1277" s="107" t="inlineStr">
        <is>
          <t>T2: Fuga de información</t>
        </is>
      </c>
      <c r="AC1277" s="107" t="inlineStr">
        <is>
          <t>Manual de Operaciones</t>
        </is>
      </c>
    </row>
    <row r="1278">
      <c r="A1278" s="96"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c r="Y1278" s="107" t="inlineStr">
        <is>
          <t>Implementado</t>
        </is>
      </c>
      <c r="Z1278" s="107" t="inlineStr">
        <is>
          <t>[PR] Prevención</t>
        </is>
      </c>
      <c r="AA1278" s="107" t="inlineStr">
        <is>
          <t>L2: Reproducible</t>
        </is>
      </c>
      <c r="AB1278" s="107" t="inlineStr">
        <is>
          <t>T2: Fuga de información</t>
        </is>
      </c>
      <c r="AC1278" s="107" t="inlineStr">
        <is>
          <t>Manual de Operaciones</t>
        </is>
      </c>
    </row>
    <row r="1279">
      <c r="A1279" s="96"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c r="Y1279" s="107" t="inlineStr">
        <is>
          <t>Implementado</t>
        </is>
      </c>
      <c r="Z1279" s="107" t="inlineStr">
        <is>
          <t>[PR] Prevención</t>
        </is>
      </c>
      <c r="AA1279" s="107" t="inlineStr">
        <is>
          <t>L5: Optimizado</t>
        </is>
      </c>
      <c r="AB1279" s="107" t="inlineStr">
        <is>
          <t>T2: Fuga de información</t>
        </is>
      </c>
      <c r="AC1279" s="107" t="inlineStr">
        <is>
          <t>Manual de Operaciones</t>
        </is>
      </c>
    </row>
    <row r="1280">
      <c r="A1280" s="96"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c r="Y1280" s="107" t="inlineStr">
        <is>
          <t>Implementado</t>
        </is>
      </c>
      <c r="Z1280" s="107" t="inlineStr">
        <is>
          <t>[PR] Prevención</t>
        </is>
      </c>
      <c r="AA1280" s="107" t="inlineStr">
        <is>
          <t>L5: Optimizado</t>
        </is>
      </c>
      <c r="AB1280" s="107" t="inlineStr">
        <is>
          <t>T2: Fuga de información</t>
        </is>
      </c>
      <c r="AC1280" s="107" t="inlineStr">
        <is>
          <t>Manual de Operaciones</t>
        </is>
      </c>
    </row>
    <row r="1281">
      <c r="A1281" s="96"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c r="Y1281" s="107" t="inlineStr">
        <is>
          <t>Implementado</t>
        </is>
      </c>
      <c r="Z1281" s="107" t="inlineStr">
        <is>
          <t>[PR] Prevención</t>
        </is>
      </c>
      <c r="AA1281" s="107" t="inlineStr">
        <is>
          <t>L5: Optimizado</t>
        </is>
      </c>
      <c r="AB1281" s="107" t="inlineStr">
        <is>
          <t>T2: Fuga de información</t>
        </is>
      </c>
      <c r="AC1281" s="107" t="inlineStr">
        <is>
          <t>Manual de Operaciones</t>
        </is>
      </c>
    </row>
    <row r="1282">
      <c r="A1282" s="96"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c r="Y1282" s="107" t="inlineStr">
        <is>
          <t>Implementado</t>
        </is>
      </c>
      <c r="Z1282" s="107" t="inlineStr">
        <is>
          <t>[PR] Prevención</t>
        </is>
      </c>
      <c r="AA1282" s="107" t="inlineStr">
        <is>
          <t>L2: Reproducible</t>
        </is>
      </c>
      <c r="AB1282" s="107" t="inlineStr">
        <is>
          <t>T2: Fuga de información</t>
        </is>
      </c>
      <c r="AC1282" s="107" t="inlineStr">
        <is>
          <t>Manual de Operaciones</t>
        </is>
      </c>
    </row>
    <row r="1283">
      <c r="A1283" s="96"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c r="Y1283" s="107" t="inlineStr">
        <is>
          <t>En Proceso</t>
        </is>
      </c>
      <c r="Z1283" s="107" t="inlineStr">
        <is>
          <t>[PR] Prevención</t>
        </is>
      </c>
      <c r="AA1283" s="107" t="inlineStr">
        <is>
          <t>L5: Optimizado</t>
        </is>
      </c>
      <c r="AB1283" s="107" t="inlineStr">
        <is>
          <t>T2: Fuga de información</t>
        </is>
      </c>
      <c r="AC1283" s="107" t="inlineStr">
        <is>
          <t>Manual de Operaciones</t>
        </is>
      </c>
    </row>
    <row r="1284">
      <c r="A1284" s="96"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c r="Y1284" s="107" t="inlineStr">
        <is>
          <t>No Implementado</t>
        </is>
      </c>
      <c r="Z1284" s="107" t="inlineStr">
        <is>
          <t>[PR] Prevención</t>
        </is>
      </c>
      <c r="AA1284" s="107" t="inlineStr">
        <is>
          <t>L3: Proceso Definido</t>
        </is>
      </c>
      <c r="AB1284" s="107" t="inlineStr">
        <is>
          <t>T2: Fuga de información</t>
        </is>
      </c>
      <c r="AC1284" s="107" t="inlineStr">
        <is>
          <t>Manual de Operaciones</t>
        </is>
      </c>
    </row>
    <row r="1285">
      <c r="A1285" s="96"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c r="Y1285" s="107" t="inlineStr">
        <is>
          <t>Implementado</t>
        </is>
      </c>
      <c r="Z1285" s="107" t="inlineStr">
        <is>
          <t>[PR] Prevención</t>
        </is>
      </c>
      <c r="AA1285" s="107" t="inlineStr">
        <is>
          <t>L2: Reproducible</t>
        </is>
      </c>
      <c r="AB1285" s="107" t="inlineStr">
        <is>
          <t>T2: Fuga de información</t>
        </is>
      </c>
      <c r="AC1285" s="107" t="inlineStr">
        <is>
          <t>Manual de Operaciones</t>
        </is>
      </c>
    </row>
    <row r="1286">
      <c r="A1286" s="96"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c r="Y1286" s="107" t="inlineStr">
        <is>
          <t>No Implementado</t>
        </is>
      </c>
      <c r="Z1286" s="107" t="inlineStr">
        <is>
          <t>[PR] Prevención</t>
        </is>
      </c>
      <c r="AA1286" s="107" t="inlineStr">
        <is>
          <t>L5: Optimizado</t>
        </is>
      </c>
      <c r="AB1286" s="107" t="inlineStr">
        <is>
          <t>T2: Fuga de información</t>
        </is>
      </c>
      <c r="AC1286" s="107" t="inlineStr">
        <is>
          <t>Manual de Operaciones</t>
        </is>
      </c>
    </row>
    <row r="1287">
      <c r="A1287" s="96"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c r="Y1287" s="107" t="inlineStr">
        <is>
          <t>Implementado</t>
        </is>
      </c>
      <c r="Z1287" s="107" t="inlineStr">
        <is>
          <t>[PR] Prevención</t>
        </is>
      </c>
      <c r="AA1287" s="107" t="inlineStr">
        <is>
          <t>L5: Optimizado</t>
        </is>
      </c>
      <c r="AB1287" s="107" t="inlineStr">
        <is>
          <t>T2: Fuga de información</t>
        </is>
      </c>
      <c r="AC1287" s="107" t="inlineStr">
        <is>
          <t>Manual de Operaciones</t>
        </is>
      </c>
    </row>
    <row r="1288">
      <c r="A1288" s="96"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c r="Y1288" s="107" t="inlineStr">
        <is>
          <t>Implementado</t>
        </is>
      </c>
      <c r="Z1288" s="107" t="inlineStr">
        <is>
          <t>[PR] Prevención</t>
        </is>
      </c>
      <c r="AA1288" s="107" t="inlineStr">
        <is>
          <t>L2: Reproducible</t>
        </is>
      </c>
      <c r="AB1288" s="107" t="inlineStr">
        <is>
          <t>T2: Fuga de información</t>
        </is>
      </c>
      <c r="AC1288" s="107" t="inlineStr">
        <is>
          <t>Manual de Operaciones</t>
        </is>
      </c>
    </row>
    <row r="1289">
      <c r="A1289" s="96"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c r="Y1289" s="107" t="inlineStr">
        <is>
          <t>Planificado</t>
        </is>
      </c>
      <c r="Z1289" s="107" t="inlineStr">
        <is>
          <t>[PR] Prevención</t>
        </is>
      </c>
      <c r="AA1289" s="107" t="inlineStr">
        <is>
          <t>L5: Optimizado</t>
        </is>
      </c>
      <c r="AB1289" s="107" t="inlineStr">
        <is>
          <t>T2: Fuga de información</t>
        </is>
      </c>
      <c r="AC1289" s="107" t="inlineStr">
        <is>
          <t>Manual de Operaciones</t>
        </is>
      </c>
    </row>
    <row r="1290">
      <c r="A1290" s="96"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c r="Y1290" s="107" t="inlineStr">
        <is>
          <t>No Implementado</t>
        </is>
      </c>
      <c r="Z1290" s="107" t="inlineStr">
        <is>
          <t>[PR] Prevención</t>
        </is>
      </c>
      <c r="AA1290" s="107" t="inlineStr">
        <is>
          <t>L5: Optimizado</t>
        </is>
      </c>
      <c r="AB1290" s="107" t="inlineStr">
        <is>
          <t>T2: Fuga de información</t>
        </is>
      </c>
      <c r="AC1290" s="107" t="inlineStr">
        <is>
          <t>Manual de Operaciones</t>
        </is>
      </c>
    </row>
    <row r="1291">
      <c r="A1291" s="96"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c r="Y1291" s="107" t="inlineStr">
        <is>
          <t>Implementado</t>
        </is>
      </c>
      <c r="Z1291" s="107" t="inlineStr">
        <is>
          <t>[PR] Prevención</t>
        </is>
      </c>
      <c r="AA1291" s="107" t="inlineStr">
        <is>
          <t>L5: Optimizado</t>
        </is>
      </c>
      <c r="AB1291" s="107" t="inlineStr">
        <is>
          <t>T2: Fuga de información</t>
        </is>
      </c>
      <c r="AC1291" s="107" t="inlineStr">
        <is>
          <t>Manual de Operaciones</t>
        </is>
      </c>
    </row>
    <row r="1292">
      <c r="A1292" s="96"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c r="Y1292" s="107" t="inlineStr">
        <is>
          <t>Implementado</t>
        </is>
      </c>
      <c r="Z1292" s="107" t="inlineStr">
        <is>
          <t>[PR] Prevención</t>
        </is>
      </c>
      <c r="AA1292" s="107" t="inlineStr">
        <is>
          <t>L4: Gestionado</t>
        </is>
      </c>
      <c r="AB1292" s="107" t="inlineStr">
        <is>
          <t>T2: Fuga de información</t>
        </is>
      </c>
      <c r="AC1292" s="107" t="inlineStr">
        <is>
          <t>Manual de Operaciones</t>
        </is>
      </c>
    </row>
    <row r="1293">
      <c r="A1293" s="96"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c r="Y1293" s="107" t="inlineStr">
        <is>
          <t>Implementado</t>
        </is>
      </c>
      <c r="Z1293" s="107" t="inlineStr">
        <is>
          <t>[PR] Prevención</t>
        </is>
      </c>
      <c r="AA1293" s="107" t="inlineStr">
        <is>
          <t>L3: Proceso Definido</t>
        </is>
      </c>
      <c r="AB1293" s="107" t="inlineStr">
        <is>
          <t>T2: Fuga de información</t>
        </is>
      </c>
      <c r="AC1293" s="107" t="inlineStr">
        <is>
          <t>Manual de Operaciones</t>
        </is>
      </c>
    </row>
    <row r="1294">
      <c r="A1294" s="96"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c r="Y1294" s="107" t="inlineStr">
        <is>
          <t>Implementado</t>
        </is>
      </c>
      <c r="Z1294" s="107" t="inlineStr">
        <is>
          <t>[PR] Prevención</t>
        </is>
      </c>
      <c r="AA1294" s="107" t="inlineStr">
        <is>
          <t>L5: Optimizado</t>
        </is>
      </c>
      <c r="AB1294" s="107" t="inlineStr">
        <is>
          <t>T2: Fuga de información</t>
        </is>
      </c>
      <c r="AC1294" s="107" t="inlineStr">
        <is>
          <t>Manual de Operaciones</t>
        </is>
      </c>
    </row>
    <row r="1295">
      <c r="A1295" s="96"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c r="Y1295" s="107" t="inlineStr">
        <is>
          <t>Planificado</t>
        </is>
      </c>
      <c r="Z1295" s="107" t="inlineStr">
        <is>
          <t>[PR] Prevención</t>
        </is>
      </c>
      <c r="AA1295" s="107" t="inlineStr">
        <is>
          <t>L2: Reproducible</t>
        </is>
      </c>
      <c r="AB1295" s="107" t="inlineStr">
        <is>
          <t>T2: Fuga de información</t>
        </is>
      </c>
      <c r="AC1295" s="107" t="inlineStr">
        <is>
          <t>Manual de Operaciones</t>
        </is>
      </c>
    </row>
    <row r="1296">
      <c r="A1296" s="96"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c r="Y1296" s="107" t="inlineStr">
        <is>
          <t>Implementado</t>
        </is>
      </c>
      <c r="Z1296" s="107" t="inlineStr">
        <is>
          <t>[PR] Prevención</t>
        </is>
      </c>
      <c r="AA1296" s="107" t="inlineStr">
        <is>
          <t>L5: Optimizado</t>
        </is>
      </c>
      <c r="AB1296" s="107" t="inlineStr">
        <is>
          <t>T2: Fuga de información</t>
        </is>
      </c>
      <c r="AC1296" s="107" t="inlineStr">
        <is>
          <t>Manual de Operaciones</t>
        </is>
      </c>
    </row>
    <row r="1297">
      <c r="A1297" s="96"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c r="Y1297" s="107" t="inlineStr">
        <is>
          <t>Implementado</t>
        </is>
      </c>
      <c r="Z1297" s="107" t="inlineStr">
        <is>
          <t>[PR] Prevención</t>
        </is>
      </c>
      <c r="AA1297" s="107" t="inlineStr">
        <is>
          <t>L4: Gestionado</t>
        </is>
      </c>
      <c r="AB1297" s="107" t="inlineStr">
        <is>
          <t>T2: Fuga de información</t>
        </is>
      </c>
      <c r="AC1297" s="107" t="inlineStr">
        <is>
          <t>Manual de Operaciones</t>
        </is>
      </c>
    </row>
    <row r="1298">
      <c r="A1298" s="96"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c r="Y1298" s="107" t="inlineStr">
        <is>
          <t>Implementado</t>
        </is>
      </c>
      <c r="Z1298" s="107" t="inlineStr">
        <is>
          <t>[PR] Prevención</t>
        </is>
      </c>
      <c r="AA1298" s="107" t="inlineStr">
        <is>
          <t>L5: Optimizado</t>
        </is>
      </c>
      <c r="AB1298" s="107" t="inlineStr">
        <is>
          <t>T2: Fuga de información</t>
        </is>
      </c>
      <c r="AC1298" s="107" t="inlineStr">
        <is>
          <t>Manual de Operaciones</t>
        </is>
      </c>
    </row>
    <row r="1299">
      <c r="A1299" s="96"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c r="Y1299" s="107" t="inlineStr">
        <is>
          <t>Implementado</t>
        </is>
      </c>
      <c r="Z1299" s="107" t="inlineStr">
        <is>
          <t>[IM] Minimización</t>
        </is>
      </c>
      <c r="AA1299" s="107" t="inlineStr">
        <is>
          <t>L3: Proceso Definido</t>
        </is>
      </c>
      <c r="AB1299" s="107" t="inlineStr">
        <is>
          <t>T2: Fuga de información</t>
        </is>
      </c>
      <c r="AC1299" s="107" t="inlineStr">
        <is>
          <t>Registro Físico</t>
        </is>
      </c>
    </row>
    <row r="1300">
      <c r="A1300" s="96"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c r="Y1300" s="107" t="inlineStr">
        <is>
          <t>No Implementado</t>
        </is>
      </c>
      <c r="Z1300" s="107" t="inlineStr">
        <is>
          <t>[PR] Prevención</t>
        </is>
      </c>
      <c r="AA1300" s="107" t="inlineStr">
        <is>
          <t>L5: Optimizado</t>
        </is>
      </c>
      <c r="AB1300" s="107" t="inlineStr">
        <is>
          <t>T2: Fuga de información</t>
        </is>
      </c>
      <c r="AC1300" s="107" t="inlineStr">
        <is>
          <t>Manual de Operaciones</t>
        </is>
      </c>
    </row>
    <row r="1301">
      <c r="A1301" s="96"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c r="Y1301" s="107" t="inlineStr">
        <is>
          <t>Implementado</t>
        </is>
      </c>
      <c r="Z1301" s="107" t="inlineStr">
        <is>
          <t>[PR] Prevención</t>
        </is>
      </c>
      <c r="AA1301" s="107" t="inlineStr">
        <is>
          <t>L5: Optimizado</t>
        </is>
      </c>
      <c r="AB1301" s="107" t="inlineStr">
        <is>
          <t>T2: Fuga de información</t>
        </is>
      </c>
      <c r="AC1301" s="107" t="inlineStr">
        <is>
          <t>Manual de Operaciones</t>
        </is>
      </c>
    </row>
    <row r="1302">
      <c r="A1302" s="96"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c r="Y1302" s="107" t="inlineStr">
        <is>
          <t>En Proceso</t>
        </is>
      </c>
      <c r="Z1302" s="107" t="inlineStr">
        <is>
          <t>[DC] Detección</t>
        </is>
      </c>
      <c r="AA1302" s="107" t="inlineStr">
        <is>
          <t>L3: Proceso Definido</t>
        </is>
      </c>
      <c r="AB1302" s="107" t="inlineStr">
        <is>
          <t>T2: Fuga de información</t>
        </is>
      </c>
      <c r="AC1302" s="107" t="inlineStr">
        <is>
          <t>Registro Físico</t>
        </is>
      </c>
    </row>
    <row r="1303">
      <c r="A1303" s="96"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c r="Y1303" s="107" t="inlineStr">
        <is>
          <t>Planificado</t>
        </is>
      </c>
      <c r="Z1303" s="107" t="inlineStr">
        <is>
          <t>[PR] Prevención</t>
        </is>
      </c>
      <c r="AA1303" s="107" t="inlineStr">
        <is>
          <t>L5: Optimizado</t>
        </is>
      </c>
      <c r="AB1303" s="107" t="inlineStr">
        <is>
          <t>T2: Fuga de información</t>
        </is>
      </c>
      <c r="AC1303" s="107" t="inlineStr">
        <is>
          <t>Manual de Operaciones</t>
        </is>
      </c>
    </row>
    <row r="1304">
      <c r="A1304" s="96"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c r="Y1304" s="107" t="inlineStr">
        <is>
          <t>Implementado</t>
        </is>
      </c>
      <c r="Z1304" s="107" t="inlineStr">
        <is>
          <t>[PR] Prevención</t>
        </is>
      </c>
      <c r="AA1304" s="107" t="inlineStr">
        <is>
          <t>L5: Optimizado</t>
        </is>
      </c>
      <c r="AB1304" s="107" t="inlineStr">
        <is>
          <t>T2: Fuga de información</t>
        </is>
      </c>
      <c r="AC1304" s="107" t="inlineStr">
        <is>
          <t>Manual de Operaciones</t>
        </is>
      </c>
    </row>
    <row r="1305">
      <c r="A1305" s="96"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c r="Y1305" s="107" t="inlineStr">
        <is>
          <t>Implementado</t>
        </is>
      </c>
      <c r="Z1305" s="107" t="inlineStr">
        <is>
          <t>[PR] Prevención</t>
        </is>
      </c>
      <c r="AA1305" s="107" t="inlineStr">
        <is>
          <t>L5: Optimizado</t>
        </is>
      </c>
      <c r="AB1305" s="107" t="inlineStr">
        <is>
          <t>T2: Fuga de información</t>
        </is>
      </c>
      <c r="AC1305" s="107" t="inlineStr">
        <is>
          <t>Manual de Operaciones</t>
        </is>
      </c>
    </row>
    <row r="1306">
      <c r="A1306" s="96"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c r="Y1306" s="107" t="inlineStr">
        <is>
          <t>En Proceso</t>
        </is>
      </c>
      <c r="Z1306" s="107" t="inlineStr">
        <is>
          <t>[PR] Prevención</t>
        </is>
      </c>
      <c r="AA1306" s="107" t="inlineStr">
        <is>
          <t>L5: Optimizado</t>
        </is>
      </c>
      <c r="AB1306" s="107" t="inlineStr">
        <is>
          <t>T2: Fuga de información</t>
        </is>
      </c>
      <c r="AC1306" s="107" t="inlineStr">
        <is>
          <t>Manual de Operaciones</t>
        </is>
      </c>
    </row>
    <row r="1307">
      <c r="A1307" s="96"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c r="Y1307" s="107" t="inlineStr">
        <is>
          <t>Implementado</t>
        </is>
      </c>
      <c r="Z1307" s="107" t="inlineStr">
        <is>
          <t>[PR] Prevención</t>
        </is>
      </c>
      <c r="AA1307" s="107" t="inlineStr">
        <is>
          <t>L5: Optimizado</t>
        </is>
      </c>
      <c r="AB1307" s="107" t="inlineStr">
        <is>
          <t>T2: Fuga de información</t>
        </is>
      </c>
      <c r="AC1307" s="107" t="inlineStr">
        <is>
          <t>Manual de Operaciones</t>
        </is>
      </c>
    </row>
    <row r="1308">
      <c r="A1308" s="96"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c r="Y1308" s="107" t="inlineStr">
        <is>
          <t>Implementado</t>
        </is>
      </c>
      <c r="Z1308" s="107" t="inlineStr">
        <is>
          <t>[PR] Prevención</t>
        </is>
      </c>
      <c r="AA1308" s="107" t="inlineStr">
        <is>
          <t>L2: Reproducible</t>
        </is>
      </c>
      <c r="AB1308" s="107" t="inlineStr">
        <is>
          <t>T2: Fuga de información</t>
        </is>
      </c>
      <c r="AC1308" s="107" t="inlineStr">
        <is>
          <t>Manual de Operaciones</t>
        </is>
      </c>
    </row>
    <row r="1309">
      <c r="A1309" s="96"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c r="Y1309" s="107" t="inlineStr">
        <is>
          <t>Implementado</t>
        </is>
      </c>
      <c r="Z1309" s="107" t="inlineStr">
        <is>
          <t>[PR] Prevención</t>
        </is>
      </c>
      <c r="AA1309" s="107" t="inlineStr">
        <is>
          <t>L2: Reproducible</t>
        </is>
      </c>
      <c r="AB1309" s="107" t="inlineStr">
        <is>
          <t>T2: Fuga de información</t>
        </is>
      </c>
      <c r="AC1309" s="107" t="inlineStr">
        <is>
          <t>Manual de Operaciones</t>
        </is>
      </c>
    </row>
    <row r="1310">
      <c r="A1310" s="96"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c r="Y1310" s="107" t="inlineStr">
        <is>
          <t>Implementado</t>
        </is>
      </c>
      <c r="Z1310" s="107" t="inlineStr">
        <is>
          <t>[PR] Prevención</t>
        </is>
      </c>
      <c r="AA1310" s="107" t="inlineStr">
        <is>
          <t>L5: Optimizado</t>
        </is>
      </c>
      <c r="AB1310" s="107" t="inlineStr">
        <is>
          <t>T2: Fuga de información</t>
        </is>
      </c>
      <c r="AC1310" s="107" t="inlineStr">
        <is>
          <t>Manual de Operaciones</t>
        </is>
      </c>
    </row>
    <row r="1311">
      <c r="A1311" s="96"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c r="Y1311" s="107" t="inlineStr">
        <is>
          <t>En Proceso</t>
        </is>
      </c>
      <c r="Z1311" s="107" t="inlineStr">
        <is>
          <t>[PR] Prevención</t>
        </is>
      </c>
      <c r="AA1311" s="107" t="inlineStr">
        <is>
          <t>L4: Gestionado</t>
        </is>
      </c>
      <c r="AB1311" s="107" t="inlineStr">
        <is>
          <t>T2: Fuga de información</t>
        </is>
      </c>
      <c r="AC1311" s="107" t="inlineStr">
        <is>
          <t>Manual de Operaciones</t>
        </is>
      </c>
    </row>
    <row r="1312">
      <c r="A1312" s="96"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c r="Y1312" s="107" t="inlineStr">
        <is>
          <t>Implementado</t>
        </is>
      </c>
      <c r="Z1312" s="107" t="inlineStr">
        <is>
          <t>[DC] Detección</t>
        </is>
      </c>
      <c r="AA1312" s="107" t="inlineStr">
        <is>
          <t>L4: Gestionado</t>
        </is>
      </c>
      <c r="AB1312" s="107" t="inlineStr">
        <is>
          <t>T2: Fuga de información</t>
        </is>
      </c>
      <c r="AC1312" s="107" t="inlineStr">
        <is>
          <t>Registro Físico</t>
        </is>
      </c>
    </row>
    <row r="1313">
      <c r="A1313" s="96"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c r="Y1313" s="107" t="inlineStr">
        <is>
          <t>Implementado</t>
        </is>
      </c>
      <c r="Z1313" s="107" t="inlineStr">
        <is>
          <t>[DC] Detección</t>
        </is>
      </c>
      <c r="AA1313" s="107" t="inlineStr">
        <is>
          <t>L4: Gestionado</t>
        </is>
      </c>
      <c r="AB1313" s="107" t="inlineStr">
        <is>
          <t>T2: Fuga de información</t>
        </is>
      </c>
      <c r="AC1313" s="107" t="inlineStr">
        <is>
          <t>Registro Físico</t>
        </is>
      </c>
    </row>
    <row r="1314">
      <c r="A1314" s="96"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c r="Y1314" s="107" t="inlineStr">
        <is>
          <t>Implementado</t>
        </is>
      </c>
      <c r="Z1314" s="107" t="inlineStr">
        <is>
          <t>[RC] Recuperación</t>
        </is>
      </c>
      <c r="AA1314" s="107" t="inlineStr">
        <is>
          <t>L5: Optimizado</t>
        </is>
      </c>
      <c r="AB1314" s="107" t="inlineStr">
        <is>
          <t>T2: Fuga de información</t>
        </is>
      </c>
      <c r="AC1314" s="107" t="inlineStr">
        <is>
          <t>Registro Físico</t>
        </is>
      </c>
    </row>
    <row r="1315">
      <c r="A1315" s="96"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c r="Y1315" s="107" t="inlineStr">
        <is>
          <t>Planificado</t>
        </is>
      </c>
      <c r="Z1315" s="107" t="inlineStr">
        <is>
          <t>[DR] Disuasión</t>
        </is>
      </c>
      <c r="AA1315" s="107" t="inlineStr">
        <is>
          <t>L5: Optimizado</t>
        </is>
      </c>
      <c r="AB1315" s="107" t="inlineStr">
        <is>
          <t>T2: Fuga de información</t>
        </is>
      </c>
      <c r="AC1315" s="107" t="inlineStr">
        <is>
          <t>Registro Físico</t>
        </is>
      </c>
    </row>
    <row r="1316">
      <c r="A1316" s="96"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c r="Y1316" s="107" t="inlineStr">
        <is>
          <t>Implementado</t>
        </is>
      </c>
      <c r="Z1316" s="107" t="inlineStr">
        <is>
          <t>[DR] Disuasión</t>
        </is>
      </c>
      <c r="AA1316" s="107" t="inlineStr">
        <is>
          <t>L2: Reproducible</t>
        </is>
      </c>
      <c r="AB1316" s="107" t="inlineStr">
        <is>
          <t>T2: Fuga de información</t>
        </is>
      </c>
      <c r="AC1316" s="107" t="inlineStr">
        <is>
          <t>Registro Físico</t>
        </is>
      </c>
    </row>
    <row r="1317">
      <c r="A1317" s="96"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c r="Y1317" s="107" t="inlineStr">
        <is>
          <t>Implementado</t>
        </is>
      </c>
      <c r="Z1317" s="107" t="inlineStr">
        <is>
          <t>[CR] Corrección</t>
        </is>
      </c>
      <c r="AA1317" s="107" t="inlineStr">
        <is>
          <t>L2: Reproducible</t>
        </is>
      </c>
      <c r="AB1317" s="107" t="inlineStr">
        <is>
          <t>T2: Fuga de información</t>
        </is>
      </c>
      <c r="AC1317" s="107" t="inlineStr">
        <is>
          <t>Registro Físico</t>
        </is>
      </c>
    </row>
    <row r="1318">
      <c r="A1318" s="96"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c r="Y1318" s="107" t="inlineStr">
        <is>
          <t>Implementado</t>
        </is>
      </c>
      <c r="Z1318" s="107" t="inlineStr">
        <is>
          <t>[PR] Prevención</t>
        </is>
      </c>
      <c r="AA1318" s="107" t="inlineStr">
        <is>
          <t>L3: Proceso Definido</t>
        </is>
      </c>
      <c r="AB1318" s="107" t="inlineStr">
        <is>
          <t>T2: Fuga de información</t>
        </is>
      </c>
      <c r="AC1318" s="107" t="inlineStr">
        <is>
          <t>Manual de Operaciones</t>
        </is>
      </c>
    </row>
    <row r="1319">
      <c r="A1319" s="96"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c r="Y1319" s="107" t="inlineStr">
        <is>
          <t>Planificado</t>
        </is>
      </c>
      <c r="Z1319" s="107" t="inlineStr">
        <is>
          <t>[PR] Prevención</t>
        </is>
      </c>
      <c r="AA1319" s="107" t="inlineStr">
        <is>
          <t>L2: Reproducible</t>
        </is>
      </c>
      <c r="AB1319" s="107" t="inlineStr">
        <is>
          <t>T2: Fuga de información</t>
        </is>
      </c>
      <c r="AC1319" s="107" t="inlineStr">
        <is>
          <t>Manual de Operaciones</t>
        </is>
      </c>
    </row>
    <row r="1320">
      <c r="A1320" s="96"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c r="Y1320" s="107" t="inlineStr">
        <is>
          <t>En Proceso</t>
        </is>
      </c>
      <c r="Z1320" s="107" t="inlineStr">
        <is>
          <t>[PR] Prevención</t>
        </is>
      </c>
      <c r="AA1320" s="107" t="inlineStr">
        <is>
          <t>L3: Proceso Definido</t>
        </is>
      </c>
      <c r="AB1320" s="107" t="inlineStr">
        <is>
          <t>T2: Fuga de información</t>
        </is>
      </c>
      <c r="AC1320" s="107" t="inlineStr">
        <is>
          <t>Manual de Operaciones</t>
        </is>
      </c>
    </row>
    <row r="1321">
      <c r="A1321" s="96"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c r="Y1321" s="107" t="inlineStr">
        <is>
          <t>Implementado</t>
        </is>
      </c>
      <c r="Z1321" s="107" t="inlineStr">
        <is>
          <t>[PR] Prevención</t>
        </is>
      </c>
      <c r="AA1321" s="107" t="inlineStr">
        <is>
          <t>L2: Reproducible</t>
        </is>
      </c>
      <c r="AB1321" s="107" t="inlineStr">
        <is>
          <t>T2: Fuga de información</t>
        </is>
      </c>
      <c r="AC1321" s="107" t="inlineStr">
        <is>
          <t>Manual de Operaciones</t>
        </is>
      </c>
    </row>
    <row r="1322">
      <c r="A1322" s="96"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c r="Y1322" s="107" t="inlineStr">
        <is>
          <t>Implementado</t>
        </is>
      </c>
      <c r="Z1322" s="107" t="inlineStr">
        <is>
          <t>[PR] Prevención</t>
        </is>
      </c>
      <c r="AA1322" s="107" t="inlineStr">
        <is>
          <t>L5: Optimizado</t>
        </is>
      </c>
      <c r="AB1322" s="107" t="inlineStr">
        <is>
          <t>T2: Fuga de información</t>
        </is>
      </c>
      <c r="AC1322" s="107" t="inlineStr">
        <is>
          <t>Manual de Operaciones</t>
        </is>
      </c>
    </row>
    <row r="1323">
      <c r="A1323" s="96"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c r="Y1323" s="107" t="inlineStr">
        <is>
          <t>Implementado</t>
        </is>
      </c>
      <c r="Z1323" s="107" t="inlineStr">
        <is>
          <t>[PR] Prevención</t>
        </is>
      </c>
      <c r="AA1323" s="107" t="inlineStr">
        <is>
          <t>L3: Proceso Definido</t>
        </is>
      </c>
      <c r="AB1323" s="107" t="inlineStr">
        <is>
          <t>T2: Fuga de información</t>
        </is>
      </c>
      <c r="AC1323" s="107" t="inlineStr">
        <is>
          <t>Manual de Operaciones</t>
        </is>
      </c>
    </row>
    <row r="1324">
      <c r="A1324" s="96"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c r="Y1324" s="107" t="inlineStr">
        <is>
          <t>Implementado</t>
        </is>
      </c>
      <c r="Z1324" s="107" t="inlineStr">
        <is>
          <t>[PR] Prevención</t>
        </is>
      </c>
      <c r="AA1324" s="107" t="inlineStr">
        <is>
          <t>L5: Optimizado</t>
        </is>
      </c>
      <c r="AB1324" s="107" t="inlineStr">
        <is>
          <t>T2: Fuga de información</t>
        </is>
      </c>
      <c r="AC1324" s="107" t="inlineStr">
        <is>
          <t>Manual de Operaciones</t>
        </is>
      </c>
    </row>
    <row r="1325">
      <c r="A1325" s="96"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c r="Y1325" s="107" t="inlineStr">
        <is>
          <t>Implementado</t>
        </is>
      </c>
      <c r="Z1325" s="107" t="inlineStr">
        <is>
          <t>[PR] Prevención</t>
        </is>
      </c>
      <c r="AA1325" s="107" t="inlineStr">
        <is>
          <t>L3: Proceso Definido</t>
        </is>
      </c>
      <c r="AB1325" s="107" t="inlineStr">
        <is>
          <t>T2: Fuga de información</t>
        </is>
      </c>
      <c r="AC1325" s="107" t="inlineStr">
        <is>
          <t>Manual de Operaciones</t>
        </is>
      </c>
    </row>
    <row r="1326">
      <c r="A1326" s="96"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c r="Y1326" s="107" t="inlineStr">
        <is>
          <t>Implementado</t>
        </is>
      </c>
      <c r="Z1326" s="107" t="inlineStr">
        <is>
          <t>[PR] Prevención</t>
        </is>
      </c>
      <c r="AA1326" s="107" t="inlineStr">
        <is>
          <t>L3: Proceso Definido</t>
        </is>
      </c>
      <c r="AB1326" s="107" t="inlineStr">
        <is>
          <t>T2: Fuga de información</t>
        </is>
      </c>
      <c r="AC1326" s="107" t="inlineStr">
        <is>
          <t>Manual de Operaciones</t>
        </is>
      </c>
    </row>
    <row r="1327">
      <c r="A1327" s="96"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c r="Y1327" s="107" t="inlineStr">
        <is>
          <t>Implementado</t>
        </is>
      </c>
      <c r="Z1327" s="107" t="inlineStr">
        <is>
          <t>[PR] Prevención</t>
        </is>
      </c>
      <c r="AA1327" s="107" t="inlineStr">
        <is>
          <t>L2: Reproducible</t>
        </is>
      </c>
      <c r="AB1327" s="107" t="inlineStr">
        <is>
          <t>T2: Fuga de información</t>
        </is>
      </c>
      <c r="AC1327" s="107" t="inlineStr">
        <is>
          <t>Manual de Operaciones</t>
        </is>
      </c>
    </row>
    <row r="1328">
      <c r="A1328" s="96"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c r="Y1328" s="107" t="inlineStr">
        <is>
          <t>Implementado</t>
        </is>
      </c>
      <c r="Z1328" s="107" t="inlineStr">
        <is>
          <t>[PR] Prevención</t>
        </is>
      </c>
      <c r="AA1328" s="107" t="inlineStr">
        <is>
          <t>L2: Reproducible</t>
        </is>
      </c>
      <c r="AB1328" s="107" t="inlineStr">
        <is>
          <t>T2: Fuga de información</t>
        </is>
      </c>
      <c r="AC1328" s="107" t="inlineStr">
        <is>
          <t>Manual de Operaciones</t>
        </is>
      </c>
    </row>
    <row r="1329">
      <c r="A1329" s="96"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c r="Y1329" s="107" t="inlineStr">
        <is>
          <t>No Implementado</t>
        </is>
      </c>
      <c r="Z1329" s="107" t="inlineStr">
        <is>
          <t>[PR] Prevención</t>
        </is>
      </c>
      <c r="AA1329" s="107" t="inlineStr">
        <is>
          <t>L5: Optimizado</t>
        </is>
      </c>
      <c r="AB1329" s="107" t="inlineStr">
        <is>
          <t>T2: Fuga de información</t>
        </is>
      </c>
      <c r="AC1329" s="107" t="inlineStr">
        <is>
          <t>Manual de Operaciones</t>
        </is>
      </c>
    </row>
    <row r="1330">
      <c r="A1330" s="96"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c r="Y1330" s="107" t="inlineStr">
        <is>
          <t>Implementado</t>
        </is>
      </c>
      <c r="Z1330" s="107" t="inlineStr">
        <is>
          <t>[PR] Prevención</t>
        </is>
      </c>
      <c r="AA1330" s="107" t="inlineStr">
        <is>
          <t>L2: Reproducible</t>
        </is>
      </c>
      <c r="AB1330" s="107" t="inlineStr">
        <is>
          <t>T2: Fuga de información</t>
        </is>
      </c>
      <c r="AC1330" s="107" t="inlineStr">
        <is>
          <t>Manual de Operaciones</t>
        </is>
      </c>
    </row>
    <row r="1331">
      <c r="A1331" s="96"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c r="Y1331" s="107" t="inlineStr">
        <is>
          <t>Implementado</t>
        </is>
      </c>
      <c r="Z1331" s="107" t="inlineStr">
        <is>
          <t>[PR] Prevención</t>
        </is>
      </c>
      <c r="AA1331" s="107" t="inlineStr">
        <is>
          <t>L5: Optimizado</t>
        </is>
      </c>
      <c r="AB1331" s="107" t="inlineStr">
        <is>
          <t>T2: Fuga de información</t>
        </is>
      </c>
      <c r="AC1331" s="107" t="inlineStr">
        <is>
          <t>Manual de Operaciones</t>
        </is>
      </c>
    </row>
    <row r="1332">
      <c r="A1332" s="96"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c r="Y1332" s="107" t="inlineStr">
        <is>
          <t>Implementado</t>
        </is>
      </c>
      <c r="Z1332" s="107" t="inlineStr">
        <is>
          <t>[PR] Prevención</t>
        </is>
      </c>
      <c r="AA1332" s="107" t="inlineStr">
        <is>
          <t>L3: Proceso Definido</t>
        </is>
      </c>
      <c r="AB1332" s="107" t="inlineStr">
        <is>
          <t>T2: Fuga de información</t>
        </is>
      </c>
      <c r="AC1332" s="107" t="inlineStr">
        <is>
          <t>Manual de Operaciones</t>
        </is>
      </c>
    </row>
    <row r="1333">
      <c r="A1333" s="96"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c r="Y1333" s="107" t="inlineStr">
        <is>
          <t>Implementado</t>
        </is>
      </c>
      <c r="Z1333" s="107" t="inlineStr">
        <is>
          <t>[PR] Prevención</t>
        </is>
      </c>
      <c r="AA1333" s="107" t="inlineStr">
        <is>
          <t>L4: Gestionado</t>
        </is>
      </c>
      <c r="AB1333" s="107" t="inlineStr">
        <is>
          <t>T2: Fuga de información</t>
        </is>
      </c>
      <c r="AC1333" s="107" t="inlineStr">
        <is>
          <t>Manual de Operaciones</t>
        </is>
      </c>
    </row>
    <row r="1334">
      <c r="A1334" s="96"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c r="Y1334" s="107" t="inlineStr">
        <is>
          <t>Implementado</t>
        </is>
      </c>
      <c r="Z1334" s="107" t="inlineStr">
        <is>
          <t>[IM] Minimización</t>
        </is>
      </c>
      <c r="AA1334" s="107" t="inlineStr">
        <is>
          <t>L3: Proceso Definido</t>
        </is>
      </c>
      <c r="AB1334" s="107" t="inlineStr">
        <is>
          <t>T1: Accesos no autorizados</t>
        </is>
      </c>
      <c r="AC1334" s="107" t="inlineStr">
        <is>
          <t>Bitácora de Sistemas</t>
        </is>
      </c>
    </row>
    <row r="1335">
      <c r="A1335" s="96"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c r="Y1335" s="107" t="inlineStr">
        <is>
          <t>No Implementado</t>
        </is>
      </c>
      <c r="Z1335" s="107" t="inlineStr">
        <is>
          <t>[PR] Prevención</t>
        </is>
      </c>
      <c r="AA1335" s="107" t="inlineStr">
        <is>
          <t>L2: Reproducible</t>
        </is>
      </c>
      <c r="AB1335" s="107" t="inlineStr">
        <is>
          <t>T2: Fuga de información</t>
        </is>
      </c>
      <c r="AC1335" s="107" t="inlineStr">
        <is>
          <t>Manual de Operaciones</t>
        </is>
      </c>
    </row>
    <row r="1336">
      <c r="A1336" s="96"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c r="Y1336" s="107" t="inlineStr">
        <is>
          <t>Implementado</t>
        </is>
      </c>
      <c r="Z1336" s="107" t="inlineStr">
        <is>
          <t>[PR] Prevención</t>
        </is>
      </c>
      <c r="AA1336" s="107" t="inlineStr">
        <is>
          <t>L3: Proceso Definido</t>
        </is>
      </c>
      <c r="AB1336" s="107" t="inlineStr">
        <is>
          <t>T2: Fuga de información</t>
        </is>
      </c>
      <c r="AC1336" s="107" t="inlineStr">
        <is>
          <t>Manual de Operaciones</t>
        </is>
      </c>
    </row>
    <row r="1337">
      <c r="A1337" s="96"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c r="Y1337" s="107" t="inlineStr">
        <is>
          <t>En Proceso</t>
        </is>
      </c>
      <c r="Z1337" s="107" t="inlineStr">
        <is>
          <t>[PR] Prevención</t>
        </is>
      </c>
      <c r="AA1337" s="107" t="inlineStr">
        <is>
          <t>L4: Gestionado</t>
        </is>
      </c>
      <c r="AB1337" s="107" t="inlineStr">
        <is>
          <t>T2: Fuga de información</t>
        </is>
      </c>
      <c r="AC1337" s="107" t="inlineStr">
        <is>
          <t>Manual de Operaciones</t>
        </is>
      </c>
    </row>
    <row r="1338">
      <c r="A1338" s="96"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c r="Y1338" s="107" t="inlineStr">
        <is>
          <t>Implementado</t>
        </is>
      </c>
      <c r="Z1338" s="107" t="inlineStr">
        <is>
          <t>[PR] Prevención</t>
        </is>
      </c>
      <c r="AA1338" s="107" t="inlineStr">
        <is>
          <t>L4: Gestionado</t>
        </is>
      </c>
      <c r="AB1338" s="107" t="inlineStr">
        <is>
          <t>T2: Fuga de información</t>
        </is>
      </c>
      <c r="AC1338" s="107" t="inlineStr">
        <is>
          <t>Manual de Operaciones</t>
        </is>
      </c>
    </row>
    <row r="1339">
      <c r="A1339" s="96"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c r="Y1339" s="107" t="inlineStr">
        <is>
          <t>Implementado</t>
        </is>
      </c>
      <c r="Z1339" s="107" t="inlineStr">
        <is>
          <t>[PR] Prevención</t>
        </is>
      </c>
      <c r="AA1339" s="107" t="inlineStr">
        <is>
          <t>L2: Reproducible</t>
        </is>
      </c>
      <c r="AB1339" s="107" t="inlineStr">
        <is>
          <t>T2: Fuga de información</t>
        </is>
      </c>
      <c r="AC1339" s="107" t="inlineStr">
        <is>
          <t>Manual de Operaciones</t>
        </is>
      </c>
    </row>
    <row r="1340">
      <c r="A1340" s="96"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c r="Y1340" s="107" t="inlineStr">
        <is>
          <t>Implementado</t>
        </is>
      </c>
      <c r="Z1340" s="107" t="inlineStr">
        <is>
          <t>[PR] Prevención</t>
        </is>
      </c>
      <c r="AA1340" s="107" t="inlineStr">
        <is>
          <t>L3: Proceso Definido</t>
        </is>
      </c>
      <c r="AB1340" s="107" t="inlineStr">
        <is>
          <t>T2: Fuga de información</t>
        </is>
      </c>
      <c r="AC1340" s="107" t="inlineStr">
        <is>
          <t>Manual de Operaciones</t>
        </is>
      </c>
    </row>
    <row r="1341">
      <c r="A1341" s="96"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c r="Y1341" s="107" t="inlineStr">
        <is>
          <t>Implementado</t>
        </is>
      </c>
      <c r="Z1341" s="107" t="inlineStr">
        <is>
          <t>[PR] Prevención</t>
        </is>
      </c>
      <c r="AA1341" s="107" t="inlineStr">
        <is>
          <t>L4: Gestionado</t>
        </is>
      </c>
      <c r="AB1341" s="107" t="inlineStr">
        <is>
          <t>T2: Fuga de información</t>
        </is>
      </c>
      <c r="AC1341" s="107" t="inlineStr">
        <is>
          <t>Manual de Operaciones</t>
        </is>
      </c>
    </row>
    <row r="1342">
      <c r="A1342" s="96"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c r="Y1342" s="107" t="inlineStr">
        <is>
          <t>Implementado</t>
        </is>
      </c>
      <c r="Z1342" s="107" t="inlineStr">
        <is>
          <t>[PR] Prevención</t>
        </is>
      </c>
      <c r="AA1342" s="107" t="inlineStr">
        <is>
          <t>L5: Optimizado</t>
        </is>
      </c>
      <c r="AB1342" s="107" t="inlineStr">
        <is>
          <t>T2: Fuga de información</t>
        </is>
      </c>
      <c r="AC1342" s="107" t="inlineStr">
        <is>
          <t>Manual de Operaciones</t>
        </is>
      </c>
    </row>
    <row r="1343">
      <c r="A1343" s="96"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c r="Y1343" s="107" t="inlineStr">
        <is>
          <t>Implementado</t>
        </is>
      </c>
      <c r="Z1343" s="107" t="inlineStr">
        <is>
          <t>[EL] Eliminación</t>
        </is>
      </c>
      <c r="AA1343" s="107" t="inlineStr">
        <is>
          <t>L5: Optimizado</t>
        </is>
      </c>
      <c r="AB1343" s="107" t="inlineStr">
        <is>
          <t>T1: Accesos no autorizados</t>
        </is>
      </c>
      <c r="AC1343" s="107" t="inlineStr">
        <is>
          <t>Bitácora de Sistemas</t>
        </is>
      </c>
    </row>
    <row r="1344">
      <c r="A1344" s="96"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c r="Y1344" s="107" t="inlineStr">
        <is>
          <t>Implementado</t>
        </is>
      </c>
      <c r="Z1344" s="107" t="inlineStr">
        <is>
          <t>[PR] Prevención</t>
        </is>
      </c>
      <c r="AA1344" s="107" t="inlineStr">
        <is>
          <t>L3: Proceso Definido</t>
        </is>
      </c>
      <c r="AB1344" s="107" t="inlineStr">
        <is>
          <t>T2: Fuga de información</t>
        </is>
      </c>
      <c r="AC1344" s="107" t="inlineStr">
        <is>
          <t>Manual de Operaciones</t>
        </is>
      </c>
    </row>
    <row r="1345">
      <c r="A1345" s="96"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c r="Y1345" s="107" t="inlineStr">
        <is>
          <t>No Implementado</t>
        </is>
      </c>
      <c r="Z1345" s="107" t="inlineStr">
        <is>
          <t>[PR] Prevención</t>
        </is>
      </c>
      <c r="AA1345" s="107" t="inlineStr">
        <is>
          <t>L3: Proceso Definido</t>
        </is>
      </c>
      <c r="AB1345" s="107" t="inlineStr">
        <is>
          <t>T2: Fuga de información</t>
        </is>
      </c>
      <c r="AC1345" s="107" t="inlineStr">
        <is>
          <t>Manual de Operaciones</t>
        </is>
      </c>
    </row>
    <row r="1346">
      <c r="A1346" s="96"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c r="Y1346" s="107" t="inlineStr">
        <is>
          <t>No Implementado</t>
        </is>
      </c>
      <c r="Z1346" s="107" t="inlineStr">
        <is>
          <t>[PR] Prevención</t>
        </is>
      </c>
      <c r="AA1346" s="107" t="inlineStr">
        <is>
          <t>L4: Gestionado</t>
        </is>
      </c>
      <c r="AB1346" s="107" t="inlineStr">
        <is>
          <t>T2: Fuga de información</t>
        </is>
      </c>
      <c r="AC1346" s="107" t="inlineStr">
        <is>
          <t>Manual de Operaciones</t>
        </is>
      </c>
    </row>
    <row r="1347">
      <c r="A1347" s="96"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c r="Y1347" s="107" t="inlineStr">
        <is>
          <t>Implementado</t>
        </is>
      </c>
      <c r="Z1347" s="107" t="inlineStr">
        <is>
          <t>[PR] Prevención</t>
        </is>
      </c>
      <c r="AA1347" s="107" t="inlineStr">
        <is>
          <t>L5: Optimizado</t>
        </is>
      </c>
      <c r="AB1347" s="107" t="inlineStr">
        <is>
          <t>T2: Fuga de información</t>
        </is>
      </c>
      <c r="AC1347" s="107" t="inlineStr">
        <is>
          <t>Manual de Operaciones</t>
        </is>
      </c>
    </row>
    <row r="1348">
      <c r="A1348" s="96"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c r="Y1348" s="107" t="inlineStr">
        <is>
          <t>Implementado</t>
        </is>
      </c>
      <c r="Z1348" s="107" t="inlineStr">
        <is>
          <t>[PR] Prevención</t>
        </is>
      </c>
      <c r="AA1348" s="107" t="inlineStr">
        <is>
          <t>L2: Reproducible</t>
        </is>
      </c>
      <c r="AB1348" s="107" t="inlineStr">
        <is>
          <t>T2: Fuga de información</t>
        </is>
      </c>
      <c r="AC1348" s="107" t="inlineStr">
        <is>
          <t>Manual de Operaciones</t>
        </is>
      </c>
    </row>
    <row r="1349">
      <c r="A1349" s="96"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c r="Y1349" s="107" t="inlineStr">
        <is>
          <t>Implementado</t>
        </is>
      </c>
      <c r="Z1349" s="107" t="inlineStr">
        <is>
          <t>[PR] Prevención</t>
        </is>
      </c>
      <c r="AA1349" s="107" t="inlineStr">
        <is>
          <t>L2: Reproducible</t>
        </is>
      </c>
      <c r="AB1349" s="107" t="inlineStr">
        <is>
          <t>T2: Fuga de información</t>
        </is>
      </c>
      <c r="AC1349" s="107" t="inlineStr">
        <is>
          <t>Manual de Operaciones</t>
        </is>
      </c>
    </row>
    <row r="1350">
      <c r="A1350" s="96"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c r="Y1350" s="107" t="inlineStr">
        <is>
          <t>Implementado</t>
        </is>
      </c>
      <c r="Z1350" s="107" t="inlineStr">
        <is>
          <t>[PR] Prevención</t>
        </is>
      </c>
      <c r="AA1350" s="107" t="inlineStr">
        <is>
          <t>L3: Proceso Definido</t>
        </is>
      </c>
      <c r="AB1350" s="107" t="inlineStr">
        <is>
          <t>T2: Fuga de información</t>
        </is>
      </c>
      <c r="AC1350" s="107" t="inlineStr">
        <is>
          <t>Manual de Operaciones</t>
        </is>
      </c>
    </row>
    <row r="1351" ht="12" customHeight="1" s="103">
      <c r="A1351" s="96"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c r="Y1351" s="107" t="inlineStr">
        <is>
          <t>Implementado</t>
        </is>
      </c>
      <c r="Z1351" s="107" t="inlineStr">
        <is>
          <t>[PR] Prevención</t>
        </is>
      </c>
      <c r="AA1351" s="107" t="inlineStr">
        <is>
          <t>L3: Proceso Definido</t>
        </is>
      </c>
      <c r="AB1351" s="107" t="inlineStr">
        <is>
          <t>T2: Fuga de información</t>
        </is>
      </c>
      <c r="AC1351" s="107" t="inlineStr">
        <is>
          <t>Manual de Operaciones</t>
        </is>
      </c>
    </row>
    <row r="1352">
      <c r="A1352" s="96"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c r="Y1352" s="107" t="inlineStr">
        <is>
          <t>Implementado</t>
        </is>
      </c>
      <c r="Z1352" s="107" t="inlineStr">
        <is>
          <t>[PR] Prevención</t>
        </is>
      </c>
      <c r="AA1352" s="107" t="inlineStr">
        <is>
          <t>L4: Gestionado</t>
        </is>
      </c>
      <c r="AB1352" s="107" t="inlineStr">
        <is>
          <t>T2: Fuga de información</t>
        </is>
      </c>
      <c r="AC1352" s="107" t="inlineStr">
        <is>
          <t>Manual de Operaciones</t>
        </is>
      </c>
    </row>
    <row r="1353">
      <c r="A1353" s="96"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c r="Y1353" s="107" t="inlineStr">
        <is>
          <t>Implementado</t>
        </is>
      </c>
      <c r="Z1353" s="107" t="inlineStr">
        <is>
          <t>[PR] Prevención</t>
        </is>
      </c>
      <c r="AA1353" s="107" t="inlineStr">
        <is>
          <t>L3: Proceso Definido</t>
        </is>
      </c>
      <c r="AB1353" s="107" t="inlineStr">
        <is>
          <t>T2: Fuga de información</t>
        </is>
      </c>
      <c r="AC1353" s="107" t="inlineStr">
        <is>
          <t>Manual de Operaciones</t>
        </is>
      </c>
    </row>
    <row r="1354">
      <c r="A1354" s="96"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c r="Y1354" s="107" t="inlineStr">
        <is>
          <t>Implementado</t>
        </is>
      </c>
      <c r="Z1354" s="107" t="inlineStr">
        <is>
          <t>[PR] Prevención</t>
        </is>
      </c>
      <c r="AA1354" s="107" t="inlineStr">
        <is>
          <t>L4: Gestionado</t>
        </is>
      </c>
      <c r="AB1354" s="107" t="inlineStr">
        <is>
          <t>T2: Fuga de información</t>
        </is>
      </c>
      <c r="AC1354" s="107" t="inlineStr">
        <is>
          <t>Manual de Operaciones</t>
        </is>
      </c>
    </row>
    <row r="1355">
      <c r="A1355" s="96"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c r="Y1355" s="107" t="inlineStr">
        <is>
          <t>Implementado</t>
        </is>
      </c>
      <c r="Z1355" s="107" t="inlineStr">
        <is>
          <t>[PR] Prevención</t>
        </is>
      </c>
      <c r="AA1355" s="107" t="inlineStr">
        <is>
          <t>L4: Gestionado</t>
        </is>
      </c>
      <c r="AB1355" s="107" t="inlineStr">
        <is>
          <t>T2: Fuga de información</t>
        </is>
      </c>
      <c r="AC1355" s="107" t="inlineStr">
        <is>
          <t>Manual de Operaciones</t>
        </is>
      </c>
    </row>
    <row r="1356">
      <c r="A1356" s="96"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c r="Y1356" s="107" t="inlineStr">
        <is>
          <t>Planificado</t>
        </is>
      </c>
      <c r="Z1356" s="107" t="inlineStr">
        <is>
          <t>[PR] Prevención</t>
        </is>
      </c>
      <c r="AA1356" s="107" t="inlineStr">
        <is>
          <t>L2: Reproducible</t>
        </is>
      </c>
      <c r="AB1356" s="107" t="inlineStr">
        <is>
          <t>T2: Fuga de información</t>
        </is>
      </c>
      <c r="AC1356" s="107" t="inlineStr">
        <is>
          <t>Manual de Operaciones</t>
        </is>
      </c>
    </row>
    <row r="1357">
      <c r="A1357" s="96"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c r="Y1357" s="107" t="inlineStr">
        <is>
          <t>Implementado</t>
        </is>
      </c>
      <c r="Z1357" s="107" t="inlineStr">
        <is>
          <t>[PR] Prevención</t>
        </is>
      </c>
      <c r="AA1357" s="107" t="inlineStr">
        <is>
          <t>L5: Optimizado</t>
        </is>
      </c>
      <c r="AB1357" s="107" t="inlineStr">
        <is>
          <t>T2: Fuga de información</t>
        </is>
      </c>
      <c r="AC1357" s="107" t="inlineStr">
        <is>
          <t>Manual de Operaciones</t>
        </is>
      </c>
    </row>
    <row r="1358">
      <c r="A1358" s="96"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c r="Y1358" s="107" t="inlineStr">
        <is>
          <t>Implementado</t>
        </is>
      </c>
      <c r="Z1358" s="107" t="inlineStr">
        <is>
          <t>[PR] Prevención</t>
        </is>
      </c>
      <c r="AA1358" s="107" t="inlineStr">
        <is>
          <t>L5: Optimizado</t>
        </is>
      </c>
      <c r="AB1358" s="107" t="inlineStr">
        <is>
          <t>T2: Fuga de información</t>
        </is>
      </c>
      <c r="AC1358" s="107" t="inlineStr">
        <is>
          <t>Manual de Operaciones</t>
        </is>
      </c>
    </row>
    <row r="1359">
      <c r="A1359" s="96"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c r="Y1359" s="107" t="inlineStr">
        <is>
          <t>Implementado</t>
        </is>
      </c>
      <c r="Z1359" s="107" t="inlineStr">
        <is>
          <t>[PR] Prevención</t>
        </is>
      </c>
      <c r="AA1359" s="107" t="inlineStr">
        <is>
          <t>L2: Reproducible</t>
        </is>
      </c>
      <c r="AB1359" s="107" t="inlineStr">
        <is>
          <t>T2: Fuga de información</t>
        </is>
      </c>
      <c r="AC1359" s="107" t="inlineStr">
        <is>
          <t>Manual de Operaciones</t>
        </is>
      </c>
    </row>
    <row r="1360">
      <c r="A1360" s="96"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c r="Y1360" s="107" t="inlineStr">
        <is>
          <t>Implementado</t>
        </is>
      </c>
      <c r="Z1360" s="107" t="inlineStr">
        <is>
          <t>[PR] Prevención</t>
        </is>
      </c>
      <c r="AA1360" s="107" t="inlineStr">
        <is>
          <t>L3: Proceso Definido</t>
        </is>
      </c>
      <c r="AB1360" s="107" t="inlineStr">
        <is>
          <t>T2: Fuga de información</t>
        </is>
      </c>
      <c r="AC1360" s="107" t="inlineStr">
        <is>
          <t>Manual de Operaciones</t>
        </is>
      </c>
    </row>
    <row r="1361">
      <c r="A1361" s="96"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c r="Y1361" s="107" t="inlineStr">
        <is>
          <t>No Implementado</t>
        </is>
      </c>
      <c r="Z1361" s="107" t="inlineStr">
        <is>
          <t>[PR] Prevención</t>
        </is>
      </c>
      <c r="AA1361" s="107" t="inlineStr">
        <is>
          <t>L3: Proceso Definido</t>
        </is>
      </c>
      <c r="AB1361" s="107" t="inlineStr">
        <is>
          <t>T2: Fuga de información</t>
        </is>
      </c>
      <c r="AC1361" s="107" t="inlineStr">
        <is>
          <t>Manual de Operaciones</t>
        </is>
      </c>
    </row>
    <row r="1362">
      <c r="A1362" s="96"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c r="Y1362" s="107" t="inlineStr">
        <is>
          <t>Implementado</t>
        </is>
      </c>
      <c r="Z1362" s="107" t="inlineStr">
        <is>
          <t>[PR] Prevención</t>
        </is>
      </c>
      <c r="AA1362" s="107" t="inlineStr">
        <is>
          <t>L3: Proceso Definido</t>
        </is>
      </c>
      <c r="AB1362" s="107" t="inlineStr">
        <is>
          <t>T2: Fuga de información</t>
        </is>
      </c>
      <c r="AC1362" s="107" t="inlineStr">
        <is>
          <t>Manual de Operaciones</t>
        </is>
      </c>
    </row>
    <row r="1363">
      <c r="A1363" s="96"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c r="Y1363" s="107" t="inlineStr">
        <is>
          <t>Implementado</t>
        </is>
      </c>
      <c r="Z1363" s="107" t="inlineStr">
        <is>
          <t>[PR] Prevención</t>
        </is>
      </c>
      <c r="AA1363" s="107" t="inlineStr">
        <is>
          <t>L4: Gestionado</t>
        </is>
      </c>
      <c r="AB1363" s="107" t="inlineStr">
        <is>
          <t>T2: Fuga de información</t>
        </is>
      </c>
      <c r="AC1363" s="107" t="inlineStr">
        <is>
          <t>Manual de Operaciones</t>
        </is>
      </c>
    </row>
    <row r="1364">
      <c r="A1364" s="96"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c r="Y1364" s="107" t="inlineStr">
        <is>
          <t>Planificado</t>
        </is>
      </c>
      <c r="Z1364" s="107" t="inlineStr">
        <is>
          <t>[PR] Prevención</t>
        </is>
      </c>
      <c r="AA1364" s="107" t="inlineStr">
        <is>
          <t>L3: Proceso Definido</t>
        </is>
      </c>
      <c r="AB1364" s="107" t="inlineStr">
        <is>
          <t>T2: Fuga de información</t>
        </is>
      </c>
      <c r="AC1364" s="107" t="inlineStr">
        <is>
          <t>Manual de Operaciones</t>
        </is>
      </c>
    </row>
    <row r="1365">
      <c r="A1365" s="96"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c r="Y1365" s="107" t="inlineStr">
        <is>
          <t>Implementado</t>
        </is>
      </c>
      <c r="Z1365" s="107" t="inlineStr">
        <is>
          <t>[PR] Prevención</t>
        </is>
      </c>
      <c r="AA1365" s="107" t="inlineStr">
        <is>
          <t>L4: Gestionado</t>
        </is>
      </c>
      <c r="AB1365" s="107" t="inlineStr">
        <is>
          <t>T2: Fuga de información</t>
        </is>
      </c>
      <c r="AC1365" s="107" t="inlineStr">
        <is>
          <t>Manual de Operaciones</t>
        </is>
      </c>
    </row>
    <row r="1366">
      <c r="A1366" s="96"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c r="Y1366" s="107" t="inlineStr">
        <is>
          <t>Planificado</t>
        </is>
      </c>
      <c r="Z1366" s="107" t="inlineStr">
        <is>
          <t>[PR] Prevención</t>
        </is>
      </c>
      <c r="AA1366" s="107" t="inlineStr">
        <is>
          <t>L5: Optimizado</t>
        </is>
      </c>
      <c r="AB1366" s="107" t="inlineStr">
        <is>
          <t>T2: Fuga de información</t>
        </is>
      </c>
      <c r="AC1366" s="107" t="inlineStr">
        <is>
          <t>Manual de Operaciones</t>
        </is>
      </c>
    </row>
    <row r="1367">
      <c r="A1367" s="96"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c r="Y1367" s="107" t="inlineStr">
        <is>
          <t>Implementado</t>
        </is>
      </c>
      <c r="Z1367" s="107" t="inlineStr">
        <is>
          <t>[PR] Prevención</t>
        </is>
      </c>
      <c r="AA1367" s="107" t="inlineStr">
        <is>
          <t>L3: Proceso Definido</t>
        </is>
      </c>
      <c r="AB1367" s="107" t="inlineStr">
        <is>
          <t>T2: Fuga de información</t>
        </is>
      </c>
      <c r="AC1367" s="107" t="inlineStr">
        <is>
          <t>Manual de Operaciones</t>
        </is>
      </c>
    </row>
    <row r="1368">
      <c r="A1368" s="96"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c r="Y1368" s="107" t="inlineStr">
        <is>
          <t>Implementado</t>
        </is>
      </c>
      <c r="Z1368" s="107" t="inlineStr">
        <is>
          <t>[PR] Prevención</t>
        </is>
      </c>
      <c r="AA1368" s="107" t="inlineStr">
        <is>
          <t>L2: Reproducible</t>
        </is>
      </c>
      <c r="AB1368" s="107" t="inlineStr">
        <is>
          <t>T2: Fuga de información</t>
        </is>
      </c>
      <c r="AC1368" s="107" t="inlineStr">
        <is>
          <t>Manual de Operaciones</t>
        </is>
      </c>
    </row>
    <row r="1369">
      <c r="A1369" s="96"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c r="Y1369" s="107" t="inlineStr">
        <is>
          <t>Implementado</t>
        </is>
      </c>
      <c r="Z1369" s="107" t="inlineStr">
        <is>
          <t>[PR] Prevención</t>
        </is>
      </c>
      <c r="AA1369" s="107" t="inlineStr">
        <is>
          <t>L5: Optimizado</t>
        </is>
      </c>
      <c r="AB1369" s="107" t="inlineStr">
        <is>
          <t>T2: Fuga de información</t>
        </is>
      </c>
      <c r="AC1369" s="107" t="inlineStr">
        <is>
          <t>Manual de Operaciones</t>
        </is>
      </c>
    </row>
    <row r="1370">
      <c r="A1370" s="96"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c r="Y1370" s="107" t="inlineStr">
        <is>
          <t>Planificado</t>
        </is>
      </c>
      <c r="Z1370" s="107" t="inlineStr">
        <is>
          <t>[PR] Prevención</t>
        </is>
      </c>
      <c r="AA1370" s="107" t="inlineStr">
        <is>
          <t>L5: Optimizado</t>
        </is>
      </c>
      <c r="AB1370" s="107" t="inlineStr">
        <is>
          <t>T2: Fuga de información</t>
        </is>
      </c>
      <c r="AC1370" s="107" t="inlineStr">
        <is>
          <t>Manual de Operaciones</t>
        </is>
      </c>
    </row>
    <row r="1371">
      <c r="A1371" s="96"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c r="Y1371" s="107" t="inlineStr">
        <is>
          <t>Implementado</t>
        </is>
      </c>
      <c r="Z1371" s="107" t="inlineStr">
        <is>
          <t>[PR] Prevención</t>
        </is>
      </c>
      <c r="AA1371" s="107" t="inlineStr">
        <is>
          <t>L4: Gestionado</t>
        </is>
      </c>
      <c r="AB1371" s="107" t="inlineStr">
        <is>
          <t>T2: Fuga de información</t>
        </is>
      </c>
      <c r="AC1371" s="107" t="inlineStr">
        <is>
          <t>Manual de Operaciones</t>
        </is>
      </c>
    </row>
    <row r="1372">
      <c r="A1372" s="96"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c r="Y1372" s="107" t="inlineStr">
        <is>
          <t>No Implementado</t>
        </is>
      </c>
      <c r="Z1372" s="107" t="inlineStr">
        <is>
          <t>[PR] Prevención</t>
        </is>
      </c>
      <c r="AA1372" s="107" t="inlineStr">
        <is>
          <t>L4: Gestionado</t>
        </is>
      </c>
      <c r="AB1372" s="107" t="inlineStr">
        <is>
          <t>T2: Fuga de información</t>
        </is>
      </c>
      <c r="AC1372" s="107" t="inlineStr">
        <is>
          <t>Manual de Operaciones</t>
        </is>
      </c>
    </row>
    <row r="1373">
      <c r="A1373" s="96"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c r="Y1373" s="107" t="inlineStr">
        <is>
          <t>Implementado</t>
        </is>
      </c>
      <c r="Z1373" s="107" t="inlineStr">
        <is>
          <t>[PR] Prevención</t>
        </is>
      </c>
      <c r="AA1373" s="107" t="inlineStr">
        <is>
          <t>L2: Reproducible</t>
        </is>
      </c>
      <c r="AB1373" s="107" t="inlineStr">
        <is>
          <t>T2: Fuga de información</t>
        </is>
      </c>
      <c r="AC1373" s="107" t="inlineStr">
        <is>
          <t>Manual de Operaciones</t>
        </is>
      </c>
    </row>
    <row r="1374">
      <c r="A1374" s="96"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c r="Y1374" s="107" t="inlineStr">
        <is>
          <t>Implementado</t>
        </is>
      </c>
      <c r="Z1374" s="107" t="inlineStr">
        <is>
          <t>[PR] Prevención</t>
        </is>
      </c>
      <c r="AA1374" s="107" t="inlineStr">
        <is>
          <t>L5: Optimizado</t>
        </is>
      </c>
      <c r="AB1374" s="107" t="inlineStr">
        <is>
          <t>T2: Fuga de información</t>
        </is>
      </c>
      <c r="AC1374" s="107" t="inlineStr">
        <is>
          <t>Manual de Operaciones</t>
        </is>
      </c>
    </row>
    <row r="1375">
      <c r="A1375" s="96"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c r="Y1375" s="107" t="inlineStr">
        <is>
          <t>Implementado</t>
        </is>
      </c>
      <c r="Z1375" s="107" t="inlineStr">
        <is>
          <t>[PR] Prevención</t>
        </is>
      </c>
      <c r="AA1375" s="107" t="inlineStr">
        <is>
          <t>L4: Gestionado</t>
        </is>
      </c>
      <c r="AB1375" s="107" t="inlineStr">
        <is>
          <t>T2: Fuga de información</t>
        </is>
      </c>
      <c r="AC1375" s="107" t="inlineStr">
        <is>
          <t>Manual de Operaciones</t>
        </is>
      </c>
    </row>
    <row r="1376">
      <c r="A1376" s="96"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c r="Y1376" s="107" t="inlineStr">
        <is>
          <t>Implementado</t>
        </is>
      </c>
      <c r="Z1376" s="107" t="inlineStr">
        <is>
          <t>[PR] Prevención</t>
        </is>
      </c>
      <c r="AA1376" s="107" t="inlineStr">
        <is>
          <t>L4: Gestionado</t>
        </is>
      </c>
      <c r="AB1376" s="107" t="inlineStr">
        <is>
          <t>T2: Fuga de información</t>
        </is>
      </c>
      <c r="AC1376" s="107" t="inlineStr">
        <is>
          <t>Manual de Operaciones</t>
        </is>
      </c>
    </row>
    <row r="1377">
      <c r="A1377" s="96"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c r="Y1377" s="107" t="inlineStr">
        <is>
          <t>Implementado</t>
        </is>
      </c>
      <c r="Z1377" s="107" t="inlineStr">
        <is>
          <t>[PR] Prevención</t>
        </is>
      </c>
      <c r="AA1377" s="107" t="inlineStr">
        <is>
          <t>L3: Proceso Definido</t>
        </is>
      </c>
      <c r="AB1377" s="107" t="inlineStr">
        <is>
          <t>T2: Fuga de información</t>
        </is>
      </c>
      <c r="AC1377" s="107" t="inlineStr">
        <is>
          <t>Manual de Operaciones</t>
        </is>
      </c>
    </row>
    <row r="1378">
      <c r="A1378" s="96"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c r="Y1378" s="107" t="inlineStr">
        <is>
          <t>Implementado</t>
        </is>
      </c>
      <c r="Z1378" s="107" t="inlineStr">
        <is>
          <t>[PR] Prevención</t>
        </is>
      </c>
      <c r="AA1378" s="107" t="inlineStr">
        <is>
          <t>L3: Proceso Definido</t>
        </is>
      </c>
      <c r="AB1378" s="107" t="inlineStr">
        <is>
          <t>T2: Fuga de información</t>
        </is>
      </c>
      <c r="AC1378" s="107" t="inlineStr">
        <is>
          <t>Manual de Operaciones</t>
        </is>
      </c>
    </row>
    <row r="1379">
      <c r="A1379" s="96"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c r="Y1379" s="107" t="inlineStr">
        <is>
          <t>Implementado</t>
        </is>
      </c>
      <c r="Z1379" s="107" t="inlineStr">
        <is>
          <t>[CR] Corrección</t>
        </is>
      </c>
      <c r="AA1379" s="107" t="inlineStr">
        <is>
          <t>L5: Optimizado</t>
        </is>
      </c>
      <c r="AB1379" s="107" t="inlineStr">
        <is>
          <t>T2: Fuga de información</t>
        </is>
      </c>
      <c r="AC1379" s="107" t="inlineStr">
        <is>
          <t>Registro Físico</t>
        </is>
      </c>
    </row>
    <row r="1380">
      <c r="A1380" s="96"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c r="Y1380" s="107" t="inlineStr">
        <is>
          <t>Implementado</t>
        </is>
      </c>
      <c r="Z1380" s="107" t="inlineStr">
        <is>
          <t>[RC] Recuperación</t>
        </is>
      </c>
      <c r="AA1380" s="107" t="inlineStr">
        <is>
          <t>L5: Optimizado</t>
        </is>
      </c>
      <c r="AB1380" s="107" t="inlineStr">
        <is>
          <t>T2: Fuga de información</t>
        </is>
      </c>
      <c r="AC1380" s="107" t="inlineStr">
        <is>
          <t>Registro Físico</t>
        </is>
      </c>
    </row>
    <row r="1381">
      <c r="A1381" s="96"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c r="Y1381" s="107" t="inlineStr">
        <is>
          <t>Implementado</t>
        </is>
      </c>
      <c r="Z1381" s="107" t="inlineStr">
        <is>
          <t>[DR] Disuasión</t>
        </is>
      </c>
      <c r="AA1381" s="107" t="inlineStr">
        <is>
          <t>L2: Reproducible</t>
        </is>
      </c>
      <c r="AB1381" s="107" t="inlineStr">
        <is>
          <t>T2: Fuga de información</t>
        </is>
      </c>
      <c r="AC1381" s="107" t="inlineStr">
        <is>
          <t>Registro Físico</t>
        </is>
      </c>
    </row>
    <row r="1382">
      <c r="A1382" s="96"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c r="Y1382" s="107" t="inlineStr">
        <is>
          <t>No Implementado</t>
        </is>
      </c>
      <c r="Z1382" s="107" t="inlineStr">
        <is>
          <t>[PR] Prevención</t>
        </is>
      </c>
      <c r="AA1382" s="107" t="inlineStr">
        <is>
          <t>L2: Reproducible</t>
        </is>
      </c>
      <c r="AB1382" s="107" t="inlineStr">
        <is>
          <t>T2: Fuga de información</t>
        </is>
      </c>
      <c r="AC1382" s="107" t="inlineStr">
        <is>
          <t>Manual de Operaciones</t>
        </is>
      </c>
    </row>
    <row r="1383">
      <c r="A1383" s="96"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c r="Y1383" s="107" t="inlineStr">
        <is>
          <t>En Proceso</t>
        </is>
      </c>
      <c r="Z1383" s="107" t="inlineStr">
        <is>
          <t>[PR] Prevención</t>
        </is>
      </c>
      <c r="AA1383" s="107" t="inlineStr">
        <is>
          <t>L2: Reproducible</t>
        </is>
      </c>
      <c r="AB1383" s="107" t="inlineStr">
        <is>
          <t>T2: Fuga de información</t>
        </is>
      </c>
      <c r="AC1383" s="107" t="inlineStr">
        <is>
          <t>Manual de Operaciones</t>
        </is>
      </c>
    </row>
    <row r="1384">
      <c r="A1384" s="96"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c r="Y1384" s="107" t="inlineStr">
        <is>
          <t>Implementado</t>
        </is>
      </c>
      <c r="Z1384" s="107" t="inlineStr">
        <is>
          <t>[PR] Prevención</t>
        </is>
      </c>
      <c r="AA1384" s="107" t="inlineStr">
        <is>
          <t>L2: Reproducible</t>
        </is>
      </c>
      <c r="AB1384" s="107" t="inlineStr">
        <is>
          <t>T2: Fuga de información</t>
        </is>
      </c>
      <c r="AC1384" s="107" t="inlineStr">
        <is>
          <t>Manual de Operaciones</t>
        </is>
      </c>
    </row>
    <row r="1385">
      <c r="A1385" s="96"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c r="Y1385" s="107" t="inlineStr">
        <is>
          <t>Implementado</t>
        </is>
      </c>
      <c r="Z1385" s="107" t="inlineStr">
        <is>
          <t>[PR] Prevención</t>
        </is>
      </c>
      <c r="AA1385" s="107" t="inlineStr">
        <is>
          <t>L4: Gestionado</t>
        </is>
      </c>
      <c r="AB1385" s="107" t="inlineStr">
        <is>
          <t>T2: Fuga de información</t>
        </is>
      </c>
      <c r="AC1385" s="107" t="inlineStr">
        <is>
          <t>Manual de Operaciones</t>
        </is>
      </c>
    </row>
    <row r="1386">
      <c r="A1386" s="96"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c r="Y1386" s="107" t="inlineStr">
        <is>
          <t>Implementado</t>
        </is>
      </c>
      <c r="Z1386" s="107" t="inlineStr">
        <is>
          <t>[PR] Prevención</t>
        </is>
      </c>
      <c r="AA1386" s="107" t="inlineStr">
        <is>
          <t>L5: Optimizado</t>
        </is>
      </c>
      <c r="AB1386" s="107" t="inlineStr">
        <is>
          <t>T2: Fuga de información</t>
        </is>
      </c>
      <c r="AC1386" s="107" t="inlineStr">
        <is>
          <t>Manual de Operaciones</t>
        </is>
      </c>
    </row>
    <row r="1387">
      <c r="A1387" s="96"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c r="Y1387" s="107" t="inlineStr">
        <is>
          <t>Planificado</t>
        </is>
      </c>
      <c r="Z1387" s="107" t="inlineStr">
        <is>
          <t>[PR] Prevención</t>
        </is>
      </c>
      <c r="AA1387" s="107" t="inlineStr">
        <is>
          <t>L5: Optimizado</t>
        </is>
      </c>
      <c r="AB1387" s="107" t="inlineStr">
        <is>
          <t>T2: Fuga de información</t>
        </is>
      </c>
      <c r="AC1387" s="107" t="inlineStr">
        <is>
          <t>Manual de Operaciones</t>
        </is>
      </c>
    </row>
    <row r="1388">
      <c r="A1388" s="96"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c r="Y1388" s="107" t="inlineStr">
        <is>
          <t>Implementado</t>
        </is>
      </c>
      <c r="Z1388" s="107" t="inlineStr">
        <is>
          <t>[PR] Prevención</t>
        </is>
      </c>
      <c r="AA1388" s="107" t="inlineStr">
        <is>
          <t>L3: Proceso Definido</t>
        </is>
      </c>
      <c r="AB1388" s="107" t="inlineStr">
        <is>
          <t>T2: Fuga de información</t>
        </is>
      </c>
      <c r="AC1388" s="107" t="inlineStr">
        <is>
          <t>Manual de Operaciones</t>
        </is>
      </c>
    </row>
    <row r="1389">
      <c r="A1389" s="96"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c r="Y1389" s="107" t="inlineStr">
        <is>
          <t>Planificado</t>
        </is>
      </c>
      <c r="Z1389" s="107" t="inlineStr">
        <is>
          <t>[PR] Prevención</t>
        </is>
      </c>
      <c r="AA1389" s="107" t="inlineStr">
        <is>
          <t>L3: Proceso Definido</t>
        </is>
      </c>
      <c r="AB1389" s="107" t="inlineStr">
        <is>
          <t>T2: Fuga de información</t>
        </is>
      </c>
      <c r="AC1389" s="107" t="inlineStr">
        <is>
          <t>Manual de Operaciones</t>
        </is>
      </c>
    </row>
    <row r="1390">
      <c r="A1390" s="96"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c r="Y1390" s="107" t="inlineStr">
        <is>
          <t>Planificado</t>
        </is>
      </c>
      <c r="Z1390" s="107" t="inlineStr">
        <is>
          <t>[PR] Prevención</t>
        </is>
      </c>
      <c r="AA1390" s="107" t="inlineStr">
        <is>
          <t>L2: Reproducible</t>
        </is>
      </c>
      <c r="AB1390" s="107" t="inlineStr">
        <is>
          <t>T2: Fuga de información</t>
        </is>
      </c>
      <c r="AC1390" s="107" t="inlineStr">
        <is>
          <t>Manual de Operaciones</t>
        </is>
      </c>
    </row>
    <row r="1391">
      <c r="A1391" s="96"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c r="Y1391" s="107" t="inlineStr">
        <is>
          <t>Implementado</t>
        </is>
      </c>
      <c r="Z1391" s="107" t="inlineStr">
        <is>
          <t>[PR] Prevención</t>
        </is>
      </c>
      <c r="AA1391" s="107" t="inlineStr">
        <is>
          <t>L3: Proceso Definido</t>
        </is>
      </c>
      <c r="AB1391" s="107" t="inlineStr">
        <is>
          <t>T2: Fuga de información</t>
        </is>
      </c>
      <c r="AC1391" s="107" t="inlineStr">
        <is>
          <t>Manual de Operaciones</t>
        </is>
      </c>
    </row>
    <row r="1392">
      <c r="A1392" s="96"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c r="Y1392" s="107" t="inlineStr">
        <is>
          <t>Implementado</t>
        </is>
      </c>
      <c r="Z1392" s="107" t="inlineStr">
        <is>
          <t>[PR] Prevención</t>
        </is>
      </c>
      <c r="AA1392" s="107" t="inlineStr">
        <is>
          <t>L2: Reproducible</t>
        </is>
      </c>
      <c r="AB1392" s="107" t="inlineStr">
        <is>
          <t>T2: Fuga de información</t>
        </is>
      </c>
      <c r="AC1392" s="107" t="inlineStr">
        <is>
          <t>Manual de Operaciones</t>
        </is>
      </c>
    </row>
    <row r="1393">
      <c r="A1393" s="96"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c r="Y1393" s="107" t="inlineStr">
        <is>
          <t>En Proceso</t>
        </is>
      </c>
      <c r="Z1393" s="107" t="inlineStr">
        <is>
          <t>[PR] Prevención</t>
        </is>
      </c>
      <c r="AA1393" s="107" t="inlineStr">
        <is>
          <t>L4: Gestionado</t>
        </is>
      </c>
      <c r="AB1393" s="107" t="inlineStr">
        <is>
          <t>T2: Fuga de información</t>
        </is>
      </c>
      <c r="AC1393" s="107" t="inlineStr">
        <is>
          <t>Manual de Operaciones</t>
        </is>
      </c>
    </row>
    <row r="1394">
      <c r="A1394" s="96"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c r="Y1394" s="107" t="inlineStr">
        <is>
          <t>Planificado</t>
        </is>
      </c>
      <c r="Z1394" s="107" t="inlineStr">
        <is>
          <t>[PR] Prevención</t>
        </is>
      </c>
      <c r="AA1394" s="107" t="inlineStr">
        <is>
          <t>L2: Reproducible</t>
        </is>
      </c>
      <c r="AB1394" s="107" t="inlineStr">
        <is>
          <t>T2: Fuga de información</t>
        </is>
      </c>
      <c r="AC1394" s="107" t="inlineStr">
        <is>
          <t>Manual de Operaciones</t>
        </is>
      </c>
    </row>
    <row r="1395">
      <c r="A1395" s="96"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c r="Y1395" s="107" t="inlineStr">
        <is>
          <t>Implementado</t>
        </is>
      </c>
      <c r="Z1395" s="107" t="inlineStr">
        <is>
          <t>[PR] Prevención</t>
        </is>
      </c>
      <c r="AA1395" s="107" t="inlineStr">
        <is>
          <t>L4: Gestionado</t>
        </is>
      </c>
      <c r="AB1395" s="107" t="inlineStr">
        <is>
          <t>T2: Fuga de información</t>
        </is>
      </c>
      <c r="AC1395" s="107" t="inlineStr">
        <is>
          <t>Manual de Operaciones</t>
        </is>
      </c>
    </row>
    <row r="1396" ht="20.45" customHeight="1" s="103">
      <c r="A1396" s="96"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c r="Y1396" s="107" t="inlineStr">
        <is>
          <t>Implementado</t>
        </is>
      </c>
      <c r="Z1396" s="107" t="inlineStr">
        <is>
          <t>[PR] Prevención</t>
        </is>
      </c>
      <c r="AA1396" s="107" t="inlineStr">
        <is>
          <t>L4: Gestionado</t>
        </is>
      </c>
      <c r="AB1396" s="107" t="inlineStr">
        <is>
          <t>T2: Fuga de información</t>
        </is>
      </c>
      <c r="AC1396" s="107" t="inlineStr">
        <is>
          <t>Manual de Operaciones</t>
        </is>
      </c>
    </row>
    <row r="1397">
      <c r="A1397" s="96"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c r="Y1397" s="107" t="inlineStr">
        <is>
          <t>Implementado</t>
        </is>
      </c>
      <c r="Z1397" s="107" t="inlineStr">
        <is>
          <t>[PR] Prevención</t>
        </is>
      </c>
      <c r="AA1397" s="107" t="inlineStr">
        <is>
          <t>L3: Proceso Definido</t>
        </is>
      </c>
      <c r="AB1397" s="107" t="inlineStr">
        <is>
          <t>T2: Fuga de información</t>
        </is>
      </c>
      <c r="AC1397" s="107" t="inlineStr">
        <is>
          <t>Manual de Operaciones</t>
        </is>
      </c>
    </row>
    <row r="1398">
      <c r="A1398" s="96"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c r="Y1398" s="107" t="inlineStr">
        <is>
          <t>Implementado</t>
        </is>
      </c>
      <c r="Z1398" s="107" t="inlineStr">
        <is>
          <t>[PR] Prevención</t>
        </is>
      </c>
      <c r="AA1398" s="107" t="inlineStr">
        <is>
          <t>L3: Proceso Definido</t>
        </is>
      </c>
      <c r="AB1398" s="107" t="inlineStr">
        <is>
          <t>T2: Fuga de información</t>
        </is>
      </c>
      <c r="AC1398" s="107" t="inlineStr">
        <is>
          <t>Manual de Operaciones</t>
        </is>
      </c>
    </row>
    <row r="1399">
      <c r="A1399" s="96"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c r="Y1399" s="107" t="inlineStr">
        <is>
          <t>No Implementado</t>
        </is>
      </c>
      <c r="Z1399" s="107" t="inlineStr">
        <is>
          <t>[PR] Prevención</t>
        </is>
      </c>
      <c r="AA1399" s="107" t="inlineStr">
        <is>
          <t>L5: Optimizado</t>
        </is>
      </c>
      <c r="AB1399" s="107" t="inlineStr">
        <is>
          <t>T2: Fuga de información</t>
        </is>
      </c>
      <c r="AC1399" s="107" t="inlineStr">
        <is>
          <t>Manual de Operaciones</t>
        </is>
      </c>
    </row>
    <row r="1400">
      <c r="A1400" s="96"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c r="Y1400" s="107" t="inlineStr">
        <is>
          <t>Implementado</t>
        </is>
      </c>
      <c r="Z1400" s="107" t="inlineStr">
        <is>
          <t>[PR] Prevención</t>
        </is>
      </c>
      <c r="AA1400" s="107" t="inlineStr">
        <is>
          <t>L4: Gestionado</t>
        </is>
      </c>
      <c r="AB1400" s="107" t="inlineStr">
        <is>
          <t>T2: Fuga de información</t>
        </is>
      </c>
      <c r="AC1400" s="107" t="inlineStr">
        <is>
          <t>Manual de Operaciones</t>
        </is>
      </c>
    </row>
    <row r="1401">
      <c r="A1401" s="96"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c r="Y1401" s="107" t="inlineStr">
        <is>
          <t>Implementado</t>
        </is>
      </c>
      <c r="Z1401" s="107" t="inlineStr">
        <is>
          <t>[PR] Prevención</t>
        </is>
      </c>
      <c r="AA1401" s="107" t="inlineStr">
        <is>
          <t>L5: Optimizado</t>
        </is>
      </c>
      <c r="AB1401" s="107" t="inlineStr">
        <is>
          <t>T2: Fuga de información</t>
        </is>
      </c>
      <c r="AC1401" s="107" t="inlineStr">
        <is>
          <t>Manual de Operaciones</t>
        </is>
      </c>
    </row>
    <row r="1402">
      <c r="A1402" s="96"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c r="Y1402" s="107" t="inlineStr">
        <is>
          <t>Implementado</t>
        </is>
      </c>
      <c r="Z1402" s="107" t="inlineStr">
        <is>
          <t>[PR] Prevención</t>
        </is>
      </c>
      <c r="AA1402" s="107" t="inlineStr">
        <is>
          <t>L2: Reproducible</t>
        </is>
      </c>
      <c r="AB1402" s="107" t="inlineStr">
        <is>
          <t>T2: Fuga de información</t>
        </is>
      </c>
      <c r="AC1402" s="107" t="inlineStr">
        <is>
          <t>Manual de Operaciones</t>
        </is>
      </c>
    </row>
    <row r="1403">
      <c r="A1403" s="96"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c r="Y1403" s="107" t="inlineStr">
        <is>
          <t>Planificado</t>
        </is>
      </c>
      <c r="Z1403" s="107" t="inlineStr">
        <is>
          <t>[PR] Prevención</t>
        </is>
      </c>
      <c r="AA1403" s="107" t="inlineStr">
        <is>
          <t>L4: Gestionado</t>
        </is>
      </c>
      <c r="AB1403" s="107" t="inlineStr">
        <is>
          <t>T2: Fuga de información</t>
        </is>
      </c>
      <c r="AC1403" s="107" t="inlineStr">
        <is>
          <t>Manual de Operaciones</t>
        </is>
      </c>
    </row>
    <row r="1404">
      <c r="A1404" s="96"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c r="Y1404" s="107" t="inlineStr">
        <is>
          <t>En Proceso</t>
        </is>
      </c>
      <c r="Z1404" s="107" t="inlineStr">
        <is>
          <t>[PR] Prevención</t>
        </is>
      </c>
      <c r="AA1404" s="107" t="inlineStr">
        <is>
          <t>L3: Proceso Definido</t>
        </is>
      </c>
      <c r="AB1404" s="107" t="inlineStr">
        <is>
          <t>T2: Fuga de información</t>
        </is>
      </c>
      <c r="AC1404" s="107" t="inlineStr">
        <is>
          <t>Manual de Operaciones</t>
        </is>
      </c>
    </row>
    <row r="1405">
      <c r="A1405" s="96"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c r="Y1405" s="107" t="inlineStr">
        <is>
          <t>Implementado</t>
        </is>
      </c>
      <c r="Z1405" s="107" t="inlineStr">
        <is>
          <t>[RC] Recuperación</t>
        </is>
      </c>
      <c r="AA1405" s="107" t="inlineStr">
        <is>
          <t>L3: Proceso Definido</t>
        </is>
      </c>
      <c r="AB1405" s="107" t="inlineStr">
        <is>
          <t>T2: Fuga de información</t>
        </is>
      </c>
      <c r="AC1405" s="107" t="inlineStr">
        <is>
          <t>Registro Físico</t>
        </is>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c r="Y1406" s="107" t="inlineStr">
        <is>
          <t>Implementado</t>
        </is>
      </c>
      <c r="Z1406" s="107" t="inlineStr">
        <is>
          <t>[EL] Eliminación</t>
        </is>
      </c>
      <c r="AA1406" s="107" t="inlineStr">
        <is>
          <t>L5: Optimizado</t>
        </is>
      </c>
      <c r="AB1406" s="107" t="inlineStr">
        <is>
          <t>T2: Fuga de información</t>
        </is>
      </c>
      <c r="AC1406" s="107" t="inlineStr">
        <is>
          <t>Registro Físico</t>
        </is>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3" min="1" max="1"/>
    <col width="16.5" customWidth="1" style="103" min="2" max="2"/>
    <col width="20.6640625" customWidth="1" style="103" min="3" max="3"/>
    <col width="24.1640625" bestFit="1" customWidth="1" style="103" min="4" max="4"/>
  </cols>
  <sheetData>
    <row r="1">
      <c r="A1" s="97" t="inlineStr">
        <is>
          <t>PROBABILIDAD</t>
        </is>
      </c>
      <c r="B1" s="98" t="n"/>
      <c r="C1" s="98" t="n"/>
      <c r="D1" s="98" t="n"/>
    </row>
    <row r="2" ht="25.5" customHeight="1" s="103">
      <c r="A2" s="1" t="inlineStr">
        <is>
          <t>Descripción</t>
        </is>
      </c>
      <c r="B2" s="1" t="inlineStr">
        <is>
          <t>Nivel</t>
        </is>
      </c>
      <c r="C2" s="9" t="inlineStr">
        <is>
          <t xml:space="preserve">Porcentaje de ocurrencia del evento </t>
        </is>
      </c>
      <c r="D2" s="9" t="inlineStr">
        <is>
          <t>Frecuencia</t>
        </is>
      </c>
    </row>
    <row r="3" ht="12" customHeight="1" s="103">
      <c r="A3" s="2" t="inlineStr">
        <is>
          <t>Muy Baja</t>
        </is>
      </c>
      <c r="B3" s="3" t="n">
        <v>1</v>
      </c>
      <c r="C3" s="3" t="inlineStr">
        <is>
          <t>0,00% al 4,64%</t>
        </is>
      </c>
      <c r="D3" s="4" t="inlineStr">
        <is>
          <t>Ocurre una vez al año</t>
        </is>
      </c>
    </row>
    <row r="4" ht="12" customHeight="1" s="103">
      <c r="A4" s="5" t="inlineStr">
        <is>
          <t>Baja</t>
        </is>
      </c>
      <c r="B4" s="3" t="n">
        <v>2</v>
      </c>
      <c r="C4" s="3" t="inlineStr">
        <is>
          <t>4,65% al 7,60%</t>
        </is>
      </c>
      <c r="D4" s="4" t="inlineStr">
        <is>
          <t>Ocurre una vez al mes</t>
        </is>
      </c>
    </row>
    <row r="5" ht="20.45" customHeight="1" s="103">
      <c r="A5" s="6" t="inlineStr">
        <is>
          <t>Media</t>
        </is>
      </c>
      <c r="B5" s="3" t="n">
        <v>3</v>
      </c>
      <c r="C5" s="3" t="inlineStr">
        <is>
          <t>7.61% al 28,26%</t>
        </is>
      </c>
      <c r="D5" s="4" t="inlineStr">
        <is>
          <t>Ocurre una vez a la semana</t>
        </is>
      </c>
    </row>
    <row r="6" ht="12" customHeight="1" s="103">
      <c r="A6" s="7" t="inlineStr">
        <is>
          <t>Alta</t>
        </is>
      </c>
      <c r="B6" s="3" t="n">
        <v>4</v>
      </c>
      <c r="C6" s="3" t="inlineStr">
        <is>
          <t>28,27% al 40,70%</t>
        </is>
      </c>
      <c r="D6" s="4" t="inlineStr">
        <is>
          <t>Ocurre una vez al día</t>
        </is>
      </c>
    </row>
    <row r="7" ht="24" customHeight="1" s="103">
      <c r="A7" s="8" t="inlineStr">
        <is>
          <t>Muy Alta</t>
        </is>
      </c>
      <c r="B7" s="3" t="n">
        <v>5</v>
      </c>
      <c r="C7" s="3" t="inlineStr">
        <is>
          <t>40,71% al 100%</t>
        </is>
      </c>
      <c r="D7" s="4" t="inlineStr">
        <is>
          <t>Ocurre varias veces al día.</t>
        </is>
      </c>
    </row>
    <row r="9">
      <c r="A9" s="97" t="inlineStr">
        <is>
          <t>IMPACTO/DEGRADACIÓN</t>
        </is>
      </c>
      <c r="B9" s="98"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9" t="inlineStr">
        <is>
          <t>NIVEL DE RIESGO DE SEGURIDAD = IMPACTO * PROBABILIDAD</t>
        </is>
      </c>
      <c r="B17" s="95" t="n"/>
      <c r="C17" s="95" t="n"/>
      <c r="D17" s="95" t="n"/>
      <c r="E17" s="95" t="n"/>
      <c r="F17" s="96" t="n"/>
      <c r="H17" s="102" t="n"/>
    </row>
    <row r="18">
      <c r="A18" s="100" t="inlineStr">
        <is>
          <t>PROBABILIDAD</t>
        </is>
      </c>
      <c r="B18" s="99" t="inlineStr">
        <is>
          <t>IMPACTO</t>
        </is>
      </c>
      <c r="C18" s="95" t="n"/>
      <c r="D18" s="95" t="n"/>
      <c r="E18" s="95" t="n"/>
      <c r="F18" s="96" t="n"/>
    </row>
    <row r="19">
      <c r="A19" s="101" t="n"/>
      <c r="B19" s="3" t="inlineStr">
        <is>
          <t>Insignificante</t>
        </is>
      </c>
      <c r="C19" s="3" t="inlineStr">
        <is>
          <t>Bajo</t>
        </is>
      </c>
      <c r="D19" s="3" t="inlineStr">
        <is>
          <t>Medio</t>
        </is>
      </c>
      <c r="E19" s="3" t="inlineStr">
        <is>
          <t>Alto</t>
        </is>
      </c>
      <c r="F19" s="3" t="inlineStr">
        <is>
          <t>Severo</t>
        </is>
      </c>
      <c r="H19" s="99" t="inlineStr">
        <is>
          <t>NIVEL DE RIESGO</t>
        </is>
      </c>
      <c r="I19" s="96"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39" min="3" max="3"/>
    <col hidden="1" width="32.5" customWidth="1" style="39"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3" min="22" max="22"/>
    <col width="14.5" customWidth="1" style="103" min="23" max="23"/>
    <col width="19.1640625" customWidth="1" style="103" min="24" max="24"/>
    <col width="13.1640625" customWidth="1" style="103" min="25" max="25"/>
    <col width="37.1640625" customWidth="1" style="103" min="26" max="26"/>
  </cols>
  <sheetData>
    <row r="1">
      <c r="O1" s="16" t="n"/>
      <c r="P1" s="16" t="n"/>
      <c r="Q1" s="16" t="n"/>
    </row>
    <row r="2" ht="41.1" customHeight="1" s="103">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3">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3">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3">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3">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3">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3">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3">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3">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3">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3">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3">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3">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3">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3">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3">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3">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3">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3">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3">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3">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3">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3">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3">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3">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3">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3">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3">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3">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3">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3">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3">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3">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3">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3">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3">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3">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3">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3">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3">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3">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3">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3">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3">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3">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3">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3">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3">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3">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3">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3">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3">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3">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3">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3">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3">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3">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3">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3">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3">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3">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3">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3">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3">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3">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3">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3">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3">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3">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3">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3">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3">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3">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3">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3">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3">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3">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3">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3">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3">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3">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3">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3">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3">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3">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3">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3">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3">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3">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3">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3">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3">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3">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3">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3">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3">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3">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3">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3">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3">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3">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3">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3">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3">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3">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3">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3">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3">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3">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3">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3">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3">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3">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3">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3">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3">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3">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3">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3">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3">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3">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3">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3">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3">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3">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3">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3">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3">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3">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3">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3">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3">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3">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3">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3">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3">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3">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3">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3">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3">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3">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3">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3">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3">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3">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3">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3">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3">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3">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3">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3">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3">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3">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3">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3">
      <c r="A156" s="96"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3">
      <c r="A157" s="96"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3">
      <c r="A158" s="96"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3">
      <c r="A159" s="96"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3">
      <c r="A160" s="96"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3">
      <c r="A161" s="96"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3">
      <c r="A162" s="96"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3">
      <c r="A163" s="96"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3">
      <c r="A164" s="96"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3">
      <c r="A165" s="96"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3">
      <c r="A166" s="96"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3">
      <c r="A167" s="96"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3">
      <c r="A168" s="96"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3">
      <c r="A169" s="96"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3">
      <c r="A170" s="96"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3">
      <c r="A171" s="96"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3">
      <c r="A172" s="96"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3">
      <c r="A173" s="96"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3">
      <c r="A174" s="96"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3">
      <c r="A175" s="96"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3">
      <c r="A176" s="96"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3">
      <c r="A177" s="96"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3">
      <c r="A178" s="96"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3">
      <c r="A179" s="96"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3">
      <c r="A180" s="96"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3">
      <c r="A181" s="96"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3">
      <c r="A182" s="96"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3">
      <c r="A183" s="96"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3">
      <c r="A184" s="96"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3">
      <c r="A185" s="96"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3">
      <c r="A186" s="96"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3">
      <c r="A187" s="96"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3">
      <c r="A188" s="96"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3">
      <c r="A189" s="96"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3">
      <c r="A190" s="96"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3">
      <c r="A191" s="96"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3">
      <c r="A192" s="96"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3">
      <c r="A193" s="96"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3">
      <c r="A194" s="96"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3">
      <c r="A195" s="96"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3">
      <c r="A196" s="96"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3">
      <c r="A197" s="96"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3">
      <c r="A198" s="96"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3">
      <c r="A199" s="96"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3">
      <c r="A200" s="96"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3">
      <c r="A201" s="96"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3">
      <c r="A202" s="96"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3">
      <c r="A203" s="96"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3">
      <c r="A204" s="96"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3">
      <c r="A205" s="96"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3">
      <c r="A206" s="96"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3">
      <c r="A207" s="96"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3">
      <c r="A208" s="96"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3">
      <c r="A209" s="96"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3">
      <c r="A210" s="96"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3">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3" min="1" max="1"/>
    <col width="46.6640625" customWidth="1" style="16" min="2" max="2"/>
    <col width="40.1640625" bestFit="1" customWidth="1" style="16" min="3" max="3"/>
    <col width="10" bestFit="1" customWidth="1" style="103" min="4" max="4"/>
  </cols>
  <sheetData>
    <row r="1" ht="20.45" customHeight="1" s="103">
      <c r="A1" s="83" t="inlineStr">
        <is>
          <t>PLAN DE ACCION</t>
        </is>
      </c>
      <c r="B1" s="84" t="inlineStr">
        <is>
          <t>DESCIPCION PLAN DE ACCIÓN</t>
        </is>
      </c>
      <c r="C1" s="81" t="inlineStr">
        <is>
          <t>RESPONSABLE</t>
        </is>
      </c>
      <c r="D1" s="86" t="inlineStr">
        <is>
          <t>PLAZO</t>
        </is>
      </c>
    </row>
    <row r="2" ht="20.45" customHeight="1" s="103">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3">
      <c r="A3" s="82" t="inlineStr">
        <is>
          <t>PA-SI-002</t>
        </is>
      </c>
      <c r="B3" s="82" t="inlineStr">
        <is>
          <t>Fortalecer mecanismos de protección contra ataques DoS/DDoS</t>
        </is>
      </c>
      <c r="C3" s="82" t="inlineStr">
        <is>
          <t>JEFE DE SEGURIDAD DE LA INFORMACION</t>
        </is>
      </c>
      <c r="D3" s="85" t="inlineStr">
        <is>
          <t>3 MESES</t>
        </is>
      </c>
    </row>
    <row r="4" ht="20.45" customHeight="1" s="103">
      <c r="A4" s="82" t="inlineStr">
        <is>
          <t>PA-SI-003</t>
        </is>
      </c>
      <c r="B4" s="82" t="inlineStr">
        <is>
          <t>Determinar accesos restringidos para la consola administrativa</t>
        </is>
      </c>
      <c r="C4" s="82" t="inlineStr">
        <is>
          <t>JEFE DE SEGURIDAD DE LA INFORMACION</t>
        </is>
      </c>
      <c r="D4" s="85" t="inlineStr">
        <is>
          <t>3 MESES</t>
        </is>
      </c>
    </row>
    <row r="5" ht="24" customHeight="1" s="103">
      <c r="A5" s="82" t="inlineStr">
        <is>
          <t>PA-SI-004</t>
        </is>
      </c>
      <c r="B5" s="82" t="inlineStr">
        <is>
          <t>Aplicar política de expiración de contraseñas VPN.</t>
        </is>
      </c>
      <c r="C5" s="82" t="inlineStr">
        <is>
          <t>JEFE DE SEGURIDAD DE LA INFORMACION</t>
        </is>
      </c>
      <c r="D5" s="85" t="inlineStr">
        <is>
          <t>6 MESES</t>
        </is>
      </c>
    </row>
    <row r="6" ht="20.45" customHeight="1" s="103">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3">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3" min="1" max="1"/>
    <col width="12.5" customWidth="1" style="103" min="2" max="2"/>
    <col width="6.1640625" bestFit="1" customWidth="1" style="103" min="3" max="3"/>
    <col width="7.1640625" bestFit="1" customWidth="1" style="103" min="4" max="4"/>
    <col width="13.1640625" bestFit="1" customWidth="1" style="103" min="5" max="6"/>
    <col width="68.1640625" bestFit="1" customWidth="1" style="103" min="7" max="22"/>
    <col width="13.1640625" bestFit="1" customWidth="1" style="103"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3" min="2" max="2"/>
  </cols>
  <sheetData>
    <row r="1">
      <c r="A1" s="97" t="n"/>
      <c r="B1" s="98" t="n"/>
    </row>
    <row r="2">
      <c r="A2" s="99" t="inlineStr">
        <is>
          <t>Código</t>
        </is>
      </c>
      <c r="B2" s="99"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7"/>
    <col width="11.5" customWidth="1" style="16" min="18" max="16384"/>
  </cols>
  <sheetData>
    <row r="1">
      <c r="A1" s="17" t="n"/>
      <c r="B1" s="34" t="n"/>
      <c r="C1" s="17" t="n"/>
      <c r="D1" s="34" t="n"/>
      <c r="E1" s="104" t="inlineStr">
        <is>
          <t>TIPOS DE ACTIVOS</t>
        </is>
      </c>
      <c r="F1" s="95" t="n"/>
      <c r="G1" s="95" t="n"/>
      <c r="H1" s="95" t="n"/>
      <c r="I1" s="95" t="n"/>
      <c r="J1" s="95" t="n"/>
      <c r="K1" s="95" t="n"/>
      <c r="L1" s="95" t="n"/>
      <c r="M1" s="95" t="n"/>
      <c r="N1" s="96" t="n"/>
    </row>
    <row r="2" ht="101.1" customHeight="1" s="103">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3">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3">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3">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3">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3">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3">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3">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3">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3">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3">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3">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3">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3">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3">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3">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3">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3">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3">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3">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3">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3">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3">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3">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3">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3">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3">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3">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3">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3">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3">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3">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3">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3">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3">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3">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3">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3">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3">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3">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3">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3">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3">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3">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3">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3" min="1" max="1"/>
    <col width="79.5" customWidth="1" style="103" min="2" max="2"/>
  </cols>
  <sheetData>
    <row r="1">
      <c r="A1" t="inlineStr">
        <is>
          <t>TIPO DE ACTIVO</t>
        </is>
      </c>
      <c r="B1" t="inlineStr">
        <is>
          <t>DESCRIPCION</t>
        </is>
      </c>
    </row>
    <row r="2" ht="41.1" customHeight="1" s="103">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3">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3">
      <c r="A4" s="41" t="inlineStr">
        <is>
          <t>[S] Servicios</t>
        </is>
      </c>
      <c r="B4" s="17" t="inlineStr">
        <is>
          <t>Función que satisface una necesidad de los usuarios (del servicio). Esta sección contempla servicios prestados por el sistema.</t>
        </is>
      </c>
    </row>
    <row r="5" ht="41.1" customHeight="1" s="103">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3">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3">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3">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3">
      <c r="A9" s="41" t="inlineStr">
        <is>
          <t>[AUX] equipamiento auxiliar</t>
        </is>
      </c>
      <c r="B9" s="17" t="inlineStr">
        <is>
          <t>En este epígrafe se consideran otros equipos que sirven de soporte a los sistemas de información, sin estar directamente relacionados con datos.</t>
        </is>
      </c>
    </row>
    <row r="10" ht="20.45" customHeight="1" s="103">
      <c r="A10" s="41" t="inlineStr">
        <is>
          <t>[L] Instalaciones</t>
        </is>
      </c>
      <c r="B10" s="17" t="inlineStr">
        <is>
          <t>En este epígrafe entran los lugares donde se hospedan los sistemas de información y comunicaciones.</t>
        </is>
      </c>
    </row>
    <row r="11" ht="12" customHeight="1" s="103">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3" min="1" max="1"/>
    <col width="82" bestFit="1" customWidth="1" style="103" min="2" max="2"/>
    <col width="86" bestFit="1" customWidth="1" style="103" min="3" max="3"/>
  </cols>
  <sheetData>
    <row r="1">
      <c r="A1" s="99" t="inlineStr">
        <is>
          <t>CONTROLES IMPLEMENTADOS</t>
        </is>
      </c>
      <c r="B1" s="96" t="n"/>
    </row>
    <row r="2">
      <c r="A2" s="99" t="inlineStr">
        <is>
          <t>Código</t>
        </is>
      </c>
      <c r="B2" s="99" t="inlineStr">
        <is>
          <t>Descripción</t>
        </is>
      </c>
    </row>
    <row r="3">
      <c r="A3" s="99" t="inlineStr">
        <is>
          <t>1. Política de Seguridad de la Información</t>
        </is>
      </c>
      <c r="B3" s="96"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9" t="inlineStr">
        <is>
          <t>2. Organización de la Seguridad de la Información</t>
        </is>
      </c>
      <c r="B8" s="96"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9" t="inlineStr">
        <is>
          <t>3. Gestión de Activos</t>
        </is>
      </c>
      <c r="B12" s="96"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9" t="inlineStr">
        <is>
          <t>4. Seguridad de los Recursos Humanos</t>
        </is>
      </c>
      <c r="B16" s="96"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9" t="inlineStr">
        <is>
          <t>5. Control de Acceso</t>
        </is>
      </c>
      <c r="B19" s="96"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9" t="inlineStr">
        <is>
          <t>6. Criptografía</t>
        </is>
      </c>
      <c r="B26" s="96"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9" t="inlineStr">
        <is>
          <t>7. Seguridad Física y del Entorno</t>
        </is>
      </c>
      <c r="B29" s="96"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9" t="inlineStr">
        <is>
          <t>8. Seguridad de las Operaciones</t>
        </is>
      </c>
      <c r="B32" s="96"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9" t="inlineStr">
        <is>
          <t>9. Seguridad en las Comunicaciones</t>
        </is>
      </c>
      <c r="B40" s="96"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9" t="inlineStr">
        <is>
          <t>10. Adquisición, desarrollo y mantenimiento</t>
        </is>
      </c>
      <c r="B43" s="96"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9" t="inlineStr">
        <is>
          <t>11. Relaciones con Proveedores</t>
        </is>
      </c>
      <c r="B48" s="96"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9" t="inlineStr">
        <is>
          <t>12. Gestión de Incidentes de Seguridad</t>
        </is>
      </c>
      <c r="B51" s="96"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9" t="inlineStr">
        <is>
          <t>13. Gestión de Continuidad del Negocio</t>
        </is>
      </c>
      <c r="B54" s="96"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9" t="inlineStr">
        <is>
          <t>14. Cumplimiento</t>
        </is>
      </c>
      <c r="B57" s="96"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zoomScale="90" zoomScaleNormal="90" workbookViewId="0">
      <selection activeCell="J24" sqref="J24"/>
    </sheetView>
  </sheetViews>
  <sheetFormatPr baseColWidth="10" defaultColWidth="9.1640625" defaultRowHeight="11.25"/>
  <cols>
    <col width="11.83203125" customWidth="1" style="38" min="1" max="1"/>
    <col width="19.5" customWidth="1" style="39" min="2" max="2"/>
    <col width="12.6640625" customWidth="1" style="39" min="3" max="3"/>
    <col width="17.6640625" customWidth="1" style="39" min="4" max="4"/>
    <col width="14" customWidth="1" style="39" min="5" max="5"/>
    <col width="39.1640625" customWidth="1" style="38" min="6" max="6"/>
    <col width="25" customWidth="1" style="39" min="7" max="7"/>
    <col width="29.6640625" customWidth="1" style="39" min="8" max="8"/>
    <col width="18.6640625" customWidth="1" style="39" min="9" max="9"/>
    <col width="16.1640625" customWidth="1" style="39" min="10" max="10"/>
    <col width="13.1640625" customWidth="1" style="39" min="11" max="11"/>
    <col width="19.6640625" customWidth="1" style="39" min="12" max="12"/>
    <col width="9.1640625" customWidth="1" style="39" min="13" max="14"/>
    <col width="9.1640625" customWidth="1" style="39" min="15" max="16384"/>
  </cols>
  <sheetData>
    <row r="1" ht="60" customHeight="1" s="103">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3">
      <c r="A2" s="38" t="inlineStr">
        <is>
          <t>5.1</t>
        </is>
      </c>
      <c r="B2" s="39" t="inlineStr">
        <is>
          <t>Políticas para la seguridad de la información</t>
        </is>
      </c>
      <c r="C2" s="39" t="inlineStr">
        <is>
          <t>#Preventivo</t>
        </is>
      </c>
      <c r="D2" s="39" t="inlineStr">
        <is>
          <t>#Confidencialidad, #Integridad, #Disponibilidad</t>
        </is>
      </c>
      <c r="E2" s="39" t="inlineStr">
        <is>
          <t>#Identificar</t>
        </is>
      </c>
      <c r="F2" s="38" t="inlineStr">
        <is>
          <t>#Gobernanza</t>
        </is>
      </c>
      <c r="G2" s="39" t="inlineStr">
        <is>
          <t>#Gobernanza_y_Ecosistema</t>
        </is>
      </c>
      <c r="H2" s="39" t="inlineStr">
        <is>
          <t>Obligatorio SEPS (Régimen General)</t>
        </is>
      </c>
      <c r="I2" s="39" t="inlineStr">
        <is>
          <t>C1: Revisión periódica de políticas y procedimientos</t>
        </is>
      </c>
      <c r="J2" s="39" t="inlineStr">
        <is>
          <t>2. Metodología Interna GSO-GSI + ISO 27001</t>
        </is>
      </c>
      <c r="K2" s="39" t="inlineStr">
        <is>
          <t>Aplica</t>
        </is>
      </c>
      <c r="L2" s="39" t="inlineStr">
        <is>
          <t>Requisito interno GSO-GSI</t>
        </is>
      </c>
    </row>
    <row r="3" ht="48" customHeight="1" s="103">
      <c r="A3" s="38" t="inlineStr">
        <is>
          <t>5.2</t>
        </is>
      </c>
      <c r="B3" s="39" t="inlineStr">
        <is>
          <t>Funciones y responsabilidades de seguridad de la información</t>
        </is>
      </c>
      <c r="C3" s="39" t="inlineStr">
        <is>
          <t>#Preventivo</t>
        </is>
      </c>
      <c r="D3" s="39" t="inlineStr">
        <is>
          <t>#Confidencialidad, #Integridad, #Disponibilidad</t>
        </is>
      </c>
      <c r="E3" s="39" t="inlineStr">
        <is>
          <t>#Identificar</t>
        </is>
      </c>
      <c r="F3" s="38" t="inlineStr">
        <is>
          <t>#Gobernanza</t>
        </is>
      </c>
      <c r="G3" s="39" t="inlineStr">
        <is>
          <t>#Gobernanza_y_Ecosistema</t>
        </is>
      </c>
      <c r="H3" s="39" t="inlineStr">
        <is>
          <t>Obligatorio SEPS (Régimen General)</t>
        </is>
      </c>
      <c r="I3" s="39" t="inlineStr">
        <is>
          <t>-</t>
        </is>
      </c>
      <c r="J3" s="39" t="inlineStr">
        <is>
          <t>1. Regulatorio SEPS 002-2022 + ISO 27001</t>
        </is>
      </c>
      <c r="K3" s="39" t="inlineStr">
        <is>
          <t>Aplica</t>
        </is>
      </c>
      <c r="L3" s="39" t="inlineStr">
        <is>
          <t>Requerido por ente regulador SEPS</t>
        </is>
      </c>
    </row>
    <row r="4" ht="36" customHeight="1" s="103">
      <c r="A4" s="38" t="inlineStr">
        <is>
          <t>5.3</t>
        </is>
      </c>
      <c r="B4" s="39" t="inlineStr">
        <is>
          <t>Segregación de funciones</t>
        </is>
      </c>
      <c r="C4" s="39" t="inlineStr">
        <is>
          <t>#Preventivo</t>
        </is>
      </c>
      <c r="D4" s="39" t="inlineStr">
        <is>
          <t>#Confidencialidad, #Integridad</t>
        </is>
      </c>
      <c r="E4" s="39" t="inlineStr">
        <is>
          <t>#Proteger</t>
        </is>
      </c>
      <c r="F4" s="38" t="inlineStr">
        <is>
          <t>#Gobernanza</t>
        </is>
      </c>
      <c r="G4" s="39" t="inlineStr">
        <is>
          <t>#Gobernanza_y_Ecosistema</t>
        </is>
      </c>
      <c r="H4" s="39" t="inlineStr">
        <is>
          <t>Obligatorio SEPS (Régimen General)</t>
        </is>
      </c>
      <c r="I4" s="39" t="inlineStr">
        <is>
          <t>-</t>
        </is>
      </c>
      <c r="J4" s="39" t="inlineStr">
        <is>
          <t>1. Regulatorio SEPS 002-2022 + ISO 27001</t>
        </is>
      </c>
      <c r="K4" s="39" t="inlineStr">
        <is>
          <t>Aplica</t>
        </is>
      </c>
      <c r="L4" s="39" t="inlineStr">
        <is>
          <t>Requerido por ente regulador SEPS</t>
        </is>
      </c>
    </row>
    <row r="5" ht="36" customHeight="1" s="103">
      <c r="A5" s="38" t="inlineStr">
        <is>
          <t>5.4</t>
        </is>
      </c>
      <c r="B5" s="39" t="inlineStr">
        <is>
          <t>Responsabilidades de la dirección</t>
        </is>
      </c>
      <c r="C5" s="39" t="inlineStr">
        <is>
          <t>#Preventivo</t>
        </is>
      </c>
      <c r="D5" s="39" t="inlineStr">
        <is>
          <t>#Confidencialidad, #Integridad, #Disponibilidad</t>
        </is>
      </c>
      <c r="E5" s="39" t="inlineStr">
        <is>
          <t>#Identificar</t>
        </is>
      </c>
      <c r="F5" s="38" t="inlineStr">
        <is>
          <t>#Gobernanza</t>
        </is>
      </c>
      <c r="G5" s="39" t="inlineStr">
        <is>
          <t>#Gobernanza_y_Ecosistema</t>
        </is>
      </c>
      <c r="H5" s="39" t="inlineStr">
        <is>
          <t>Obligatorio SEPS (Régimen General)</t>
        </is>
      </c>
      <c r="I5" s="39" t="inlineStr">
        <is>
          <t>-</t>
        </is>
      </c>
      <c r="J5" s="39" t="inlineStr">
        <is>
          <t>1. Regulatorio SEPS 002-2022 + ISO 27001</t>
        </is>
      </c>
      <c r="K5" s="39" t="inlineStr">
        <is>
          <t>Aplica</t>
        </is>
      </c>
      <c r="L5" s="39" t="inlineStr">
        <is>
          <t>Requerido por ente regulador SEPS</t>
        </is>
      </c>
    </row>
    <row r="6" ht="36" customHeight="1" s="103">
      <c r="A6" s="38" t="inlineStr">
        <is>
          <t>5.5</t>
        </is>
      </c>
      <c r="B6" s="39" t="inlineStr">
        <is>
          <t>Contacto con las autoridades</t>
        </is>
      </c>
      <c r="C6" s="39" t="inlineStr">
        <is>
          <t>#Preventivo</t>
        </is>
      </c>
      <c r="D6" s="39" t="inlineStr">
        <is>
          <t>#Disponibilidad</t>
        </is>
      </c>
      <c r="E6" s="39" t="inlineStr">
        <is>
          <t>#Responder</t>
        </is>
      </c>
      <c r="F6" s="38" t="inlineStr">
        <is>
          <t>#Gobernanza</t>
        </is>
      </c>
      <c r="G6" s="39" t="inlineStr">
        <is>
          <t>#Gobernanza_y_Ecosistema</t>
        </is>
      </c>
      <c r="H6" s="39" t="inlineStr">
        <is>
          <t>Obligatorio SEPS (Régimen General)</t>
        </is>
      </c>
      <c r="I6" s="39" t="inlineStr">
        <is>
          <t>-</t>
        </is>
      </c>
      <c r="J6" s="39" t="inlineStr">
        <is>
          <t>1. Regulatorio SEPS 002-2022 + ISO 27001</t>
        </is>
      </c>
      <c r="K6" s="39" t="inlineStr">
        <is>
          <t>Aplica</t>
        </is>
      </c>
      <c r="L6" s="39" t="inlineStr">
        <is>
          <t>Requerido por ente regulador SEPS</t>
        </is>
      </c>
    </row>
    <row r="7" ht="60" customHeight="1" s="103">
      <c r="A7" s="38" t="inlineStr">
        <is>
          <t>5.6</t>
        </is>
      </c>
      <c r="B7" s="39" t="inlineStr">
        <is>
          <t>Contacto con grupos de interés especial</t>
        </is>
      </c>
      <c r="C7" s="39" t="inlineStr">
        <is>
          <t>#Preventivo</t>
        </is>
      </c>
      <c r="D7" s="39" t="inlineStr">
        <is>
          <t>#Disponibilidad</t>
        </is>
      </c>
      <c r="E7" s="39" t="inlineStr">
        <is>
          <t>#Identificar</t>
        </is>
      </c>
      <c r="F7" s="38" t="inlineStr">
        <is>
          <t>#Gobernanza</t>
        </is>
      </c>
      <c r="G7" s="39" t="inlineStr">
        <is>
          <t>#Gobernanza_y_Ecosistema</t>
        </is>
      </c>
      <c r="H7" s="39" t="inlineStr">
        <is>
          <t>Mejor Práctica (No obligatorio SEPS)</t>
        </is>
      </c>
      <c r="I7" s="39" t="inlineStr">
        <is>
          <t>-</t>
        </is>
      </c>
      <c r="J7" s="39" t="inlineStr">
        <is>
          <t>3. Tratamiento de Riesgos Específico (ISO 27002 / MAGERIT)</t>
        </is>
      </c>
      <c r="K7" s="39" t="inlineStr">
        <is>
          <t>Aplica</t>
        </is>
      </c>
      <c r="L7" s="39" t="inlineStr">
        <is>
          <t>Requisito de control complementario y mejor práctica de seguridad</t>
        </is>
      </c>
    </row>
    <row r="8" ht="60" customHeight="1" s="103">
      <c r="A8" s="38" t="inlineStr">
        <is>
          <t>5.7</t>
        </is>
      </c>
      <c r="B8" s="39" t="inlineStr">
        <is>
          <t>Inteligencia de amenazas</t>
        </is>
      </c>
      <c r="C8" s="39" t="inlineStr">
        <is>
          <t>#Detectivo, #Preventivo</t>
        </is>
      </c>
      <c r="D8" s="39" t="inlineStr">
        <is>
          <t>#Confidencialidad, #Integridad, #Disponibilidad</t>
        </is>
      </c>
      <c r="E8" s="39" t="inlineStr">
        <is>
          <t>#Identificar</t>
        </is>
      </c>
      <c r="F8" s="38" t="inlineStr">
        <is>
          <t>#Gestión_de_amenazas_y_vulnerabilidades</t>
        </is>
      </c>
      <c r="G8" s="39" t="inlineStr">
        <is>
          <t>#Gobernanza_y_Ecosistema</t>
        </is>
      </c>
      <c r="H8" s="39" t="inlineStr">
        <is>
          <t>Mejor Práctica (No obligatorio SEPS)</t>
        </is>
      </c>
      <c r="I8" s="39" t="inlineStr">
        <is>
          <t>-</t>
        </is>
      </c>
      <c r="J8" s="39" t="inlineStr">
        <is>
          <t>3. Tratamiento de Riesgos Específico (ISO 27002 / MAGERIT)</t>
        </is>
      </c>
      <c r="K8" s="39" t="inlineStr">
        <is>
          <t>Aplica</t>
        </is>
      </c>
      <c r="L8" s="39" t="inlineStr">
        <is>
          <t>Requisito de control complementario y mejor práctica de seguridad</t>
        </is>
      </c>
    </row>
    <row r="9" ht="36" customHeight="1" s="103">
      <c r="A9" s="38" t="inlineStr">
        <is>
          <t>5.8</t>
        </is>
      </c>
      <c r="B9" s="39" t="inlineStr">
        <is>
          <t>Seguridad de la información en la gestión de proyectos</t>
        </is>
      </c>
      <c r="C9" s="39" t="inlineStr">
        <is>
          <t>#Preventivo</t>
        </is>
      </c>
      <c r="D9" s="39" t="inlineStr">
        <is>
          <t>#Confidencialidad, #Integridad, #Disponibilidad</t>
        </is>
      </c>
      <c r="E9" s="39" t="inlineStr">
        <is>
          <t>#Proteger</t>
        </is>
      </c>
      <c r="F9" s="38" t="inlineStr">
        <is>
          <t>#Gobernanza</t>
        </is>
      </c>
      <c r="G9" s="39" t="inlineStr">
        <is>
          <t>#Gobernanza_y_Ecosistema</t>
        </is>
      </c>
      <c r="H9" s="39" t="inlineStr">
        <is>
          <t>Obligatorio SEPS (Régimen General)</t>
        </is>
      </c>
      <c r="I9" s="39" t="inlineStr">
        <is>
          <t>-</t>
        </is>
      </c>
      <c r="J9" s="39" t="inlineStr">
        <is>
          <t>1. Regulatorio SEPS 002-2022 + ISO 27001</t>
        </is>
      </c>
      <c r="K9" s="39" t="inlineStr">
        <is>
          <t>Aplica</t>
        </is>
      </c>
      <c r="L9" s="39" t="inlineStr">
        <is>
          <t>Requerido por ente regulador SEPS</t>
        </is>
      </c>
    </row>
    <row r="10" ht="36" customHeight="1" s="103">
      <c r="A10" s="38" t="inlineStr">
        <is>
          <t>5.9</t>
        </is>
      </c>
      <c r="B10" s="39" t="inlineStr">
        <is>
          <t>Inventario de información y otros activos asociados</t>
        </is>
      </c>
      <c r="C10" s="39" t="inlineStr">
        <is>
          <t>#Preventivo</t>
        </is>
      </c>
      <c r="D10" s="39" t="inlineStr">
        <is>
          <t>#Confidencialidad, #Integridad, #Disponibilidad</t>
        </is>
      </c>
      <c r="E10" s="39" t="inlineStr">
        <is>
          <t>#Identificar</t>
        </is>
      </c>
      <c r="F10" s="38" t="inlineStr">
        <is>
          <t>#Gestión_de_activos</t>
        </is>
      </c>
      <c r="G10" s="39" t="inlineStr">
        <is>
          <t>#Gobernanza_y_Ecosistema</t>
        </is>
      </c>
      <c r="H10" s="39" t="inlineStr">
        <is>
          <t>Obligatorio SEPS (Régimen General)</t>
        </is>
      </c>
      <c r="I10" s="39" t="inlineStr">
        <is>
          <t>-</t>
        </is>
      </c>
      <c r="J10" s="39" t="inlineStr">
        <is>
          <t>1. Regulatorio SEPS 002-2022 + ISO 27001</t>
        </is>
      </c>
      <c r="K10" s="39" t="inlineStr">
        <is>
          <t>Aplica</t>
        </is>
      </c>
      <c r="L10" s="39" t="inlineStr">
        <is>
          <t>Requerido por ente regulador SEPS</t>
        </is>
      </c>
    </row>
    <row r="11" ht="36" customHeight="1" s="103">
      <c r="A11" s="38" t="inlineStr">
        <is>
          <t>5.10</t>
        </is>
      </c>
      <c r="B11" s="39" t="inlineStr">
        <is>
          <t>Uso aceptable de la información y otros activos asociados</t>
        </is>
      </c>
      <c r="C11" s="39" t="inlineStr">
        <is>
          <t>#Preventivo</t>
        </is>
      </c>
      <c r="D11" s="39" t="inlineStr">
        <is>
          <t>#Confidencialidad, #Integridad, #Disponibilidad</t>
        </is>
      </c>
      <c r="E11" s="39" t="inlineStr">
        <is>
          <t>#Proteger</t>
        </is>
      </c>
      <c r="F11" s="38" t="inlineStr">
        <is>
          <t>#Protección_de_la_información</t>
        </is>
      </c>
      <c r="G11" s="39" t="inlineStr">
        <is>
          <t>#Gobernanza_y_Ecosistema</t>
        </is>
      </c>
      <c r="H11" s="39" t="inlineStr">
        <is>
          <t>Obligatorio SEPS (Régimen General)</t>
        </is>
      </c>
      <c r="I11" s="39" t="inlineStr">
        <is>
          <t>-</t>
        </is>
      </c>
      <c r="J11" s="39" t="inlineStr">
        <is>
          <t>1. Regulatorio SEPS 002-2022 + ISO 27001</t>
        </is>
      </c>
      <c r="K11" s="39" t="inlineStr">
        <is>
          <t>Aplica</t>
        </is>
      </c>
      <c r="L11" s="39" t="inlineStr">
        <is>
          <t>Requerido por ente regulador SEPS</t>
        </is>
      </c>
    </row>
    <row r="12" ht="36" customHeight="1" s="103">
      <c r="A12" s="38" t="inlineStr">
        <is>
          <t>5.11</t>
        </is>
      </c>
      <c r="B12" s="39" t="inlineStr">
        <is>
          <t>Devolución de activos</t>
        </is>
      </c>
      <c r="C12" s="39" t="inlineStr">
        <is>
          <t>#Preventivo</t>
        </is>
      </c>
      <c r="D12" s="39" t="inlineStr">
        <is>
          <t>#Confidencialidad, #Integridad, #Disponibilidad</t>
        </is>
      </c>
      <c r="E12" s="39" t="inlineStr">
        <is>
          <t>#Proteger</t>
        </is>
      </c>
      <c r="F12" s="38" t="inlineStr">
        <is>
          <t>#Gestión_de_activos</t>
        </is>
      </c>
      <c r="G12" s="39" t="inlineStr">
        <is>
          <t>#Gobernanza_y_Ecosistema</t>
        </is>
      </c>
      <c r="H12" s="39" t="inlineStr">
        <is>
          <t>Obligatorio SEPS (Régimen General)</t>
        </is>
      </c>
      <c r="I12" s="39" t="inlineStr">
        <is>
          <t>-</t>
        </is>
      </c>
      <c r="J12" s="39" t="inlineStr">
        <is>
          <t>1. Regulatorio SEPS 002-2022 + ISO 27001</t>
        </is>
      </c>
      <c r="K12" s="39" t="inlineStr">
        <is>
          <t>Aplica</t>
        </is>
      </c>
      <c r="L12" s="39" t="inlineStr">
        <is>
          <t>Requerido por ente regulador SEPS</t>
        </is>
      </c>
    </row>
    <row r="13" ht="36" customHeight="1" s="103">
      <c r="A13" s="38" t="inlineStr">
        <is>
          <t>5.12</t>
        </is>
      </c>
      <c r="B13" s="39" t="inlineStr">
        <is>
          <t>Clasificación de la información</t>
        </is>
      </c>
      <c r="C13" s="39" t="inlineStr">
        <is>
          <t>#Preventivo</t>
        </is>
      </c>
      <c r="D13" s="39" t="inlineStr">
        <is>
          <t>#Confidencialidad, #Integridad, #Disponibilidad</t>
        </is>
      </c>
      <c r="E13" s="39" t="inlineStr">
        <is>
          <t>#Identificar</t>
        </is>
      </c>
      <c r="F13" s="38" t="inlineStr">
        <is>
          <t>#Protección_de_la_información</t>
        </is>
      </c>
      <c r="G13" s="39" t="inlineStr">
        <is>
          <t>#Gobernanza_y_Ecosistema</t>
        </is>
      </c>
      <c r="H13" s="39" t="inlineStr">
        <is>
          <t>Obligatorio SEPS (Régimen General)</t>
        </is>
      </c>
      <c r="I13" s="39" t="inlineStr">
        <is>
          <t>C2: Clasificación de la información</t>
        </is>
      </c>
      <c r="J13" s="39" t="inlineStr">
        <is>
          <t>2. Metodología Interna GSO-GSI + ISO 27001</t>
        </is>
      </c>
      <c r="K13" s="39" t="inlineStr">
        <is>
          <t>Aplica</t>
        </is>
      </c>
      <c r="L13" s="39" t="inlineStr">
        <is>
          <t>Requisito interno GSO-GSI</t>
        </is>
      </c>
    </row>
    <row r="14" ht="36" customHeight="1" s="103">
      <c r="A14" s="38" t="inlineStr">
        <is>
          <t>5.13</t>
        </is>
      </c>
      <c r="B14" s="39" t="inlineStr">
        <is>
          <t>Etiquetado de la información</t>
        </is>
      </c>
      <c r="C14" s="39" t="inlineStr">
        <is>
          <t>#Preventivo</t>
        </is>
      </c>
      <c r="D14" s="39" t="inlineStr">
        <is>
          <t>#Confidencialidad, #Integridad, #Disponibilidad</t>
        </is>
      </c>
      <c r="E14" s="39" t="inlineStr">
        <is>
          <t>#Proteger</t>
        </is>
      </c>
      <c r="F14" s="38" t="inlineStr">
        <is>
          <t>#Protección_de_la_información</t>
        </is>
      </c>
      <c r="G14" s="39" t="inlineStr">
        <is>
          <t>#Gobernanza_y_Ecosistema</t>
        </is>
      </c>
      <c r="H14" s="39" t="inlineStr">
        <is>
          <t>Obligatorio SEPS (Régimen General)</t>
        </is>
      </c>
      <c r="I14" s="39" t="inlineStr">
        <is>
          <t>C2: Clasificación de la información</t>
        </is>
      </c>
      <c r="J14" s="39" t="inlineStr">
        <is>
          <t>2. Metodología Interna GSO-GSI + ISO 27001</t>
        </is>
      </c>
      <c r="K14" s="39" t="inlineStr">
        <is>
          <t>Aplica</t>
        </is>
      </c>
      <c r="L14" s="39" t="inlineStr">
        <is>
          <t>Requisito interno GSO-GSI</t>
        </is>
      </c>
    </row>
    <row r="15" ht="36" customHeight="1" s="103">
      <c r="A15" s="38" t="inlineStr">
        <is>
          <t>5.14</t>
        </is>
      </c>
      <c r="B15" s="39" t="inlineStr">
        <is>
          <t>Transferencia de información</t>
        </is>
      </c>
      <c r="C15" s="39" t="inlineStr">
        <is>
          <t>#Preventivo</t>
        </is>
      </c>
      <c r="D15" s="39" t="inlineStr">
        <is>
          <t>#Confidencialidad, #Integridad, #Disponibilidad</t>
        </is>
      </c>
      <c r="E15" s="39" t="inlineStr">
        <is>
          <t>#Proteger</t>
        </is>
      </c>
      <c r="F15" s="38" t="inlineStr">
        <is>
          <t>#Protección_de_la_información</t>
        </is>
      </c>
      <c r="G15" s="39" t="inlineStr">
        <is>
          <t>#Gobernanza_y_Ecosistema</t>
        </is>
      </c>
      <c r="H15" s="39" t="inlineStr">
        <is>
          <t>Obligatorio SEPS (Régimen General)</t>
        </is>
      </c>
      <c r="I15" s="39" t="inlineStr">
        <is>
          <t>-</t>
        </is>
      </c>
      <c r="J15" s="39" t="inlineStr">
        <is>
          <t>1. Regulatorio SEPS 002-2022 + ISO 27001</t>
        </is>
      </c>
      <c r="K15" s="39" t="inlineStr">
        <is>
          <t>Aplica</t>
        </is>
      </c>
      <c r="L15" s="39" t="inlineStr">
        <is>
          <t>Requerido por ente regulador SEPS</t>
        </is>
      </c>
    </row>
    <row r="16" ht="36" customHeight="1" s="103">
      <c r="A16" s="38" t="inlineStr">
        <is>
          <t>5.15</t>
        </is>
      </c>
      <c r="B16" s="39" t="inlineStr">
        <is>
          <t>Control de acceso</t>
        </is>
      </c>
      <c r="C16" s="39" t="inlineStr">
        <is>
          <t>#Preventivo</t>
        </is>
      </c>
      <c r="D16" s="39" t="inlineStr">
        <is>
          <t>#Confidencialidad, #Integridad, #Disponibilidad</t>
        </is>
      </c>
      <c r="E16" s="39" t="inlineStr">
        <is>
          <t>#Proteger</t>
        </is>
      </c>
      <c r="F16" s="38" t="inlineStr">
        <is>
          <t>#Administración_de_identidad_y_acceso</t>
        </is>
      </c>
      <c r="G16" s="39" t="inlineStr">
        <is>
          <t>#Gobernanza_y_Ecosistema</t>
        </is>
      </c>
      <c r="H16" s="39" t="inlineStr">
        <is>
          <t>Obligatorio SEPS (Régimen General)</t>
        </is>
      </c>
      <c r="I16" s="39" t="inlineStr">
        <is>
          <t>C4: Restricción del control de acceso</t>
        </is>
      </c>
      <c r="J16" s="39" t="inlineStr">
        <is>
          <t>2. Metodología Interna GSO-GSI + ISO 27001</t>
        </is>
      </c>
      <c r="K16" s="39" t="inlineStr">
        <is>
          <t>Aplica</t>
        </is>
      </c>
      <c r="L16" s="39" t="inlineStr">
        <is>
          <t>Requisito interno GSO-GSI</t>
        </is>
      </c>
    </row>
    <row r="17" ht="36" customHeight="1" s="103">
      <c r="A17" s="38" t="inlineStr">
        <is>
          <t>5.16</t>
        </is>
      </c>
      <c r="B17" s="39" t="inlineStr">
        <is>
          <t>Gestión de identidades</t>
        </is>
      </c>
      <c r="C17" s="39" t="inlineStr">
        <is>
          <t>#Preventivo</t>
        </is>
      </c>
      <c r="D17" s="39" t="inlineStr">
        <is>
          <t>#Confidencialidad, #Integridad, #Disponibilidad</t>
        </is>
      </c>
      <c r="E17" s="39" t="inlineStr">
        <is>
          <t>#Proteger</t>
        </is>
      </c>
      <c r="F17" s="38" t="inlineStr">
        <is>
          <t>#Administración_de_identidad_y_acceso</t>
        </is>
      </c>
      <c r="G17" s="39" t="inlineStr">
        <is>
          <t>#Gobernanza_y_Ecosistema</t>
        </is>
      </c>
      <c r="H17" s="39" t="inlineStr">
        <is>
          <t>Obligatorio SEPS (Régimen General)</t>
        </is>
      </c>
      <c r="I17" s="39" t="inlineStr">
        <is>
          <t>-</t>
        </is>
      </c>
      <c r="J17" s="39" t="inlineStr">
        <is>
          <t>1. Regulatorio SEPS 002-2022 + ISO 27001</t>
        </is>
      </c>
      <c r="K17" s="39" t="inlineStr">
        <is>
          <t>Aplica</t>
        </is>
      </c>
      <c r="L17" s="39" t="inlineStr">
        <is>
          <t>Requerido por ente regulador SEPS</t>
        </is>
      </c>
    </row>
    <row r="18" ht="36" customHeight="1" s="103">
      <c r="A18" s="38" t="inlineStr">
        <is>
          <t>5.17</t>
        </is>
      </c>
      <c r="B18" s="39" t="inlineStr">
        <is>
          <t>Información de autenticación</t>
        </is>
      </c>
      <c r="C18" s="39" t="inlineStr">
        <is>
          <t>#Preventivo</t>
        </is>
      </c>
      <c r="D18" s="39" t="inlineStr">
        <is>
          <t>#Confidencialidad, #Integridad, #Disponibilidad</t>
        </is>
      </c>
      <c r="E18" s="39" t="inlineStr">
        <is>
          <t>#Proteger</t>
        </is>
      </c>
      <c r="F18" s="38" t="inlineStr">
        <is>
          <t>#Administración_de_identidad_y_acceso</t>
        </is>
      </c>
      <c r="G18" s="39" t="inlineStr">
        <is>
          <t>#Gobernanza_y_Ecosistema</t>
        </is>
      </c>
      <c r="H18" s="39" t="inlineStr">
        <is>
          <t>Obligatorio SEPS (Régimen General)</t>
        </is>
      </c>
      <c r="I18" s="39" t="inlineStr">
        <is>
          <t>C8: Uso de contraseñas fuertes</t>
        </is>
      </c>
      <c r="J18" s="39" t="inlineStr">
        <is>
          <t>2. Metodología Interna GSO-GSI + ISO 27001</t>
        </is>
      </c>
      <c r="K18" s="39" t="inlineStr">
        <is>
          <t>Aplica</t>
        </is>
      </c>
      <c r="L18" s="39" t="inlineStr">
        <is>
          <t>Requisito interno GSO-GSI</t>
        </is>
      </c>
    </row>
    <row r="19" ht="36" customHeight="1" s="103">
      <c r="A19" s="38" t="inlineStr">
        <is>
          <t>5.18</t>
        </is>
      </c>
      <c r="B19" s="39" t="inlineStr">
        <is>
          <t>Derechos de acceso</t>
        </is>
      </c>
      <c r="C19" s="39" t="inlineStr">
        <is>
          <t>#Preventivo</t>
        </is>
      </c>
      <c r="D19" s="39" t="inlineStr">
        <is>
          <t>#Confidencialidad, #Integridad, #Disponibilidad</t>
        </is>
      </c>
      <c r="E19" s="39" t="inlineStr">
        <is>
          <t>#Proteger</t>
        </is>
      </c>
      <c r="F19" s="38" t="inlineStr">
        <is>
          <t>#Administración_de_identidad_y_acceso</t>
        </is>
      </c>
      <c r="G19" s="39" t="inlineStr">
        <is>
          <t>#Gobernanza_y_Ecosistema</t>
        </is>
      </c>
      <c r="H19" s="39" t="inlineStr">
        <is>
          <t>Obligatorio SEPS (Régimen General)</t>
        </is>
      </c>
      <c r="I19" s="39" t="inlineStr">
        <is>
          <t>C7: Revisión periódica de los derechos de acceso</t>
        </is>
      </c>
      <c r="J19" s="39" t="inlineStr">
        <is>
          <t>2. Metodología Interna GSO-GSI + ISO 27001</t>
        </is>
      </c>
      <c r="K19" s="39" t="inlineStr">
        <is>
          <t>Aplica</t>
        </is>
      </c>
      <c r="L19" s="39" t="inlineStr">
        <is>
          <t>Requisito interno GSO-GSI</t>
        </is>
      </c>
    </row>
    <row r="20" ht="48" customHeight="1" s="103">
      <c r="A20" s="38" t="inlineStr">
        <is>
          <t>5.19</t>
        </is>
      </c>
      <c r="B20" s="39" t="inlineStr">
        <is>
          <t>Seguridad de la información en las relaciones con los proveedores</t>
        </is>
      </c>
      <c r="C20" s="39" t="inlineStr">
        <is>
          <t>#Preventivo</t>
        </is>
      </c>
      <c r="D20" s="39" t="inlineStr">
        <is>
          <t>#Confidencialidad, #Integridad, #Disponibilidad</t>
        </is>
      </c>
      <c r="E20" s="39" t="inlineStr">
        <is>
          <t>#Proteger</t>
        </is>
      </c>
      <c r="F20" s="38" t="inlineStr">
        <is>
          <t>#Seguridad_en_relaciones_con_proveedores</t>
        </is>
      </c>
      <c r="G20" s="39" t="inlineStr">
        <is>
          <t>#Gobernanza_y_Ecosistema</t>
        </is>
      </c>
      <c r="H20" s="39" t="inlineStr">
        <is>
          <t>Obligatorio SEPS (Régimen General)</t>
        </is>
      </c>
      <c r="I20" s="39" t="inlineStr">
        <is>
          <t>-</t>
        </is>
      </c>
      <c r="J20" s="39" t="inlineStr">
        <is>
          <t>1. Regulatorio SEPS 002-2022 + ISO 27001</t>
        </is>
      </c>
      <c r="K20" s="39" t="inlineStr">
        <is>
          <t>Aplica</t>
        </is>
      </c>
      <c r="L20" s="39" t="inlineStr">
        <is>
          <t>Requerido por ente regulador SEPS</t>
        </is>
      </c>
    </row>
    <row r="21" ht="60" customHeight="1" s="103">
      <c r="A21" s="38" t="inlineStr">
        <is>
          <t>5.20</t>
        </is>
      </c>
      <c r="B21" s="39" t="inlineStr">
        <is>
          <t>Tratamiento de la seguridad de la información en los acuerdos con los proveedores</t>
        </is>
      </c>
      <c r="C21" s="39" t="inlineStr">
        <is>
          <t>#Preventivo</t>
        </is>
      </c>
      <c r="D21" s="39" t="inlineStr">
        <is>
          <t>#Confidencialidad, #Integridad, #Disponibilidad</t>
        </is>
      </c>
      <c r="E21" s="39" t="inlineStr">
        <is>
          <t>#Proteger</t>
        </is>
      </c>
      <c r="F21" s="38" t="inlineStr">
        <is>
          <t>#Seguridad_en_relaciones_con_proveedores</t>
        </is>
      </c>
      <c r="G21" s="39" t="inlineStr">
        <is>
          <t>#Gobernanza_y_Ecosistema</t>
        </is>
      </c>
      <c r="H21" s="39" t="inlineStr">
        <is>
          <t>Obligatorio SEPS (Régimen General)</t>
        </is>
      </c>
      <c r="I21" s="39" t="inlineStr">
        <is>
          <t>-</t>
        </is>
      </c>
      <c r="J21" s="39" t="inlineStr">
        <is>
          <t>1. Regulatorio SEPS 002-2022 + ISO 27001</t>
        </is>
      </c>
      <c r="K21" s="39" t="inlineStr">
        <is>
          <t>Aplica</t>
        </is>
      </c>
      <c r="L21" s="39" t="inlineStr">
        <is>
          <t>Requerido por ente regulador SEPS</t>
        </is>
      </c>
    </row>
    <row r="22" ht="60" customHeight="1" s="103">
      <c r="A22" s="38" t="inlineStr">
        <is>
          <t>5.21</t>
        </is>
      </c>
      <c r="B22" s="39" t="inlineStr">
        <is>
          <t>Gestión de la seguridad de la información en la cadena de suministro de TIC</t>
        </is>
      </c>
      <c r="C22" s="39" t="inlineStr">
        <is>
          <t>#Preventivo</t>
        </is>
      </c>
      <c r="D22" s="39" t="inlineStr">
        <is>
          <t>#Confidencialidad, #Integridad, #Disponibilidad</t>
        </is>
      </c>
      <c r="E22" s="39" t="inlineStr">
        <is>
          <t>#Proteger</t>
        </is>
      </c>
      <c r="F22" s="38" t="inlineStr">
        <is>
          <t>#Seguridad_en_relaciones_con_proveedores</t>
        </is>
      </c>
      <c r="G22" s="39" t="inlineStr">
        <is>
          <t>#Gobernanza_y_Ecosistema</t>
        </is>
      </c>
      <c r="H22" s="39" t="inlineStr">
        <is>
          <t>Obligatorio SEPS (Régimen General)</t>
        </is>
      </c>
      <c r="I22" s="39" t="inlineStr">
        <is>
          <t>-</t>
        </is>
      </c>
      <c r="J22" s="39" t="inlineStr">
        <is>
          <t>1. Regulatorio SEPS 002-2022 + ISO 27001</t>
        </is>
      </c>
      <c r="K22" s="39" t="inlineStr">
        <is>
          <t>Aplica</t>
        </is>
      </c>
      <c r="L22" s="39" t="inlineStr">
        <is>
          <t>Requerido por ente regulador SEPS</t>
        </is>
      </c>
    </row>
    <row r="23" ht="60" customHeight="1" s="103">
      <c r="A23" s="38" t="inlineStr">
        <is>
          <t>5.22</t>
        </is>
      </c>
      <c r="B23" s="39" t="inlineStr">
        <is>
          <t>Seguimiento, revisión y gestión de cambios en los servicios de los proveedores</t>
        </is>
      </c>
      <c r="C23" s="39" t="inlineStr">
        <is>
          <t>#Preventivo</t>
        </is>
      </c>
      <c r="D23" s="39" t="inlineStr">
        <is>
          <t>#Confidencialidad, #Integridad, #Disponibilidad</t>
        </is>
      </c>
      <c r="E23" s="39" t="inlineStr">
        <is>
          <t>#Proteger</t>
        </is>
      </c>
      <c r="F23" s="38" t="inlineStr">
        <is>
          <t>#Seguridad_en_relaciones_con_proveedores</t>
        </is>
      </c>
      <c r="G23" s="39" t="inlineStr">
        <is>
          <t>#Gobernanza_y_Ecosistema</t>
        </is>
      </c>
      <c r="H23" s="39" t="inlineStr">
        <is>
          <t>Obligatorio SEPS (Régimen General)</t>
        </is>
      </c>
      <c r="I23" s="39" t="inlineStr">
        <is>
          <t>-</t>
        </is>
      </c>
      <c r="J23" s="39" t="inlineStr">
        <is>
          <t>1. Regulatorio SEPS 002-2022 + ISO 27001</t>
        </is>
      </c>
      <c r="K23" s="39" t="inlineStr">
        <is>
          <t>Aplica</t>
        </is>
      </c>
      <c r="L23" s="39" t="inlineStr">
        <is>
          <t>Requerido por ente regulador SEPS</t>
        </is>
      </c>
    </row>
    <row r="24" ht="48" customHeight="1" s="103">
      <c r="A24" s="38" t="inlineStr">
        <is>
          <t>5.23</t>
        </is>
      </c>
      <c r="B24" s="39" t="inlineStr">
        <is>
          <t>Seguridad de la información en el uso de servicios en la nube</t>
        </is>
      </c>
      <c r="C24" s="39" t="inlineStr">
        <is>
          <t>#Preventivo</t>
        </is>
      </c>
      <c r="D24" s="39" t="inlineStr">
        <is>
          <t>#Confidencialidad, #Integridad, #Disponibilidad</t>
        </is>
      </c>
      <c r="E24" s="39" t="inlineStr">
        <is>
          <t>#Proteger</t>
        </is>
      </c>
      <c r="F24" s="38" t="inlineStr">
        <is>
          <t>#Seguridad_en_relaciones_con_proveedores</t>
        </is>
      </c>
      <c r="G24" s="39" t="inlineStr">
        <is>
          <t>#Gobernanza_y_Ecosistema</t>
        </is>
      </c>
      <c r="H24" s="39" t="inlineStr">
        <is>
          <t>Obligatorio SEPS (Régimen General)</t>
        </is>
      </c>
      <c r="I24" s="39" t="inlineStr">
        <is>
          <t>-</t>
        </is>
      </c>
      <c r="J24" s="39" t="inlineStr">
        <is>
          <t>4. No Aplica</t>
        </is>
      </c>
      <c r="K24" s="39" t="inlineStr">
        <is>
          <t>No Aplica</t>
        </is>
      </c>
      <c r="L24" s="39" t="inlineStr">
        <is>
          <t>Control 5.23 no es pertinente a los procesos actuales de la entidad</t>
        </is>
      </c>
    </row>
    <row r="25" ht="36" customHeight="1" s="103">
      <c r="A25" s="38" t="inlineStr">
        <is>
          <t>5.24</t>
        </is>
      </c>
      <c r="B25" s="39" t="inlineStr">
        <is>
          <t>Planificación y preparación de la gestión de incidentes</t>
        </is>
      </c>
      <c r="C25" s="39" t="inlineStr">
        <is>
          <t>#Preventivo</t>
        </is>
      </c>
      <c r="D25" s="39" t="inlineStr">
        <is>
          <t>#Confidencialidad, #Integridad, #Disponibilidad</t>
        </is>
      </c>
      <c r="E25" s="39" t="inlineStr">
        <is>
          <t>#Responder</t>
        </is>
      </c>
      <c r="F25" s="38" t="inlineStr">
        <is>
          <t>#Seguridad_de_la_información_gestión_de_eventos</t>
        </is>
      </c>
      <c r="G25" s="39" t="inlineStr">
        <is>
          <t>#Gobernanza_y_Ecosistema</t>
        </is>
      </c>
      <c r="H25" s="39" t="inlineStr">
        <is>
          <t>Obligatorio SEPS (Régimen General)</t>
        </is>
      </c>
      <c r="I25" s="39" t="inlineStr">
        <is>
          <t>-</t>
        </is>
      </c>
      <c r="J25" s="39" t="inlineStr">
        <is>
          <t>1. Regulatorio SEPS 002-2022 + ISO 27001</t>
        </is>
      </c>
      <c r="K25" s="39" t="inlineStr">
        <is>
          <t>Aplica</t>
        </is>
      </c>
      <c r="L25" s="39" t="inlineStr">
        <is>
          <t>Requerido por ente regulador SEPS</t>
        </is>
      </c>
    </row>
    <row r="26" ht="36" customHeight="1" s="103">
      <c r="A26" s="38" t="inlineStr">
        <is>
          <t>5.25</t>
        </is>
      </c>
      <c r="B26" s="39" t="inlineStr">
        <is>
          <t>Evaluación y decisión sobre los eventos de seguridad</t>
        </is>
      </c>
      <c r="C26" s="39" t="inlineStr">
        <is>
          <t>#Detectivo</t>
        </is>
      </c>
      <c r="D26" s="39" t="inlineStr">
        <is>
          <t>#Confidencialidad, #Integridad, #Disponibilidad</t>
        </is>
      </c>
      <c r="E26" s="39" t="inlineStr">
        <is>
          <t>#Detectar</t>
        </is>
      </c>
      <c r="F26" s="38" t="inlineStr">
        <is>
          <t>#Seguridad_de_la_información_gestión_de_eventos</t>
        </is>
      </c>
      <c r="G26" s="39" t="inlineStr">
        <is>
          <t>#Gobernanza_y_Ecosistema</t>
        </is>
      </c>
      <c r="H26" s="39" t="inlineStr">
        <is>
          <t>Obligatorio SEPS (Régimen General)</t>
        </is>
      </c>
      <c r="I26" s="39" t="inlineStr">
        <is>
          <t>-</t>
        </is>
      </c>
      <c r="J26" s="39" t="inlineStr">
        <is>
          <t>1. Regulatorio SEPS 002-2022 + ISO 27001</t>
        </is>
      </c>
      <c r="K26" s="39" t="inlineStr">
        <is>
          <t>Aplica</t>
        </is>
      </c>
      <c r="L26" s="39" t="inlineStr">
        <is>
          <t>Requerido por ente regulador SEPS</t>
        </is>
      </c>
    </row>
    <row r="27" ht="48" customHeight="1" s="103">
      <c r="A27" s="38" t="inlineStr">
        <is>
          <t>5.26</t>
        </is>
      </c>
      <c r="B27" s="39" t="inlineStr">
        <is>
          <t>Respuesta a los incidentes de seguridad de la información</t>
        </is>
      </c>
      <c r="C27" s="39" t="inlineStr">
        <is>
          <t>#Correctivo</t>
        </is>
      </c>
      <c r="D27" s="39" t="inlineStr">
        <is>
          <t>#Confidencialidad, #Integridad, #Disponibilidad</t>
        </is>
      </c>
      <c r="E27" s="39" t="inlineStr">
        <is>
          <t>#Responder</t>
        </is>
      </c>
      <c r="F27" s="38" t="inlineStr">
        <is>
          <t>#Seguridad_de_la_información_gestión_de_eventos</t>
        </is>
      </c>
      <c r="G27" s="39" t="inlineStr">
        <is>
          <t>#Gobernanza_y_Ecosistema</t>
        </is>
      </c>
      <c r="H27" s="39" t="inlineStr">
        <is>
          <t>Obligatorio SEPS (Régimen General)</t>
        </is>
      </c>
      <c r="I27" s="39" t="inlineStr">
        <is>
          <t>-</t>
        </is>
      </c>
      <c r="J27" s="39" t="inlineStr">
        <is>
          <t>1. Regulatorio SEPS 002-2022 + ISO 27001</t>
        </is>
      </c>
      <c r="K27" s="39" t="inlineStr">
        <is>
          <t>Aplica</t>
        </is>
      </c>
      <c r="L27" s="39" t="inlineStr">
        <is>
          <t>Requerido por ente regulador SEPS</t>
        </is>
      </c>
    </row>
    <row r="28" ht="48" customHeight="1" s="103">
      <c r="A28" s="38" t="inlineStr">
        <is>
          <t>5.27</t>
        </is>
      </c>
      <c r="B28" s="39" t="inlineStr">
        <is>
          <t>Aprendizaje de los incidentes de seguridad de la información</t>
        </is>
      </c>
      <c r="C28" s="39" t="inlineStr">
        <is>
          <t>#Preventivo</t>
        </is>
      </c>
      <c r="D28" s="39" t="inlineStr">
        <is>
          <t>#Confidencialidad, #Integridad, #Disponibilidad</t>
        </is>
      </c>
      <c r="E28" s="39" t="inlineStr">
        <is>
          <t>#Identificar</t>
        </is>
      </c>
      <c r="F28" s="38" t="inlineStr">
        <is>
          <t>#Seguridad_de_la_información_gestión_de_eventos</t>
        </is>
      </c>
      <c r="G28" s="39" t="inlineStr">
        <is>
          <t>#Gobernanza_y_Ecosistema</t>
        </is>
      </c>
      <c r="H28" s="39" t="inlineStr">
        <is>
          <t>Obligatorio SEPS (Régimen General)</t>
        </is>
      </c>
      <c r="I28" s="39" t="inlineStr">
        <is>
          <t>-</t>
        </is>
      </c>
      <c r="J28" s="39" t="inlineStr">
        <is>
          <t>1. Regulatorio SEPS 002-2022 + ISO 27001</t>
        </is>
      </c>
      <c r="K28" s="39" t="inlineStr">
        <is>
          <t>Aplica</t>
        </is>
      </c>
      <c r="L28" s="39" t="inlineStr">
        <is>
          <t>Requerido por ente regulador SEPS</t>
        </is>
      </c>
    </row>
    <row r="29" ht="36" customHeight="1" s="103">
      <c r="A29" s="38" t="inlineStr">
        <is>
          <t>5.28</t>
        </is>
      </c>
      <c r="B29" s="39" t="inlineStr">
        <is>
          <t>Recolección de evidencias</t>
        </is>
      </c>
      <c r="C29" s="39" t="inlineStr">
        <is>
          <t>#Preventivo, #Correctivo</t>
        </is>
      </c>
      <c r="D29" s="39" t="inlineStr">
        <is>
          <t>#Confidencialidad, #Integridad, #Disponibilidad</t>
        </is>
      </c>
      <c r="E29" s="39" t="inlineStr">
        <is>
          <t>#Responder</t>
        </is>
      </c>
      <c r="F29" s="38" t="inlineStr">
        <is>
          <t>#Seguridad_de_la_información_gestión_de_eventos</t>
        </is>
      </c>
      <c r="G29" s="39" t="inlineStr">
        <is>
          <t>#Gobernanza_y_Ecosistema</t>
        </is>
      </c>
      <c r="H29" s="39" t="inlineStr">
        <is>
          <t>Obligatorio SEPS (Régimen General)</t>
        </is>
      </c>
      <c r="I29" s="39" t="inlineStr">
        <is>
          <t>-</t>
        </is>
      </c>
      <c r="J29" s="39" t="inlineStr">
        <is>
          <t>1. Regulatorio SEPS 002-2022 + ISO 27001</t>
        </is>
      </c>
      <c r="K29" s="39" t="inlineStr">
        <is>
          <t>Aplica</t>
        </is>
      </c>
      <c r="L29" s="39" t="inlineStr">
        <is>
          <t>Requerido por ente regulador SEPS</t>
        </is>
      </c>
    </row>
    <row r="30" ht="48" customHeight="1" s="103">
      <c r="A30" s="38" t="inlineStr">
        <is>
          <t>5.29</t>
        </is>
      </c>
      <c r="B30" s="39" t="inlineStr">
        <is>
          <t>Seguridad de la información durante la interrupción</t>
        </is>
      </c>
      <c r="C30" s="39" t="inlineStr">
        <is>
          <t>#Preventivo</t>
        </is>
      </c>
      <c r="D30" s="39" t="inlineStr">
        <is>
          <t>#Confidencialidad, #Integridad, #Disponibilidad</t>
        </is>
      </c>
      <c r="E30" s="39" t="inlineStr">
        <is>
          <t>#Recuperar</t>
        </is>
      </c>
      <c r="F30" s="38" t="inlineStr">
        <is>
          <t>#Continuidad</t>
        </is>
      </c>
      <c r="G30" s="39" t="inlineStr">
        <is>
          <t>#Resiliencia</t>
        </is>
      </c>
      <c r="H30" s="39" t="inlineStr">
        <is>
          <t>Obligatorio SEPS (Régimen General)</t>
        </is>
      </c>
      <c r="I30" s="39" t="inlineStr">
        <is>
          <t>C6: Procedimientos de reversión (rollback) / Respaldo</t>
        </is>
      </c>
      <c r="J30" s="39" t="inlineStr">
        <is>
          <t>2. Metodología Interna GSO-GSI + ISO 27001</t>
        </is>
      </c>
      <c r="K30" s="39" t="inlineStr">
        <is>
          <t>Aplica</t>
        </is>
      </c>
      <c r="L30" s="39" t="inlineStr">
        <is>
          <t>Requisito interno GSO-GSI</t>
        </is>
      </c>
    </row>
    <row r="31" ht="48" customHeight="1" s="103">
      <c r="A31" s="38" t="inlineStr">
        <is>
          <t>5.30</t>
        </is>
      </c>
      <c r="B31" s="39" t="inlineStr">
        <is>
          <t>Preparación de las TIC para la continuidad del negocio</t>
        </is>
      </c>
      <c r="C31" s="39" t="inlineStr">
        <is>
          <t>#Preventivo</t>
        </is>
      </c>
      <c r="D31" s="39" t="inlineStr">
        <is>
          <t>#Confidencialidad, #Integridad, #Disponibilidad</t>
        </is>
      </c>
      <c r="E31" s="39" t="inlineStr">
        <is>
          <t>#Recuperar</t>
        </is>
      </c>
      <c r="F31" s="38" t="inlineStr">
        <is>
          <t>#Continuidad</t>
        </is>
      </c>
      <c r="G31" s="39" t="inlineStr">
        <is>
          <t>#Resiliencia</t>
        </is>
      </c>
      <c r="H31" s="39" t="inlineStr">
        <is>
          <t>Obligatorio SEPS (Régimen General)</t>
        </is>
      </c>
      <c r="I31" s="39" t="inlineStr">
        <is>
          <t>-</t>
        </is>
      </c>
      <c r="J31" s="39" t="inlineStr">
        <is>
          <t>1. Regulatorio SEPS 002-2022 + ISO 27001</t>
        </is>
      </c>
      <c r="K31" s="39" t="inlineStr">
        <is>
          <t>Aplica</t>
        </is>
      </c>
      <c r="L31" s="39" t="inlineStr">
        <is>
          <t>Requerido por ente regulador SEPS</t>
        </is>
      </c>
    </row>
    <row r="32" ht="48" customHeight="1" s="103">
      <c r="A32" s="38" t="inlineStr">
        <is>
          <t>5.31</t>
        </is>
      </c>
      <c r="B32" s="39" t="inlineStr">
        <is>
          <t>Requisitos legales, estatutarios, reglamentarios y contractuales</t>
        </is>
      </c>
      <c r="C32" s="39" t="inlineStr">
        <is>
          <t>#Preventivo</t>
        </is>
      </c>
      <c r="D32" s="39" t="inlineStr">
        <is>
          <t>#Confidencialidad, #Integridad, #Disponibilidad</t>
        </is>
      </c>
      <c r="E32" s="39" t="inlineStr">
        <is>
          <t>#Identificar</t>
        </is>
      </c>
      <c r="F32" s="38" t="inlineStr">
        <is>
          <t>#Gobernanza</t>
        </is>
      </c>
      <c r="G32" s="39" t="inlineStr">
        <is>
          <t>#Gobernanza_y_Ecosistema</t>
        </is>
      </c>
      <c r="H32" s="39" t="inlineStr">
        <is>
          <t>Obligatorio SEPS (Régimen General)</t>
        </is>
      </c>
      <c r="I32" s="39" t="inlineStr">
        <is>
          <t>-</t>
        </is>
      </c>
      <c r="J32" s="39" t="inlineStr">
        <is>
          <t>1. Regulatorio SEPS 002-2022 + ISO 27001</t>
        </is>
      </c>
      <c r="K32" s="39" t="inlineStr">
        <is>
          <t>Aplica</t>
        </is>
      </c>
      <c r="L32" s="39" t="inlineStr">
        <is>
          <t>Requerido por ente regulador SEPS</t>
        </is>
      </c>
    </row>
    <row r="33" ht="60" customHeight="1" s="103">
      <c r="A33" s="38" t="inlineStr">
        <is>
          <t>5.32</t>
        </is>
      </c>
      <c r="B33" s="39" t="inlineStr">
        <is>
          <t>Derechos de propiedad intelectual</t>
        </is>
      </c>
      <c r="C33" s="39" t="inlineStr">
        <is>
          <t>#Preventivo</t>
        </is>
      </c>
      <c r="D33" s="39" t="inlineStr">
        <is>
          <t>#Confidencialidad, #Integridad, #Disponibilidad</t>
        </is>
      </c>
      <c r="E33" s="39" t="inlineStr">
        <is>
          <t>#Proteger</t>
        </is>
      </c>
      <c r="F33" s="38" t="inlineStr">
        <is>
          <t>#Gobernanza</t>
        </is>
      </c>
      <c r="G33" s="39" t="inlineStr">
        <is>
          <t>#Gobernanza_y_Ecosistema</t>
        </is>
      </c>
      <c r="H33" s="39" t="inlineStr">
        <is>
          <t>Mejor Práctica (No obligatorio SEPS)</t>
        </is>
      </c>
      <c r="I33" s="39" t="inlineStr">
        <is>
          <t>-</t>
        </is>
      </c>
      <c r="J33" s="39" t="inlineStr">
        <is>
          <t>3. Tratamiento de Riesgos Específico (ISO 27002 / MAGERIT)</t>
        </is>
      </c>
      <c r="K33" s="39" t="inlineStr">
        <is>
          <t>No Aplica</t>
        </is>
      </c>
      <c r="L33" s="39" t="inlineStr">
        <is>
          <t>No aplicable a la arquitectura/infraestructura actual</t>
        </is>
      </c>
    </row>
    <row r="34" ht="36" customHeight="1" s="103">
      <c r="A34" s="38" t="inlineStr">
        <is>
          <t>5.33</t>
        </is>
      </c>
      <c r="B34" s="39" t="inlineStr">
        <is>
          <t>Protección de los registros</t>
        </is>
      </c>
      <c r="C34" s="39" t="inlineStr">
        <is>
          <t>#Preventivo</t>
        </is>
      </c>
      <c r="D34" s="39" t="inlineStr">
        <is>
          <t>#Confidencialidad, #Integridad, #Disponibilidad</t>
        </is>
      </c>
      <c r="E34" s="39" t="inlineStr">
        <is>
          <t>#Proteger</t>
        </is>
      </c>
      <c r="F34" s="38" t="inlineStr">
        <is>
          <t>#Protección_de_la_información</t>
        </is>
      </c>
      <c r="G34" s="39" t="inlineStr">
        <is>
          <t>#Gobernanza_y_Ecosistema</t>
        </is>
      </c>
      <c r="H34" s="39" t="inlineStr">
        <is>
          <t>Obligatorio SEPS (Régimen General)</t>
        </is>
      </c>
      <c r="I34" s="39" t="inlineStr">
        <is>
          <t>-</t>
        </is>
      </c>
      <c r="J34" s="39" t="inlineStr">
        <is>
          <t>1. Regulatorio SEPS 002-2022 + ISO 27001</t>
        </is>
      </c>
      <c r="K34" s="39" t="inlineStr">
        <is>
          <t>Aplica</t>
        </is>
      </c>
      <c r="L34" s="39" t="inlineStr">
        <is>
          <t>Requerido por ente regulador SEPS</t>
        </is>
      </c>
    </row>
    <row r="35" ht="60" customHeight="1" s="103">
      <c r="A35" s="38" t="inlineStr">
        <is>
          <t>5.34</t>
        </is>
      </c>
      <c r="B35" s="39" t="inlineStr">
        <is>
          <t>Privacidad y protección de la información de identificación personal (PII)</t>
        </is>
      </c>
      <c r="C35" s="39" t="inlineStr">
        <is>
          <t>#Preventivo</t>
        </is>
      </c>
      <c r="D35" s="39" t="inlineStr">
        <is>
          <t>#Confidencialidad, #Integridad</t>
        </is>
      </c>
      <c r="E35" s="39" t="inlineStr">
        <is>
          <t>#Proteger</t>
        </is>
      </c>
      <c r="F35" s="38" t="inlineStr">
        <is>
          <t>#Gobernanza</t>
        </is>
      </c>
      <c r="G35" s="39" t="inlineStr">
        <is>
          <t>#Gobernanza_y_Ecosistema</t>
        </is>
      </c>
      <c r="H35" s="39" t="inlineStr">
        <is>
          <t>Obligatorio SEPS (Régimen General)</t>
        </is>
      </c>
      <c r="I35" s="39" t="inlineStr">
        <is>
          <t>-</t>
        </is>
      </c>
      <c r="J35" s="39" t="inlineStr">
        <is>
          <t>1. Regulatorio SEPS 002-2022 + ISO 27001</t>
        </is>
      </c>
      <c r="K35" s="39" t="inlineStr">
        <is>
          <t>Aplica</t>
        </is>
      </c>
      <c r="L35" s="39" t="inlineStr">
        <is>
          <t>Requerido por ente regulador SEPS</t>
        </is>
      </c>
    </row>
    <row r="36" ht="48" customHeight="1" s="103">
      <c r="A36" s="38" t="inlineStr">
        <is>
          <t>5.35</t>
        </is>
      </c>
      <c r="B36" s="39" t="inlineStr">
        <is>
          <t>Revisión independiente de la seguridad de la información</t>
        </is>
      </c>
      <c r="C36" s="39" t="inlineStr">
        <is>
          <t>#Preventivo</t>
        </is>
      </c>
      <c r="D36" s="39" t="inlineStr">
        <is>
          <t>#Confidencialidad, #Integridad, #Disponibilidad</t>
        </is>
      </c>
      <c r="E36" s="39" t="inlineStr">
        <is>
          <t>#Identificar</t>
        </is>
      </c>
      <c r="F36" s="38" t="inlineStr">
        <is>
          <t>#Información_seguridad_garantía</t>
        </is>
      </c>
      <c r="G36" s="39" t="inlineStr">
        <is>
          <t>#Gobernanza_y_Ecosistema</t>
        </is>
      </c>
      <c r="H36" s="39" t="inlineStr">
        <is>
          <t>Obligatorio SEPS (Régimen General)</t>
        </is>
      </c>
      <c r="I36" s="39" t="inlineStr">
        <is>
          <t>-</t>
        </is>
      </c>
      <c r="J36" s="39" t="inlineStr">
        <is>
          <t>1. Regulatorio SEPS 002-2022 + ISO 27001</t>
        </is>
      </c>
      <c r="K36" s="39" t="inlineStr">
        <is>
          <t>Aplica</t>
        </is>
      </c>
      <c r="L36" s="39" t="inlineStr">
        <is>
          <t>Requerido por ente regulador SEPS</t>
        </is>
      </c>
    </row>
    <row r="37" ht="48" customHeight="1" s="103">
      <c r="A37" s="38" t="inlineStr">
        <is>
          <t>5.36</t>
        </is>
      </c>
      <c r="B37" s="39" t="inlineStr">
        <is>
          <t>Cumplimiento de las políticas, normas y estándares de seguridad</t>
        </is>
      </c>
      <c r="C37" s="39" t="inlineStr">
        <is>
          <t>#Preventivo</t>
        </is>
      </c>
      <c r="D37" s="39" t="inlineStr">
        <is>
          <t>#Confidencialidad, #Integridad, #Disponibilidad</t>
        </is>
      </c>
      <c r="E37" s="39" t="inlineStr">
        <is>
          <t>#Identificar</t>
        </is>
      </c>
      <c r="F37" s="38" t="inlineStr">
        <is>
          <t>#Gobernanza</t>
        </is>
      </c>
      <c r="G37" s="39" t="inlineStr">
        <is>
          <t>#Gobernanza_y_Ecosistema</t>
        </is>
      </c>
      <c r="H37" s="39" t="inlineStr">
        <is>
          <t>Obligatorio SEPS (Régimen General)</t>
        </is>
      </c>
      <c r="I37" s="39" t="inlineStr">
        <is>
          <t>-</t>
        </is>
      </c>
      <c r="J37" s="39" t="inlineStr">
        <is>
          <t>1. Regulatorio SEPS 002-2022 + ISO 27001</t>
        </is>
      </c>
      <c r="K37" s="39" t="inlineStr">
        <is>
          <t>Aplica</t>
        </is>
      </c>
      <c r="L37" s="39" t="inlineStr">
        <is>
          <t>Requerido por ente regulador SEPS</t>
        </is>
      </c>
    </row>
    <row r="38" ht="36" customHeight="1" s="103">
      <c r="A38" s="38" t="inlineStr">
        <is>
          <t>5.37</t>
        </is>
      </c>
      <c r="B38" s="39" t="inlineStr">
        <is>
          <t>Procedimientos operativos documentados</t>
        </is>
      </c>
      <c r="C38" s="39" t="inlineStr">
        <is>
          <t>#Preventivo</t>
        </is>
      </c>
      <c r="D38" s="39" t="inlineStr">
        <is>
          <t>#Confidencialidad, #Integridad, #Disponibilidad</t>
        </is>
      </c>
      <c r="E38" s="39" t="inlineStr">
        <is>
          <t>#Proteger</t>
        </is>
      </c>
      <c r="F38" s="38" t="inlineStr">
        <is>
          <t>#Gobernanza</t>
        </is>
      </c>
      <c r="G38" s="39" t="inlineStr">
        <is>
          <t>#Gobernanza_y_Ecosistema</t>
        </is>
      </c>
      <c r="H38" s="39" t="inlineStr">
        <is>
          <t>Obligatorio SEPS (Régimen General)</t>
        </is>
      </c>
      <c r="I38" s="39" t="inlineStr">
        <is>
          <t>-</t>
        </is>
      </c>
      <c r="J38" s="39" t="inlineStr">
        <is>
          <t>1. Regulatorio SEPS 002-2022 + ISO 27001</t>
        </is>
      </c>
      <c r="K38" s="39" t="inlineStr">
        <is>
          <t>Aplica</t>
        </is>
      </c>
      <c r="L38" s="39" t="inlineStr">
        <is>
          <t>Requerido por ente regulador SEPS</t>
        </is>
      </c>
    </row>
    <row r="39" ht="36" customHeight="1" s="103">
      <c r="A39" s="38" t="inlineStr">
        <is>
          <t>6.1</t>
        </is>
      </c>
      <c r="B39" s="39" t="inlineStr">
        <is>
          <t>Investigación de antecedentes</t>
        </is>
      </c>
      <c r="C39" s="39" t="inlineStr">
        <is>
          <t>#Preventivo</t>
        </is>
      </c>
      <c r="D39" s="39" t="inlineStr">
        <is>
          <t>#Confidencialidad, #Integridad, #Disponibilidad</t>
        </is>
      </c>
      <c r="E39" s="39" t="inlineStr">
        <is>
          <t>#Proteger</t>
        </is>
      </c>
      <c r="F39" s="38" t="inlineStr">
        <is>
          <t>#Seguridad_de_recursos_humanos</t>
        </is>
      </c>
      <c r="G39" s="39" t="inlineStr">
        <is>
          <t>#Proteccion</t>
        </is>
      </c>
      <c r="H39" s="39" t="inlineStr">
        <is>
          <t>Obligatorio SEPS (Régimen General)</t>
        </is>
      </c>
      <c r="I39" s="39" t="inlineStr">
        <is>
          <t>-</t>
        </is>
      </c>
      <c r="J39" s="39" t="inlineStr">
        <is>
          <t>1. Regulatorio SEPS 002-2022 + ISO 27001</t>
        </is>
      </c>
      <c r="K39" s="39" t="inlineStr">
        <is>
          <t>Aplica</t>
        </is>
      </c>
      <c r="L39" s="39" t="inlineStr">
        <is>
          <t>Requerido por ente regulador SEPS</t>
        </is>
      </c>
    </row>
    <row r="40" ht="36" customHeight="1" s="103">
      <c r="A40" s="38" t="inlineStr">
        <is>
          <t>6.2</t>
        </is>
      </c>
      <c r="B40" s="39" t="inlineStr">
        <is>
          <t>Términos y condiciones de empleo</t>
        </is>
      </c>
      <c r="C40" s="39" t="inlineStr">
        <is>
          <t>#Preventivo</t>
        </is>
      </c>
      <c r="D40" s="39" t="inlineStr">
        <is>
          <t>#Confidencialidad, #Integridad, #Disponibilidad</t>
        </is>
      </c>
      <c r="E40" s="39" t="inlineStr">
        <is>
          <t>#Proteger</t>
        </is>
      </c>
      <c r="F40" s="38" t="inlineStr">
        <is>
          <t>#Seguridad_de_recursos_humanos</t>
        </is>
      </c>
      <c r="G40" s="39" t="inlineStr">
        <is>
          <t>#Proteccion</t>
        </is>
      </c>
      <c r="H40" s="39" t="inlineStr">
        <is>
          <t>Obligatorio SEPS (Régimen General)</t>
        </is>
      </c>
      <c r="I40" s="39" t="inlineStr">
        <is>
          <t>-</t>
        </is>
      </c>
      <c r="J40" s="39" t="inlineStr">
        <is>
          <t>1. Regulatorio SEPS 002-2022 + ISO 27001</t>
        </is>
      </c>
      <c r="K40" s="39" t="inlineStr">
        <is>
          <t>Aplica</t>
        </is>
      </c>
      <c r="L40" s="39" t="inlineStr">
        <is>
          <t>Requerido por ente regulador SEPS</t>
        </is>
      </c>
    </row>
    <row r="41" ht="36" customHeight="1" s="103">
      <c r="A41" s="38" t="inlineStr">
        <is>
          <t>6.3</t>
        </is>
      </c>
      <c r="B41" s="39" t="inlineStr">
        <is>
          <t>Concienciación, educación y capacitación</t>
        </is>
      </c>
      <c r="C41" s="39" t="inlineStr">
        <is>
          <t>#Preventivo</t>
        </is>
      </c>
      <c r="D41" s="39" t="inlineStr">
        <is>
          <t>#Confidencialidad, #Integridad, #Disponibilidad</t>
        </is>
      </c>
      <c r="E41" s="39" t="inlineStr">
        <is>
          <t>#Proteger</t>
        </is>
      </c>
      <c r="F41" s="38" t="inlineStr">
        <is>
          <t>#Seguridad_de_recursos_humanos</t>
        </is>
      </c>
      <c r="G41" s="39" t="inlineStr">
        <is>
          <t>#Proteccion</t>
        </is>
      </c>
      <c r="H41" s="39" t="inlineStr">
        <is>
          <t>Obligatorio SEPS (Régimen General)</t>
        </is>
      </c>
      <c r="I41" s="39" t="inlineStr">
        <is>
          <t>C5: Programas de concienciación y capacitación</t>
        </is>
      </c>
      <c r="J41" s="39" t="inlineStr">
        <is>
          <t>2. Metodología Interna GSO-GSI + ISO 27001</t>
        </is>
      </c>
      <c r="K41" s="39" t="inlineStr">
        <is>
          <t>Aplica</t>
        </is>
      </c>
      <c r="L41" s="39" t="inlineStr">
        <is>
          <t>Requisito interno GSO-GSI</t>
        </is>
      </c>
    </row>
    <row r="42" ht="36" customHeight="1" s="103">
      <c r="A42" s="38" t="inlineStr">
        <is>
          <t>6.4</t>
        </is>
      </c>
      <c r="B42" s="39" t="inlineStr">
        <is>
          <t>Proceso disciplinario</t>
        </is>
      </c>
      <c r="C42" s="39" t="inlineStr">
        <is>
          <t>#Correctivo, #Preventivo</t>
        </is>
      </c>
      <c r="D42" s="39" t="inlineStr">
        <is>
          <t>#Confidencialidad, #Integridad, #Disponibilidad</t>
        </is>
      </c>
      <c r="E42" s="39" t="inlineStr">
        <is>
          <t>#Responder</t>
        </is>
      </c>
      <c r="F42" s="38" t="inlineStr">
        <is>
          <t>#Seguridad_de_recursos_humanos</t>
        </is>
      </c>
      <c r="G42" s="39" t="inlineStr">
        <is>
          <t>#Defensa</t>
        </is>
      </c>
      <c r="H42" s="39" t="inlineStr">
        <is>
          <t>Obligatorio SEPS (Régimen General)</t>
        </is>
      </c>
      <c r="I42" s="39" t="inlineStr">
        <is>
          <t>-</t>
        </is>
      </c>
      <c r="J42" s="39" t="inlineStr">
        <is>
          <t>1. Regulatorio SEPS 002-2022 + ISO 27001</t>
        </is>
      </c>
      <c r="K42" s="39" t="inlineStr">
        <is>
          <t>Aplica</t>
        </is>
      </c>
      <c r="L42" s="39" t="inlineStr">
        <is>
          <t>Requerido por ente regulador SEPS</t>
        </is>
      </c>
    </row>
    <row r="43" ht="48" customHeight="1" s="103">
      <c r="A43" s="38" t="inlineStr">
        <is>
          <t>6.5</t>
        </is>
      </c>
      <c r="B43" s="39" t="inlineStr">
        <is>
          <t>Responsabilidades después de la terminación o cambio de empleo</t>
        </is>
      </c>
      <c r="C43" s="39" t="inlineStr">
        <is>
          <t>#Preventivo</t>
        </is>
      </c>
      <c r="D43" s="39" t="inlineStr">
        <is>
          <t>#Confidencialidad, #Integridad, #Disponibilidad</t>
        </is>
      </c>
      <c r="E43" s="39" t="inlineStr">
        <is>
          <t>#Proteger</t>
        </is>
      </c>
      <c r="F43" s="38" t="inlineStr">
        <is>
          <t>#Seguridad_de_recursos_humanos</t>
        </is>
      </c>
      <c r="G43" s="39" t="inlineStr">
        <is>
          <t>#Proteccion</t>
        </is>
      </c>
      <c r="H43" s="39" t="inlineStr">
        <is>
          <t>Obligatorio SEPS (Régimen General)</t>
        </is>
      </c>
      <c r="I43" s="39" t="inlineStr">
        <is>
          <t>-</t>
        </is>
      </c>
      <c r="J43" s="39" t="inlineStr">
        <is>
          <t>1. Regulatorio SEPS 002-2022 + ISO 27001</t>
        </is>
      </c>
      <c r="K43" s="39" t="inlineStr">
        <is>
          <t>Aplica</t>
        </is>
      </c>
      <c r="L43" s="39" t="inlineStr">
        <is>
          <t>Requerido por ente regulador SEPS</t>
        </is>
      </c>
    </row>
    <row r="44" ht="36" customHeight="1" s="103">
      <c r="A44" s="38" t="inlineStr">
        <is>
          <t>6.6</t>
        </is>
      </c>
      <c r="B44" s="39" t="inlineStr">
        <is>
          <t>Acuerdos de confidencialidad o no divulgación</t>
        </is>
      </c>
      <c r="C44" s="39" t="inlineStr">
        <is>
          <t>#Preventivo</t>
        </is>
      </c>
      <c r="D44" s="39" t="inlineStr">
        <is>
          <t>#Confidencialidad, #Integridad, #Disponibilidad</t>
        </is>
      </c>
      <c r="E44" s="39" t="inlineStr">
        <is>
          <t>#Proteger</t>
        </is>
      </c>
      <c r="F44" s="38" t="inlineStr">
        <is>
          <t>#Seguridad_de_recursos_humanos</t>
        </is>
      </c>
      <c r="G44" s="39" t="inlineStr">
        <is>
          <t>#Proteccion</t>
        </is>
      </c>
      <c r="H44" s="39" t="inlineStr">
        <is>
          <t>Obligatorio SEPS (Régimen General)</t>
        </is>
      </c>
      <c r="I44" s="39" t="inlineStr">
        <is>
          <t>C3: Acuerdos de confidencialidad</t>
        </is>
      </c>
      <c r="J44" s="39" t="inlineStr">
        <is>
          <t>2. Metodología Interna GSO-GSI + ISO 27001</t>
        </is>
      </c>
      <c r="K44" s="39" t="inlineStr">
        <is>
          <t>Aplica</t>
        </is>
      </c>
      <c r="L44" s="39" t="inlineStr">
        <is>
          <t>Requisito interno GSO-GSI</t>
        </is>
      </c>
    </row>
    <row r="45" ht="48" customHeight="1" s="103">
      <c r="A45" s="38" t="inlineStr">
        <is>
          <t>6.7</t>
        </is>
      </c>
      <c r="B45" s="39" t="inlineStr">
        <is>
          <t>Trabajo a distancia</t>
        </is>
      </c>
      <c r="C45" s="39" t="inlineStr">
        <is>
          <t>#Preventivo</t>
        </is>
      </c>
      <c r="D45" s="39" t="inlineStr">
        <is>
          <t>#Confidencialidad, #Integridad, #Disponibilidad</t>
        </is>
      </c>
      <c r="E45" s="39" t="inlineStr">
        <is>
          <t>#Proteger</t>
        </is>
      </c>
      <c r="F45" s="38" t="inlineStr">
        <is>
          <t>#Seguridad_de_recursos_humanos</t>
        </is>
      </c>
      <c r="G45" s="39" t="inlineStr">
        <is>
          <t>#Proteccion</t>
        </is>
      </c>
      <c r="H45" s="39" t="inlineStr">
        <is>
          <t>Obligatorio SEPS (Régimen General)</t>
        </is>
      </c>
      <c r="I45" s="39" t="inlineStr">
        <is>
          <t>-</t>
        </is>
      </c>
      <c r="J45" s="39" t="inlineStr">
        <is>
          <t>4. No Aplica</t>
        </is>
      </c>
      <c r="K45" s="39" t="inlineStr">
        <is>
          <t>No Aplica</t>
        </is>
      </c>
      <c r="L45" s="39" t="inlineStr">
        <is>
          <t>Control 6.7 no es pertinente a los procesos actuales de la entidad</t>
        </is>
      </c>
    </row>
    <row r="46" ht="36" customHeight="1" s="103">
      <c r="A46" s="38" t="inlineStr">
        <is>
          <t>6.8</t>
        </is>
      </c>
      <c r="B46" s="39" t="inlineStr">
        <is>
          <t>Notificación de eventos de seguridad de la información</t>
        </is>
      </c>
      <c r="C46" s="39" t="inlineStr">
        <is>
          <t>#Preventivo, #Detectivo</t>
        </is>
      </c>
      <c r="D46" s="39" t="inlineStr">
        <is>
          <t>#Confidencialidad, #Integridad, #Disponibilidad</t>
        </is>
      </c>
      <c r="E46" s="39" t="inlineStr">
        <is>
          <t>#Detectar</t>
        </is>
      </c>
      <c r="F46" s="38" t="inlineStr">
        <is>
          <t>#Seguridad_de_recursos_humanos</t>
        </is>
      </c>
      <c r="G46" s="39" t="inlineStr">
        <is>
          <t>#Defensa</t>
        </is>
      </c>
      <c r="H46" s="39" t="inlineStr">
        <is>
          <t>Obligatorio SEPS (Régimen General)</t>
        </is>
      </c>
      <c r="I46" s="39" t="inlineStr">
        <is>
          <t>-</t>
        </is>
      </c>
      <c r="J46" s="39" t="inlineStr">
        <is>
          <t>1. Regulatorio SEPS 002-2022 + ISO 27001</t>
        </is>
      </c>
      <c r="K46" s="39" t="inlineStr">
        <is>
          <t>Aplica</t>
        </is>
      </c>
      <c r="L46" s="39" t="inlineStr">
        <is>
          <t>Requerido por ente regulador SEPS</t>
        </is>
      </c>
    </row>
    <row r="47" ht="36" customHeight="1" s="103">
      <c r="A47" s="38" t="inlineStr">
        <is>
          <t>7.1</t>
        </is>
      </c>
      <c r="B47" s="39" t="inlineStr">
        <is>
          <t>Perímetros de seguridad física</t>
        </is>
      </c>
      <c r="C47" s="39" t="inlineStr">
        <is>
          <t>#Preventivo</t>
        </is>
      </c>
      <c r="D47" s="39" t="inlineStr">
        <is>
          <t>#Confidencialidad, #Integridad, #Disponibilidad</t>
        </is>
      </c>
      <c r="E47" s="39" t="inlineStr">
        <is>
          <t>#Proteger</t>
        </is>
      </c>
      <c r="F47" s="38" t="inlineStr">
        <is>
          <t>#Seguridad_física</t>
        </is>
      </c>
      <c r="G47" s="39" t="inlineStr">
        <is>
          <t>#Proteccion</t>
        </is>
      </c>
      <c r="H47" s="39" t="inlineStr">
        <is>
          <t>Obligatorio SEPS (Régimen General)</t>
        </is>
      </c>
      <c r="I47" s="39" t="inlineStr">
        <is>
          <t>-</t>
        </is>
      </c>
      <c r="J47" s="39" t="inlineStr">
        <is>
          <t>1. Regulatorio SEPS 002-2022 + ISO 27001</t>
        </is>
      </c>
      <c r="K47" s="39" t="inlineStr">
        <is>
          <t>Aplica</t>
        </is>
      </c>
      <c r="L47" s="39" t="inlineStr">
        <is>
          <t>Requerido por ente regulador SEPS</t>
        </is>
      </c>
    </row>
    <row r="48" ht="36" customHeight="1" s="103">
      <c r="A48" s="38" t="inlineStr">
        <is>
          <t>7.2</t>
        </is>
      </c>
      <c r="B48" s="39" t="inlineStr">
        <is>
          <t>Controles de entrada física</t>
        </is>
      </c>
      <c r="C48" s="39" t="inlineStr">
        <is>
          <t>#Preventivo</t>
        </is>
      </c>
      <c r="D48" s="39" t="inlineStr">
        <is>
          <t>#Confidencialidad, #Integridad, #Disponibilidad</t>
        </is>
      </c>
      <c r="E48" s="39" t="inlineStr">
        <is>
          <t>#Proteger</t>
        </is>
      </c>
      <c r="F48" s="38" t="inlineStr">
        <is>
          <t>#Seguridad_física</t>
        </is>
      </c>
      <c r="G48" s="39" t="inlineStr">
        <is>
          <t>#Proteccion</t>
        </is>
      </c>
      <c r="H48" s="39" t="inlineStr">
        <is>
          <t>Obligatorio SEPS (Régimen General)</t>
        </is>
      </c>
      <c r="I48" s="39" t="inlineStr">
        <is>
          <t>-</t>
        </is>
      </c>
      <c r="J48" s="39" t="inlineStr">
        <is>
          <t>1. Regulatorio SEPS 002-2022 + ISO 27001</t>
        </is>
      </c>
      <c r="K48" s="39" t="inlineStr">
        <is>
          <t>Aplica</t>
        </is>
      </c>
      <c r="L48" s="39" t="inlineStr">
        <is>
          <t>Requerido por ente regulador SEPS</t>
        </is>
      </c>
    </row>
    <row r="49" ht="36" customHeight="1" s="103">
      <c r="A49" s="38" t="inlineStr">
        <is>
          <t>7.3</t>
        </is>
      </c>
      <c r="B49" s="39" t="inlineStr">
        <is>
          <t>Seguridad de oficinas, despachos e instalaciones</t>
        </is>
      </c>
      <c r="C49" s="39" t="inlineStr">
        <is>
          <t>#Preventivo</t>
        </is>
      </c>
      <c r="D49" s="39" t="inlineStr">
        <is>
          <t>#Confidencialidad, #Integridad, #Disponibilidad</t>
        </is>
      </c>
      <c r="E49" s="39" t="inlineStr">
        <is>
          <t>#Proteger</t>
        </is>
      </c>
      <c r="F49" s="38" t="inlineStr">
        <is>
          <t>#Seguridad_física</t>
        </is>
      </c>
      <c r="G49" s="39" t="inlineStr">
        <is>
          <t>#Proteccion</t>
        </is>
      </c>
      <c r="H49" s="39" t="inlineStr">
        <is>
          <t>Obligatorio SEPS (Régimen General)</t>
        </is>
      </c>
      <c r="I49" s="39" t="inlineStr">
        <is>
          <t>-</t>
        </is>
      </c>
      <c r="J49" s="39" t="inlineStr">
        <is>
          <t>1. Regulatorio SEPS 002-2022 + ISO 27001</t>
        </is>
      </c>
      <c r="K49" s="39" t="inlineStr">
        <is>
          <t>Aplica</t>
        </is>
      </c>
      <c r="L49" s="39" t="inlineStr">
        <is>
          <t>Requerido por ente regulador SEPS</t>
        </is>
      </c>
    </row>
    <row r="50" ht="36" customHeight="1" s="103">
      <c r="A50" s="38" t="inlineStr">
        <is>
          <t>7.4</t>
        </is>
      </c>
      <c r="B50" s="39" t="inlineStr">
        <is>
          <t>Supervisión de la seguridad física</t>
        </is>
      </c>
      <c r="C50" s="39" t="inlineStr">
        <is>
          <t>#Detectivo</t>
        </is>
      </c>
      <c r="D50" s="39" t="inlineStr">
        <is>
          <t>#Confidencialidad, #Integridad, #Disponibilidad</t>
        </is>
      </c>
      <c r="E50" s="39" t="inlineStr">
        <is>
          <t>#Detectar</t>
        </is>
      </c>
      <c r="F50" s="38" t="inlineStr">
        <is>
          <t>#Seguridad_física</t>
        </is>
      </c>
      <c r="G50" s="39" t="inlineStr">
        <is>
          <t>#Proteccion</t>
        </is>
      </c>
      <c r="H50" s="39" t="inlineStr">
        <is>
          <t>Obligatorio SEPS (Régimen General)</t>
        </is>
      </c>
      <c r="I50" s="39" t="inlineStr">
        <is>
          <t>-</t>
        </is>
      </c>
      <c r="J50" s="39" t="inlineStr">
        <is>
          <t>1. Regulatorio SEPS 002-2022 + ISO 27001</t>
        </is>
      </c>
      <c r="K50" s="39" t="inlineStr">
        <is>
          <t>Aplica</t>
        </is>
      </c>
      <c r="L50" s="39" t="inlineStr">
        <is>
          <t>Requerido por ente regulador SEPS</t>
        </is>
      </c>
    </row>
    <row r="51" ht="36" customHeight="1" s="103">
      <c r="A51" s="38" t="inlineStr">
        <is>
          <t>7.5</t>
        </is>
      </c>
      <c r="B51" s="39" t="inlineStr">
        <is>
          <t>Protección contra amenazas físicas y ambientales</t>
        </is>
      </c>
      <c r="C51" s="39" t="inlineStr">
        <is>
          <t>#Preventivo</t>
        </is>
      </c>
      <c r="D51" s="39" t="inlineStr">
        <is>
          <t>#Confidencialidad, #Integridad, #Disponibilidad</t>
        </is>
      </c>
      <c r="E51" s="39" t="inlineStr">
        <is>
          <t>#Proteger</t>
        </is>
      </c>
      <c r="F51" s="38" t="inlineStr">
        <is>
          <t>#Seguridad_física</t>
        </is>
      </c>
      <c r="G51" s="39" t="inlineStr">
        <is>
          <t>#Resiliencia</t>
        </is>
      </c>
      <c r="H51" s="39" t="inlineStr">
        <is>
          <t>Obligatorio SEPS (Régimen General)</t>
        </is>
      </c>
      <c r="I51" s="39" t="inlineStr">
        <is>
          <t>-</t>
        </is>
      </c>
      <c r="J51" s="39" t="inlineStr">
        <is>
          <t>1. Regulatorio SEPS 002-2022 + ISO 27001</t>
        </is>
      </c>
      <c r="K51" s="39" t="inlineStr">
        <is>
          <t>Aplica</t>
        </is>
      </c>
      <c r="L51" s="39" t="inlineStr">
        <is>
          <t>Requerido por ente regulador SEPS</t>
        </is>
      </c>
    </row>
    <row r="52" ht="36" customHeight="1" s="103">
      <c r="A52" s="38" t="inlineStr">
        <is>
          <t>7.6</t>
        </is>
      </c>
      <c r="B52" s="39" t="inlineStr">
        <is>
          <t>Trabajo en áreas seguras</t>
        </is>
      </c>
      <c r="C52" s="39" t="inlineStr">
        <is>
          <t>#Preventivo</t>
        </is>
      </c>
      <c r="D52" s="39" t="inlineStr">
        <is>
          <t>#Confidencialidad, #Integridad, #Disponibilidad</t>
        </is>
      </c>
      <c r="E52" s="39" t="inlineStr">
        <is>
          <t>#Proteger</t>
        </is>
      </c>
      <c r="F52" s="38" t="inlineStr">
        <is>
          <t>#Seguridad_física</t>
        </is>
      </c>
      <c r="G52" s="39" t="inlineStr">
        <is>
          <t>#Proteccion</t>
        </is>
      </c>
      <c r="H52" s="39" t="inlineStr">
        <is>
          <t>Obligatorio SEPS (Régimen General)</t>
        </is>
      </c>
      <c r="I52" s="39" t="inlineStr">
        <is>
          <t>-</t>
        </is>
      </c>
      <c r="J52" s="39" t="inlineStr">
        <is>
          <t>1. Regulatorio SEPS 002-2022 + ISO 27001</t>
        </is>
      </c>
      <c r="K52" s="39" t="inlineStr">
        <is>
          <t>Aplica</t>
        </is>
      </c>
      <c r="L52" s="39" t="inlineStr">
        <is>
          <t>Requerido por ente regulador SEPS</t>
        </is>
      </c>
    </row>
    <row r="53" ht="36" customHeight="1" s="103">
      <c r="A53" s="38" t="inlineStr">
        <is>
          <t>7.7</t>
        </is>
      </c>
      <c r="B53" s="39" t="inlineStr">
        <is>
          <t>Política de escritorio despejado y pantalla despejada</t>
        </is>
      </c>
      <c r="C53" s="39" t="inlineStr">
        <is>
          <t>#Preventivo</t>
        </is>
      </c>
      <c r="D53" s="39" t="inlineStr">
        <is>
          <t>#Confidencialidad, #Integridad, #Disponibilidad</t>
        </is>
      </c>
      <c r="E53" s="39" t="inlineStr">
        <is>
          <t>#Proteger</t>
        </is>
      </c>
      <c r="F53" s="38" t="inlineStr">
        <is>
          <t>#Seguridad_física</t>
        </is>
      </c>
      <c r="G53" s="39" t="inlineStr">
        <is>
          <t>#Proteccion</t>
        </is>
      </c>
      <c r="H53" s="39" t="inlineStr">
        <is>
          <t>Obligatorio SEPS (Régimen General)</t>
        </is>
      </c>
      <c r="I53" s="39" t="inlineStr">
        <is>
          <t>-</t>
        </is>
      </c>
      <c r="J53" s="39" t="inlineStr">
        <is>
          <t>1. Regulatorio SEPS 002-2022 + ISO 27001</t>
        </is>
      </c>
      <c r="K53" s="39" t="inlineStr">
        <is>
          <t>Aplica</t>
        </is>
      </c>
      <c r="L53" s="39" t="inlineStr">
        <is>
          <t>Requerido por ente regulador SEPS</t>
        </is>
      </c>
    </row>
    <row r="54" ht="36" customHeight="1" s="103">
      <c r="A54" s="38" t="inlineStr">
        <is>
          <t>7.8</t>
        </is>
      </c>
      <c r="B54" s="39" t="inlineStr">
        <is>
          <t>Emplazamiento y protección de equipos</t>
        </is>
      </c>
      <c r="C54" s="39" t="inlineStr">
        <is>
          <t>#Preventivo</t>
        </is>
      </c>
      <c r="D54" s="39" t="inlineStr">
        <is>
          <t>#Confidencialidad, #Integridad, #Disponibilidad</t>
        </is>
      </c>
      <c r="E54" s="39" t="inlineStr">
        <is>
          <t>#Proteger</t>
        </is>
      </c>
      <c r="F54" s="38" t="inlineStr">
        <is>
          <t>#Seguridad_física</t>
        </is>
      </c>
      <c r="G54" s="39" t="inlineStr">
        <is>
          <t>#Proteccion</t>
        </is>
      </c>
      <c r="H54" s="39" t="inlineStr">
        <is>
          <t>Obligatorio SEPS (Régimen General)</t>
        </is>
      </c>
      <c r="I54" s="39" t="inlineStr">
        <is>
          <t>-</t>
        </is>
      </c>
      <c r="J54" s="39" t="inlineStr">
        <is>
          <t>1. Regulatorio SEPS 002-2022 + ISO 27001</t>
        </is>
      </c>
      <c r="K54" s="39" t="inlineStr">
        <is>
          <t>Aplica</t>
        </is>
      </c>
      <c r="L54" s="39" t="inlineStr">
        <is>
          <t>Requerido por ente regulador SEPS</t>
        </is>
      </c>
    </row>
    <row r="55" ht="36" customHeight="1" s="103">
      <c r="A55" s="38" t="inlineStr">
        <is>
          <t>7.9</t>
        </is>
      </c>
      <c r="B55" s="39" t="inlineStr">
        <is>
          <t>Seguridad de los activos fuera de las instalaciones</t>
        </is>
      </c>
      <c r="C55" s="39" t="inlineStr">
        <is>
          <t>#Preventivo</t>
        </is>
      </c>
      <c r="D55" s="39" t="inlineStr">
        <is>
          <t>#Confidencialidad, #Integridad, #Disponibilidad</t>
        </is>
      </c>
      <c r="E55" s="39" t="inlineStr">
        <is>
          <t>#Proteger</t>
        </is>
      </c>
      <c r="F55" s="38" t="inlineStr">
        <is>
          <t>#Gestión_de_activos</t>
        </is>
      </c>
      <c r="G55" s="39" t="inlineStr">
        <is>
          <t>#Proteccion</t>
        </is>
      </c>
      <c r="H55" s="39" t="inlineStr">
        <is>
          <t>Obligatorio SEPS (Régimen General)</t>
        </is>
      </c>
      <c r="I55" s="39" t="inlineStr">
        <is>
          <t>-</t>
        </is>
      </c>
      <c r="J55" s="39" t="inlineStr">
        <is>
          <t>1. Regulatorio SEPS 002-2022 + ISO 27001</t>
        </is>
      </c>
      <c r="K55" s="39" t="inlineStr">
        <is>
          <t>Aplica</t>
        </is>
      </c>
      <c r="L55" s="39" t="inlineStr">
        <is>
          <t>Requerido por ente regulador SEPS</t>
        </is>
      </c>
    </row>
    <row r="56" ht="36" customHeight="1" s="103">
      <c r="A56" s="38" t="inlineStr">
        <is>
          <t>7.10</t>
        </is>
      </c>
      <c r="B56" s="39" t="inlineStr">
        <is>
          <t>Soportes de almacenamiento</t>
        </is>
      </c>
      <c r="C56" s="39" t="inlineStr">
        <is>
          <t>#Preventivo</t>
        </is>
      </c>
      <c r="D56" s="39" t="inlineStr">
        <is>
          <t>#Confidencialidad, #Integridad, #Disponibilidad</t>
        </is>
      </c>
      <c r="E56" s="39" t="inlineStr">
        <is>
          <t>#Proteger</t>
        </is>
      </c>
      <c r="F56" s="38" t="inlineStr">
        <is>
          <t>#Gestión_de_activos</t>
        </is>
      </c>
      <c r="G56" s="39" t="inlineStr">
        <is>
          <t>#Proteccion</t>
        </is>
      </c>
      <c r="H56" s="39" t="inlineStr">
        <is>
          <t>Obligatorio SEPS (Régimen General)</t>
        </is>
      </c>
      <c r="I56" s="39" t="inlineStr">
        <is>
          <t>-</t>
        </is>
      </c>
      <c r="J56" s="39" t="inlineStr">
        <is>
          <t>1. Regulatorio SEPS 002-2022 + ISO 27001</t>
        </is>
      </c>
      <c r="K56" s="39" t="inlineStr">
        <is>
          <t>Aplica</t>
        </is>
      </c>
      <c r="L56" s="39" t="inlineStr">
        <is>
          <t>Requerido por ente regulador SEPS</t>
        </is>
      </c>
    </row>
    <row r="57" ht="36" customHeight="1" s="103">
      <c r="A57" s="38" t="inlineStr">
        <is>
          <t>7.11</t>
        </is>
      </c>
      <c r="B57" s="39" t="inlineStr">
        <is>
          <t>Servicios públicos</t>
        </is>
      </c>
      <c r="C57" s="39" t="inlineStr">
        <is>
          <t>#Preventivo</t>
        </is>
      </c>
      <c r="D57" s="39" t="inlineStr">
        <is>
          <t>#Confidencialidad, #Integridad, #Disponibilidad</t>
        </is>
      </c>
      <c r="E57" s="39" t="inlineStr">
        <is>
          <t>#Proteger</t>
        </is>
      </c>
      <c r="F57" s="38" t="inlineStr">
        <is>
          <t>#Seguridad_física</t>
        </is>
      </c>
      <c r="G57" s="39" t="inlineStr">
        <is>
          <t>#Resiliencia</t>
        </is>
      </c>
      <c r="H57" s="39" t="inlineStr">
        <is>
          <t>Obligatorio SEPS (Régimen General)</t>
        </is>
      </c>
      <c r="I57" s="39" t="inlineStr">
        <is>
          <t>-</t>
        </is>
      </c>
      <c r="J57" s="39" t="inlineStr">
        <is>
          <t>1. Regulatorio SEPS 002-2022 + ISO 27001</t>
        </is>
      </c>
      <c r="K57" s="39" t="inlineStr">
        <is>
          <t>Aplica</t>
        </is>
      </c>
      <c r="L57" s="39" t="inlineStr">
        <is>
          <t>Requerido por ente regulador SEPS</t>
        </is>
      </c>
    </row>
    <row r="58" ht="36" customHeight="1" s="103">
      <c r="A58" s="38" t="inlineStr">
        <is>
          <t>7.12</t>
        </is>
      </c>
      <c r="B58" s="39" t="inlineStr">
        <is>
          <t>Seguridad del cableado</t>
        </is>
      </c>
      <c r="C58" s="39" t="inlineStr">
        <is>
          <t>#Preventivo</t>
        </is>
      </c>
      <c r="D58" s="39" t="inlineStr">
        <is>
          <t>#Confidencialidad, #Integridad, #Disponibilidad</t>
        </is>
      </c>
      <c r="E58" s="39" t="inlineStr">
        <is>
          <t>#Proteger</t>
        </is>
      </c>
      <c r="F58" s="38" t="inlineStr">
        <is>
          <t>#Seguridad_física</t>
        </is>
      </c>
      <c r="G58" s="39" t="inlineStr">
        <is>
          <t>#Proteccion</t>
        </is>
      </c>
      <c r="H58" s="39" t="inlineStr">
        <is>
          <t>Obligatorio SEPS (Régimen General)</t>
        </is>
      </c>
      <c r="I58" s="39" t="inlineStr">
        <is>
          <t>-</t>
        </is>
      </c>
      <c r="J58" s="39" t="inlineStr">
        <is>
          <t>1. Regulatorio SEPS 002-2022 + ISO 27001</t>
        </is>
      </c>
      <c r="K58" s="39" t="inlineStr">
        <is>
          <t>Aplica</t>
        </is>
      </c>
      <c r="L58" s="39" t="inlineStr">
        <is>
          <t>Requerido por ente regulador SEPS</t>
        </is>
      </c>
    </row>
    <row r="59" ht="36" customHeight="1" s="103">
      <c r="A59" s="38" t="inlineStr">
        <is>
          <t>7.13</t>
        </is>
      </c>
      <c r="B59" s="39" t="inlineStr">
        <is>
          <t>Mantenimiento de equipos</t>
        </is>
      </c>
      <c r="C59" s="39" t="inlineStr">
        <is>
          <t>#Preventivo</t>
        </is>
      </c>
      <c r="D59" s="39" t="inlineStr">
        <is>
          <t>#Confidencialidad, #Integridad, #Disponibilidad</t>
        </is>
      </c>
      <c r="E59" s="39" t="inlineStr">
        <is>
          <t>#Proteger</t>
        </is>
      </c>
      <c r="F59" s="38" t="inlineStr">
        <is>
          <t>#Seguridad_física</t>
        </is>
      </c>
      <c r="G59" s="39" t="inlineStr">
        <is>
          <t>#Proteccion</t>
        </is>
      </c>
      <c r="H59" s="39" t="inlineStr">
        <is>
          <t>Obligatorio SEPS (Régimen General)</t>
        </is>
      </c>
      <c r="I59" s="39" t="inlineStr">
        <is>
          <t>C11: Mantenimiento periódico de activos físicos</t>
        </is>
      </c>
      <c r="J59" s="39" t="inlineStr">
        <is>
          <t>2. Metodología Interna GSO-GSI + ISO 27001</t>
        </is>
      </c>
      <c r="K59" s="39" t="inlineStr">
        <is>
          <t>Aplica</t>
        </is>
      </c>
      <c r="L59" s="39" t="inlineStr">
        <is>
          <t>Requisito interno GSO-GSI</t>
        </is>
      </c>
    </row>
    <row r="60" ht="36" customHeight="1" s="103">
      <c r="A60" s="38" t="inlineStr">
        <is>
          <t>7.14</t>
        </is>
      </c>
      <c r="B60" s="39" t="inlineStr">
        <is>
          <t>Eliminación segura o reutilización de equipos</t>
        </is>
      </c>
      <c r="C60" s="39" t="inlineStr">
        <is>
          <t>#Preventivo</t>
        </is>
      </c>
      <c r="D60" s="39" t="inlineStr">
        <is>
          <t>#Confidencialidad, #Integridad, #Disponibilidad</t>
        </is>
      </c>
      <c r="E60" s="39" t="inlineStr">
        <is>
          <t>#Proteger</t>
        </is>
      </c>
      <c r="F60" s="38" t="inlineStr">
        <is>
          <t>#Seguridad_física</t>
        </is>
      </c>
      <c r="G60" s="39" t="inlineStr">
        <is>
          <t>#Proteccion</t>
        </is>
      </c>
      <c r="H60" s="39" t="inlineStr">
        <is>
          <t>Obligatorio SEPS (Régimen General)</t>
        </is>
      </c>
      <c r="I60" s="39" t="inlineStr">
        <is>
          <t>-</t>
        </is>
      </c>
      <c r="J60" s="39" t="inlineStr">
        <is>
          <t>1. Regulatorio SEPS 002-2022 + ISO 27001</t>
        </is>
      </c>
      <c r="K60" s="39" t="inlineStr">
        <is>
          <t>Aplica</t>
        </is>
      </c>
      <c r="L60" s="39" t="inlineStr">
        <is>
          <t>Requerido por ente regulador SEPS</t>
        </is>
      </c>
    </row>
    <row r="61" ht="36" customHeight="1" s="103">
      <c r="A61" s="38" t="inlineStr">
        <is>
          <t>8.1</t>
        </is>
      </c>
      <c r="B61" s="39" t="inlineStr">
        <is>
          <t>Dispositivos de punto final de usuario</t>
        </is>
      </c>
      <c r="C61" s="39" t="inlineStr">
        <is>
          <t>#Preventivo</t>
        </is>
      </c>
      <c r="D61" s="39" t="inlineStr">
        <is>
          <t>#Confidencialidad, #Integridad, #Disponibilidad</t>
        </is>
      </c>
      <c r="E61" s="39" t="inlineStr">
        <is>
          <t>#Proteger</t>
        </is>
      </c>
      <c r="F61" s="38" t="inlineStr">
        <is>
          <t>#Gestión_de_activos</t>
        </is>
      </c>
      <c r="G61" s="39" t="inlineStr">
        <is>
          <t>#Proteccion</t>
        </is>
      </c>
      <c r="H61" s="39" t="inlineStr">
        <is>
          <t>Obligatorio SEPS (Régimen General)</t>
        </is>
      </c>
      <c r="I61" s="39" t="inlineStr">
        <is>
          <t>-</t>
        </is>
      </c>
      <c r="J61" s="39" t="inlineStr">
        <is>
          <t>1. Regulatorio SEPS 002-2022 + ISO 27001</t>
        </is>
      </c>
      <c r="K61" s="39" t="inlineStr">
        <is>
          <t>Aplica</t>
        </is>
      </c>
      <c r="L61" s="39" t="inlineStr">
        <is>
          <t>Requerido por ente regulador SEPS</t>
        </is>
      </c>
    </row>
    <row r="62" ht="36" customHeight="1" s="103">
      <c r="A62" s="38" t="inlineStr">
        <is>
          <t>8.2</t>
        </is>
      </c>
      <c r="B62" s="39" t="inlineStr">
        <is>
          <t>Derechos de acceso privilegiado</t>
        </is>
      </c>
      <c r="C62" s="39" t="inlineStr">
        <is>
          <t>#Preventivo</t>
        </is>
      </c>
      <c r="D62" s="39" t="inlineStr">
        <is>
          <t>#Confidencialidad, #Integridad, #Disponibilidad</t>
        </is>
      </c>
      <c r="E62" s="39" t="inlineStr">
        <is>
          <t>#Proteger</t>
        </is>
      </c>
      <c r="F62" s="38" t="inlineStr">
        <is>
          <t>#Administración_de_identidad_y_acceso</t>
        </is>
      </c>
      <c r="G62" s="39" t="inlineStr">
        <is>
          <t>#Proteccion</t>
        </is>
      </c>
      <c r="H62" s="39" t="inlineStr">
        <is>
          <t>Obligatorio SEPS (Régimen General)</t>
        </is>
      </c>
      <c r="I62" s="39" t="inlineStr">
        <is>
          <t>C9: Principio de mínimos privilegios</t>
        </is>
      </c>
      <c r="J62" s="39" t="inlineStr">
        <is>
          <t>2. Metodología Interna GSO-GSI + ISO 27001</t>
        </is>
      </c>
      <c r="K62" s="39" t="inlineStr">
        <is>
          <t>Aplica</t>
        </is>
      </c>
      <c r="L62" s="39" t="inlineStr">
        <is>
          <t>Requisito interno GSO-GSI</t>
        </is>
      </c>
    </row>
    <row r="63" ht="36" customHeight="1" s="103">
      <c r="A63" s="38" t="inlineStr">
        <is>
          <t>8.3</t>
        </is>
      </c>
      <c r="B63" s="39" t="inlineStr">
        <is>
          <t>Restricción del acceso a la información</t>
        </is>
      </c>
      <c r="C63" s="39" t="inlineStr">
        <is>
          <t>#Preventivo</t>
        </is>
      </c>
      <c r="D63" s="39" t="inlineStr">
        <is>
          <t>#Confidencialidad, #Integridad, #Disponibilidad</t>
        </is>
      </c>
      <c r="E63" s="39" t="inlineStr">
        <is>
          <t>#Proteger</t>
        </is>
      </c>
      <c r="F63" s="38" t="inlineStr">
        <is>
          <t>#Administración_de_identidad_y_acceso</t>
        </is>
      </c>
      <c r="G63" s="39" t="inlineStr">
        <is>
          <t>#Proteccion</t>
        </is>
      </c>
      <c r="H63" s="39" t="inlineStr">
        <is>
          <t>Obligatorio SEPS (Régimen General)</t>
        </is>
      </c>
      <c r="I63" s="39" t="inlineStr">
        <is>
          <t>C4: Restricción del control de acceso</t>
        </is>
      </c>
      <c r="J63" s="39" t="inlineStr">
        <is>
          <t>2. Metodología Interna GSO-GSI + ISO 27001</t>
        </is>
      </c>
      <c r="K63" s="39" t="inlineStr">
        <is>
          <t>Aplica</t>
        </is>
      </c>
      <c r="L63" s="39" t="inlineStr">
        <is>
          <t>Requisito interno GSO-GSI</t>
        </is>
      </c>
    </row>
    <row r="64" ht="36" customHeight="1" s="103">
      <c r="A64" s="38" t="inlineStr">
        <is>
          <t>8.4</t>
        </is>
      </c>
      <c r="B64" s="39" t="inlineStr">
        <is>
          <t>Acceso al código fuente</t>
        </is>
      </c>
      <c r="C64" s="39" t="inlineStr">
        <is>
          <t>#Preventivo</t>
        </is>
      </c>
      <c r="D64" s="39" t="inlineStr">
        <is>
          <t>#Confidencialidad, #Integridad, #Disponibilidad</t>
        </is>
      </c>
      <c r="E64" s="39" t="inlineStr">
        <is>
          <t>#Proteger</t>
        </is>
      </c>
      <c r="F64" s="38" t="inlineStr">
        <is>
          <t>#Seguridad_de_aplicaciones</t>
        </is>
      </c>
      <c r="G64" s="39" t="inlineStr">
        <is>
          <t>#Proteccion</t>
        </is>
      </c>
      <c r="H64" s="39" t="inlineStr">
        <is>
          <t>Obligatorio SEPS (Régimen General)</t>
        </is>
      </c>
      <c r="I64" s="39" t="inlineStr">
        <is>
          <t>-</t>
        </is>
      </c>
      <c r="J64" s="39" t="inlineStr">
        <is>
          <t>1. Regulatorio SEPS 002-2022 + ISO 27001</t>
        </is>
      </c>
      <c r="K64" s="39" t="inlineStr">
        <is>
          <t>Aplica</t>
        </is>
      </c>
      <c r="L64" s="39" t="inlineStr">
        <is>
          <t>Requerido por ente regulador SEPS</t>
        </is>
      </c>
    </row>
    <row r="65" ht="36" customHeight="1" s="103">
      <c r="A65" s="38" t="inlineStr">
        <is>
          <t>8.5</t>
        </is>
      </c>
      <c r="B65" s="39" t="inlineStr">
        <is>
          <t>Autenticación segura</t>
        </is>
      </c>
      <c r="C65" s="39" t="inlineStr">
        <is>
          <t>#Preventivo</t>
        </is>
      </c>
      <c r="D65" s="39" t="inlineStr">
        <is>
          <t>#Confidencialidad, #Integridad, #Disponibilidad</t>
        </is>
      </c>
      <c r="E65" s="39" t="inlineStr">
        <is>
          <t>#Proteger</t>
        </is>
      </c>
      <c r="F65" s="38" t="inlineStr">
        <is>
          <t>#Administración_de_identidad_y_acceso</t>
        </is>
      </c>
      <c r="G65" s="39" t="inlineStr">
        <is>
          <t>#Proteccion</t>
        </is>
      </c>
      <c r="H65" s="39" t="inlineStr">
        <is>
          <t>Obligatorio SEPS (Régimen General)</t>
        </is>
      </c>
      <c r="I65" s="39" t="inlineStr">
        <is>
          <t>-</t>
        </is>
      </c>
      <c r="J65" s="39" t="inlineStr">
        <is>
          <t>1. Regulatorio SEPS 002-2022 + ISO 27001</t>
        </is>
      </c>
      <c r="K65" s="39" t="inlineStr">
        <is>
          <t>Aplica</t>
        </is>
      </c>
      <c r="L65" s="39" t="inlineStr">
        <is>
          <t>Requerido por ente regulador SEPS</t>
        </is>
      </c>
    </row>
    <row r="66" ht="36" customHeight="1" s="103">
      <c r="A66" s="38" t="inlineStr">
        <is>
          <t>8.6</t>
        </is>
      </c>
      <c r="B66" s="39" t="inlineStr">
        <is>
          <t>Gestión de capacidad</t>
        </is>
      </c>
      <c r="C66" s="39" t="inlineStr">
        <is>
          <t>#Preventivo</t>
        </is>
      </c>
      <c r="D66" s="39" t="inlineStr">
        <is>
          <t>#Confidencialidad, #Integridad, #Disponibilidad</t>
        </is>
      </c>
      <c r="E66" s="39" t="inlineStr">
        <is>
          <t>#Proteger</t>
        </is>
      </c>
      <c r="F66" s="38" t="inlineStr">
        <is>
          <t>#Seguridad_de_sistemas_y_redes</t>
        </is>
      </c>
      <c r="G66" s="39" t="inlineStr">
        <is>
          <t>#Resiliencia</t>
        </is>
      </c>
      <c r="H66" s="39" t="inlineStr">
        <is>
          <t>Obligatorio SEPS (Régimen General)</t>
        </is>
      </c>
      <c r="I66" s="39" t="inlineStr">
        <is>
          <t>-</t>
        </is>
      </c>
      <c r="J66" s="39" t="inlineStr">
        <is>
          <t>1. Regulatorio SEPS 002-2022 + ISO 27001</t>
        </is>
      </c>
      <c r="K66" s="39" t="inlineStr">
        <is>
          <t>Aplica</t>
        </is>
      </c>
      <c r="L66" s="39" t="inlineStr">
        <is>
          <t>Requerido por ente regulador SEPS</t>
        </is>
      </c>
    </row>
    <row r="67" ht="36" customHeight="1" s="103">
      <c r="A67" s="38" t="inlineStr">
        <is>
          <t>8.7</t>
        </is>
      </c>
      <c r="B67" s="39" t="inlineStr">
        <is>
          <t>Protección contra malware</t>
        </is>
      </c>
      <c r="C67" s="39" t="inlineStr">
        <is>
          <t>#Preventivo, #Detectivo, #Correctivo</t>
        </is>
      </c>
      <c r="D67" s="39" t="inlineStr">
        <is>
          <t>#Confidencialidad, #Integridad, #Disponibilidad</t>
        </is>
      </c>
      <c r="E67" s="39" t="inlineStr">
        <is>
          <t>#Proteger</t>
        </is>
      </c>
      <c r="F67" s="38" t="inlineStr">
        <is>
          <t>#Seguridad_de_sistemas_y_redes</t>
        </is>
      </c>
      <c r="G67" s="39" t="inlineStr">
        <is>
          <t>#Defensa</t>
        </is>
      </c>
      <c r="H67" s="39" t="inlineStr">
        <is>
          <t>Obligatorio SEPS (Régimen General)</t>
        </is>
      </c>
      <c r="I67" s="39" t="inlineStr">
        <is>
          <t>-</t>
        </is>
      </c>
      <c r="J67" s="39" t="inlineStr">
        <is>
          <t>1. Regulatorio SEPS 002-2022 + ISO 27001</t>
        </is>
      </c>
      <c r="K67" s="39" t="inlineStr">
        <is>
          <t>Aplica</t>
        </is>
      </c>
      <c r="L67" s="39" t="inlineStr">
        <is>
          <t>Requerido por ente regulador SEPS</t>
        </is>
      </c>
    </row>
    <row r="68" ht="48" customHeight="1" s="103">
      <c r="A68" s="38" t="inlineStr">
        <is>
          <t>8.8</t>
        </is>
      </c>
      <c r="B68" s="39" t="inlineStr">
        <is>
          <t>Gestión de vulnerabilidades técnicas</t>
        </is>
      </c>
      <c r="C68" s="39" t="inlineStr">
        <is>
          <t>#Preventivo, #Correctivo</t>
        </is>
      </c>
      <c r="D68" s="39" t="inlineStr">
        <is>
          <t>#Confidencialidad, #Integridad, #Disponibilidad</t>
        </is>
      </c>
      <c r="E68" s="39" t="inlineStr">
        <is>
          <t>#Proteger</t>
        </is>
      </c>
      <c r="F68" s="38" t="inlineStr">
        <is>
          <t>#Gestión_de_amenazas_y_vulnerabilidades</t>
        </is>
      </c>
      <c r="G68" s="39" t="inlineStr">
        <is>
          <t>#Defensa</t>
        </is>
      </c>
      <c r="H68" s="39" t="inlineStr">
        <is>
          <t>Obligatorio SEPS (Régimen General)</t>
        </is>
      </c>
      <c r="I68" s="39" t="inlineStr">
        <is>
          <t>C12: Actualizaciones periódicas firmware/software</t>
        </is>
      </c>
      <c r="J68" s="39" t="inlineStr">
        <is>
          <t>2. Metodología Interna GSO-GSI + ISO 27001</t>
        </is>
      </c>
      <c r="K68" s="39" t="inlineStr">
        <is>
          <t>Aplica</t>
        </is>
      </c>
      <c r="L68" s="39" t="inlineStr">
        <is>
          <t>Requisito interno GSO-GSI</t>
        </is>
      </c>
    </row>
    <row r="69" ht="48" customHeight="1" s="103">
      <c r="A69" s="38" t="inlineStr">
        <is>
          <t>8.9</t>
        </is>
      </c>
      <c r="B69" s="39" t="inlineStr">
        <is>
          <t>Gestión de la configuración</t>
        </is>
      </c>
      <c r="C69" s="39" t="inlineStr">
        <is>
          <t>#Preventivo</t>
        </is>
      </c>
      <c r="D69" s="39" t="inlineStr">
        <is>
          <t>#Confidencialidad, #Integridad, #Disponibilidad</t>
        </is>
      </c>
      <c r="E69" s="39" t="inlineStr">
        <is>
          <t>#Proteger</t>
        </is>
      </c>
      <c r="F69" s="38" t="inlineStr">
        <is>
          <t>#Configuración_segura</t>
        </is>
      </c>
      <c r="G69" s="39" t="inlineStr">
        <is>
          <t>#Proteccion</t>
        </is>
      </c>
      <c r="H69" s="39" t="inlineStr">
        <is>
          <t>Obligatorio SEPS (Régimen General)</t>
        </is>
      </c>
      <c r="I69" s="39" t="inlineStr">
        <is>
          <t>C52: Mantenimiento preventivo / Configuración segura</t>
        </is>
      </c>
      <c r="J69" s="39" t="inlineStr">
        <is>
          <t>2. Metodología Interna GSO-GSI + ISO 27001</t>
        </is>
      </c>
      <c r="K69" s="39" t="inlineStr">
        <is>
          <t>Aplica</t>
        </is>
      </c>
      <c r="L69" s="39" t="inlineStr">
        <is>
          <t>Requisito interno GSO-GSI</t>
        </is>
      </c>
    </row>
    <row r="70" ht="36" customHeight="1" s="103">
      <c r="A70" s="38" t="inlineStr">
        <is>
          <t>8.10</t>
        </is>
      </c>
      <c r="B70" s="39" t="inlineStr">
        <is>
          <t>Eliminación de información</t>
        </is>
      </c>
      <c r="C70" s="39" t="inlineStr">
        <is>
          <t>#Preventivo</t>
        </is>
      </c>
      <c r="D70" s="39" t="inlineStr">
        <is>
          <t>#Confidencialidad, #Integridad, #Disponibilidad</t>
        </is>
      </c>
      <c r="E70" s="39" t="inlineStr">
        <is>
          <t>#Proteger</t>
        </is>
      </c>
      <c r="F70" s="38" t="inlineStr">
        <is>
          <t>#Protección_de_la_información</t>
        </is>
      </c>
      <c r="G70" s="39" t="inlineStr">
        <is>
          <t>#Proteccion</t>
        </is>
      </c>
      <c r="H70" s="39" t="inlineStr">
        <is>
          <t>Obligatorio SEPS (Régimen General)</t>
        </is>
      </c>
      <c r="I70" s="39" t="inlineStr">
        <is>
          <t>-</t>
        </is>
      </c>
      <c r="J70" s="39" t="inlineStr">
        <is>
          <t>1. Regulatorio SEPS 002-2022 + ISO 27001</t>
        </is>
      </c>
      <c r="K70" s="39" t="inlineStr">
        <is>
          <t>Aplica</t>
        </is>
      </c>
      <c r="L70" s="39" t="inlineStr">
        <is>
          <t>Requerido por ente regulador SEPS</t>
        </is>
      </c>
    </row>
    <row r="71" ht="60" customHeight="1" s="103">
      <c r="A71" s="38" t="inlineStr">
        <is>
          <t>8.11</t>
        </is>
      </c>
      <c r="B71" s="39" t="inlineStr">
        <is>
          <t>Enmascaramiento de datos</t>
        </is>
      </c>
      <c r="C71" s="39" t="inlineStr">
        <is>
          <t>#Preventivo</t>
        </is>
      </c>
      <c r="D71" s="39" t="inlineStr">
        <is>
          <t>#Confidencialidad, #Integridad, #Disponibilidad</t>
        </is>
      </c>
      <c r="E71" s="39" t="inlineStr">
        <is>
          <t>#Proteger</t>
        </is>
      </c>
      <c r="F71" s="38" t="inlineStr">
        <is>
          <t>#Protección_de_la_información</t>
        </is>
      </c>
      <c r="G71" s="39" t="inlineStr">
        <is>
          <t>#Proteccion</t>
        </is>
      </c>
      <c r="H71" s="39" t="inlineStr">
        <is>
          <t>Mejor Práctica (No obligatorio SEPS)</t>
        </is>
      </c>
      <c r="I71" s="39" t="inlineStr">
        <is>
          <t>-</t>
        </is>
      </c>
      <c r="J71" s="39" t="inlineStr">
        <is>
          <t>3. Tratamiento de Riesgos Específico (ISO 27002 / MAGERIT)</t>
        </is>
      </c>
      <c r="K71" s="39" t="inlineStr">
        <is>
          <t>Aplica</t>
        </is>
      </c>
      <c r="L71" s="39" t="inlineStr">
        <is>
          <t>Requisito de control complementario y mejor práctica de seguridad</t>
        </is>
      </c>
    </row>
    <row r="72" ht="36" customHeight="1" s="103">
      <c r="A72" s="38" t="inlineStr">
        <is>
          <t>8.12</t>
        </is>
      </c>
      <c r="B72" s="39" t="inlineStr">
        <is>
          <t>Prevención de fuga de datos</t>
        </is>
      </c>
      <c r="C72" s="39" t="inlineStr">
        <is>
          <t>#Preventivo, #Detectivo</t>
        </is>
      </c>
      <c r="D72" s="39" t="inlineStr">
        <is>
          <t>#Confidencialidad, #Integridad, #Disponibilidad</t>
        </is>
      </c>
      <c r="E72" s="39" t="inlineStr">
        <is>
          <t>#Proteger</t>
        </is>
      </c>
      <c r="F72" s="38" t="inlineStr">
        <is>
          <t>#Protección_de_la_información</t>
        </is>
      </c>
      <c r="G72" s="39" t="inlineStr">
        <is>
          <t>#Proteccion</t>
        </is>
      </c>
      <c r="H72" s="39" t="inlineStr">
        <is>
          <t>Obligatorio SEPS (Régimen General)</t>
        </is>
      </c>
      <c r="I72" s="39" t="inlineStr">
        <is>
          <t>-</t>
        </is>
      </c>
      <c r="J72" s="39" t="inlineStr">
        <is>
          <t>1. Regulatorio SEPS 002-2022 + ISO 27001</t>
        </is>
      </c>
      <c r="K72" s="39" t="inlineStr">
        <is>
          <t>Aplica</t>
        </is>
      </c>
      <c r="L72" s="39" t="inlineStr">
        <is>
          <t>Requerido por ente regulador SEPS</t>
        </is>
      </c>
    </row>
    <row r="73" ht="48" customHeight="1" s="103">
      <c r="A73" s="38" t="inlineStr">
        <is>
          <t>8.13</t>
        </is>
      </c>
      <c r="B73" s="39" t="inlineStr">
        <is>
          <t>Copias de seguridad de la información</t>
        </is>
      </c>
      <c r="C73" s="39" t="inlineStr">
        <is>
          <t>#Preventivo, #Correctivo</t>
        </is>
      </c>
      <c r="D73" s="39" t="inlineStr">
        <is>
          <t>#Confidencialidad, #Integridad, #Disponibilidad</t>
        </is>
      </c>
      <c r="E73" s="39" t="inlineStr">
        <is>
          <t>#Recuperar</t>
        </is>
      </c>
      <c r="F73" s="38" t="inlineStr">
        <is>
          <t>#Continuidad</t>
        </is>
      </c>
      <c r="G73" s="39" t="inlineStr">
        <is>
          <t>#Resiliencia</t>
        </is>
      </c>
      <c r="H73" s="39" t="inlineStr">
        <is>
          <t>Obligatorio SEPS (Régimen General)</t>
        </is>
      </c>
      <c r="I73" s="39" t="inlineStr">
        <is>
          <t>C6: Procedimientos de reversión (rollback) / Respaldo</t>
        </is>
      </c>
      <c r="J73" s="39" t="inlineStr">
        <is>
          <t>2. Metodología Interna GSO-GSI + ISO 27001</t>
        </is>
      </c>
      <c r="K73" s="39" t="inlineStr">
        <is>
          <t>Aplica</t>
        </is>
      </c>
      <c r="L73" s="39" t="inlineStr">
        <is>
          <t>Requisito interno GSO-GSI</t>
        </is>
      </c>
    </row>
    <row r="74" ht="48" customHeight="1" s="103">
      <c r="A74" s="38" t="inlineStr">
        <is>
          <t>8.14</t>
        </is>
      </c>
      <c r="B74" s="39" t="inlineStr">
        <is>
          <t>Redundancia de las instalaciones de procesamiento de información</t>
        </is>
      </c>
      <c r="C74" s="39" t="inlineStr">
        <is>
          <t>#Preventivo</t>
        </is>
      </c>
      <c r="D74" s="39" t="inlineStr">
        <is>
          <t>#Confidencialidad, #Integridad, #Disponibilidad</t>
        </is>
      </c>
      <c r="E74" s="39" t="inlineStr">
        <is>
          <t>#Recuperar</t>
        </is>
      </c>
      <c r="F74" s="38" t="inlineStr">
        <is>
          <t>#Continuidad</t>
        </is>
      </c>
      <c r="G74" s="39" t="inlineStr">
        <is>
          <t>#Resiliencia</t>
        </is>
      </c>
      <c r="H74" s="39" t="inlineStr">
        <is>
          <t>Obligatorio SEPS (Régimen General)</t>
        </is>
      </c>
      <c r="I74" s="39" t="inlineStr">
        <is>
          <t>-</t>
        </is>
      </c>
      <c r="J74" s="39" t="inlineStr">
        <is>
          <t>1. Regulatorio SEPS 002-2022 + ISO 27001</t>
        </is>
      </c>
      <c r="K74" s="39" t="inlineStr">
        <is>
          <t>Aplica</t>
        </is>
      </c>
      <c r="L74" s="39" t="inlineStr">
        <is>
          <t>Requerido por ente regulador SEPS</t>
        </is>
      </c>
    </row>
    <row r="75" ht="36" customHeight="1" s="103">
      <c r="A75" s="38" t="inlineStr">
        <is>
          <t>8.15</t>
        </is>
      </c>
      <c r="B75" s="39" t="inlineStr">
        <is>
          <t>Registro de eventos (Logging)</t>
        </is>
      </c>
      <c r="C75" s="39" t="inlineStr">
        <is>
          <t>#Detectivo</t>
        </is>
      </c>
      <c r="D75" s="39" t="inlineStr">
        <is>
          <t>#Confidencialidad, #Integridad, #Disponibilidad</t>
        </is>
      </c>
      <c r="E75" s="39" t="inlineStr">
        <is>
          <t>#Detectar</t>
        </is>
      </c>
      <c r="F75" s="38" t="inlineStr">
        <is>
          <t>#Seguridad_de_la_información_gestión_de_eventos</t>
        </is>
      </c>
      <c r="G75" s="39" t="inlineStr">
        <is>
          <t>#Defensa</t>
        </is>
      </c>
      <c r="H75" s="39" t="inlineStr">
        <is>
          <t>Obligatorio SEPS (Régimen General)</t>
        </is>
      </c>
      <c r="I75" s="39" t="inlineStr">
        <is>
          <t>C10: Registro de fallos en el control de acceso</t>
        </is>
      </c>
      <c r="J75" s="39" t="inlineStr">
        <is>
          <t>2. Metodología Interna GSO-GSI + ISO 27001</t>
        </is>
      </c>
      <c r="K75" s="39" t="inlineStr">
        <is>
          <t>Aplica</t>
        </is>
      </c>
      <c r="L75" s="39" t="inlineStr">
        <is>
          <t>Requisito interno GSO-GSI</t>
        </is>
      </c>
    </row>
    <row r="76" ht="36" customHeight="1" s="103">
      <c r="A76" s="38" t="inlineStr">
        <is>
          <t>8.16</t>
        </is>
      </c>
      <c r="B76" s="39" t="inlineStr">
        <is>
          <t>Actividades de seguimiento (Monitoring)</t>
        </is>
      </c>
      <c r="C76" s="39" t="inlineStr">
        <is>
          <t>#Detectivo</t>
        </is>
      </c>
      <c r="D76" s="39" t="inlineStr">
        <is>
          <t>#Confidencialidad, #Integridad, #Disponibilidad</t>
        </is>
      </c>
      <c r="E76" s="39" t="inlineStr">
        <is>
          <t>#Detectar</t>
        </is>
      </c>
      <c r="F76" s="38" t="inlineStr">
        <is>
          <t>#Seguridad_de_la_información_gestión_de_eventos</t>
        </is>
      </c>
      <c r="G76" s="39" t="inlineStr">
        <is>
          <t>#Defensa</t>
        </is>
      </c>
      <c r="H76" s="39" t="inlineStr">
        <is>
          <t>Obligatorio SEPS (Régimen General)</t>
        </is>
      </c>
      <c r="I76" s="39" t="inlineStr">
        <is>
          <t>C13: Monitoreo y control</t>
        </is>
      </c>
      <c r="J76" s="39" t="inlineStr">
        <is>
          <t>2. Metodología Interna GSO-GSI + ISO 27001</t>
        </is>
      </c>
      <c r="K76" s="39" t="inlineStr">
        <is>
          <t>Aplica</t>
        </is>
      </c>
      <c r="L76" s="39" t="inlineStr">
        <is>
          <t>Requisito interno GSO-GSI</t>
        </is>
      </c>
    </row>
    <row r="77" ht="36" customHeight="1" s="103">
      <c r="A77" s="38" t="inlineStr">
        <is>
          <t>8.17</t>
        </is>
      </c>
      <c r="B77" s="39" t="inlineStr">
        <is>
          <t>Sincronización de relojes</t>
        </is>
      </c>
      <c r="C77" s="39" t="inlineStr">
        <is>
          <t>#Preventivo</t>
        </is>
      </c>
      <c r="D77" s="39" t="inlineStr">
        <is>
          <t>#Confidencialidad, #Integridad, #Disponibilidad</t>
        </is>
      </c>
      <c r="E77" s="39" t="inlineStr">
        <is>
          <t>#Proteger</t>
        </is>
      </c>
      <c r="F77" s="38" t="inlineStr">
        <is>
          <t>#Seguridad_de_sistemas_y_redes</t>
        </is>
      </c>
      <c r="G77" s="39" t="inlineStr">
        <is>
          <t>#Proteccion</t>
        </is>
      </c>
      <c r="H77" s="39" t="inlineStr">
        <is>
          <t>Obligatorio SEPS (Régimen General)</t>
        </is>
      </c>
      <c r="I77" s="39" t="inlineStr">
        <is>
          <t>-</t>
        </is>
      </c>
      <c r="J77" s="39" t="inlineStr">
        <is>
          <t>1. Regulatorio SEPS 002-2022 + ISO 27001</t>
        </is>
      </c>
      <c r="K77" s="39" t="inlineStr">
        <is>
          <t>Aplica</t>
        </is>
      </c>
      <c r="L77" s="39" t="inlineStr">
        <is>
          <t>Requerido por ente regulador SEPS</t>
        </is>
      </c>
    </row>
    <row r="78" ht="36" customHeight="1" s="103">
      <c r="A78" s="38" t="inlineStr">
        <is>
          <t>8.18</t>
        </is>
      </c>
      <c r="B78" s="39" t="inlineStr">
        <is>
          <t>Uso de programas de utilidad privilegiados</t>
        </is>
      </c>
      <c r="C78" s="39" t="inlineStr">
        <is>
          <t>#Preventivo</t>
        </is>
      </c>
      <c r="D78" s="39" t="inlineStr">
        <is>
          <t>#Confidencialidad, #Integridad, #Disponibilidad</t>
        </is>
      </c>
      <c r="E78" s="39" t="inlineStr">
        <is>
          <t>#Proteger</t>
        </is>
      </c>
      <c r="F78" s="38" t="inlineStr">
        <is>
          <t>#Administración_de_identidad_y_acceso</t>
        </is>
      </c>
      <c r="G78" s="39" t="inlineStr">
        <is>
          <t>#Proteccion</t>
        </is>
      </c>
      <c r="H78" s="39" t="inlineStr">
        <is>
          <t>Obligatorio SEPS (Régimen General)</t>
        </is>
      </c>
      <c r="I78" s="39" t="inlineStr">
        <is>
          <t>-</t>
        </is>
      </c>
      <c r="J78" s="39" t="inlineStr">
        <is>
          <t>1. Regulatorio SEPS 002-2022 + ISO 27001</t>
        </is>
      </c>
      <c r="K78" s="39" t="inlineStr">
        <is>
          <t>Aplica</t>
        </is>
      </c>
      <c r="L78" s="39" t="inlineStr">
        <is>
          <t>Requerido por ente regulador SEPS</t>
        </is>
      </c>
    </row>
    <row r="79" ht="48" customHeight="1" s="103">
      <c r="A79" s="38" t="inlineStr">
        <is>
          <t>8.19</t>
        </is>
      </c>
      <c r="B79" s="39" t="inlineStr">
        <is>
          <t>Instalación de software en sistemas operativos</t>
        </is>
      </c>
      <c r="C79" s="39" t="inlineStr">
        <is>
          <t>#Preventivo</t>
        </is>
      </c>
      <c r="D79" s="39" t="inlineStr">
        <is>
          <t>#Confidencialidad, #Integridad, #Disponibilidad</t>
        </is>
      </c>
      <c r="E79" s="39" t="inlineStr">
        <is>
          <t>#Proteger</t>
        </is>
      </c>
      <c r="F79" s="38" t="inlineStr">
        <is>
          <t>#Configuración_segura</t>
        </is>
      </c>
      <c r="G79" s="39" t="inlineStr">
        <is>
          <t>#Proteccion</t>
        </is>
      </c>
      <c r="H79" s="39" t="inlineStr">
        <is>
          <t>Obligatorio SEPS (Régimen General)</t>
        </is>
      </c>
      <c r="I79" s="39" t="inlineStr">
        <is>
          <t>C12: Actualizaciones periódicas firmware/software</t>
        </is>
      </c>
      <c r="J79" s="39" t="inlineStr">
        <is>
          <t>2. Metodología Interna GSO-GSI + ISO 27001</t>
        </is>
      </c>
      <c r="K79" s="39" t="inlineStr">
        <is>
          <t>Aplica</t>
        </is>
      </c>
      <c r="L79" s="39" t="inlineStr">
        <is>
          <t>Requisito interno GSO-GSI</t>
        </is>
      </c>
    </row>
    <row r="80" ht="48" customHeight="1" s="103">
      <c r="A80" s="38" t="inlineStr">
        <is>
          <t>8.20</t>
        </is>
      </c>
      <c r="B80" s="39" t="inlineStr">
        <is>
          <t>Seguridad de las redes</t>
        </is>
      </c>
      <c r="C80" s="39" t="inlineStr">
        <is>
          <t>#Preventivo</t>
        </is>
      </c>
      <c r="D80" s="39" t="inlineStr">
        <is>
          <t>#Confidencialidad, #Integridad, #Disponibilidad</t>
        </is>
      </c>
      <c r="E80" s="39" t="inlineStr">
        <is>
          <t>#Proteger</t>
        </is>
      </c>
      <c r="F80" s="38" t="inlineStr">
        <is>
          <t>#Seguridad_de_sistemas_y_redes</t>
        </is>
      </c>
      <c r="G80" s="39" t="inlineStr">
        <is>
          <t>#Proteccion</t>
        </is>
      </c>
      <c r="H80" s="39" t="inlineStr">
        <is>
          <t>Obligatorio SEPS (Régimen General)</t>
        </is>
      </c>
      <c r="I80" s="39" t="inlineStr">
        <is>
          <t>C52: Mantenimiento preventivo / Configuración segura</t>
        </is>
      </c>
      <c r="J80" s="39" t="inlineStr">
        <is>
          <t>2. Metodología Interna GSO-GSI + ISO 27001</t>
        </is>
      </c>
      <c r="K80" s="39" t="inlineStr">
        <is>
          <t>Aplica</t>
        </is>
      </c>
      <c r="L80" s="39" t="inlineStr">
        <is>
          <t>Requisito interno GSO-GSI</t>
        </is>
      </c>
    </row>
    <row r="81" ht="36" customHeight="1" s="103">
      <c r="A81" s="38" t="inlineStr">
        <is>
          <t>8.21</t>
        </is>
      </c>
      <c r="B81" s="39" t="inlineStr">
        <is>
          <t>Seguridad de los servicios de red</t>
        </is>
      </c>
      <c r="C81" s="39" t="inlineStr">
        <is>
          <t>#Preventivo</t>
        </is>
      </c>
      <c r="D81" s="39" t="inlineStr">
        <is>
          <t>#Confidencialidad, #Integridad, #Disponibilidad</t>
        </is>
      </c>
      <c r="E81" s="39" t="inlineStr">
        <is>
          <t>#Proteger</t>
        </is>
      </c>
      <c r="F81" s="38" t="inlineStr">
        <is>
          <t>#Seguridad_de_sistemas_y_redes</t>
        </is>
      </c>
      <c r="G81" s="39" t="inlineStr">
        <is>
          <t>#Proteccion</t>
        </is>
      </c>
      <c r="H81" s="39" t="inlineStr">
        <is>
          <t>Obligatorio SEPS (Régimen General)</t>
        </is>
      </c>
      <c r="I81" s="39" t="inlineStr">
        <is>
          <t>-</t>
        </is>
      </c>
      <c r="J81" s="39" t="inlineStr">
        <is>
          <t>1. Regulatorio SEPS 002-2022 + ISO 27001</t>
        </is>
      </c>
      <c r="K81" s="39" t="inlineStr">
        <is>
          <t>Aplica</t>
        </is>
      </c>
      <c r="L81" s="39" t="inlineStr">
        <is>
          <t>Requerido por ente regulador SEPS</t>
        </is>
      </c>
    </row>
    <row r="82" ht="36" customHeight="1" s="103">
      <c r="A82" s="38" t="inlineStr">
        <is>
          <t>8.22</t>
        </is>
      </c>
      <c r="B82" s="39" t="inlineStr">
        <is>
          <t>Segregación de redes</t>
        </is>
      </c>
      <c r="C82" s="39" t="inlineStr">
        <is>
          <t>#Preventivo</t>
        </is>
      </c>
      <c r="D82" s="39" t="inlineStr">
        <is>
          <t>#Confidencialidad, #Integridad, #Disponibilidad</t>
        </is>
      </c>
      <c r="E82" s="39" t="inlineStr">
        <is>
          <t>#Proteger</t>
        </is>
      </c>
      <c r="F82" s="38" t="inlineStr">
        <is>
          <t>#Seguridad_de_sistemas_y_redes</t>
        </is>
      </c>
      <c r="G82" s="39" t="inlineStr">
        <is>
          <t>#Proteccion</t>
        </is>
      </c>
      <c r="H82" s="39" t="inlineStr">
        <is>
          <t>Obligatorio SEPS (Régimen General)</t>
        </is>
      </c>
      <c r="I82" s="39" t="inlineStr">
        <is>
          <t>-</t>
        </is>
      </c>
      <c r="J82" s="39" t="inlineStr">
        <is>
          <t>1. Regulatorio SEPS 002-2022 + ISO 27001</t>
        </is>
      </c>
      <c r="K82" s="39" t="inlineStr">
        <is>
          <t>Aplica</t>
        </is>
      </c>
      <c r="L82" s="39" t="inlineStr">
        <is>
          <t>Requerido por ente regulador SEPS</t>
        </is>
      </c>
    </row>
    <row r="83" ht="60" customHeight="1" s="103">
      <c r="A83" s="38" t="inlineStr">
        <is>
          <t>8.23</t>
        </is>
      </c>
      <c r="B83" s="39" t="inlineStr">
        <is>
          <t>Filtrado web</t>
        </is>
      </c>
      <c r="C83" s="39" t="inlineStr">
        <is>
          <t>#Preventivo</t>
        </is>
      </c>
      <c r="D83" s="39" t="inlineStr">
        <is>
          <t>#Confidencialidad, #Integridad, #Disponibilidad</t>
        </is>
      </c>
      <c r="E83" s="39" t="inlineStr">
        <is>
          <t>#Proteger</t>
        </is>
      </c>
      <c r="F83" s="38" t="inlineStr">
        <is>
          <t>#Seguridad_de_sistemas_y_redes</t>
        </is>
      </c>
      <c r="G83" s="39" t="inlineStr">
        <is>
          <t>#Proteccion</t>
        </is>
      </c>
      <c r="H83" s="39" t="inlineStr">
        <is>
          <t>Mejor Práctica (No obligatorio SEPS)</t>
        </is>
      </c>
      <c r="I83" s="39" t="inlineStr">
        <is>
          <t>-</t>
        </is>
      </c>
      <c r="J83" s="39" t="inlineStr">
        <is>
          <t>3. Tratamiento de Riesgos Específico (ISO 27002 / MAGERIT)</t>
        </is>
      </c>
      <c r="K83" s="39" t="inlineStr">
        <is>
          <t>Aplica</t>
        </is>
      </c>
      <c r="L83" s="39" t="inlineStr">
        <is>
          <t>Requisito de control complementario y mejor práctica de seguridad</t>
        </is>
      </c>
    </row>
    <row r="84" ht="36" customHeight="1" s="103">
      <c r="A84" s="38" t="inlineStr">
        <is>
          <t>8.24</t>
        </is>
      </c>
      <c r="B84" s="39" t="inlineStr">
        <is>
          <t>Uso de criptografía</t>
        </is>
      </c>
      <c r="C84" s="39" t="inlineStr">
        <is>
          <t>#Preventivo</t>
        </is>
      </c>
      <c r="D84" s="39" t="inlineStr">
        <is>
          <t>#Confidencialidad, #Integridad, #Disponibilidad</t>
        </is>
      </c>
      <c r="E84" s="39" t="inlineStr">
        <is>
          <t>#Proteger</t>
        </is>
      </c>
      <c r="F84" s="38" t="inlineStr">
        <is>
          <t>#Protección_de_la_información</t>
        </is>
      </c>
      <c r="G84" s="39" t="inlineStr">
        <is>
          <t>#Proteccion</t>
        </is>
      </c>
      <c r="H84" s="39" t="inlineStr">
        <is>
          <t>Obligatorio SEPS (Régimen General)</t>
        </is>
      </c>
      <c r="I84" s="39" t="inlineStr">
        <is>
          <t>-</t>
        </is>
      </c>
      <c r="J84" s="39" t="inlineStr">
        <is>
          <t>1. Regulatorio SEPS 002-2022 + ISO 27001</t>
        </is>
      </c>
      <c r="K84" s="39" t="inlineStr">
        <is>
          <t>Aplica</t>
        </is>
      </c>
      <c r="L84" s="39" t="inlineStr">
        <is>
          <t>Requerido por ente regulador SEPS</t>
        </is>
      </c>
    </row>
    <row r="85" ht="36" customHeight="1" s="103">
      <c r="A85" s="38" t="inlineStr">
        <is>
          <t>8.25</t>
        </is>
      </c>
      <c r="B85" s="39" t="inlineStr">
        <is>
          <t>Ciclo de vida del desarrollo seguro</t>
        </is>
      </c>
      <c r="C85" s="39" t="inlineStr">
        <is>
          <t>#Preventivo</t>
        </is>
      </c>
      <c r="D85" s="39" t="inlineStr">
        <is>
          <t>#Confidencialidad, #Integridad, #Disponibilidad</t>
        </is>
      </c>
      <c r="E85" s="39" t="inlineStr">
        <is>
          <t>#Proteger</t>
        </is>
      </c>
      <c r="F85" s="38" t="inlineStr">
        <is>
          <t>#Seguridad_de_aplicaciones</t>
        </is>
      </c>
      <c r="G85" s="39" t="inlineStr">
        <is>
          <t>#Proteccion</t>
        </is>
      </c>
      <c r="H85" s="39" t="inlineStr">
        <is>
          <t>Obligatorio SEPS (Régimen General)</t>
        </is>
      </c>
      <c r="I85" s="39" t="inlineStr">
        <is>
          <t>-</t>
        </is>
      </c>
      <c r="J85" s="39" t="inlineStr">
        <is>
          <t>1. Regulatorio SEPS 002-2022 + ISO 27001</t>
        </is>
      </c>
      <c r="K85" s="39" t="inlineStr">
        <is>
          <t>Aplica</t>
        </is>
      </c>
      <c r="L85" s="39" t="inlineStr">
        <is>
          <t>Requerido por ente regulador SEPS</t>
        </is>
      </c>
    </row>
    <row r="86" ht="36" customHeight="1" s="103">
      <c r="A86" s="38" t="inlineStr">
        <is>
          <t>8.26</t>
        </is>
      </c>
      <c r="B86" s="39" t="inlineStr">
        <is>
          <t>Requisitos de seguridad de las aplicaciones</t>
        </is>
      </c>
      <c r="C86" s="39" t="inlineStr">
        <is>
          <t>#Preventivo</t>
        </is>
      </c>
      <c r="D86" s="39" t="inlineStr">
        <is>
          <t>#Confidencialidad, #Integridad, #Disponibilidad</t>
        </is>
      </c>
      <c r="E86" s="39" t="inlineStr">
        <is>
          <t>#Proteger</t>
        </is>
      </c>
      <c r="F86" s="38" t="inlineStr">
        <is>
          <t>#Seguridad_de_aplicaciones</t>
        </is>
      </c>
      <c r="G86" s="39" t="inlineStr">
        <is>
          <t>#Proteccion</t>
        </is>
      </c>
      <c r="H86" s="39" t="inlineStr">
        <is>
          <t>Obligatorio SEPS (Régimen General)</t>
        </is>
      </c>
      <c r="I86" s="39" t="inlineStr">
        <is>
          <t>-</t>
        </is>
      </c>
      <c r="J86" s="39" t="inlineStr">
        <is>
          <t>1. Regulatorio SEPS 002-2022 + ISO 27001</t>
        </is>
      </c>
      <c r="K86" s="39" t="inlineStr">
        <is>
          <t>Aplica</t>
        </is>
      </c>
      <c r="L86" s="39" t="inlineStr">
        <is>
          <t>Requerido por ente regulador SEPS</t>
        </is>
      </c>
    </row>
    <row r="87" ht="48" customHeight="1" s="103">
      <c r="A87" s="38" t="inlineStr">
        <is>
          <t>8.27</t>
        </is>
      </c>
      <c r="B87" s="39" t="inlineStr">
        <is>
          <t>Arquitectura de sistemas seguros y principios de ingeniería</t>
        </is>
      </c>
      <c r="C87" s="39" t="inlineStr">
        <is>
          <t>#Preventivo</t>
        </is>
      </c>
      <c r="D87" s="39" t="inlineStr">
        <is>
          <t>#Confidencialidad, #Integridad, #Disponibilidad</t>
        </is>
      </c>
      <c r="E87" s="39" t="inlineStr">
        <is>
          <t>#Proteger</t>
        </is>
      </c>
      <c r="F87" s="38" t="inlineStr">
        <is>
          <t>#Seguridad_de_aplicaciones</t>
        </is>
      </c>
      <c r="G87" s="39" t="inlineStr">
        <is>
          <t>#Proteccion</t>
        </is>
      </c>
      <c r="H87" s="39" t="inlineStr">
        <is>
          <t>Obligatorio SEPS (Régimen General)</t>
        </is>
      </c>
      <c r="I87" s="39" t="inlineStr">
        <is>
          <t>-</t>
        </is>
      </c>
      <c r="J87" s="39" t="inlineStr">
        <is>
          <t>1. Regulatorio SEPS 002-2022 + ISO 27001</t>
        </is>
      </c>
      <c r="K87" s="39" t="inlineStr">
        <is>
          <t>Aplica</t>
        </is>
      </c>
      <c r="L87" s="39" t="inlineStr">
        <is>
          <t>Requerido por ente regulador SEPS</t>
        </is>
      </c>
    </row>
    <row r="88" ht="36" customHeight="1" s="103">
      <c r="A88" s="38" t="inlineStr">
        <is>
          <t>8.28</t>
        </is>
      </c>
      <c r="B88" s="39" t="inlineStr">
        <is>
          <t>Codificación segura</t>
        </is>
      </c>
      <c r="C88" s="39" t="inlineStr">
        <is>
          <t>#Preventivo</t>
        </is>
      </c>
      <c r="D88" s="39" t="inlineStr">
        <is>
          <t>#Confidencialidad, #Integridad, #Disponibilidad</t>
        </is>
      </c>
      <c r="E88" s="39" t="inlineStr">
        <is>
          <t>#Proteger</t>
        </is>
      </c>
      <c r="F88" s="38" t="inlineStr">
        <is>
          <t>#Seguridad_de_aplicaciones</t>
        </is>
      </c>
      <c r="G88" s="39" t="inlineStr">
        <is>
          <t>#Proteccion</t>
        </is>
      </c>
      <c r="H88" s="39" t="inlineStr">
        <is>
          <t>Obligatorio SEPS (Régimen General)</t>
        </is>
      </c>
      <c r="I88" s="39" t="inlineStr">
        <is>
          <t>-</t>
        </is>
      </c>
      <c r="J88" s="39" t="inlineStr">
        <is>
          <t>1. Regulatorio SEPS 002-2022 + ISO 27001</t>
        </is>
      </c>
      <c r="K88" s="39" t="inlineStr">
        <is>
          <t>Aplica</t>
        </is>
      </c>
      <c r="L88" s="39" t="inlineStr">
        <is>
          <t>Requerido por ente regulador SEPS</t>
        </is>
      </c>
    </row>
    <row r="89" ht="48" customHeight="1" s="103">
      <c r="A89" s="38" t="inlineStr">
        <is>
          <t>8.29</t>
        </is>
      </c>
      <c r="B89" s="39" t="inlineStr">
        <is>
          <t>Pruebas de seguridad en el desarrollo y la aceptación</t>
        </is>
      </c>
      <c r="C89" s="39" t="inlineStr">
        <is>
          <t>#Preventivo, #Detectivo</t>
        </is>
      </c>
      <c r="D89" s="39" t="inlineStr">
        <is>
          <t>#Confidencialidad, #Integridad, #Disponibilidad</t>
        </is>
      </c>
      <c r="E89" s="39" t="inlineStr">
        <is>
          <t>#Proteger</t>
        </is>
      </c>
      <c r="F89" s="38" t="inlineStr">
        <is>
          <t>#Seguridad_de_aplicaciones</t>
        </is>
      </c>
      <c r="G89" s="39" t="inlineStr">
        <is>
          <t>#Proteccion</t>
        </is>
      </c>
      <c r="H89" s="39" t="inlineStr">
        <is>
          <t>Obligatorio SEPS (Régimen General)</t>
        </is>
      </c>
      <c r="I89" s="39" t="inlineStr">
        <is>
          <t>-</t>
        </is>
      </c>
      <c r="J89" s="39" t="inlineStr">
        <is>
          <t>1. Regulatorio SEPS 002-2022 + ISO 27001</t>
        </is>
      </c>
      <c r="K89" s="39" t="inlineStr">
        <is>
          <t>Aplica</t>
        </is>
      </c>
      <c r="L89" s="39" t="inlineStr">
        <is>
          <t>Requerido por ente regulador SEPS</t>
        </is>
      </c>
    </row>
    <row r="90" ht="48" customHeight="1" s="103">
      <c r="A90" s="38" t="inlineStr">
        <is>
          <t>8.30</t>
        </is>
      </c>
      <c r="B90" s="39" t="inlineStr">
        <is>
          <t>Desarrollo externalizado</t>
        </is>
      </c>
      <c r="C90" s="39" t="inlineStr">
        <is>
          <t>#Preventivo</t>
        </is>
      </c>
      <c r="D90" s="39" t="inlineStr">
        <is>
          <t>#Confidencialidad, #Integridad, #Disponibilidad</t>
        </is>
      </c>
      <c r="E90" s="39" t="inlineStr">
        <is>
          <t>#Proteger</t>
        </is>
      </c>
      <c r="F90" s="38" t="inlineStr">
        <is>
          <t>#Seguridad_de_aplicaciones</t>
        </is>
      </c>
      <c r="G90" s="39" t="inlineStr">
        <is>
          <t>#Proteccion</t>
        </is>
      </c>
      <c r="H90" s="39" t="inlineStr">
        <is>
          <t>Mejor Práctica (No obligatorio SEPS)</t>
        </is>
      </c>
      <c r="I90" s="39" t="inlineStr">
        <is>
          <t>-</t>
        </is>
      </c>
      <c r="J90" s="39" t="inlineStr">
        <is>
          <t>4. No Aplica</t>
        </is>
      </c>
      <c r="K90" s="39" t="inlineStr">
        <is>
          <t>No Aplica</t>
        </is>
      </c>
      <c r="L90" s="39" t="inlineStr">
        <is>
          <t>Control 8.30 no es pertinente a los procesos actuales de la entidad</t>
        </is>
      </c>
    </row>
    <row r="91" ht="48" customHeight="1" s="103">
      <c r="A91" s="38" t="inlineStr">
        <is>
          <t>8.31</t>
        </is>
      </c>
      <c r="B91" s="39" t="inlineStr">
        <is>
          <t>Separación de entornos de desarrollo, pruebas y producción</t>
        </is>
      </c>
      <c r="C91" s="39" t="inlineStr">
        <is>
          <t>#Preventivo</t>
        </is>
      </c>
      <c r="D91" s="39" t="inlineStr">
        <is>
          <t>#Confidencialidad, #Integridad, #Disponibilidad</t>
        </is>
      </c>
      <c r="E91" s="39" t="inlineStr">
        <is>
          <t>#Proteger</t>
        </is>
      </c>
      <c r="F91" s="38" t="inlineStr">
        <is>
          <t>#Seguridad_de_sistemas_y_redes</t>
        </is>
      </c>
      <c r="G91" s="39" t="inlineStr">
        <is>
          <t>#Proteccion</t>
        </is>
      </c>
      <c r="H91" s="39" t="inlineStr">
        <is>
          <t>Obligatorio SEPS (Régimen General)</t>
        </is>
      </c>
      <c r="I91" s="39" t="inlineStr">
        <is>
          <t>-</t>
        </is>
      </c>
      <c r="J91" s="39" t="inlineStr">
        <is>
          <t>1. Regulatorio SEPS 002-2022 + ISO 27001</t>
        </is>
      </c>
      <c r="K91" s="39" t="inlineStr">
        <is>
          <t>Aplica</t>
        </is>
      </c>
      <c r="L91" s="39" t="inlineStr">
        <is>
          <t>Requerido por ente regulador SEPS</t>
        </is>
      </c>
    </row>
    <row r="92" ht="36" customHeight="1" s="103">
      <c r="A92" s="38" t="inlineStr">
        <is>
          <t>8.32</t>
        </is>
      </c>
      <c r="B92" s="39" t="inlineStr">
        <is>
          <t>Gestión de cambios</t>
        </is>
      </c>
      <c r="C92" s="39" t="inlineStr">
        <is>
          <t>#Preventivo</t>
        </is>
      </c>
      <c r="D92" s="39" t="inlineStr">
        <is>
          <t>#Confidencialidad, #Integridad, #Disponibilidad</t>
        </is>
      </c>
      <c r="E92" s="39" t="inlineStr">
        <is>
          <t>#Proteger</t>
        </is>
      </c>
      <c r="F92" s="38" t="inlineStr">
        <is>
          <t>#Seguridad_de_sistemas_y_redes</t>
        </is>
      </c>
      <c r="G92" s="39" t="inlineStr">
        <is>
          <t>#Proteccion</t>
        </is>
      </c>
      <c r="H92" s="39" t="inlineStr">
        <is>
          <t>Obligatorio SEPS (Régimen General)</t>
        </is>
      </c>
      <c r="I92" s="39" t="inlineStr">
        <is>
          <t>-</t>
        </is>
      </c>
      <c r="J92" s="39" t="inlineStr">
        <is>
          <t>1. Regulatorio SEPS 002-2022 + ISO 27001</t>
        </is>
      </c>
      <c r="K92" s="39" t="inlineStr">
        <is>
          <t>Aplica</t>
        </is>
      </c>
      <c r="L92" s="39" t="inlineStr">
        <is>
          <t>Requerido por ente regulador SEPS</t>
        </is>
      </c>
    </row>
    <row r="93" ht="36" customHeight="1" s="103">
      <c r="A93" s="38" t="inlineStr">
        <is>
          <t>8.33</t>
        </is>
      </c>
      <c r="B93" s="39" t="inlineStr">
        <is>
          <t>Información de prueba</t>
        </is>
      </c>
      <c r="C93" s="39" t="inlineStr">
        <is>
          <t>#Preventivo</t>
        </is>
      </c>
      <c r="D93" s="39" t="inlineStr">
        <is>
          <t>#Confidencialidad, #Integridad, #Disponibilidad</t>
        </is>
      </c>
      <c r="E93" s="39" t="inlineStr">
        <is>
          <t>#Proteger</t>
        </is>
      </c>
      <c r="F93" s="38" t="inlineStr">
        <is>
          <t>#Seguridad_de_aplicaciones</t>
        </is>
      </c>
      <c r="G93" s="39" t="inlineStr">
        <is>
          <t>#Proteccion</t>
        </is>
      </c>
      <c r="H93" s="39" t="inlineStr">
        <is>
          <t>Obligatorio SEPS (Régimen General)</t>
        </is>
      </c>
      <c r="I93" s="39" t="inlineStr">
        <is>
          <t>-</t>
        </is>
      </c>
      <c r="J93" s="39" t="inlineStr">
        <is>
          <t>1. Regulatorio SEPS 002-2022 + ISO 27001</t>
        </is>
      </c>
      <c r="K93" s="39" t="inlineStr">
        <is>
          <t>Aplica</t>
        </is>
      </c>
      <c r="L93" s="39" t="inlineStr">
        <is>
          <t>Requerido por ente regulador SEPS</t>
        </is>
      </c>
    </row>
    <row r="94" ht="60" customHeight="1" s="103">
      <c r="A94" s="38" t="inlineStr">
        <is>
          <t>8.34</t>
        </is>
      </c>
      <c r="B94" s="39" t="inlineStr">
        <is>
          <t>Protección de los sistemas de información durante las pruebas de auditoría</t>
        </is>
      </c>
      <c r="C94" s="39" t="inlineStr">
        <is>
          <t>#Preventivo</t>
        </is>
      </c>
      <c r="D94" s="39" t="inlineStr">
        <is>
          <t>#Confidencialidad, #Integridad, #Disponibilidad</t>
        </is>
      </c>
      <c r="E94" s="39" t="inlineStr">
        <is>
          <t>#Proteger</t>
        </is>
      </c>
      <c r="F94" s="38" t="inlineStr">
        <is>
          <t>#Seguridad_de_sistemas_y_redes</t>
        </is>
      </c>
      <c r="G94" s="39" t="inlineStr">
        <is>
          <t>#Proteccion</t>
        </is>
      </c>
      <c r="H94" s="39" t="inlineStr">
        <is>
          <t>Mejor Práctica (No obligatorio SEPS)</t>
        </is>
      </c>
      <c r="I94" s="39" t="inlineStr">
        <is>
          <t>-</t>
        </is>
      </c>
      <c r="J94" s="39" t="inlineStr">
        <is>
          <t>3. Tratamiento de Riesgos Específico (ISO 27002 / MAGERIT)</t>
        </is>
      </c>
      <c r="K94" s="39" t="inlineStr">
        <is>
          <t>No Aplica</t>
        </is>
      </c>
      <c r="L94" s="39"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opLeftCell="D1" zoomScale="93" zoomScaleNormal="93" workbookViewId="0">
      <selection activeCell="I90" sqref="I90"/>
    </sheetView>
  </sheetViews>
  <sheetFormatPr baseColWidth="10" defaultColWidth="8.6640625" defaultRowHeight="11.25"/>
  <cols>
    <col width="9.6640625" customWidth="1" style="33" min="1" max="1"/>
    <col width="35.1640625" customWidth="1" style="39"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91" min="9" max="9"/>
    <col width="17.5" customWidth="1" style="103" min="10" max="10"/>
    <col width="19.1640625" customWidth="1" style="103" min="11" max="11"/>
    <col width="18" customWidth="1" style="103" min="12" max="12"/>
    <col width="13.83203125" customWidth="1" style="103" min="13" max="13"/>
    <col width="14.6640625" customWidth="1" style="103" min="14" max="14"/>
  </cols>
  <sheetData>
    <row r="1" ht="33.75" customHeight="1" s="103">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92"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3">
      <c r="A2" s="33">
        <f>'ANEXO A'!A2</f>
        <v/>
      </c>
      <c r="B2" s="39">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91" t="inlineStr">
        <is>
          <t>6.1. Políticas Generales - Establecer directrices de seguridad (GSO-GSI-MP-GSI)</t>
        </is>
      </c>
    </row>
    <row r="3" ht="33.75" customHeight="1" s="103">
      <c r="A3" s="33">
        <f>'ANEXO A'!A3</f>
        <v/>
      </c>
      <c r="B3" s="39">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91" t="inlineStr">
        <is>
          <t>6.1 Políticas Generales / Sec. 12 SEPS 002: Definir, asignar y comunicar formalmente las funciones del Oficial/Jefe de SI, custodios y comités (GSO-GSI-MP-GSI / SEPS-2022-002).</t>
        </is>
      </c>
    </row>
    <row r="4" ht="33.75" customHeight="1" s="103">
      <c r="A4" s="33">
        <f>'ANEXO A'!A4</f>
        <v/>
      </c>
      <c r="B4" s="39">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91" t="inlineStr">
        <is>
          <t>6.7 Administración de roles y perfiles: Parametrizar y validar incompatibilidad de funciones y accesos mediante matrices SoD y workflows (GSO-GSI-MP-GSI).</t>
        </is>
      </c>
    </row>
    <row r="5" ht="33.75" customHeight="1" s="103">
      <c r="A5" s="33">
        <f>'ANEXO A'!A5</f>
        <v/>
      </c>
      <c r="B5" s="39">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91" t="inlineStr">
        <is>
          <t>6.1 Políticas Generales / Sec. 12 SEPS 002: Compromiso de la Alta Dirección y jefaturas en la exigencia y cumplimiento de políticas de SI (GSO-GSI-MP-GSI / SEPS-2022-002).</t>
        </is>
      </c>
    </row>
    <row r="6" ht="45" customHeight="1" s="103">
      <c r="A6" s="33">
        <f>'ANEXO A'!A6</f>
        <v/>
      </c>
      <c r="B6" s="39">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91" t="inlineStr">
        <is>
          <t>Disposición General 1era SEPS 002 / 6.15 Gestión de Incidentes: Notificación obligatoria e inmediata a la SEPS, Fiscalía y entes de control ante eventos críticos (SEPS-2022-002 / GSO-GSI-MP-GSI).</t>
        </is>
      </c>
    </row>
    <row r="7" ht="45" customHeight="1" s="103">
      <c r="A7" s="33">
        <f>'ANEXO A'!A7</f>
        <v/>
      </c>
      <c r="B7" s="39">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91" t="inlineStr">
        <is>
          <t>Marco Normativo y Alianzas: Mantener membresías, foros y canales de comunicación técnica con asociaciones del sector financiero popular y solidario (ISO 27002 / GSO-GSI-MP-GSI).</t>
        </is>
      </c>
    </row>
    <row r="8" ht="33.75" customHeight="1" s="103">
      <c r="A8" s="33">
        <f>'ANEXO A'!A8</f>
        <v/>
      </c>
      <c r="B8" s="39">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91" t="inlineStr">
        <is>
          <t>10.2 Metodología GAI / 6.19 Escaneo: Recopilación y análisis de fuentes de amenazas adversarias y no adversarias (S1-S40) (GSO-GSI-ME-GAI / GSO-GSI-MP-GSI).</t>
        </is>
      </c>
    </row>
    <row r="9" ht="45" customHeight="1" s="103">
      <c r="A9" s="33">
        <f>'ANEXO A'!A9</f>
        <v/>
      </c>
      <c r="B9" s="39">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91" t="inlineStr">
        <is>
          <t>6.13 Gestión de activos / Anexo 1 SEPS: Inclusión de directrices y análisis de riesgos de SI desde las fases iniciales de nuevos proyectos y servicios (GSO-GSI-ME-GAI / SEPS-2022-002).</t>
        </is>
      </c>
    </row>
    <row r="10" ht="22.5" customHeight="1" s="103">
      <c r="A10" s="33">
        <f>'ANEXO A'!A10</f>
        <v/>
      </c>
      <c r="B10" s="39">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91" t="inlineStr">
        <is>
          <t>6.13. Gestión de activos de información - Mantener un inventario actualizado (GSO-GSI-MP-GSI)</t>
        </is>
      </c>
    </row>
    <row r="11" ht="33.75" customHeight="1" s="103">
      <c r="A11" s="33">
        <f>'ANEXO A'!A11</f>
        <v/>
      </c>
      <c r="B11" s="39">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91" t="inlineStr">
        <is>
          <t>6.16 Revisión y monitoreo de políticas: Difundir y fiscalizar el uso legítimo de estaciones, correo y recursos corporativos (GSO-GSI-MP-GSI).</t>
        </is>
      </c>
    </row>
    <row r="12" ht="33.75" customHeight="1" s="103">
      <c r="A12" s="33">
        <f>'ANEXO A'!A12</f>
        <v/>
      </c>
      <c r="B12" s="39">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91" t="inlineStr">
        <is>
          <t>6.5 Eliminación de usuarios: Recepción formal y descargo de equipos, accesos y credenciales ante terminación o rotación laboral (GSO-GSI-MP-GSI / GSO-GSI-ME-GAI Sec. 1).</t>
        </is>
      </c>
    </row>
    <row r="13" ht="33.75" customHeight="1" s="103">
      <c r="A13" s="33">
        <f>'ANEXO A'!A13</f>
        <v/>
      </c>
      <c r="B13" s="39">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91" t="inlineStr">
        <is>
          <t>Sec. 7 y 8 Metodología GAI: Clasificación y valoración de activos en Confidencialidad, Integridad y Disponibilidad (Pública, Uso Interno, Restringida) (GSO-GSI-ME-GAI).</t>
        </is>
      </c>
    </row>
    <row r="14" ht="33.75" customHeight="1" s="103">
      <c r="A14" s="33">
        <f>'ANEXO A'!A14</f>
        <v/>
      </c>
      <c r="B14" s="39">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91" t="inlineStr">
        <is>
          <t>Sec. 5 y 7 Metodología GAI: Aplicación de lineamientos para marcado y rotulado de información física y digital según su confidencialidad (GSO-GSI-ME-GAI).</t>
        </is>
      </c>
    </row>
    <row r="15" ht="33.75" customHeight="1" s="103">
      <c r="A15" s="33">
        <f>'ANEXO A'!A15</f>
        <v/>
      </c>
      <c r="B15" s="39">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91" t="inlineStr">
        <is>
          <t>6.9 Control de acceso FTP / Acuerdos: Procedimientos seguros de transmisión de datos cifrados interna y externamente vía canales autorizados (GSO-GSI-MP-GSI).</t>
        </is>
      </c>
    </row>
    <row r="16" ht="22.5" customHeight="1" s="103">
      <c r="A16" s="33">
        <f>'ANEXO A'!A16</f>
        <v/>
      </c>
      <c r="B16" s="39">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91" t="inlineStr">
        <is>
          <t>6.2. Creación de nuevos usuarios - Asignación de usuarios y roles según GSO-GSI-MP-GSI</t>
        </is>
      </c>
    </row>
    <row r="17" ht="22.5" customHeight="1" s="103">
      <c r="A17" s="33">
        <f>'ANEXO A'!A17</f>
        <v/>
      </c>
      <c r="B17" s="39">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91" t="inlineStr">
        <is>
          <t>6.2. Creación de nuevos usuarios - Asignación de usuarios y roles según GSO-GSI-MP-GSI</t>
        </is>
      </c>
    </row>
    <row r="18" ht="33.75" customHeight="1" s="103">
      <c r="A18" s="33">
        <f>'ANEXO A'!A18</f>
        <v/>
      </c>
      <c r="B18" s="39">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91" t="inlineStr">
        <is>
          <t>6.11. Cambio de claves de cuentas críticas - Renovar periódicamente las contraseñas (GSO-GSI-MP-GSI)</t>
        </is>
      </c>
    </row>
    <row r="19" ht="45" customHeight="1" s="103">
      <c r="A19" s="33">
        <f>'ANEXO A'!A19</f>
        <v/>
      </c>
      <c r="B19" s="39">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91" t="inlineStr">
        <is>
          <t>6.10. Revisión periódica de roles y usuarios - Control y auditoría de accesos (GSO-GSI-MP-GSI)</t>
        </is>
      </c>
    </row>
    <row r="20" ht="45" customHeight="1" s="103">
      <c r="A20" s="33">
        <f>'ANEXO A'!A20</f>
        <v/>
      </c>
      <c r="B20" s="39">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91" t="inlineStr">
        <is>
          <t>6.19 Escaneo / Disp. General 2da SEPS 002: Evaluación periódica de riesgos de seguridad y solicitud de auditorías a prestadores de servicios (SEPS-2022-002 / GSO-GSI-MP-GSI).</t>
        </is>
      </c>
    </row>
    <row r="21" ht="33.75" customHeight="1" s="103">
      <c r="A21" s="33">
        <f>'ANEXO A'!A21</f>
        <v/>
      </c>
      <c r="B21" s="39">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91" t="inlineStr">
        <is>
          <t>Disp. General 3era SEPS 002: Incorporación obligatoria de cláusulas de seguridad de la información, protección de datos y confidencialidad en contratos (SEPS-2022-002).</t>
        </is>
      </c>
    </row>
    <row r="22" ht="33.75" customHeight="1" s="103">
      <c r="A22" s="33">
        <f>'ANEXO A'!A22</f>
        <v/>
      </c>
      <c r="B22" s="39">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91" t="inlineStr">
        <is>
          <t>Anexo 1 SEPS 002: Evaluación de procedencia, confiabilidad y riesgos en la adquisición de hardware, software y suministros de TIC (SEPS-2022-002).</t>
        </is>
      </c>
    </row>
    <row r="23" ht="33.75" customHeight="1" s="103">
      <c r="A23" s="33">
        <f>'ANEXO A'!A23</f>
        <v/>
      </c>
      <c r="B23" s="39">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91" t="inlineStr">
        <is>
          <t>Anexo 1 SEPS 002 / Disp. General 2da: Supervisión continua de ANS (SLA) y auditoría a cambios técnicos en plataformas provistas por terceros (SEPS-2022-002).</t>
        </is>
      </c>
    </row>
    <row r="24" ht="33.75" customHeight="1" s="103">
      <c r="A24" s="33">
        <f>'ANEXO A'!A24</f>
        <v/>
      </c>
      <c r="B24" s="39">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91" t="inlineStr">
        <is>
          <t>6.2 Azure / 6.12 MyHSM: Gestión de configuraciones, segregación y control de llaves y servicios en esquemas SaaS/PaaS (GSO-GSI-MP-GSI).</t>
        </is>
      </c>
    </row>
    <row r="25" ht="22.5" customHeight="1" s="103">
      <c r="A25" s="33">
        <f>'ANEXO A'!A25</f>
        <v/>
      </c>
      <c r="B25" s="39">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91" t="inlineStr">
        <is>
          <t>6.15. Gestión de incidentes de seguridad de la información - Planificación de respuesta (GSO-GSI-MP-GSI)</t>
        </is>
      </c>
    </row>
    <row r="26" ht="33.75" customHeight="1" s="103">
      <c r="A26" s="33">
        <f>'ANEXO A'!A26</f>
        <v/>
      </c>
      <c r="B26" s="39">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91" t="inlineStr">
        <is>
          <t>6.15 Gestión de incidentes (Act. 2 y 3): Análisis, categorización, clasificación y registro de eventos y riesgos en el sistema RDS (GSO-GSI-MP-GSI).</t>
        </is>
      </c>
    </row>
    <row r="27" ht="33.75" customHeight="1" s="103">
      <c r="A27" s="33">
        <f>'ANEXO A'!A27</f>
        <v/>
      </c>
      <c r="B27" s="39">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91" t="inlineStr">
        <is>
          <t>6.15 Gestión de incidentes (Act. 3, 4 y 5): Ejecución de acciones de contención, mitigación y escalamiento a Gerencia y Comité de Seguridad (GSO-GSI-MP-GSI).</t>
        </is>
      </c>
    </row>
    <row r="28" ht="33.75" customHeight="1" s="103">
      <c r="A28" s="33">
        <f>'ANEXO A'!A28</f>
        <v/>
      </c>
      <c r="B28" s="39">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91" t="inlineStr">
        <is>
          <t>6.15 Gestión de incidentes (Act. 7 y 8): Análisis de causa raíz, actualización de controles y enriquecimiento del Plan Anual de SI (GSO-GSI-MP-GSI).</t>
        </is>
      </c>
    </row>
    <row r="29" ht="33.75" customHeight="1" s="103">
      <c r="A29" s="33">
        <f>'ANEXO A'!A29</f>
        <v/>
      </c>
      <c r="B29" s="39">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91" t="inlineStr">
        <is>
          <t>6.14 Auditoría BD / 6.15 Incidentes: Preservación de logs, pistas de auditoría y cadena de custodia técnica (GSO-GSI-MP-GSI / ISO 27002).</t>
        </is>
      </c>
    </row>
    <row r="30" ht="45" customHeight="1" s="103">
      <c r="A30" s="33">
        <f>'ANEXO A'!A30</f>
        <v/>
      </c>
      <c r="B30" s="39">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91" t="inlineStr">
        <is>
          <t>Anexo 1 SEPS / DRP: Mantenimiento de las salvaguardas de confidencialidad e integridad durante la activación de contingencias (SEPS-2022-002 / ISO 27001).</t>
        </is>
      </c>
    </row>
    <row r="31" ht="33.75" customHeight="1" s="103">
      <c r="A31" s="33">
        <f>'ANEXO A'!A31</f>
        <v/>
      </c>
      <c r="B31" s="39">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91" t="inlineStr">
        <is>
          <t>Anexo 1 SEPS (Planes de Contingencia): Definición y pruebas periódicas de RTO/RPO y continuidad en infraestructura tecnológica (SEPS-2022-002).</t>
        </is>
      </c>
    </row>
    <row r="32" ht="33.75" customHeight="1" s="103">
      <c r="A32" s="33">
        <f>'ANEXO A'!A32</f>
        <v/>
      </c>
      <c r="B32" s="39">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91" t="inlineStr">
        <is>
          <t>Sec. 3 Marco Normativo SEPS 002: Mapeo y cumplimiento sistemático del marco legal (SEPS, LOPDP, ISO 27001) (GSO-GSI-MP-GSI / SEPS-2022-002).</t>
        </is>
      </c>
    </row>
    <row r="33" ht="33.75" customHeight="1" s="103">
      <c r="A33" s="33">
        <f>'ANEXO A'!A33</f>
        <v/>
      </c>
      <c r="B33" s="39">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91" t="inlineStr">
        <is>
          <t>6.13 Gestión de activos / Anexo 1 SEPS: Control y verificación de licenciamiento de software y restricción de uso no autorizado (GSO-GSI-ME-GAI / SEPS-2022-002).</t>
        </is>
      </c>
    </row>
    <row r="34" ht="33.75" customHeight="1" s="103">
      <c r="A34" s="33">
        <f>'ANEXO A'!A34</f>
        <v/>
      </c>
      <c r="B34" s="39">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91" t="inlineStr">
        <is>
          <t>6.1 Políticas / 6.14 Auditoría BD: Custodia, retención y protección física y lógica de bitácoras, actas y registros digitales (GSO-GSI-MP-GSI).</t>
        </is>
      </c>
    </row>
    <row r="35" ht="33.75" customHeight="1" s="103">
      <c r="A35" s="33">
        <f>'ANEXO A'!A35</f>
        <v/>
      </c>
      <c r="B35" s="39">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91" t="inlineStr">
        <is>
          <t>6.17 Escaneo PCI DSS / LOPDP: Tratamiento lícito, enmascaramiento y resguardo de datos personales y tarjetahabientes (GSO-GSI-MP-GSI / SEPS-2022-002).</t>
        </is>
      </c>
    </row>
    <row r="36" ht="33.75" customHeight="1" s="103">
      <c r="A36" s="33">
        <f>'ANEXO A'!A36</f>
        <v/>
      </c>
      <c r="B36" s="39">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91" t="inlineStr">
        <is>
          <t>6.2 Controles / Sec. 12 SEPS 002: Auditorías informáticas internas y externas anuales al SGSI (GSO-GSI-MP-GSI / SEPS-2022-002).</t>
        </is>
      </c>
    </row>
    <row r="37" ht="33.75" customHeight="1" s="103">
      <c r="A37" s="33">
        <f>'ANEXO A'!A37</f>
        <v/>
      </c>
      <c r="B37" s="39">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91" t="inlineStr">
        <is>
          <t>6.16 Revisión y monitoreo: Ejecución de checklist semestral y elaboración de informe de cumplimiento de políticas (GSO-GSI-MP-GSI).</t>
        </is>
      </c>
    </row>
    <row r="38" ht="33.75" customHeight="1" s="103">
      <c r="A38" s="33">
        <f>'ANEXO A'!A38</f>
        <v/>
      </c>
      <c r="B38" s="39">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91" t="inlineStr">
        <is>
          <t>Sec. 6 Procedimientos Operativos GSI: Elaboración, actualización y formalización de manuales e instructivos de seguridad (GSO-GSI-MP-GSI).</t>
        </is>
      </c>
    </row>
    <row r="39" ht="33.75" customHeight="1" s="103">
      <c r="A39" s="33">
        <f>'ANEXO A'!A39</f>
        <v/>
      </c>
      <c r="B39" s="39">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91" t="inlineStr">
        <is>
          <t>6.2 Creación de nuevos usuarios (GTH): Validación previa de antecedentes laborales, penales y académicos por Talento Humano (GSO-GSI-MP-GSI / GTH-IDP).</t>
        </is>
      </c>
    </row>
    <row r="40" ht="33.75" customHeight="1" s="103">
      <c r="A40" s="33">
        <f>'ANEXO A'!A40</f>
        <v/>
      </c>
      <c r="B40" s="39">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91" t="inlineStr">
        <is>
          <t>6.2 Políticas Específicas / GTH: Inclusión contractual de responsabilidades de seguridad y deber de sigilo institucional (GSO-GSI-MP-GSI / SEPS-2022-002).</t>
        </is>
      </c>
    </row>
    <row r="41" ht="33.75" customHeight="1" s="103">
      <c r="A41" s="33">
        <f>'ANEXO A'!A41</f>
        <v/>
      </c>
      <c r="B41" s="39">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91" t="inlineStr">
        <is>
          <t>Anexo 1 SEPS 002 (Cultura de SI): Ejecución del plan anual de capacitación y evaluación de efectividad/madurez en seguridad (SEPS-2022-002).</t>
        </is>
      </c>
    </row>
    <row r="42" ht="33.75" customHeight="1" s="103">
      <c r="A42" s="33">
        <f>'ANEXO A'!A42</f>
        <v/>
      </c>
      <c r="B42" s="39">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91" t="inlineStr">
        <is>
          <t>6.4 Políticas / Reglamento Interno: Aplicación de sanciones ante reincidencia en bloqueos, negligencia o vulneración de políticas de SI (GSO-GSI-MP-GSI).</t>
        </is>
      </c>
    </row>
    <row r="43" ht="33.75" customHeight="1" s="103">
      <c r="A43" s="33">
        <f>'ANEXO A'!A43</f>
        <v/>
      </c>
      <c r="B43" s="39">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91" t="inlineStr">
        <is>
          <t>6.3 Modificación / 6.5 Eliminación de usuarios: Suscripción de acuerdos de confidencialidad permanentes y revocación de accesos al cesar funciones (GSO-GSI-MP-GSI).</t>
        </is>
      </c>
    </row>
    <row r="44" ht="33.75" customHeight="1" s="103">
      <c r="A44" s="33">
        <f>'ANEXO A'!A44</f>
        <v/>
      </c>
      <c r="B44" s="39">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91" t="inlineStr">
        <is>
          <t>6.2 Creación (Equifax/Aval) / GTH: Firma obligatoria de convenios de confidencialidad por colaboradores y terceros (GSO-GSI-MP-GSI).</t>
        </is>
      </c>
    </row>
    <row r="45" ht="33.75" customHeight="1" s="103">
      <c r="A45" s="33">
        <f>'ANEXO A'!A45</f>
        <v/>
      </c>
      <c r="B45" s="39">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91" t="inlineStr">
        <is>
          <t>6.2 VPN Directorio Activo: Uso obligatorio de VPN corporativa y autenticación multifactor para accesos remotos autorizados (GSO-GSI-MP-GSI)</t>
        </is>
      </c>
    </row>
    <row r="46" ht="33.75" customHeight="1" s="103">
      <c r="A46" s="33">
        <f>'ANEXO A'!A46</f>
        <v/>
      </c>
      <c r="B46" s="39">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91" t="inlineStr">
        <is>
          <t>6.15 Gestión de incidentes (Act. 1): Canalización formal vía Service Desk y correo de cualquier evento o anomalía detectada (GSO-GSI-MP-GSI).</t>
        </is>
      </c>
    </row>
    <row r="47" ht="33.75" customHeight="1" s="103">
      <c r="A47" s="33">
        <f>'ANEXO A'!A47</f>
        <v/>
      </c>
      <c r="B47" s="39">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91" t="inlineStr">
        <is>
          <t>Anexo 1 SEPS 002 (Seguridad Física): Delimitación perimetral, puertas de seguridad y áreas de data center con acceso restringido (SEPS-2022-002).</t>
        </is>
      </c>
    </row>
    <row r="48" ht="33.75" customHeight="1" s="103">
      <c r="A48" s="33">
        <f>'ANEXO A'!A48</f>
        <v/>
      </c>
      <c r="B48" s="39">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91" t="inlineStr">
        <is>
          <t>Anexo 1 SEPS 002 / GAD: Control biométrico, tarjetas de proximidad y registro bitacorizado de visitantes (SEPS-2022-002).</t>
        </is>
      </c>
    </row>
    <row r="49" ht="33.75" customHeight="1" s="103">
      <c r="A49" s="33">
        <f>'ANEXO A'!A49</f>
        <v/>
      </c>
      <c r="B49" s="39">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91" t="inlineStr">
        <is>
          <t>Anexo 1 SEPS 002: Protección de zonas sensibles y aislamiento físico de áreas de procesamiento crítico (SEPS-2022-002).</t>
        </is>
      </c>
    </row>
    <row r="50" ht="33.75" customHeight="1" s="103">
      <c r="A50" s="33">
        <f>'ANEXO A'!A50</f>
        <v/>
      </c>
      <c r="B50" s="39">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91" t="inlineStr">
        <is>
          <t>Anexo 1 SEPS 002 / CCTV: Monitoreo y grabación permanente mediante Circuito Cerrado de Televisión y sensores de alarma (SEPS-2022-002).</t>
        </is>
      </c>
    </row>
    <row r="51" ht="45" customHeight="1" s="103">
      <c r="A51" s="33">
        <f>'ANEXO A'!A51</f>
        <v/>
      </c>
      <c r="B51" s="39">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91" t="inlineStr">
        <is>
          <t>Sec. 10.2.1 Metodología GAI (S31-S40): Sistemas de detección y extinción de incendios (FM200/gas), sensores de inundación y pararrayos (GSO-GSI-ME-GAI / SEPS-2022-002).</t>
        </is>
      </c>
    </row>
    <row r="52" ht="33.75" customHeight="1" s="103">
      <c r="A52" s="33">
        <f>'ANEXO A'!A52</f>
        <v/>
      </c>
      <c r="B52" s="39">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91" t="inlineStr">
        <is>
          <t>6.11 Claves críticas / 6.12 Llaves: Procedimientos restringidos para custodia de cajas fuertes y zonas de cifrado bajo estricto control (GSO-GSI-MP-GSI).</t>
        </is>
      </c>
    </row>
    <row r="53" ht="33.75" customHeight="1" s="103">
      <c r="A53" s="33">
        <f>'ANEXO A'!A53</f>
        <v/>
      </c>
      <c r="B53" s="39">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91" t="inlineStr">
        <is>
          <t>6.16 Revisión y monitoreo de políticas: Bloqueo automático de estación por inactividad y resguardo bajo llave de documentos físicos (GSO-GSI-MP-GSI).</t>
        </is>
      </c>
    </row>
    <row r="54" ht="33.75" customHeight="1" s="103">
      <c r="A54" s="33">
        <f>'ANEXO A'!A54</f>
        <v/>
      </c>
      <c r="B54" s="39">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91" t="inlineStr">
        <is>
          <t>6.13 Gestión de activos / TI: Ubicación de servidores y racks en centros de datos con control de clima y energía (GSO-GSI-ME-GAI / SEPS-2022-002).</t>
        </is>
      </c>
    </row>
    <row r="55" ht="33.75" customHeight="1" s="103">
      <c r="A55" s="33">
        <f>'ANEXO A'!A55</f>
        <v/>
      </c>
      <c r="B55" s="39">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91" t="inlineStr">
        <is>
          <t>6.1 Políticas Generales (Item 4): Equipos portátiles integrados al Directorio Activo, antivirus y cifrado de disco (GSO-GSI-MP-GSI).</t>
        </is>
      </c>
    </row>
    <row r="56" ht="33.75" customHeight="1" s="103">
      <c r="A56" s="33">
        <f>'ANEXO A'!A56</f>
        <v/>
      </c>
      <c r="B56" s="39">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91" t="inlineStr">
        <is>
          <t>6.9 FTP / 6.13 Activos: Control y restricción de medios extraíbles (USB/discos) y almacenamiento de backups (GSO-GSI-MP-GSI / GSO-GSI-ME-GAI).</t>
        </is>
      </c>
    </row>
    <row r="57" ht="33.75" customHeight="1" s="103">
      <c r="A57" s="33">
        <f>'ANEXO A'!A57</f>
        <v/>
      </c>
      <c r="B57" s="39">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91" t="inlineStr">
        <is>
          <t>Sec. 10.2.1 Metodología GAI (S32-S33): Respaldo eléctrico mediante UPS redundantes y generador eléctrico (GSO-GSI-ME-GAI / SEPS-2022-002).</t>
        </is>
      </c>
    </row>
    <row r="58" ht="33.75" customHeight="1" s="103">
      <c r="A58" s="33">
        <f>'ANEXO A'!A58</f>
        <v/>
      </c>
      <c r="B58" s="39">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91" t="inlineStr">
        <is>
          <t>Anexo 1 SEPS (Infraestructura): Cableado estructurado canalizado, ordenado y protegido en ductos cerrados (SEPS-2022-002).</t>
        </is>
      </c>
    </row>
    <row r="59" ht="33.75" customHeight="1" s="103">
      <c r="A59" s="33">
        <f>'ANEXO A'!A59</f>
        <v/>
      </c>
      <c r="B59" s="39">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91" t="inlineStr">
        <is>
          <t>6.19 Escaneo / Plan TI: Mantenimiento preventivo y correctivo periódico a infraestructura bajo bitácora y supervisión (GSO-GSI-MP-GSI / SEPS-2022-002).</t>
        </is>
      </c>
    </row>
    <row r="60" ht="33.75" customHeight="1" s="103">
      <c r="A60" s="33">
        <f>'ANEXO A'!A60</f>
        <v/>
      </c>
      <c r="B60" s="39">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91" t="inlineStr">
        <is>
          <t>Sec. 1 Metodología GAI / Bajas TI: Borrado seguro de medios de almacenamiento y desmagnetización/destrucción de discos dados de baja (GSO-GSI-ME-GAI / ISO 27002).</t>
        </is>
      </c>
    </row>
    <row r="61" ht="33.75" customHeight="1" s="103">
      <c r="A61" s="33">
        <f>'ANEXO A'!A61</f>
        <v/>
      </c>
      <c r="B61" s="39">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91" t="inlineStr">
        <is>
          <t>6.1 Políticas Generales (Item 4) / 6.16: Gestión unificada por Directorio Activo, políticas GPO y monitoreo de terminales (GSO-GSI-MP-GSI).</t>
        </is>
      </c>
    </row>
    <row r="62" ht="22.5" customHeight="1" s="103">
      <c r="A62" s="33">
        <f>'ANEXO A'!A62</f>
        <v/>
      </c>
      <c r="B62" s="39">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91" t="inlineStr">
        <is>
          <t>6.7. Administración de roles y perfiles - Control de acceso privilegiado (GSO-GSI-MP-GSI)</t>
        </is>
      </c>
    </row>
    <row r="63" ht="22.5" customHeight="1" s="103">
      <c r="A63" s="33">
        <f>'ANEXO A'!A63</f>
        <v/>
      </c>
      <c r="B63" s="39">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91" t="inlineStr">
        <is>
          <t>6.4. Bloqueo y Desbloqueo de usuarios / 6.5 Eliminación de usuarios (GSO-GSI-MP-GSI)</t>
        </is>
      </c>
    </row>
    <row r="64" ht="45" customHeight="1" s="103">
      <c r="A64" s="33">
        <f>'ANEXO A'!A64</f>
        <v/>
      </c>
      <c r="B64" s="39">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91" t="inlineStr">
        <is>
          <t>Anexo 1 SEPS (Desarrollo): Restricción y control de repositorios de software y herramientas de desarrollo bajo mínima asignación de privilegios (SEPS-2022-002 / ISO 27002).</t>
        </is>
      </c>
    </row>
    <row r="65" ht="33.75" customHeight="1" s="103">
      <c r="A65" s="33">
        <f>'ANEXO A'!A65</f>
        <v/>
      </c>
      <c r="B65" s="39">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91" t="inlineStr">
        <is>
          <t>6.4 Bloqueo / 6.2 MFA Azure: Implementación de contraseñas robustas, bloqueo por intentos fallidos y autenticación multifactor (GSO-GSI-MP-GSI).</t>
        </is>
      </c>
    </row>
    <row r="66" ht="33.75" customHeight="1" s="103">
      <c r="A66" s="33">
        <f>'ANEXO A'!A66</f>
        <v/>
      </c>
      <c r="B66" s="39">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91" t="inlineStr">
        <is>
          <t>6.14 Auditoría BD (Pol. 5): Monitoreo semestral del consumo de recursos, almacenamiento y rendimiento de base de datos y Core (GSO-GSI-MP-GSI).</t>
        </is>
      </c>
    </row>
    <row r="67" ht="33.75" customHeight="1" s="103">
      <c r="A67" s="33">
        <f>'ANEXO A'!A67</f>
        <v/>
      </c>
      <c r="B67" s="39">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91" t="inlineStr">
        <is>
          <t>6.11 Cuentas Críticas (Antivirus/AntiSpam): Administración centralizada de consola antivirus, filtros antispam y actualización de firmas (GSO-GSI-MP-GSI).</t>
        </is>
      </c>
    </row>
    <row r="68" ht="45" customHeight="1" s="103">
      <c r="A68" s="33">
        <f>'ANEXO A'!A68</f>
        <v/>
      </c>
      <c r="B68" s="39">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91" t="inlineStr">
        <is>
          <t>6.19. Escaneo de vulnerabilidades internas y externas - Mantenimiento de software (GSO-GSI-MP-GSI)</t>
        </is>
      </c>
    </row>
    <row r="69" ht="45" customHeight="1" s="103">
      <c r="A69" s="33">
        <f>'ANEXO A'!A69</f>
        <v/>
      </c>
      <c r="B69" s="39">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91" t="inlineStr">
        <is>
          <t>Anexo 1 SEPS 002 (Configuración): Establecimiento y auditoría de líneas base seguras (Hardening) en servidores, BD y comunicaciones (SEPS-2022-002).</t>
        </is>
      </c>
    </row>
    <row r="70" ht="33.75" customHeight="1" s="103">
      <c r="A70" s="33">
        <f>'ANEXO A'!A70</f>
        <v/>
      </c>
      <c r="B70" s="39">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91" t="inlineStr">
        <is>
          <t>6.5 Eliminación de usuarios / Retención: Expiración de productos/roles y purga segura de archivos temporales (GSO-GSI-MP-GSI / ISO 27002).</t>
        </is>
      </c>
    </row>
    <row r="71" ht="33.75" customHeight="1" s="103">
      <c r="A71" s="33">
        <f>'ANEXO A'!A71</f>
        <v/>
      </c>
      <c r="B71" s="39">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91" t="inlineStr">
        <is>
          <t>6.17 Escaneo PCI DSS (Pol. 3-6): Truncamiento y ofuscación del PAN (visibilidad máx. primeros 6 y últimos 4 dígitos) (GSO-GSI-MP-GSI).</t>
        </is>
      </c>
    </row>
    <row r="72" ht="33.75" customHeight="1" s="103">
      <c r="A72" s="33">
        <f>'ANEXO A'!A72</f>
        <v/>
      </c>
      <c r="B72" s="39">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91" t="inlineStr">
        <is>
          <t>6.9 Control FTP / 6.17 PCI DSS: Restricción de descargas masivas, monitoreo de canales de salida y bloqueo de fuga de información crítica (GSO-GSI-MP-GSI).</t>
        </is>
      </c>
    </row>
    <row r="73" ht="45" customHeight="1" s="103">
      <c r="A73" s="33">
        <f>'ANEXO A'!A73</f>
        <v/>
      </c>
      <c r="B73" s="39">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91" t="inlineStr">
        <is>
          <t>Anexo 1 SEPS 002 (Respaldos): Resguardo periódico automatizado de BD y aplicativos, y pruebas semestrales de restauración (SEPS-2022-002).</t>
        </is>
      </c>
    </row>
    <row r="74" ht="33.75" customHeight="1" s="103">
      <c r="A74" s="33">
        <f>'ANEXO A'!A74</f>
        <v/>
      </c>
      <c r="B74" s="39">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91" t="inlineStr">
        <is>
          <t>Anexo 1 SEPS (Arquitectura): Implementación de clúster de servidores, alta disponibilidad de BD y enlaces de comunicación alternos (SEPS-2022-002).</t>
        </is>
      </c>
    </row>
    <row r="75" ht="33.75" customHeight="1" s="103">
      <c r="A75" s="33">
        <f>'ANEXO A'!A75</f>
        <v/>
      </c>
      <c r="B75" s="39">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91" t="inlineStr">
        <is>
          <t>6.14. Administración de la auditoría de la base de datos - Registro y monitoreo de eventos (GSO-GSI-MP-GSI)</t>
        </is>
      </c>
    </row>
    <row r="76" ht="33.75" customHeight="1" s="103">
      <c r="A76" s="33">
        <f>'ANEXO A'!A76</f>
        <v/>
      </c>
      <c r="B76" s="39">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91" t="inlineStr">
        <is>
          <t>6.14 Auditoría BD / 6.16 Monitoreo: Supervisión continua mediante scripts, logs de base de datos y herramientas de red (GSO-GSI-MP-GSI).</t>
        </is>
      </c>
    </row>
    <row r="77" ht="33.75" customHeight="1" s="103">
      <c r="A77" s="33">
        <f>'ANEXO A'!A77</f>
        <v/>
      </c>
      <c r="B77" s="39">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91" t="inlineStr">
        <is>
          <t>Anexo 1 SEPS (Logs y Detección): Sincronización automática de todos los servidores y estaciones a fuentes horarias oficiales (NTP) (SEPS-2022-002 / ISO 27002).</t>
        </is>
      </c>
    </row>
    <row r="78" ht="33.75" customHeight="1" s="103">
      <c r="A78" s="33">
        <f>'ANEXO A'!A78</f>
        <v/>
      </c>
      <c r="B78" s="39">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91" t="inlineStr">
        <is>
          <t>6.11 Cuentas Críticas / 6.14 BD: Restricción estricta de ejecución de scripts DDL/DML directos y herramientas de bajo nivel (GSO-GSI-MP-GSI).</t>
        </is>
      </c>
    </row>
    <row r="79" ht="45" customHeight="1" s="103">
      <c r="A79" s="33">
        <f>'ANEXO A'!A79</f>
        <v/>
      </c>
      <c r="B79" s="39">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91" t="inlineStr">
        <is>
          <t>6.1 Políticas (Item 4) / GPO: Bloqueo de permisos de instalación a usuarios finales; software desplegado centralmente por TI (GSO-GSI-MP-GSI).</t>
        </is>
      </c>
    </row>
    <row r="80" ht="45" customHeight="1" s="103">
      <c r="A80" s="33">
        <f>'ANEXO A'!A80</f>
        <v/>
      </c>
      <c r="B80" s="39">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91" t="inlineStr">
        <is>
          <t>6.11 Firewalls / Enrutadores: Administración de firewalls de borde, políticas de enrutamiento y reglas de filtrado perimetral (GSO-GSI-MP-GSI).</t>
        </is>
      </c>
    </row>
    <row r="81" ht="33.75" customHeight="1" s="103">
      <c r="A81" s="33">
        <f>'ANEXO A'!A81</f>
        <v/>
      </c>
      <c r="B81" s="39">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91" t="inlineStr">
        <is>
          <t>6.11 FiltraWeb / AntiSpam: Gestión de seguridad y niveles de servicio en DNS, navegación y correo electrónico (GSO-GSI-MP-GSI).</t>
        </is>
      </c>
    </row>
    <row r="82" ht="33.75" customHeight="1" s="103">
      <c r="A82" s="33">
        <f>'ANEXO A'!A82</f>
        <v/>
      </c>
      <c r="B82" s="39">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91" t="inlineStr">
        <is>
          <t>6.17 Ambiente PCI / 6.18 Wireless: Aislamiento de VLANs operativas, red de ambiente de tarjetas (PCI) y red Wi-Fi de clientes (GSO-GSI-MP-GSI).</t>
        </is>
      </c>
    </row>
    <row r="83" ht="33.75" customHeight="1" s="103">
      <c r="A83" s="33">
        <f>'ANEXO A'!A83</f>
        <v/>
      </c>
      <c r="B83" s="39">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91" t="inlineStr">
        <is>
          <t>6.11 Cuentas Críticas (FiltraWeb): Bloqueo de sitios web maliciosos, redes no laborales y categorías de riesgo (GSO-GSI-MP-GSI).</t>
        </is>
      </c>
    </row>
    <row r="84" ht="22.5" customHeight="1" s="103">
      <c r="A84" s="33">
        <f>'ANEXO A'!A84</f>
        <v/>
      </c>
      <c r="B84" s="39">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91" t="inlineStr">
        <is>
          <t>6.12. Creación, ingreso y custodia de llaves criptográficas - Cifrado (GSO-GSI-MP-GSI)</t>
        </is>
      </c>
    </row>
    <row r="85" ht="33.75" customHeight="1" s="103">
      <c r="A85" s="33">
        <f>'ANEXO A'!A85</f>
        <v/>
      </c>
      <c r="B85" s="39">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91" t="inlineStr">
        <is>
          <t>6.11 Cuentas Críticas (FiltraWeb): Bloqueo de sitios web maliciosos, redes no laborales y categorías de riesgo (GSO-GSI-MP-GSI).</t>
        </is>
      </c>
    </row>
    <row r="86" ht="33.75" customHeight="1" s="103">
      <c r="A86" s="33">
        <f>'ANEXO A'!A86</f>
        <v/>
      </c>
      <c r="B86" s="39">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91" t="inlineStr">
        <is>
          <t>Anexo 1 SEPS 002 (Gestión de software): Definición de requisitos de autenticación, transaccionalidad y cifrado en nuevas soluciones (SEPS-2022-002).</t>
        </is>
      </c>
    </row>
    <row r="87" ht="33.75" customHeight="1" s="103">
      <c r="A87" s="33">
        <f>'ANEXO A'!A87</f>
        <v/>
      </c>
      <c r="B87" s="39">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91" t="inlineStr">
        <is>
          <t>Anexo 1 SEPS 002 (Arquitectura Segura): Aplicación de principios de defensa en profundidad, zonas desmilitarizadas y segmentación (SEPS-2022-002).</t>
        </is>
      </c>
    </row>
    <row r="88" ht="33.75" customHeight="1" s="103">
      <c r="A88" s="33">
        <f>'ANEXO A'!A88</f>
        <v/>
      </c>
      <c r="B88" s="39">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91" t="inlineStr">
        <is>
          <t>Anexo 1 SEPS / OWASP: Implementación de buenas prácticas de programación para evitar inyecciones, XSS y fallos lógicos (SEPS-2022-002 / ISO 27002).</t>
        </is>
      </c>
    </row>
    <row r="89" ht="45" customHeight="1" s="103">
      <c r="A89" s="33">
        <f>'ANEXO A'!A89</f>
        <v/>
      </c>
      <c r="B89" s="39">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91" t="inlineStr">
        <is>
          <t>6.19 Escaneo / Anexo 1 SEPS: Ejecución de pruebas de vulnerabilidad, análisis estático y pruebas de aceptación previas a pase a producción (GSO-GSI-MP-GSI / SEPS-2022-002).</t>
        </is>
      </c>
    </row>
    <row r="90" ht="33.75" customHeight="1" s="103">
      <c r="A90" s="33">
        <f>'ANEXO A'!A90</f>
        <v/>
      </c>
      <c r="B90" s="39">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91" t="inlineStr">
        <is>
          <t>Anexo 1 SEPS / Disposición 2da: Exigir entrega de código probado, escaneos de seguridad y cumplimiento normativo a fábricas de software (SEPS-2022-002).</t>
        </is>
      </c>
    </row>
    <row r="91" ht="33.75" customHeight="1" s="103">
      <c r="A91" s="33">
        <f>'ANEXO A'!A91</f>
        <v/>
      </c>
      <c r="B91" s="39">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91" t="inlineStr">
        <is>
          <t>Anexo 1 SEPS (Desarrollo y Pruebas): Aislamiento estricto de ambientes de desarrollo, pruebas y producción sin uso de datos reales (SEPS-2022-002).</t>
        </is>
      </c>
    </row>
    <row r="92" ht="33.75" customHeight="1" s="103">
      <c r="A92" s="33">
        <f>'ANEXO A'!A92</f>
        <v/>
      </c>
      <c r="B92" s="39">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91" t="inlineStr">
        <is>
          <t>Anexo 1 SEPS (Gestión de Cambios): Procedimiento formal de solicitud, evaluación de impacto de seguridad, aprobación y rollback de cambios (SEPS-2022-002).</t>
        </is>
      </c>
    </row>
    <row r="93" ht="33.75" customHeight="1" s="103">
      <c r="A93" s="33">
        <f>'ANEXO A'!A93</f>
        <v/>
      </c>
      <c r="B93" s="39">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91" t="inlineStr">
        <is>
          <t>6.17 PCI DSS / Anexo 1 SEPS: Uso de datos ficticios, anonimizados u ofuscados para las pruebas de aplicaciones (GSO-GSI-MP-GSI / SEPS-2022-002).</t>
        </is>
      </c>
    </row>
    <row r="94" ht="33.75" customHeight="1" s="103">
      <c r="A94" s="33">
        <f>'ANEXO A'!A94</f>
        <v/>
      </c>
      <c r="B94" s="39">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91"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
  <sheetViews>
    <sheetView tabSelected="1" topLeftCell="F1" workbookViewId="0">
      <selection activeCell="F3" sqref="F3"/>
    </sheetView>
  </sheetViews>
  <sheetFormatPr baseColWidth="10" defaultColWidth="9.33203125" defaultRowHeight="11.25"/>
  <cols>
    <col width="9.33203125" customWidth="1" style="38" min="1" max="1"/>
    <col width="24.1640625" customWidth="1" style="38" min="2" max="2"/>
    <col width="18.83203125" customWidth="1" style="38" min="3" max="3"/>
    <col width="9.33203125" customWidth="1" style="38" min="4" max="4"/>
    <col width="18" customWidth="1" style="38" min="5" max="5"/>
    <col width="20.83203125" customWidth="1" style="38" min="6" max="6"/>
    <col width="15.33203125" customWidth="1" style="38" min="7" max="7"/>
    <col width="21.83203125" customWidth="1" style="38" min="8" max="8"/>
    <col width="38.1640625" customWidth="1" style="38" min="9" max="9"/>
    <col width="32.1640625" customWidth="1" style="39" min="10" max="10"/>
    <col width="46.83203125" customWidth="1" style="39" min="11" max="11"/>
    <col width="37.1640625" customWidth="1" style="39" min="12" max="12"/>
    <col width="18" customWidth="1" style="38" min="13" max="13"/>
    <col width="17.1640625" customWidth="1" style="38" min="14" max="14"/>
    <col width="20.5" customWidth="1" style="38" min="15" max="15"/>
    <col width="22.6640625" customWidth="1" style="38" min="16" max="16"/>
    <col width="23.6640625" customWidth="1" style="38" min="17" max="17"/>
    <col width="9.33203125" customWidth="1" style="38" min="18" max="16384"/>
  </cols>
  <sheetData>
    <row r="1" ht="33.75" customFormat="1" customHeight="1" s="39">
      <c r="A1" s="105" t="inlineStr">
        <is>
          <t>ID Control</t>
        </is>
      </c>
      <c r="B1" s="105" t="inlineStr">
        <is>
          <t>Nombre del Control</t>
        </is>
      </c>
      <c r="C1" s="105" t="inlineStr">
        <is>
          <t>Dominio ISO 27001</t>
        </is>
      </c>
      <c r="D1" s="105" t="inlineStr">
        <is>
          <t>¿Aplica?</t>
        </is>
      </c>
      <c r="E1" s="105" t="inlineStr">
        <is>
          <t>Obligatoriedad Regulatoria SEPS</t>
        </is>
      </c>
      <c r="F1" s="105" t="inlineStr">
        <is>
          <t>Control Metodología GSO-GSI</t>
        </is>
      </c>
      <c r="G1" s="105" t="inlineStr">
        <is>
          <t>Origen de Aplicabilidad</t>
        </is>
      </c>
      <c r="H1" s="105" t="inlineStr">
        <is>
          <t>Justificación Inclusión / Exclusión</t>
        </is>
      </c>
      <c r="I1" s="93" t="inlineStr">
        <is>
          <t>Acción</t>
        </is>
      </c>
      <c r="J1" s="93" t="inlineStr">
        <is>
          <t>Tareas</t>
        </is>
      </c>
      <c r="K1" s="93" t="inlineStr">
        <is>
          <t>Objetivo</t>
        </is>
      </c>
      <c r="L1" s="93" t="inlineStr">
        <is>
          <t>Control</t>
        </is>
      </c>
      <c r="M1" s="93" t="inlineStr">
        <is>
          <t>Estado de Implementación</t>
        </is>
      </c>
      <c r="N1" s="93" t="inlineStr">
        <is>
          <t>Tipo de Protección</t>
        </is>
      </c>
      <c r="O1" s="93" t="inlineStr">
        <is>
          <t>Nivel de Madurez / Efectividad</t>
        </is>
      </c>
      <c r="P1" s="93" t="inlineStr">
        <is>
          <t>Riesgos / Amenazas que Mitiga</t>
        </is>
      </c>
      <c r="Q1" s="93" t="inlineStr">
        <is>
          <t>Evidencia / Documentación Asociada</t>
        </is>
      </c>
    </row>
    <row r="2" ht="67.5" customHeight="1" s="103">
      <c r="A2" s="38">
        <f>'ANEXO A'!A2</f>
        <v/>
      </c>
      <c r="B2" s="38">
        <f>IFERROR(VLOOKUP(A2, 'ANEXO A'!$A$2:$L$94, 2, FALSE), "")</f>
        <v/>
      </c>
      <c r="C2" s="38">
        <f>IF(LEFT(A2,1)="5", "5. Organizacionales", IF(LEFT(A2,1)="6", "6. Personas", IF(LEFT(A2,1)="7", "7. Físicos", "8. Tecnológicos")))</f>
        <v/>
      </c>
      <c r="D2" s="38">
        <f>IFERROR(VLOOKUP(A2, 'ANEXO A'!$A$2:$L$94, 11, FALSE), "")</f>
        <v/>
      </c>
      <c r="E2" s="38">
        <f>IFERROR(VLOOKUP(A2, 'ANEXO A'!$A$2:$L$94, 8, FALSE), "")</f>
        <v/>
      </c>
      <c r="F2" s="38">
        <f>IFERROR(VLOOKUP(A2, 'ANEXO A'!$A$2:$L$94, 9, FALSE), "")</f>
        <v/>
      </c>
      <c r="G2" s="38">
        <f>IFERROR(VLOOKUP(A2, 'ANEXO A'!$A$2:$L$94, 10, FALSE), "")</f>
        <v/>
      </c>
      <c r="H2" s="38">
        <f>IFERROR(VLOOKUP(A2, 'ANEXO A'!$A$2:$L$94, 12, FALSE), "")</f>
        <v/>
      </c>
      <c r="I2" s="38" t="inlineStr">
        <is>
          <t>6.1. Políticas Generales - Establecer directrices de seguridad (GSO-GSI-MP-GSI)</t>
        </is>
      </c>
      <c r="J2" s="39">
        <f>"• Establecer lineamientos para " &amp; IFERROR(VLOOKUP(A2, 'ANEXO A'!$A$2:$L$94, 2, FALSE), "Este Control") &amp; CHAR(10) &amp; "• Definir roles para el control " &amp; A2 &amp; CHAR(10) &amp; "• Revisar efectividad de " &amp; IFERROR(VLOOKUP(A2, 'ANEXO A'!$A$2:$L$94, 2, FALSE), "Este Control")</f>
        <v/>
      </c>
      <c r="K2" s="39"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L2" s="39" t="inlineStr">
        <is>
          <t>La organización deberá implementar, registrar y monitorear operativamente todos los protocolos relacionados a Políticas para la seguridad de la información, estableciendo políticas técnicas correspondientes.</t>
        </is>
      </c>
    </row>
    <row r="3" ht="78.75" customHeight="1" s="103">
      <c r="A3" s="38">
        <f>'ANEXO A'!A3</f>
        <v/>
      </c>
      <c r="B3" s="38">
        <f>IFERROR(VLOOKUP(A3, 'ANEXO A'!$A$2:$L$94, 2, FALSE), "")</f>
        <v/>
      </c>
      <c r="C3" s="38">
        <f>IF(LEFT(A3,1)="5", "5. Organizacionales", IF(LEFT(A3,1)="6", "6. Personas", IF(LEFT(A3,1)="7", "7. Físicos", "8. Tecnológicos")))</f>
        <v/>
      </c>
      <c r="D3" s="38">
        <f>IFERROR(VLOOKUP(A3, 'ANEXO A'!$A$2:$L$94, 11, FALSE), "")</f>
        <v/>
      </c>
      <c r="E3" s="38">
        <f>IFERROR(VLOOKUP(A3, 'ANEXO A'!$A$2:$L$94, 8, FALSE), "")</f>
        <v/>
      </c>
      <c r="F3" s="38">
        <f>IFERROR(VLOOKUP(A3, 'ANEXO A'!$A$2:$L$94, 9, FALSE), "")</f>
        <v/>
      </c>
      <c r="G3" s="38">
        <f>IFERROR(VLOOKUP(A3, 'ANEXO A'!$A$2:$L$94, 10, FALSE), "")</f>
        <v/>
      </c>
      <c r="H3" s="38">
        <f>IFERROR(VLOOKUP(A3, 'ANEXO A'!$A$2:$L$94, 12, FALSE), "")</f>
        <v/>
      </c>
      <c r="I3" s="38" t="inlineStr">
        <is>
          <t>6.1 Políticas Generales / Sec. 12 SEPS 002: Definir, asignar y comunicar formalmente las funciones del Oficial/Jefe de SI, custodios y comités (GSO-GSI-MP-GSI / SEPS-2022-002).</t>
        </is>
      </c>
      <c r="J3" s="39">
        <f>"• Establecer lineamientos para " &amp; IFERROR(VLOOKUP(A3, 'ANEXO A'!$A$2:$L$94, 2, FALSE), "Este Control") &amp; CHAR(10) &amp; "• Definir roles para el control " &amp; A3 &amp; CHAR(10) &amp; "• Revisar efectividad de " &amp; IFERROR(VLOOKUP(A3, 'ANEXO A'!$A$2:$L$94, 2, FALSE), "Este Control")</f>
        <v/>
      </c>
      <c r="K3" s="39"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L3" s="39" t="inlineStr">
        <is>
          <t>La organización deberá implementar, registrar y monitorear operativamente todos los protocolos relacionados a Funciones y responsabilidades de seguridad de la información, estableciendo políticas técnicas correspondientes.</t>
        </is>
      </c>
    </row>
    <row r="4" ht="56.25" customHeight="1" s="103">
      <c r="A4" s="38">
        <f>'ANEXO A'!A4</f>
        <v/>
      </c>
      <c r="B4" s="38">
        <f>IFERROR(VLOOKUP(A4, 'ANEXO A'!$A$2:$L$94, 2, FALSE), "")</f>
        <v/>
      </c>
      <c r="C4" s="38">
        <f>IF(LEFT(A4,1)="5", "5. Organizacionales", IF(LEFT(A4,1)="6", "6. Personas", IF(LEFT(A4,1)="7", "7. Físicos", "8. Tecnológicos")))</f>
        <v/>
      </c>
      <c r="D4" s="38">
        <f>IFERROR(VLOOKUP(A4, 'ANEXO A'!$A$2:$L$94, 11, FALSE), "")</f>
        <v/>
      </c>
      <c r="E4" s="38">
        <f>IFERROR(VLOOKUP(A4, 'ANEXO A'!$A$2:$L$94, 8, FALSE), "")</f>
        <v/>
      </c>
      <c r="F4" s="38">
        <f>IFERROR(VLOOKUP(A4, 'ANEXO A'!$A$2:$L$94, 9, FALSE), "")</f>
        <v/>
      </c>
      <c r="G4" s="38">
        <f>IFERROR(VLOOKUP(A4, 'ANEXO A'!$A$2:$L$94, 10, FALSE), "")</f>
        <v/>
      </c>
      <c r="H4" s="38">
        <f>IFERROR(VLOOKUP(A4, 'ANEXO A'!$A$2:$L$94, 12, FALSE), "")</f>
        <v/>
      </c>
      <c r="I4" s="38" t="inlineStr">
        <is>
          <t>6.7 Administración de roles y perfiles: Parametrizar y validar incompatibilidad de funciones y accesos mediante matrices SoD y workflows (GSO-GSI-MP-GSI).</t>
        </is>
      </c>
      <c r="J4" s="39">
        <f>"• Establecer lineamientos para " &amp; IFERROR(VLOOKUP(A4, 'ANEXO A'!$A$2:$L$94, 2, FALSE), "Este Control") &amp; CHAR(10) &amp; "• Definir roles para el control " &amp; A4 &amp; CHAR(10) &amp; "• Revisar efectividad de " &amp; IFERROR(VLOOKUP(A4, 'ANEXO A'!$A$2:$L$94, 2, FALSE), "Este Control")</f>
        <v/>
      </c>
      <c r="K4" s="39" t="inlineStr">
        <is>
          <t>Asegurar el cumplimiento, control y resguardo continuo de los procesos de Segregación de funciones a fin de mitigar riesgos y mantener la alineación a los principios de confidencialidad, integridad y disponibilidad aplicables a este dominio.</t>
        </is>
      </c>
      <c r="L4" s="39" t="inlineStr">
        <is>
          <t>La organización deberá implementar, registrar y monitorear operativamente todos los protocolos relacionados a Segregación de funciones, estableciendo políticas técnicas correspondientes.</t>
        </is>
      </c>
    </row>
    <row r="5" ht="67.5" customHeight="1" s="103">
      <c r="A5" s="38">
        <f>'ANEXO A'!A5</f>
        <v/>
      </c>
      <c r="B5" s="38">
        <f>IFERROR(VLOOKUP(A5, 'ANEXO A'!$A$2:$L$94, 2, FALSE), "")</f>
        <v/>
      </c>
      <c r="C5" s="38">
        <f>IF(LEFT(A5,1)="5", "5. Organizacionales", IF(LEFT(A5,1)="6", "6. Personas", IF(LEFT(A5,1)="7", "7. Físicos", "8. Tecnológicos")))</f>
        <v/>
      </c>
      <c r="D5" s="38">
        <f>IFERROR(VLOOKUP(A5, 'ANEXO A'!$A$2:$L$94, 11, FALSE), "")</f>
        <v/>
      </c>
      <c r="E5" s="38">
        <f>IFERROR(VLOOKUP(A5, 'ANEXO A'!$A$2:$L$94, 8, FALSE), "")</f>
        <v/>
      </c>
      <c r="F5" s="38">
        <f>IFERROR(VLOOKUP(A5, 'ANEXO A'!$A$2:$L$94, 9, FALSE), "")</f>
        <v/>
      </c>
      <c r="G5" s="38">
        <f>IFERROR(VLOOKUP(A5, 'ANEXO A'!$A$2:$L$94, 10, FALSE), "")</f>
        <v/>
      </c>
      <c r="H5" s="38">
        <f>IFERROR(VLOOKUP(A5, 'ANEXO A'!$A$2:$L$94, 12, FALSE), "")</f>
        <v/>
      </c>
      <c r="I5" s="38" t="inlineStr">
        <is>
          <t>6.1 Políticas Generales / Sec. 12 SEPS 002: Compromiso de la Alta Dirección y jefaturas en la exigencia y cumplimiento de políticas de SI (GSO-GSI-MP-GSI / SEPS-2022-002).</t>
        </is>
      </c>
      <c r="J5" s="39">
        <f>"• Establecer lineamientos para " &amp; IFERROR(VLOOKUP(A5, 'ANEXO A'!$A$2:$L$94, 2, FALSE), "Este Control") &amp; CHAR(10) &amp; "• Definir roles para el control " &amp; A5 &amp; CHAR(10) &amp; "• Revisar efectividad de " &amp; IFERROR(VLOOKUP(A5, 'ANEXO A'!$A$2:$L$94, 2, FALSE), "Este Control")</f>
        <v/>
      </c>
      <c r="K5" s="39" t="inlineStr">
        <is>
          <t>Asegurar el cumplimiento, control y resguardo continuo de los procesos de Responsabilidades de la dirección a fin de mitigar riesgos y mantener la alineación a los principios de confidencialidad, integridad y disponibilidad aplicables a este dominio.</t>
        </is>
      </c>
      <c r="L5" s="39" t="inlineStr">
        <is>
          <t>La organización deberá implementar, registrar y monitorear operativamente todos los protocolos relacionados a Responsabilidades de la dirección, estableciendo políticas técnicas correspondientes.</t>
        </is>
      </c>
    </row>
    <row r="6" ht="56.25" customHeight="1" s="103">
      <c r="A6" s="38">
        <f>'ANEXO A'!A6</f>
        <v/>
      </c>
      <c r="B6" s="38">
        <f>IFERROR(VLOOKUP(A6, 'ANEXO A'!$A$2:$L$94, 2, FALSE), "")</f>
        <v/>
      </c>
      <c r="C6" s="38">
        <f>IF(LEFT(A6,1)="5", "5. Organizacionales", IF(LEFT(A6,1)="6", "6. Personas", IF(LEFT(A6,1)="7", "7. Físicos", "8. Tecnológicos")))</f>
        <v/>
      </c>
      <c r="D6" s="38">
        <f>IFERROR(VLOOKUP(A6, 'ANEXO A'!$A$2:$L$94, 11, FALSE), "")</f>
        <v/>
      </c>
      <c r="E6" s="38">
        <f>IFERROR(VLOOKUP(A6, 'ANEXO A'!$A$2:$L$94, 8, FALSE), "")</f>
        <v/>
      </c>
      <c r="F6" s="38">
        <f>IFERROR(VLOOKUP(A6, 'ANEXO A'!$A$2:$L$94, 9, FALSE), "")</f>
        <v/>
      </c>
      <c r="G6" s="38">
        <f>IFERROR(VLOOKUP(A6, 'ANEXO A'!$A$2:$L$94, 10, FALSE), "")</f>
        <v/>
      </c>
      <c r="H6" s="38">
        <f>IFERROR(VLOOKUP(A6, 'ANEXO A'!$A$2:$L$94, 12, FALSE), "")</f>
        <v/>
      </c>
      <c r="I6" s="38" t="inlineStr">
        <is>
          <t>Disposición General 1era SEPS 002 / 6.15 Gestión de Incidentes: Notificación obligatoria e inmediata a la SEPS, Fiscalía y entes de control ante eventos críticos (SEPS-2022-002 / GSO-GSI-MP-GSI).</t>
        </is>
      </c>
      <c r="J6" s="39">
        <f>"• Establecer lineamientos para " &amp; IFERROR(VLOOKUP(A6, 'ANEXO A'!$A$2:$L$94, 2, FALSE), "Este Control") &amp; CHAR(10) &amp; "• Definir roles para el control " &amp; A6 &amp; CHAR(10) &amp; "• Revisar efectividad de " &amp; IFERROR(VLOOKUP(A6, 'ANEXO A'!$A$2:$L$94, 2, FALSE), "Este Control")</f>
        <v/>
      </c>
      <c r="K6" s="39" t="inlineStr">
        <is>
          <t>Asegurar el cumplimiento, control y resguardo continuo de los procesos de Contacto con las autoridades a fin de mitigar riesgos y mantener la alineación a los principios de confidencialidad, integridad y disponibilidad aplicables a este dominio.</t>
        </is>
      </c>
      <c r="L6" s="39" t="inlineStr">
        <is>
          <t>La organización deberá implementar, registrar y monitorear operativamente todos los protocolos relacionados a Contacto con las autoridades, estableciendo políticas técnicas correspondientes.</t>
        </is>
      </c>
    </row>
    <row r="7" ht="67.5" customHeight="1" s="103">
      <c r="A7" s="38">
        <f>'ANEXO A'!A7</f>
        <v/>
      </c>
      <c r="B7" s="38">
        <f>IFERROR(VLOOKUP(A7, 'ANEXO A'!$A$2:$L$94, 2, FALSE), "")</f>
        <v/>
      </c>
      <c r="C7" s="38">
        <f>IF(LEFT(A7,1)="5", "5. Organizacionales", IF(LEFT(A7,1)="6", "6. Personas", IF(LEFT(A7,1)="7", "7. Físicos", "8. Tecnológicos")))</f>
        <v/>
      </c>
      <c r="D7" s="38">
        <f>IFERROR(VLOOKUP(A7, 'ANEXO A'!$A$2:$L$94, 11, FALSE), "")</f>
        <v/>
      </c>
      <c r="E7" s="38">
        <f>IFERROR(VLOOKUP(A7, 'ANEXO A'!$A$2:$L$94, 8, FALSE), "")</f>
        <v/>
      </c>
      <c r="F7" s="38">
        <f>IFERROR(VLOOKUP(A7, 'ANEXO A'!$A$2:$L$94, 9, FALSE), "")</f>
        <v/>
      </c>
      <c r="G7" s="38">
        <f>IFERROR(VLOOKUP(A7, 'ANEXO A'!$A$2:$L$94, 10, FALSE), "")</f>
        <v/>
      </c>
      <c r="H7" s="38">
        <f>IFERROR(VLOOKUP(A7, 'ANEXO A'!$A$2:$L$94, 12, FALSE), "")</f>
        <v/>
      </c>
      <c r="I7" s="38" t="inlineStr">
        <is>
          <t>Marco Normativo y Alianzas: Mantener membresías, foros y canales de comunicación técnica con asociaciones del sector financiero popular y solidario (ISO 27002 / GSO-GSI-MP-GSI).</t>
        </is>
      </c>
      <c r="J7" s="39">
        <f>"• Establecer lineamientos para " &amp; IFERROR(VLOOKUP(A7, 'ANEXO A'!$A$2:$L$94, 2, FALSE), "Este Control") &amp; CHAR(10) &amp; "• Definir roles para el control " &amp; A7 &amp; CHAR(10) &amp; "• Revisar efectividad de " &amp; IFERROR(VLOOKUP(A7, 'ANEXO A'!$A$2:$L$94, 2, FALSE), "Este Control")</f>
        <v/>
      </c>
      <c r="K7" s="39"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L7" s="39" t="inlineStr">
        <is>
          <t>La organización deberá implementar, registrar y monitorear operativamente todos los protocolos relacionados a Contacto con grupos de interés especial, estableciendo políticas técnicas correspondientes.</t>
        </is>
      </c>
    </row>
    <row r="8" ht="56.25" customHeight="1" s="103">
      <c r="A8" s="38">
        <f>'ANEXO A'!A8</f>
        <v/>
      </c>
      <c r="B8" s="38">
        <f>IFERROR(VLOOKUP(A8, 'ANEXO A'!$A$2:$L$94, 2, FALSE), "")</f>
        <v/>
      </c>
      <c r="C8" s="38">
        <f>IF(LEFT(A8,1)="5", "5. Organizacionales", IF(LEFT(A8,1)="6", "6. Personas", IF(LEFT(A8,1)="7", "7. Físicos", "8. Tecnológicos")))</f>
        <v/>
      </c>
      <c r="D8" s="38">
        <f>IFERROR(VLOOKUP(A8, 'ANEXO A'!$A$2:$L$94, 11, FALSE), "")</f>
        <v/>
      </c>
      <c r="E8" s="38">
        <f>IFERROR(VLOOKUP(A8, 'ANEXO A'!$A$2:$L$94, 8, FALSE), "")</f>
        <v/>
      </c>
      <c r="F8" s="38">
        <f>IFERROR(VLOOKUP(A8, 'ANEXO A'!$A$2:$L$94, 9, FALSE), "")</f>
        <v/>
      </c>
      <c r="G8" s="38">
        <f>IFERROR(VLOOKUP(A8, 'ANEXO A'!$A$2:$L$94, 10, FALSE), "")</f>
        <v/>
      </c>
      <c r="H8" s="38">
        <f>IFERROR(VLOOKUP(A8, 'ANEXO A'!$A$2:$L$94, 12, FALSE), "")</f>
        <v/>
      </c>
      <c r="I8" s="38" t="inlineStr">
        <is>
          <t>10.2 Metodología GAI / 6.19 Escaneo: Recopilación y análisis de fuentes de amenazas adversarias y no adversarias (S1-S40) (GSO-GSI-ME-GAI / GSO-GSI-MP-GSI).</t>
        </is>
      </c>
      <c r="J8" s="39">
        <f>"• Establecer lineamientos para " &amp; IFERROR(VLOOKUP(A8, 'ANEXO A'!$A$2:$L$94, 2, FALSE), "Este Control") &amp; CHAR(10) &amp; "• Definir roles para el control " &amp; A8 &amp; CHAR(10) &amp; "• Revisar efectividad de " &amp; IFERROR(VLOOKUP(A8, 'ANEXO A'!$A$2:$L$94, 2, FALSE), "Este Control")</f>
        <v/>
      </c>
      <c r="K8" s="39" t="inlineStr">
        <is>
          <t>Asegurar el cumplimiento, control y resguardo continuo de los procesos de Inteligencia de amenazas a fin de mitigar riesgos y mantener la alineación a los principios de confidencialidad, integridad y disponibilidad aplicables a este dominio.</t>
        </is>
      </c>
      <c r="L8" s="39" t="inlineStr">
        <is>
          <t>La organización deberá implementar, registrar y monitorear operativamente todos los protocolos relacionados a Inteligencia de amenazas, estableciendo políticas técnicas correspondientes.</t>
        </is>
      </c>
    </row>
    <row r="9" ht="78.75" customHeight="1" s="103">
      <c r="A9" s="38">
        <f>'ANEXO A'!A9</f>
        <v/>
      </c>
      <c r="B9" s="38">
        <f>IFERROR(VLOOKUP(A9, 'ANEXO A'!$A$2:$L$94, 2, FALSE), "")</f>
        <v/>
      </c>
      <c r="C9" s="38">
        <f>IF(LEFT(A9,1)="5", "5. Organizacionales", IF(LEFT(A9,1)="6", "6. Personas", IF(LEFT(A9,1)="7", "7. Físicos", "8. Tecnológicos")))</f>
        <v/>
      </c>
      <c r="D9" s="38">
        <f>IFERROR(VLOOKUP(A9, 'ANEXO A'!$A$2:$L$94, 11, FALSE), "")</f>
        <v/>
      </c>
      <c r="E9" s="38">
        <f>IFERROR(VLOOKUP(A9, 'ANEXO A'!$A$2:$L$94, 8, FALSE), "")</f>
        <v/>
      </c>
      <c r="F9" s="38">
        <f>IFERROR(VLOOKUP(A9, 'ANEXO A'!$A$2:$L$94, 9, FALSE), "")</f>
        <v/>
      </c>
      <c r="G9" s="38">
        <f>IFERROR(VLOOKUP(A9, 'ANEXO A'!$A$2:$L$94, 10, FALSE), "")</f>
        <v/>
      </c>
      <c r="H9" s="38">
        <f>IFERROR(VLOOKUP(A9, 'ANEXO A'!$A$2:$L$94, 12, FALSE), "")</f>
        <v/>
      </c>
      <c r="I9" s="38" t="inlineStr">
        <is>
          <t>6.13 Gestión de activos / Anexo 1 SEPS: Inclusión de directrices y análisis de riesgos de SI desde las fases iniciales de nuevos proyectos y servicios (GSO-GSI-ME-GAI / SEPS-2022-002).</t>
        </is>
      </c>
      <c r="J9" s="39">
        <f>"• Establecer lineamientos para " &amp; IFERROR(VLOOKUP(A9, 'ANEXO A'!$A$2:$L$94, 2, FALSE), "Este Control") &amp; CHAR(10) &amp; "• Definir roles para el control " &amp; A9 &amp; CHAR(10) &amp; "• Revisar efectividad de " &amp; IFERROR(VLOOKUP(A9, 'ANEXO A'!$A$2:$L$94, 2, FALSE), "Este Control")</f>
        <v/>
      </c>
      <c r="K9" s="39"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L9" s="39" t="inlineStr">
        <is>
          <t>La organización deberá implementar, registrar y monitorear operativamente todos los protocolos relacionados a Seguridad de la información en la gestión de proyectos, estableciendo políticas técnicas correspondientes.</t>
        </is>
      </c>
    </row>
    <row r="10" ht="78.75" customHeight="1" s="103">
      <c r="A10" s="38">
        <f>'ANEXO A'!A10</f>
        <v/>
      </c>
      <c r="B10" s="38">
        <f>IFERROR(VLOOKUP(A10, 'ANEXO A'!$A$2:$L$94, 2, FALSE), "")</f>
        <v/>
      </c>
      <c r="C10" s="38">
        <f>IF(LEFT(A10,1)="5", "5. Organizacionales", IF(LEFT(A10,1)="6", "6. Personas", IF(LEFT(A10,1)="7", "7. Físicos", "8. Tecnológicos")))</f>
        <v/>
      </c>
      <c r="D10" s="38">
        <f>IFERROR(VLOOKUP(A10, 'ANEXO A'!$A$2:$L$94, 11, FALSE), "")</f>
        <v/>
      </c>
      <c r="E10" s="38">
        <f>IFERROR(VLOOKUP(A10, 'ANEXO A'!$A$2:$L$94, 8, FALSE), "")</f>
        <v/>
      </c>
      <c r="F10" s="38">
        <f>IFERROR(VLOOKUP(A10, 'ANEXO A'!$A$2:$L$94, 9, FALSE), "")</f>
        <v/>
      </c>
      <c r="G10" s="38">
        <f>IFERROR(VLOOKUP(A10, 'ANEXO A'!$A$2:$L$94, 10, FALSE), "")</f>
        <v/>
      </c>
      <c r="H10" s="38">
        <f>IFERROR(VLOOKUP(A10, 'ANEXO A'!$A$2:$L$94, 12, FALSE), "")</f>
        <v/>
      </c>
      <c r="I10" s="38" t="inlineStr">
        <is>
          <t>6.13. Gestión de activos de información - Mantener un inventario actualizado (GSO-GSI-MP-GSI)</t>
        </is>
      </c>
      <c r="J10" s="39">
        <f>"• Establecer lineamientos para " &amp; IFERROR(VLOOKUP(A10, 'ANEXO A'!$A$2:$L$94, 2, FALSE), "Este Control") &amp; CHAR(10) &amp; "• Definir roles para el control " &amp; A10 &amp; CHAR(10) &amp; "• Revisar efectividad de " &amp; IFERROR(VLOOKUP(A10, 'ANEXO A'!$A$2:$L$94, 2, FALSE), "Este Control")</f>
        <v/>
      </c>
      <c r="K10" s="39"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L10" s="39" t="inlineStr">
        <is>
          <t>La organización deberá implementar, registrar y monitorear operativamente todos los protocolos relacionados a Inventario de información y otros activos asociados, estableciendo políticas técnicas correspondientes.</t>
        </is>
      </c>
    </row>
    <row r="11" ht="78.75" customHeight="1" s="103">
      <c r="A11" s="38">
        <f>'ANEXO A'!A11</f>
        <v/>
      </c>
      <c r="B11" s="38">
        <f>IFERROR(VLOOKUP(A11, 'ANEXO A'!$A$2:$L$94, 2, FALSE), "")</f>
        <v/>
      </c>
      <c r="C11" s="38">
        <f>IF(LEFT(A11,1)="5", "5. Organizacionales", IF(LEFT(A11,1)="6", "6. Personas", IF(LEFT(A11,1)="7", "7. Físicos", "8. Tecnológicos")))</f>
        <v/>
      </c>
      <c r="D11" s="38">
        <f>IFERROR(VLOOKUP(A11, 'ANEXO A'!$A$2:$L$94, 11, FALSE), "")</f>
        <v/>
      </c>
      <c r="E11" s="38">
        <f>IFERROR(VLOOKUP(A11, 'ANEXO A'!$A$2:$L$94, 8, FALSE), "")</f>
        <v/>
      </c>
      <c r="F11" s="38">
        <f>IFERROR(VLOOKUP(A11, 'ANEXO A'!$A$2:$L$94, 9, FALSE), "")</f>
        <v/>
      </c>
      <c r="G11" s="38">
        <f>IFERROR(VLOOKUP(A11, 'ANEXO A'!$A$2:$L$94, 10, FALSE), "")</f>
        <v/>
      </c>
      <c r="H11" s="38">
        <f>IFERROR(VLOOKUP(A11, 'ANEXO A'!$A$2:$L$94, 12, FALSE), "")</f>
        <v/>
      </c>
      <c r="I11" s="38" t="inlineStr">
        <is>
          <t>6.16 Revisión y monitoreo de políticas: Difundir y fiscalizar el uso legítimo de estaciones, correo y recursos corporativos (GSO-GSI-MP-GSI).</t>
        </is>
      </c>
      <c r="J11" s="39">
        <f>"• Establecer lineamientos para " &amp; IFERROR(VLOOKUP(A11, 'ANEXO A'!$A$2:$L$94, 2, FALSE), "Este Control") &amp; CHAR(10) &amp; "• Definir roles para el control " &amp; A11 &amp; CHAR(10) &amp; "• Revisar efectividad de " &amp; IFERROR(VLOOKUP(A11, 'ANEXO A'!$A$2:$L$94, 2, FALSE), "Este Control")</f>
        <v/>
      </c>
      <c r="K11" s="39"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L11" s="39" t="inlineStr">
        <is>
          <t>La organización deberá implementar, registrar y monitorear operativamente todos los protocolos relacionados a Uso aceptable de la información y otros activos asociados, estableciendo políticas técnicas correspondientes.</t>
        </is>
      </c>
    </row>
    <row r="12" ht="56.25" customHeight="1" s="103">
      <c r="A12" s="38">
        <f>'ANEXO A'!A12</f>
        <v/>
      </c>
      <c r="B12" s="38">
        <f>IFERROR(VLOOKUP(A12, 'ANEXO A'!$A$2:$L$94, 2, FALSE), "")</f>
        <v/>
      </c>
      <c r="C12" s="38">
        <f>IF(LEFT(A12,1)="5", "5. Organizacionales", IF(LEFT(A12,1)="6", "6. Personas", IF(LEFT(A12,1)="7", "7. Físicos", "8. Tecnológicos")))</f>
        <v/>
      </c>
      <c r="D12" s="38">
        <f>IFERROR(VLOOKUP(A12, 'ANEXO A'!$A$2:$L$94, 11, FALSE), "")</f>
        <v/>
      </c>
      <c r="E12" s="38">
        <f>IFERROR(VLOOKUP(A12, 'ANEXO A'!$A$2:$L$94, 8, FALSE), "")</f>
        <v/>
      </c>
      <c r="F12" s="38">
        <f>IFERROR(VLOOKUP(A12, 'ANEXO A'!$A$2:$L$94, 9, FALSE), "")</f>
        <v/>
      </c>
      <c r="G12" s="38">
        <f>IFERROR(VLOOKUP(A12, 'ANEXO A'!$A$2:$L$94, 10, FALSE), "")</f>
        <v/>
      </c>
      <c r="H12" s="38">
        <f>IFERROR(VLOOKUP(A12, 'ANEXO A'!$A$2:$L$94, 12, FALSE), "")</f>
        <v/>
      </c>
      <c r="I12" s="38" t="inlineStr">
        <is>
          <t>6.5 Eliminación de usuarios: Recepción formal y descargo de equipos, accesos y credenciales ante terminación o rotación laboral (GSO-GSI-MP-GSI / GSO-GSI-ME-GAI Sec. 1).</t>
        </is>
      </c>
      <c r="J12" s="39">
        <f>"• Establecer lineamientos para " &amp; IFERROR(VLOOKUP(A12, 'ANEXO A'!$A$2:$L$94, 2, FALSE), "Este Control") &amp; CHAR(10) &amp; "• Definir roles para el control " &amp; A12 &amp; CHAR(10) &amp; "• Revisar efectividad de " &amp; IFERROR(VLOOKUP(A12, 'ANEXO A'!$A$2:$L$94, 2, FALSE), "Este Control")</f>
        <v/>
      </c>
      <c r="K12" s="39" t="inlineStr">
        <is>
          <t>Asegurar el cumplimiento, control y resguardo continuo de los procesos de Devolución de activos a fin de mitigar riesgos y mantener la alineación a los principios de confidencialidad, integridad y disponibilidad aplicables a este dominio.</t>
        </is>
      </c>
      <c r="L12" s="39" t="inlineStr">
        <is>
          <t>La organización deberá implementar, registrar y monitorear operativamente todos los protocolos relacionados a Devolución de activos, estableciendo políticas técnicas correspondientes.</t>
        </is>
      </c>
    </row>
    <row r="13" ht="56.25" customHeight="1" s="103">
      <c r="A13" s="38">
        <f>'ANEXO A'!A13</f>
        <v/>
      </c>
      <c r="B13" s="38">
        <f>IFERROR(VLOOKUP(A13, 'ANEXO A'!$A$2:$L$94, 2, FALSE), "")</f>
        <v/>
      </c>
      <c r="C13" s="38">
        <f>IF(LEFT(A13,1)="5", "5. Organizacionales", IF(LEFT(A13,1)="6", "6. Personas", IF(LEFT(A13,1)="7", "7. Físicos", "8. Tecnológicos")))</f>
        <v/>
      </c>
      <c r="D13" s="38">
        <f>IFERROR(VLOOKUP(A13, 'ANEXO A'!$A$2:$L$94, 11, FALSE), "")</f>
        <v/>
      </c>
      <c r="E13" s="38">
        <f>IFERROR(VLOOKUP(A13, 'ANEXO A'!$A$2:$L$94, 8, FALSE), "")</f>
        <v/>
      </c>
      <c r="F13" s="38">
        <f>IFERROR(VLOOKUP(A13, 'ANEXO A'!$A$2:$L$94, 9, FALSE), "")</f>
        <v/>
      </c>
      <c r="G13" s="38">
        <f>IFERROR(VLOOKUP(A13, 'ANEXO A'!$A$2:$L$94, 10, FALSE), "")</f>
        <v/>
      </c>
      <c r="H13" s="38">
        <f>IFERROR(VLOOKUP(A13, 'ANEXO A'!$A$2:$L$94, 12, FALSE), "")</f>
        <v/>
      </c>
      <c r="I13" s="38" t="inlineStr">
        <is>
          <t>Sec. 7 y 8 Metodología GAI: Clasificación y valoración de activos en Confidencialidad, Integridad y Disponibilidad (Pública, Uso Interno, Restringida) (GSO-GSI-ME-GAI).</t>
        </is>
      </c>
      <c r="J13" s="39">
        <f>"• Establecer lineamientos para " &amp; IFERROR(VLOOKUP(A13, 'ANEXO A'!$A$2:$L$94, 2, FALSE), "Este Control") &amp; CHAR(10) &amp; "• Definir roles para el control " &amp; A13 &amp; CHAR(10) &amp; "• Revisar efectividad de " &amp; IFERROR(VLOOKUP(A13, 'ANEXO A'!$A$2:$L$94, 2, FALSE), "Este Control")</f>
        <v/>
      </c>
      <c r="K13" s="39" t="inlineStr">
        <is>
          <t>Asegurar el cumplimiento, control y resguardo continuo de los procesos de Clasificación de la información a fin de mitigar riesgos y mantener la alineación a los principios de confidencialidad, integridad y disponibilidad aplicables a este dominio.</t>
        </is>
      </c>
      <c r="L13" s="39" t="inlineStr">
        <is>
          <t>La organización deberá implementar, registrar y monitorear operativamente todos los protocolos relacionados a Clasificación de la información, estableciendo políticas técnicas correspondientes.</t>
        </is>
      </c>
    </row>
    <row r="14" ht="56.25" customHeight="1" s="103">
      <c r="A14" s="38">
        <f>'ANEXO A'!A14</f>
        <v/>
      </c>
      <c r="B14" s="38">
        <f>IFERROR(VLOOKUP(A14, 'ANEXO A'!$A$2:$L$94, 2, FALSE), "")</f>
        <v/>
      </c>
      <c r="C14" s="38">
        <f>IF(LEFT(A14,1)="5", "5. Organizacionales", IF(LEFT(A14,1)="6", "6. Personas", IF(LEFT(A14,1)="7", "7. Físicos", "8. Tecnológicos")))</f>
        <v/>
      </c>
      <c r="D14" s="38">
        <f>IFERROR(VLOOKUP(A14, 'ANEXO A'!$A$2:$L$94, 11, FALSE), "")</f>
        <v/>
      </c>
      <c r="E14" s="38">
        <f>IFERROR(VLOOKUP(A14, 'ANEXO A'!$A$2:$L$94, 8, FALSE), "")</f>
        <v/>
      </c>
      <c r="F14" s="38">
        <f>IFERROR(VLOOKUP(A14, 'ANEXO A'!$A$2:$L$94, 9, FALSE), "")</f>
        <v/>
      </c>
      <c r="G14" s="38">
        <f>IFERROR(VLOOKUP(A14, 'ANEXO A'!$A$2:$L$94, 10, FALSE), "")</f>
        <v/>
      </c>
      <c r="H14" s="38">
        <f>IFERROR(VLOOKUP(A14, 'ANEXO A'!$A$2:$L$94, 12, FALSE), "")</f>
        <v/>
      </c>
      <c r="I14" s="38" t="inlineStr">
        <is>
          <t>Sec. 5 y 7 Metodología GAI: Aplicación de lineamientos para marcado y rotulado de información física y digital según su confidencialidad (GSO-GSI-ME-GAI).</t>
        </is>
      </c>
      <c r="J14" s="39">
        <f>"• Establecer lineamientos para " &amp; IFERROR(VLOOKUP(A14, 'ANEXO A'!$A$2:$L$94, 2, FALSE), "Este Control") &amp; CHAR(10) &amp; "• Definir roles para el control " &amp; A14 &amp; CHAR(10) &amp; "• Revisar efectividad de " &amp; IFERROR(VLOOKUP(A14, 'ANEXO A'!$A$2:$L$94, 2, FALSE), "Este Control")</f>
        <v/>
      </c>
      <c r="K14" s="39" t="inlineStr">
        <is>
          <t>Asegurar el cumplimiento, control y resguardo continuo de los procesos de Etiquetado de la información a fin de mitigar riesgos y mantener la alineación a los principios de confidencialidad, integridad y disponibilidad aplicables a este dominio.</t>
        </is>
      </c>
      <c r="L14" s="39" t="inlineStr">
        <is>
          <t>La organización deberá implementar, registrar y monitorear operativamente todos los protocolos relacionados a Etiquetado de la información, estableciendo políticas técnicas correspondientes.</t>
        </is>
      </c>
    </row>
    <row r="15" ht="67.5" customHeight="1" s="103">
      <c r="A15" s="38">
        <f>'ANEXO A'!A15</f>
        <v/>
      </c>
      <c r="B15" s="38">
        <f>IFERROR(VLOOKUP(A15, 'ANEXO A'!$A$2:$L$94, 2, FALSE), "")</f>
        <v/>
      </c>
      <c r="C15" s="38">
        <f>IF(LEFT(A15,1)="5", "5. Organizacionales", IF(LEFT(A15,1)="6", "6. Personas", IF(LEFT(A15,1)="7", "7. Físicos", "8. Tecnológicos")))</f>
        <v/>
      </c>
      <c r="D15" s="38">
        <f>IFERROR(VLOOKUP(A15, 'ANEXO A'!$A$2:$L$94, 11, FALSE), "")</f>
        <v/>
      </c>
      <c r="E15" s="38">
        <f>IFERROR(VLOOKUP(A15, 'ANEXO A'!$A$2:$L$94, 8, FALSE), "")</f>
        <v/>
      </c>
      <c r="F15" s="38">
        <f>IFERROR(VLOOKUP(A15, 'ANEXO A'!$A$2:$L$94, 9, FALSE), "")</f>
        <v/>
      </c>
      <c r="G15" s="38">
        <f>IFERROR(VLOOKUP(A15, 'ANEXO A'!$A$2:$L$94, 10, FALSE), "")</f>
        <v/>
      </c>
      <c r="H15" s="38">
        <f>IFERROR(VLOOKUP(A15, 'ANEXO A'!$A$2:$L$94, 12, FALSE), "")</f>
        <v/>
      </c>
      <c r="I15" s="38" t="inlineStr">
        <is>
          <t>6.9 Control de acceso FTP / Acuerdos: Procedimientos seguros de transmisión de datos cifrados interna y externamente vía canales autorizados (GSO-GSI-MP-GSI).</t>
        </is>
      </c>
      <c r="J15" s="39">
        <f>"• Establecer lineamientos para " &amp; IFERROR(VLOOKUP(A15, 'ANEXO A'!$A$2:$L$94, 2, FALSE), "Este Control") &amp; CHAR(10) &amp; "• Definir roles para el control " &amp; A15 &amp; CHAR(10) &amp; "• Revisar efectividad de " &amp; IFERROR(VLOOKUP(A15, 'ANEXO A'!$A$2:$L$94, 2, FALSE), "Este Control")</f>
        <v/>
      </c>
      <c r="K15" s="39" t="inlineStr">
        <is>
          <t>Asegurar el cumplimiento, control y resguardo continuo de los procesos de Transferencia de información a fin de mitigar riesgos y mantener la alineación a los principios de confidencialidad, integridad y disponibilidad aplicables a este dominio.</t>
        </is>
      </c>
      <c r="L15" s="39" t="inlineStr">
        <is>
          <t>La organización deberá implementar, registrar y monitorear operativamente todos los protocolos relacionados a Transferencia de información, estableciendo políticas técnicas correspondientes.</t>
        </is>
      </c>
    </row>
    <row r="16" ht="56.25" customHeight="1" s="103">
      <c r="A16" s="38">
        <f>'ANEXO A'!A16</f>
        <v/>
      </c>
      <c r="B16" s="38">
        <f>IFERROR(VLOOKUP(A16, 'ANEXO A'!$A$2:$L$94, 2, FALSE), "")</f>
        <v/>
      </c>
      <c r="C16" s="38">
        <f>IF(LEFT(A16,1)="5", "5. Organizacionales", IF(LEFT(A16,1)="6", "6. Personas", IF(LEFT(A16,1)="7", "7. Físicos", "8. Tecnológicos")))</f>
        <v/>
      </c>
      <c r="D16" s="38">
        <f>IFERROR(VLOOKUP(A16, 'ANEXO A'!$A$2:$L$94, 11, FALSE), "")</f>
        <v/>
      </c>
      <c r="E16" s="38">
        <f>IFERROR(VLOOKUP(A16, 'ANEXO A'!$A$2:$L$94, 8, FALSE), "")</f>
        <v/>
      </c>
      <c r="F16" s="38">
        <f>IFERROR(VLOOKUP(A16, 'ANEXO A'!$A$2:$L$94, 9, FALSE), "")</f>
        <v/>
      </c>
      <c r="G16" s="38">
        <f>IFERROR(VLOOKUP(A16, 'ANEXO A'!$A$2:$L$94, 10, FALSE), "")</f>
        <v/>
      </c>
      <c r="H16" s="38">
        <f>IFERROR(VLOOKUP(A16, 'ANEXO A'!$A$2:$L$94, 12, FALSE), "")</f>
        <v/>
      </c>
      <c r="I16" s="38" t="inlineStr">
        <is>
          <t>6.2. Creación de nuevos usuarios - Asignación de usuarios y roles según GSO-GSI-MP-GSI</t>
        </is>
      </c>
      <c r="J16" s="39">
        <f>"• Establecer lineamientos para " &amp; IFERROR(VLOOKUP(A16, 'ANEXO A'!$A$2:$L$94, 2, FALSE), "Este Control") &amp; CHAR(10) &amp; "• Definir roles para el control " &amp; A16 &amp; CHAR(10) &amp; "• Revisar efectividad de " &amp; IFERROR(VLOOKUP(A16, 'ANEXO A'!$A$2:$L$94, 2, FALSE), "Este Control")</f>
        <v/>
      </c>
      <c r="K16" s="39" t="inlineStr">
        <is>
          <t>Asegurar el cumplimiento, control y resguardo continuo de los procesos de Control de acceso a fin de mitigar riesgos y mantener la alineación a los principios de confidencialidad, integridad y disponibilidad aplicables a este dominio.</t>
        </is>
      </c>
      <c r="L16" s="39" t="inlineStr">
        <is>
          <t>La organización deberá implementar, registrar y monitorear operativamente todos los protocolos relacionados a Control de acceso, estableciendo políticas técnicas correspondientes.</t>
        </is>
      </c>
    </row>
    <row r="17" ht="56.25" customHeight="1" s="103">
      <c r="A17" s="38">
        <f>'ANEXO A'!A17</f>
        <v/>
      </c>
      <c r="B17" s="38">
        <f>IFERROR(VLOOKUP(A17, 'ANEXO A'!$A$2:$L$94, 2, FALSE), "")</f>
        <v/>
      </c>
      <c r="C17" s="38">
        <f>IF(LEFT(A17,1)="5", "5. Organizacionales", IF(LEFT(A17,1)="6", "6. Personas", IF(LEFT(A17,1)="7", "7. Físicos", "8. Tecnológicos")))</f>
        <v/>
      </c>
      <c r="D17" s="38">
        <f>IFERROR(VLOOKUP(A17, 'ANEXO A'!$A$2:$L$94, 11, FALSE), "")</f>
        <v/>
      </c>
      <c r="E17" s="38">
        <f>IFERROR(VLOOKUP(A17, 'ANEXO A'!$A$2:$L$94, 8, FALSE), "")</f>
        <v/>
      </c>
      <c r="F17" s="38">
        <f>IFERROR(VLOOKUP(A17, 'ANEXO A'!$A$2:$L$94, 9, FALSE), "")</f>
        <v/>
      </c>
      <c r="G17" s="38">
        <f>IFERROR(VLOOKUP(A17, 'ANEXO A'!$A$2:$L$94, 10, FALSE), "")</f>
        <v/>
      </c>
      <c r="H17" s="38">
        <f>IFERROR(VLOOKUP(A17, 'ANEXO A'!$A$2:$L$94, 12, FALSE), "")</f>
        <v/>
      </c>
      <c r="I17" s="38" t="inlineStr">
        <is>
          <t>6.2. Creación de nuevos usuarios - Asignación de usuarios y roles según GSO-GSI-MP-GSI</t>
        </is>
      </c>
      <c r="J17" s="39">
        <f>"• Establecer lineamientos para " &amp; IFERROR(VLOOKUP(A17, 'ANEXO A'!$A$2:$L$94, 2, FALSE), "Este Control") &amp; CHAR(10) &amp; "• Definir roles para el control " &amp; A17 &amp; CHAR(10) &amp; "• Revisar efectividad de " &amp; IFERROR(VLOOKUP(A17, 'ANEXO A'!$A$2:$L$94, 2, FALSE), "Este Control")</f>
        <v/>
      </c>
      <c r="K17" s="39" t="inlineStr">
        <is>
          <t>Asegurar el cumplimiento, control y resguardo continuo de los procesos de Gestión de identidades a fin de mitigar riesgos y mantener la alineación a los principios de confidencialidad, integridad y disponibilidad aplicables a este dominio.</t>
        </is>
      </c>
      <c r="L17" s="39" t="inlineStr">
        <is>
          <t>La organización deberá implementar, registrar y monitorear operativamente todos los protocolos relacionados a Gestión de identidades, estableciendo políticas técnicas correspondientes.</t>
        </is>
      </c>
    </row>
    <row r="18" ht="56.25" customHeight="1" s="103">
      <c r="A18" s="38">
        <f>'ANEXO A'!A18</f>
        <v/>
      </c>
      <c r="B18" s="38">
        <f>IFERROR(VLOOKUP(A18, 'ANEXO A'!$A$2:$L$94, 2, FALSE), "")</f>
        <v/>
      </c>
      <c r="C18" s="38">
        <f>IF(LEFT(A18,1)="5", "5. Organizacionales", IF(LEFT(A18,1)="6", "6. Personas", IF(LEFT(A18,1)="7", "7. Físicos", "8. Tecnológicos")))</f>
        <v/>
      </c>
      <c r="D18" s="38">
        <f>IFERROR(VLOOKUP(A18, 'ANEXO A'!$A$2:$L$94, 11, FALSE), "")</f>
        <v/>
      </c>
      <c r="E18" s="38">
        <f>IFERROR(VLOOKUP(A18, 'ANEXO A'!$A$2:$L$94, 8, FALSE), "")</f>
        <v/>
      </c>
      <c r="F18" s="38">
        <f>IFERROR(VLOOKUP(A18, 'ANEXO A'!$A$2:$L$94, 9, FALSE), "")</f>
        <v/>
      </c>
      <c r="G18" s="38">
        <f>IFERROR(VLOOKUP(A18, 'ANEXO A'!$A$2:$L$94, 10, FALSE), "")</f>
        <v/>
      </c>
      <c r="H18" s="38">
        <f>IFERROR(VLOOKUP(A18, 'ANEXO A'!$A$2:$L$94, 12, FALSE), "")</f>
        <v/>
      </c>
      <c r="I18" s="38" t="inlineStr">
        <is>
          <t>6.11. Cambio de claves de cuentas críticas - Renovar periódicamente las contraseñas (GSO-GSI-MP-GSI)</t>
        </is>
      </c>
      <c r="J18" s="39">
        <f>"• Establecer lineamientos para " &amp; IFERROR(VLOOKUP(A18, 'ANEXO A'!$A$2:$L$94, 2, FALSE), "Este Control") &amp; CHAR(10) &amp; "• Definir roles para el control " &amp; A18 &amp; CHAR(10) &amp; "• Revisar efectividad de " &amp; IFERROR(VLOOKUP(A18, 'ANEXO A'!$A$2:$L$94, 2, FALSE), "Este Control")</f>
        <v/>
      </c>
      <c r="K18" s="39" t="inlineStr">
        <is>
          <t>Asegurar el cumplimiento, control y resguardo continuo de los procesos de Información de autenticación a fin de mitigar riesgos y mantener la alineación a los principios de confidencialidad, integridad y disponibilidad aplicables a este dominio.</t>
        </is>
      </c>
      <c r="L18" s="39" t="inlineStr">
        <is>
          <t>La organización deberá implementar, registrar y monitorear operativamente todos los protocolos relacionados a Información de autenticación, estableciendo políticas técnicas correspondientes.</t>
        </is>
      </c>
    </row>
    <row r="19" ht="56.25" customHeight="1" s="103">
      <c r="A19" s="38">
        <f>'ANEXO A'!A19</f>
        <v/>
      </c>
      <c r="B19" s="38">
        <f>IFERROR(VLOOKUP(A19, 'ANEXO A'!$A$2:$L$94, 2, FALSE), "")</f>
        <v/>
      </c>
      <c r="C19" s="38">
        <f>IF(LEFT(A19,1)="5", "5. Organizacionales", IF(LEFT(A19,1)="6", "6. Personas", IF(LEFT(A19,1)="7", "7. Físicos", "8. Tecnológicos")))</f>
        <v/>
      </c>
      <c r="D19" s="38">
        <f>IFERROR(VLOOKUP(A19, 'ANEXO A'!$A$2:$L$94, 11, FALSE), "")</f>
        <v/>
      </c>
      <c r="E19" s="38">
        <f>IFERROR(VLOOKUP(A19, 'ANEXO A'!$A$2:$L$94, 8, FALSE), "")</f>
        <v/>
      </c>
      <c r="F19" s="38">
        <f>IFERROR(VLOOKUP(A19, 'ANEXO A'!$A$2:$L$94, 9, FALSE), "")</f>
        <v/>
      </c>
      <c r="G19" s="38">
        <f>IFERROR(VLOOKUP(A19, 'ANEXO A'!$A$2:$L$94, 10, FALSE), "")</f>
        <v/>
      </c>
      <c r="H19" s="38">
        <f>IFERROR(VLOOKUP(A19, 'ANEXO A'!$A$2:$L$94, 12, FALSE), "")</f>
        <v/>
      </c>
      <c r="I19" s="38" t="inlineStr">
        <is>
          <t>6.10. Revisión periódica de roles y usuarios - Control y auditoría de accesos (GSO-GSI-MP-GSI)</t>
        </is>
      </c>
      <c r="J19" s="39">
        <f>"• Establecer lineamientos para " &amp; IFERROR(VLOOKUP(A19, 'ANEXO A'!$A$2:$L$94, 2, FALSE), "Este Control") &amp; CHAR(10) &amp; "• Definir roles para el control " &amp; A19 &amp; CHAR(10) &amp; "• Revisar efectividad de " &amp; IFERROR(VLOOKUP(A19, 'ANEXO A'!$A$2:$L$94, 2, FALSE), "Este Control")</f>
        <v/>
      </c>
      <c r="K19" s="39" t="inlineStr">
        <is>
          <t>Asegurar el cumplimiento, control y resguardo continuo de los procesos de Derechos de acceso a fin de mitigar riesgos y mantener la alineación a los principios de confidencialidad, integridad y disponibilidad aplicables a este dominio.</t>
        </is>
      </c>
      <c r="L19" s="39" t="inlineStr">
        <is>
          <t>La organización deberá implementar, registrar y monitorear operativamente todos los protocolos relacionados a Derechos de acceso, estableciendo políticas técnicas correspondientes.</t>
        </is>
      </c>
    </row>
    <row r="20" ht="78.75" customHeight="1" s="103">
      <c r="A20" s="38">
        <f>'ANEXO A'!A20</f>
        <v/>
      </c>
      <c r="B20" s="38">
        <f>IFERROR(VLOOKUP(A20, 'ANEXO A'!$A$2:$L$94, 2, FALSE), "")</f>
        <v/>
      </c>
      <c r="C20" s="38">
        <f>IF(LEFT(A20,1)="5", "5. Organizacionales", IF(LEFT(A20,1)="6", "6. Personas", IF(LEFT(A20,1)="7", "7. Físicos", "8. Tecnológicos")))</f>
        <v/>
      </c>
      <c r="D20" s="38">
        <f>IFERROR(VLOOKUP(A20, 'ANEXO A'!$A$2:$L$94, 11, FALSE), "")</f>
        <v/>
      </c>
      <c r="E20" s="38">
        <f>IFERROR(VLOOKUP(A20, 'ANEXO A'!$A$2:$L$94, 8, FALSE), "")</f>
        <v/>
      </c>
      <c r="F20" s="38">
        <f>IFERROR(VLOOKUP(A20, 'ANEXO A'!$A$2:$L$94, 9, FALSE), "")</f>
        <v/>
      </c>
      <c r="G20" s="38">
        <f>IFERROR(VLOOKUP(A20, 'ANEXO A'!$A$2:$L$94, 10, FALSE), "")</f>
        <v/>
      </c>
      <c r="H20" s="38">
        <f>IFERROR(VLOOKUP(A20, 'ANEXO A'!$A$2:$L$94, 12, FALSE), "")</f>
        <v/>
      </c>
      <c r="I20" s="38" t="inlineStr">
        <is>
          <t>6.19 Escaneo / Disp. General 2da SEPS 002: Evaluación periódica de riesgos de seguridad y solicitud de auditorías a prestadores de servicios (SEPS-2022-002 / GSO-GSI-MP-GSI).</t>
        </is>
      </c>
      <c r="J20" s="39">
        <f>"• Establecer lineamientos para " &amp; IFERROR(VLOOKUP(A20, 'ANEXO A'!$A$2:$L$94, 2, FALSE), "Este Control") &amp; CHAR(10) &amp; "• Definir roles para el control " &amp; A20 &amp; CHAR(10) &amp; "• Revisar efectividad de " &amp; IFERROR(VLOOKUP(A20, 'ANEXO A'!$A$2:$L$94, 2, FALSE), "Este Control")</f>
        <v/>
      </c>
      <c r="K20" s="39"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L20" s="39" t="inlineStr">
        <is>
          <t>La organización deberá implementar, registrar y monitorear operativamente todos los protocolos relacionados a Seguridad de la información en las relaciones con los proveedores, estableciendo políticas técnicas correspondientes.</t>
        </is>
      </c>
    </row>
    <row r="21" ht="90" customHeight="1" s="103">
      <c r="A21" s="38">
        <f>'ANEXO A'!A21</f>
        <v/>
      </c>
      <c r="B21" s="38">
        <f>IFERROR(VLOOKUP(A21, 'ANEXO A'!$A$2:$L$94, 2, FALSE), "")</f>
        <v/>
      </c>
      <c r="C21" s="38">
        <f>IF(LEFT(A21,1)="5", "5. Organizacionales", IF(LEFT(A21,1)="6", "6. Personas", IF(LEFT(A21,1)="7", "7. Físicos", "8. Tecnológicos")))</f>
        <v/>
      </c>
      <c r="D21" s="38">
        <f>IFERROR(VLOOKUP(A21, 'ANEXO A'!$A$2:$L$94, 11, FALSE), "")</f>
        <v/>
      </c>
      <c r="E21" s="38">
        <f>IFERROR(VLOOKUP(A21, 'ANEXO A'!$A$2:$L$94, 8, FALSE), "")</f>
        <v/>
      </c>
      <c r="F21" s="38">
        <f>IFERROR(VLOOKUP(A21, 'ANEXO A'!$A$2:$L$94, 9, FALSE), "")</f>
        <v/>
      </c>
      <c r="G21" s="38">
        <f>IFERROR(VLOOKUP(A21, 'ANEXO A'!$A$2:$L$94, 10, FALSE), "")</f>
        <v/>
      </c>
      <c r="H21" s="38">
        <f>IFERROR(VLOOKUP(A21, 'ANEXO A'!$A$2:$L$94, 12, FALSE), "")</f>
        <v/>
      </c>
      <c r="I21" s="38" t="inlineStr">
        <is>
          <t>Disp. General 3era SEPS 002: Incorporación obligatoria de cláusulas de seguridad de la información, protección de datos y confidencialidad en contratos (SEPS-2022-002).</t>
        </is>
      </c>
      <c r="J21" s="39">
        <f>"• Establecer lineamientos para " &amp; IFERROR(VLOOKUP(A21, 'ANEXO A'!$A$2:$L$94, 2, FALSE), "Este Control") &amp; CHAR(10) &amp; "• Definir roles para el control " &amp; A21 &amp; CHAR(10) &amp; "• Revisar efectividad de " &amp; IFERROR(VLOOKUP(A21, 'ANEXO A'!$A$2:$L$94, 2, FALSE), "Este Control")</f>
        <v/>
      </c>
      <c r="K21" s="39"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L21" s="39" t="inlineStr">
        <is>
          <t>La organización deberá implementar, registrar y monitorear operativamente todos los protocolos relacionados a Tratamiento de la seguridad de la información en los acuerdos con los proveedores, estableciendo políticas técnicas correspondientes.</t>
        </is>
      </c>
    </row>
    <row r="22" ht="90" customHeight="1" s="103">
      <c r="A22" s="38">
        <f>'ANEXO A'!A22</f>
        <v/>
      </c>
      <c r="B22" s="38">
        <f>IFERROR(VLOOKUP(A22, 'ANEXO A'!$A$2:$L$94, 2, FALSE), "")</f>
        <v/>
      </c>
      <c r="C22" s="38">
        <f>IF(LEFT(A22,1)="5", "5. Organizacionales", IF(LEFT(A22,1)="6", "6. Personas", IF(LEFT(A22,1)="7", "7. Físicos", "8. Tecnológicos")))</f>
        <v/>
      </c>
      <c r="D22" s="38">
        <f>IFERROR(VLOOKUP(A22, 'ANEXO A'!$A$2:$L$94, 11, FALSE), "")</f>
        <v/>
      </c>
      <c r="E22" s="38">
        <f>IFERROR(VLOOKUP(A22, 'ANEXO A'!$A$2:$L$94, 8, FALSE), "")</f>
        <v/>
      </c>
      <c r="F22" s="38">
        <f>IFERROR(VLOOKUP(A22, 'ANEXO A'!$A$2:$L$94, 9, FALSE), "")</f>
        <v/>
      </c>
      <c r="G22" s="38">
        <f>IFERROR(VLOOKUP(A22, 'ANEXO A'!$A$2:$L$94, 10, FALSE), "")</f>
        <v/>
      </c>
      <c r="H22" s="38">
        <f>IFERROR(VLOOKUP(A22, 'ANEXO A'!$A$2:$L$94, 12, FALSE), "")</f>
        <v/>
      </c>
      <c r="I22" s="38" t="inlineStr">
        <is>
          <t>Anexo 1 SEPS 002: Evaluación de procedencia, confiabilidad y riesgos en la adquisición de hardware, software y suministros de TIC (SEPS-2022-002).</t>
        </is>
      </c>
      <c r="J22" s="39">
        <f>"• Establecer lineamientos para " &amp; IFERROR(VLOOKUP(A22, 'ANEXO A'!$A$2:$L$94, 2, FALSE), "Este Control") &amp; CHAR(10) &amp; "• Definir roles para el control " &amp; A22 &amp; CHAR(10) &amp; "• Revisar efectividad de " &amp; IFERROR(VLOOKUP(A22, 'ANEXO A'!$A$2:$L$94, 2, FALSE), "Este Control")</f>
        <v/>
      </c>
      <c r="K22" s="39"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L22" s="39" t="inlineStr">
        <is>
          <t>La organización deberá implementar, registrar y monitorear operativamente todos los protocolos relacionados a Gestión de la seguridad de la información en la cadena de suministro de TIC, estableciendo políticas técnicas correspondientes.</t>
        </is>
      </c>
    </row>
    <row r="23" ht="90" customHeight="1" s="103">
      <c r="A23" s="38">
        <f>'ANEXO A'!A23</f>
        <v/>
      </c>
      <c r="B23" s="38">
        <f>IFERROR(VLOOKUP(A23, 'ANEXO A'!$A$2:$L$94, 2, FALSE), "")</f>
        <v/>
      </c>
      <c r="C23" s="38">
        <f>IF(LEFT(A23,1)="5", "5. Organizacionales", IF(LEFT(A23,1)="6", "6. Personas", IF(LEFT(A23,1)="7", "7. Físicos", "8. Tecnológicos")))</f>
        <v/>
      </c>
      <c r="D23" s="38">
        <f>IFERROR(VLOOKUP(A23, 'ANEXO A'!$A$2:$L$94, 11, FALSE), "")</f>
        <v/>
      </c>
      <c r="E23" s="38">
        <f>IFERROR(VLOOKUP(A23, 'ANEXO A'!$A$2:$L$94, 8, FALSE), "")</f>
        <v/>
      </c>
      <c r="F23" s="38">
        <f>IFERROR(VLOOKUP(A23, 'ANEXO A'!$A$2:$L$94, 9, FALSE), "")</f>
        <v/>
      </c>
      <c r="G23" s="38">
        <f>IFERROR(VLOOKUP(A23, 'ANEXO A'!$A$2:$L$94, 10, FALSE), "")</f>
        <v/>
      </c>
      <c r="H23" s="38">
        <f>IFERROR(VLOOKUP(A23, 'ANEXO A'!$A$2:$L$94, 12, FALSE), "")</f>
        <v/>
      </c>
      <c r="I23" s="38" t="inlineStr">
        <is>
          <t>Anexo 1 SEPS 002 / Disp. General 2da: Supervisión continua de ANS (SLA) y auditoría a cambios técnicos en plataformas provistas por terceros (SEPS-2022-002).</t>
        </is>
      </c>
      <c r="J23" s="39">
        <f>"• Establecer lineamientos para " &amp; IFERROR(VLOOKUP(A23, 'ANEXO A'!$A$2:$L$94, 2, FALSE), "Este Control") &amp; CHAR(10) &amp; "• Definir roles para el control " &amp; A23 &amp; CHAR(10) &amp; "• Revisar efectividad de " &amp; IFERROR(VLOOKUP(A23, 'ANEXO A'!$A$2:$L$94, 2, FALSE), "Este Control")</f>
        <v/>
      </c>
      <c r="K23" s="39"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L23" s="39" t="inlineStr">
        <is>
          <t>La organización deberá implementar, registrar y monitorear operativamente todos los protocolos relacionados a Seguimiento, revisión y gestión de cambios en los servicios de los proveedores, estableciendo políticas técnicas correspondientes.</t>
        </is>
      </c>
    </row>
    <row r="24" ht="78.75" customHeight="1" s="103">
      <c r="A24" s="38">
        <f>'ANEXO A'!A24</f>
        <v/>
      </c>
      <c r="B24" s="38">
        <f>IFERROR(VLOOKUP(A24, 'ANEXO A'!$A$2:$L$94, 2, FALSE), "")</f>
        <v/>
      </c>
      <c r="C24" s="38">
        <f>IF(LEFT(A24,1)="5", "5. Organizacionales", IF(LEFT(A24,1)="6", "6. Personas", IF(LEFT(A24,1)="7", "7. Físicos", "8. Tecnológicos")))</f>
        <v/>
      </c>
      <c r="D24" s="38">
        <f>IFERROR(VLOOKUP(A24, 'ANEXO A'!$A$2:$L$94, 11, FALSE), "")</f>
        <v/>
      </c>
      <c r="E24" s="38">
        <f>IFERROR(VLOOKUP(A24, 'ANEXO A'!$A$2:$L$94, 8, FALSE), "")</f>
        <v/>
      </c>
      <c r="F24" s="38">
        <f>IFERROR(VLOOKUP(A24, 'ANEXO A'!$A$2:$L$94, 9, FALSE), "")</f>
        <v/>
      </c>
      <c r="G24" s="38">
        <f>IFERROR(VLOOKUP(A24, 'ANEXO A'!$A$2:$L$94, 10, FALSE), "")</f>
        <v/>
      </c>
      <c r="H24" s="38">
        <f>IFERROR(VLOOKUP(A24, 'ANEXO A'!$A$2:$L$94, 12, FALSE), "")</f>
        <v/>
      </c>
      <c r="I24" s="38" t="inlineStr">
        <is>
          <t>6.2 Azure / 6.12 MyHSM: Gestión de configuraciones, segregación y control de llaves y servicios en esquemas SaaS/PaaS (GSO-GSI-MP-GSI).</t>
        </is>
      </c>
      <c r="J24" s="39">
        <f>"• Establecer lineamientos para " &amp; IFERROR(VLOOKUP(A24, 'ANEXO A'!$A$2:$L$94, 2, FALSE), "Este Control") &amp; CHAR(10) &amp; "• Definir roles para el control " &amp; A24 &amp; CHAR(10) &amp; "• Revisar efectividad de " &amp; IFERROR(VLOOKUP(A24, 'ANEXO A'!$A$2:$L$94, 2, FALSE), "Este Control")</f>
        <v/>
      </c>
      <c r="K24" s="39"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L24" s="39" t="inlineStr">
        <is>
          <t>La organización deberá implementar, registrar y monitorear operativamente todos los protocolos relacionados a Seguridad de la información en el uso de servicios en la nube, estableciendo políticas técnicas correspondientes.</t>
        </is>
      </c>
    </row>
    <row r="25" ht="78.75" customHeight="1" s="103">
      <c r="A25" s="38">
        <f>'ANEXO A'!A25</f>
        <v/>
      </c>
      <c r="B25" s="38">
        <f>IFERROR(VLOOKUP(A25, 'ANEXO A'!$A$2:$L$94, 2, FALSE), "")</f>
        <v/>
      </c>
      <c r="C25" s="38">
        <f>IF(LEFT(A25,1)="5", "5. Organizacionales", IF(LEFT(A25,1)="6", "6. Personas", IF(LEFT(A25,1)="7", "7. Físicos", "8. Tecnológicos")))</f>
        <v/>
      </c>
      <c r="D25" s="38">
        <f>IFERROR(VLOOKUP(A25, 'ANEXO A'!$A$2:$L$94, 11, FALSE), "")</f>
        <v/>
      </c>
      <c r="E25" s="38">
        <f>IFERROR(VLOOKUP(A25, 'ANEXO A'!$A$2:$L$94, 8, FALSE), "")</f>
        <v/>
      </c>
      <c r="F25" s="38">
        <f>IFERROR(VLOOKUP(A25, 'ANEXO A'!$A$2:$L$94, 9, FALSE), "")</f>
        <v/>
      </c>
      <c r="G25" s="38">
        <f>IFERROR(VLOOKUP(A25, 'ANEXO A'!$A$2:$L$94, 10, FALSE), "")</f>
        <v/>
      </c>
      <c r="H25" s="38">
        <f>IFERROR(VLOOKUP(A25, 'ANEXO A'!$A$2:$L$94, 12, FALSE), "")</f>
        <v/>
      </c>
      <c r="I25" s="38" t="inlineStr">
        <is>
          <t>6.15. Gestión de incidentes de seguridad de la información - Planificación de respuesta (GSO-GSI-MP-GSI)</t>
        </is>
      </c>
      <c r="J25" s="39">
        <f>"• Establecer lineamientos para " &amp; IFERROR(VLOOKUP(A25, 'ANEXO A'!$A$2:$L$94, 2, FALSE), "Este Control") &amp; CHAR(10) &amp; "• Definir roles para el control " &amp; A25 &amp; CHAR(10) &amp; "• Revisar efectividad de " &amp; IFERROR(VLOOKUP(A25, 'ANEXO A'!$A$2:$L$94, 2, FALSE), "Este Control")</f>
        <v/>
      </c>
      <c r="K25" s="39"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L25" s="39" t="inlineStr">
        <is>
          <t>La organización deberá implementar, registrar y monitorear operativamente todos los protocolos relacionados a Planificación y preparación de la gestión de incidentes, estableciendo políticas técnicas correspondientes.</t>
        </is>
      </c>
    </row>
    <row r="26" ht="78.75" customHeight="1" s="103">
      <c r="A26" s="38">
        <f>'ANEXO A'!A26</f>
        <v/>
      </c>
      <c r="B26" s="38">
        <f>IFERROR(VLOOKUP(A26, 'ANEXO A'!$A$2:$L$94, 2, FALSE), "")</f>
        <v/>
      </c>
      <c r="C26" s="38">
        <f>IF(LEFT(A26,1)="5", "5. Organizacionales", IF(LEFT(A26,1)="6", "6. Personas", IF(LEFT(A26,1)="7", "7. Físicos", "8. Tecnológicos")))</f>
        <v/>
      </c>
      <c r="D26" s="38">
        <f>IFERROR(VLOOKUP(A26, 'ANEXO A'!$A$2:$L$94, 11, FALSE), "")</f>
        <v/>
      </c>
      <c r="E26" s="38">
        <f>IFERROR(VLOOKUP(A26, 'ANEXO A'!$A$2:$L$94, 8, FALSE), "")</f>
        <v/>
      </c>
      <c r="F26" s="38">
        <f>IFERROR(VLOOKUP(A26, 'ANEXO A'!$A$2:$L$94, 9, FALSE), "")</f>
        <v/>
      </c>
      <c r="G26" s="38">
        <f>IFERROR(VLOOKUP(A26, 'ANEXO A'!$A$2:$L$94, 10, FALSE), "")</f>
        <v/>
      </c>
      <c r="H26" s="38">
        <f>IFERROR(VLOOKUP(A26, 'ANEXO A'!$A$2:$L$94, 12, FALSE), "")</f>
        <v/>
      </c>
      <c r="I26" s="38" t="inlineStr">
        <is>
          <t>6.15 Gestión de incidentes (Act. 2 y 3): Análisis, categorización, clasificación y registro de eventos y riesgos en el sistema RDS (GSO-GSI-MP-GSI).</t>
        </is>
      </c>
      <c r="J26" s="39">
        <f>"• Establecer lineamientos para " &amp; IFERROR(VLOOKUP(A26, 'ANEXO A'!$A$2:$L$94, 2, FALSE), "Este Control") &amp; CHAR(10) &amp; "• Definir roles para el control " &amp; A26 &amp; CHAR(10) &amp; "• Revisar efectividad de " &amp; IFERROR(VLOOKUP(A26, 'ANEXO A'!$A$2:$L$94, 2, FALSE), "Este Control")</f>
        <v/>
      </c>
      <c r="K26" s="39"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L26" s="39" t="inlineStr">
        <is>
          <t>La organización deberá implementar, registrar y monitorear operativamente todos los protocolos relacionados a Evaluación y decisión sobre los eventos de seguridad, estableciendo políticas técnicas correspondientes.</t>
        </is>
      </c>
    </row>
    <row r="27" ht="78.75" customHeight="1" s="103">
      <c r="A27" s="38">
        <f>'ANEXO A'!A27</f>
        <v/>
      </c>
      <c r="B27" s="38">
        <f>IFERROR(VLOOKUP(A27, 'ANEXO A'!$A$2:$L$94, 2, FALSE), "")</f>
        <v/>
      </c>
      <c r="C27" s="38">
        <f>IF(LEFT(A27,1)="5", "5. Organizacionales", IF(LEFT(A27,1)="6", "6. Personas", IF(LEFT(A27,1)="7", "7. Físicos", "8. Tecnológicos")))</f>
        <v/>
      </c>
      <c r="D27" s="38">
        <f>IFERROR(VLOOKUP(A27, 'ANEXO A'!$A$2:$L$94, 11, FALSE), "")</f>
        <v/>
      </c>
      <c r="E27" s="38">
        <f>IFERROR(VLOOKUP(A27, 'ANEXO A'!$A$2:$L$94, 8, FALSE), "")</f>
        <v/>
      </c>
      <c r="F27" s="38">
        <f>IFERROR(VLOOKUP(A27, 'ANEXO A'!$A$2:$L$94, 9, FALSE), "")</f>
        <v/>
      </c>
      <c r="G27" s="38">
        <f>IFERROR(VLOOKUP(A27, 'ANEXO A'!$A$2:$L$94, 10, FALSE), "")</f>
        <v/>
      </c>
      <c r="H27" s="38">
        <f>IFERROR(VLOOKUP(A27, 'ANEXO A'!$A$2:$L$94, 12, FALSE), "")</f>
        <v/>
      </c>
      <c r="I27" s="38" t="inlineStr">
        <is>
          <t>6.15 Gestión de incidentes (Act. 3, 4 y 5): Ejecución de acciones de contención, mitigación y escalamiento a Gerencia y Comité de Seguridad (GSO-GSI-MP-GSI).</t>
        </is>
      </c>
      <c r="J27" s="39">
        <f>"• Establecer lineamientos para " &amp; IFERROR(VLOOKUP(A27, 'ANEXO A'!$A$2:$L$94, 2, FALSE), "Este Control") &amp; CHAR(10) &amp; "• Definir roles para el control " &amp; A27 &amp; CHAR(10) &amp; "• Revisar efectividad de " &amp; IFERROR(VLOOKUP(A27, 'ANEXO A'!$A$2:$L$94, 2, FALSE), "Este Control")</f>
        <v/>
      </c>
      <c r="K27" s="39"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L27" s="39" t="inlineStr">
        <is>
          <t>La organización deberá implementar, registrar y monitorear operativamente todos los protocolos relacionados a Respuesta a los incidentes de seguridad de la información, estableciendo políticas técnicas correspondientes.</t>
        </is>
      </c>
    </row>
    <row r="28" ht="78.75" customHeight="1" s="103">
      <c r="A28" s="38">
        <f>'ANEXO A'!A28</f>
        <v/>
      </c>
      <c r="B28" s="38">
        <f>IFERROR(VLOOKUP(A28, 'ANEXO A'!$A$2:$L$94, 2, FALSE), "")</f>
        <v/>
      </c>
      <c r="C28" s="38">
        <f>IF(LEFT(A28,1)="5", "5. Organizacionales", IF(LEFT(A28,1)="6", "6. Personas", IF(LEFT(A28,1)="7", "7. Físicos", "8. Tecnológicos")))</f>
        <v/>
      </c>
      <c r="D28" s="38">
        <f>IFERROR(VLOOKUP(A28, 'ANEXO A'!$A$2:$L$94, 11, FALSE), "")</f>
        <v/>
      </c>
      <c r="E28" s="38">
        <f>IFERROR(VLOOKUP(A28, 'ANEXO A'!$A$2:$L$94, 8, FALSE), "")</f>
        <v/>
      </c>
      <c r="F28" s="38">
        <f>IFERROR(VLOOKUP(A28, 'ANEXO A'!$A$2:$L$94, 9, FALSE), "")</f>
        <v/>
      </c>
      <c r="G28" s="38">
        <f>IFERROR(VLOOKUP(A28, 'ANEXO A'!$A$2:$L$94, 10, FALSE), "")</f>
        <v/>
      </c>
      <c r="H28" s="38">
        <f>IFERROR(VLOOKUP(A28, 'ANEXO A'!$A$2:$L$94, 12, FALSE), "")</f>
        <v/>
      </c>
      <c r="I28" s="38" t="inlineStr">
        <is>
          <t>6.15 Gestión de incidentes (Act. 7 y 8): Análisis de causa raíz, actualización de controles y enriquecimiento del Plan Anual de SI (GSO-GSI-MP-GSI).</t>
        </is>
      </c>
      <c r="J28" s="39">
        <f>"• Establecer lineamientos para " &amp; IFERROR(VLOOKUP(A28, 'ANEXO A'!$A$2:$L$94, 2, FALSE), "Este Control") &amp; CHAR(10) &amp; "• Definir roles para el control " &amp; A28 &amp; CHAR(10) &amp; "• Revisar efectividad de " &amp; IFERROR(VLOOKUP(A28, 'ANEXO A'!$A$2:$L$94, 2, FALSE), "Este Control")</f>
        <v/>
      </c>
      <c r="K28" s="39"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L28" s="39" t="inlineStr">
        <is>
          <t>La organización deberá implementar, registrar y monitorear operativamente todos los protocolos relacionados a Aprendizaje de los incidentes de seguridad de la información, estableciendo políticas técnicas correspondientes.</t>
        </is>
      </c>
    </row>
    <row r="29" ht="56.25" customHeight="1" s="103">
      <c r="A29" s="38">
        <f>'ANEXO A'!A29</f>
        <v/>
      </c>
      <c r="B29" s="38">
        <f>IFERROR(VLOOKUP(A29, 'ANEXO A'!$A$2:$L$94, 2, FALSE), "")</f>
        <v/>
      </c>
      <c r="C29" s="38">
        <f>IF(LEFT(A29,1)="5", "5. Organizacionales", IF(LEFT(A29,1)="6", "6. Personas", IF(LEFT(A29,1)="7", "7. Físicos", "8. Tecnológicos")))</f>
        <v/>
      </c>
      <c r="D29" s="38">
        <f>IFERROR(VLOOKUP(A29, 'ANEXO A'!$A$2:$L$94, 11, FALSE), "")</f>
        <v/>
      </c>
      <c r="E29" s="38">
        <f>IFERROR(VLOOKUP(A29, 'ANEXO A'!$A$2:$L$94, 8, FALSE), "")</f>
        <v/>
      </c>
      <c r="F29" s="38">
        <f>IFERROR(VLOOKUP(A29, 'ANEXO A'!$A$2:$L$94, 9, FALSE), "")</f>
        <v/>
      </c>
      <c r="G29" s="38">
        <f>IFERROR(VLOOKUP(A29, 'ANEXO A'!$A$2:$L$94, 10, FALSE), "")</f>
        <v/>
      </c>
      <c r="H29" s="38">
        <f>IFERROR(VLOOKUP(A29, 'ANEXO A'!$A$2:$L$94, 12, FALSE), "")</f>
        <v/>
      </c>
      <c r="I29" s="38" t="inlineStr">
        <is>
          <t>6.14 Auditoría BD / 6.15 Incidentes: Preservación de logs, pistas de auditoría y cadena de custodia técnica (GSO-GSI-MP-GSI / ISO 27002).</t>
        </is>
      </c>
      <c r="J29" s="39">
        <f>"• Establecer lineamientos para " &amp; IFERROR(VLOOKUP(A29, 'ANEXO A'!$A$2:$L$94, 2, FALSE), "Este Control") &amp; CHAR(10) &amp; "• Definir roles para el control " &amp; A29 &amp; CHAR(10) &amp; "• Revisar efectividad de " &amp; IFERROR(VLOOKUP(A29, 'ANEXO A'!$A$2:$L$94, 2, FALSE), "Este Control")</f>
        <v/>
      </c>
      <c r="K29" s="39" t="inlineStr">
        <is>
          <t>Asegurar el cumplimiento, control y resguardo continuo de los procesos de Recolección de evidencias a fin de mitigar riesgos y mantener la alineación a los principios de confidencialidad, integridad y disponibilidad aplicables a este dominio.</t>
        </is>
      </c>
      <c r="L29" s="39" t="inlineStr">
        <is>
          <t>La organización deberá implementar, registrar y monitorear operativamente todos los protocolos relacionados a Recolección de evidencias, estableciendo políticas técnicas correspondientes.</t>
        </is>
      </c>
    </row>
    <row r="30" ht="67.5" customHeight="1" s="103">
      <c r="A30" s="38">
        <f>'ANEXO A'!A30</f>
        <v/>
      </c>
      <c r="B30" s="38">
        <f>IFERROR(VLOOKUP(A30, 'ANEXO A'!$A$2:$L$94, 2, FALSE), "")</f>
        <v/>
      </c>
      <c r="C30" s="38">
        <f>IF(LEFT(A30,1)="5", "5. Organizacionales", IF(LEFT(A30,1)="6", "6. Personas", IF(LEFT(A30,1)="7", "7. Físicos", "8. Tecnológicos")))</f>
        <v/>
      </c>
      <c r="D30" s="38">
        <f>IFERROR(VLOOKUP(A30, 'ANEXO A'!$A$2:$L$94, 11, FALSE), "")</f>
        <v/>
      </c>
      <c r="E30" s="38">
        <f>IFERROR(VLOOKUP(A30, 'ANEXO A'!$A$2:$L$94, 8, FALSE), "")</f>
        <v/>
      </c>
      <c r="F30" s="38">
        <f>IFERROR(VLOOKUP(A30, 'ANEXO A'!$A$2:$L$94, 9, FALSE), "")</f>
        <v/>
      </c>
      <c r="G30" s="38">
        <f>IFERROR(VLOOKUP(A30, 'ANEXO A'!$A$2:$L$94, 10, FALSE), "")</f>
        <v/>
      </c>
      <c r="H30" s="38">
        <f>IFERROR(VLOOKUP(A30, 'ANEXO A'!$A$2:$L$94, 12, FALSE), "")</f>
        <v/>
      </c>
      <c r="I30" s="38" t="inlineStr">
        <is>
          <t>Anexo 1 SEPS / DRP: Mantenimiento de las salvaguardas de confidencialidad e integridad durante la activación de contingencias (SEPS-2022-002 / ISO 27001).</t>
        </is>
      </c>
      <c r="J30" s="39">
        <f>"• Establecer lineamientos para " &amp; IFERROR(VLOOKUP(A30, 'ANEXO A'!$A$2:$L$94, 2, FALSE), "Este Control") &amp; CHAR(10) &amp; "• Definir roles para el control " &amp; A30 &amp; CHAR(10) &amp; "• Revisar efectividad de " &amp; IFERROR(VLOOKUP(A30, 'ANEXO A'!$A$2:$L$94, 2, FALSE), "Este Control")</f>
        <v/>
      </c>
      <c r="K30" s="39"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L30" s="39" t="inlineStr">
        <is>
          <t>La organización deberá implementar, registrar y monitorear operativamente todos los protocolos relacionados a Seguridad de la información durante la interrupción, estableciendo políticas técnicas correspondientes.</t>
        </is>
      </c>
    </row>
    <row r="31" ht="78.75" customHeight="1" s="103">
      <c r="A31" s="38">
        <f>'ANEXO A'!A31</f>
        <v/>
      </c>
      <c r="B31" s="38">
        <f>IFERROR(VLOOKUP(A31, 'ANEXO A'!$A$2:$L$94, 2, FALSE), "")</f>
        <v/>
      </c>
      <c r="C31" s="38">
        <f>IF(LEFT(A31,1)="5", "5. Organizacionales", IF(LEFT(A31,1)="6", "6. Personas", IF(LEFT(A31,1)="7", "7. Físicos", "8. Tecnológicos")))</f>
        <v/>
      </c>
      <c r="D31" s="38">
        <f>IFERROR(VLOOKUP(A31, 'ANEXO A'!$A$2:$L$94, 11, FALSE), "")</f>
        <v/>
      </c>
      <c r="E31" s="38">
        <f>IFERROR(VLOOKUP(A31, 'ANEXO A'!$A$2:$L$94, 8, FALSE), "")</f>
        <v/>
      </c>
      <c r="F31" s="38">
        <f>IFERROR(VLOOKUP(A31, 'ANEXO A'!$A$2:$L$94, 9, FALSE), "")</f>
        <v/>
      </c>
      <c r="G31" s="38">
        <f>IFERROR(VLOOKUP(A31, 'ANEXO A'!$A$2:$L$94, 10, FALSE), "")</f>
        <v/>
      </c>
      <c r="H31" s="38">
        <f>IFERROR(VLOOKUP(A31, 'ANEXO A'!$A$2:$L$94, 12, FALSE), "")</f>
        <v/>
      </c>
      <c r="I31" s="38" t="inlineStr">
        <is>
          <t>Anexo 1 SEPS (Planes de Contingencia): Definición y pruebas periódicas de RTO/RPO y continuidad en infraestructura tecnológica (SEPS-2022-002).</t>
        </is>
      </c>
      <c r="J31" s="39">
        <f>"• Establecer lineamientos para " &amp; IFERROR(VLOOKUP(A31, 'ANEXO A'!$A$2:$L$94, 2, FALSE), "Este Control") &amp; CHAR(10) &amp; "• Definir roles para el control " &amp; A31 &amp; CHAR(10) &amp; "• Revisar efectividad de " &amp; IFERROR(VLOOKUP(A31, 'ANEXO A'!$A$2:$L$94, 2, FALSE), "Este Control")</f>
        <v/>
      </c>
      <c r="K31" s="39"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L31" s="39" t="inlineStr">
        <is>
          <t>La organización deberá implementar, registrar y monitorear operativamente todos los protocolos relacionados a Preparación de las TIC para la continuidad del negocio, estableciendo políticas técnicas correspondientes.</t>
        </is>
      </c>
    </row>
    <row r="32" ht="78.75" customHeight="1" s="103">
      <c r="A32" s="38">
        <f>'ANEXO A'!A32</f>
        <v/>
      </c>
      <c r="B32" s="38">
        <f>IFERROR(VLOOKUP(A32, 'ANEXO A'!$A$2:$L$94, 2, FALSE), "")</f>
        <v/>
      </c>
      <c r="C32" s="38">
        <f>IF(LEFT(A32,1)="5", "5. Organizacionales", IF(LEFT(A32,1)="6", "6. Personas", IF(LEFT(A32,1)="7", "7. Físicos", "8. Tecnológicos")))</f>
        <v/>
      </c>
      <c r="D32" s="38">
        <f>IFERROR(VLOOKUP(A32, 'ANEXO A'!$A$2:$L$94, 11, FALSE), "")</f>
        <v/>
      </c>
      <c r="E32" s="38">
        <f>IFERROR(VLOOKUP(A32, 'ANEXO A'!$A$2:$L$94, 8, FALSE), "")</f>
        <v/>
      </c>
      <c r="F32" s="38">
        <f>IFERROR(VLOOKUP(A32, 'ANEXO A'!$A$2:$L$94, 9, FALSE), "")</f>
        <v/>
      </c>
      <c r="G32" s="38">
        <f>IFERROR(VLOOKUP(A32, 'ANEXO A'!$A$2:$L$94, 10, FALSE), "")</f>
        <v/>
      </c>
      <c r="H32" s="38">
        <f>IFERROR(VLOOKUP(A32, 'ANEXO A'!$A$2:$L$94, 12, FALSE), "")</f>
        <v/>
      </c>
      <c r="I32" s="38" t="inlineStr">
        <is>
          <t>Sec. 3 Marco Normativo SEPS 002: Mapeo y cumplimiento sistemático del marco legal (SEPS, LOPDP, ISO 27001) (GSO-GSI-MP-GSI / SEPS-2022-002).</t>
        </is>
      </c>
      <c r="J32" s="39">
        <f>"• Establecer lineamientos para " &amp; IFERROR(VLOOKUP(A32, 'ANEXO A'!$A$2:$L$94, 2, FALSE), "Este Control") &amp; CHAR(10) &amp; "• Definir roles para el control " &amp; A32 &amp; CHAR(10) &amp; "• Revisar efectividad de " &amp; IFERROR(VLOOKUP(A32, 'ANEXO A'!$A$2:$L$94, 2, FALSE), "Este Control")</f>
        <v/>
      </c>
      <c r="K32" s="39"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L32" s="39" t="inlineStr">
        <is>
          <t>La organización deberá implementar, registrar y monitorear operativamente todos los protocolos relacionados a Requisitos legales, estatutarios, reglamentarios y contractuales, estableciendo políticas técnicas correspondientes.</t>
        </is>
      </c>
    </row>
    <row r="33" ht="56.25" customHeight="1" s="103">
      <c r="A33" s="38">
        <f>'ANEXO A'!A33</f>
        <v/>
      </c>
      <c r="B33" s="38">
        <f>IFERROR(VLOOKUP(A33, 'ANEXO A'!$A$2:$L$94, 2, FALSE), "")</f>
        <v/>
      </c>
      <c r="C33" s="38">
        <f>IF(LEFT(A33,1)="5", "5. Organizacionales", IF(LEFT(A33,1)="6", "6. Personas", IF(LEFT(A33,1)="7", "7. Físicos", "8. Tecnológicos")))</f>
        <v/>
      </c>
      <c r="D33" s="38">
        <f>IFERROR(VLOOKUP(A33, 'ANEXO A'!$A$2:$L$94, 11, FALSE), "")</f>
        <v/>
      </c>
      <c r="E33" s="38">
        <f>IFERROR(VLOOKUP(A33, 'ANEXO A'!$A$2:$L$94, 8, FALSE), "")</f>
        <v/>
      </c>
      <c r="F33" s="38">
        <f>IFERROR(VLOOKUP(A33, 'ANEXO A'!$A$2:$L$94, 9, FALSE), "")</f>
        <v/>
      </c>
      <c r="G33" s="38">
        <f>IFERROR(VLOOKUP(A33, 'ANEXO A'!$A$2:$L$94, 10, FALSE), "")</f>
        <v/>
      </c>
      <c r="H33" s="38">
        <f>IFERROR(VLOOKUP(A33, 'ANEXO A'!$A$2:$L$94, 12, FALSE), "")</f>
        <v/>
      </c>
      <c r="I33" s="38" t="inlineStr">
        <is>
          <t>6.13 Gestión de activos / Anexo 1 SEPS: Control y verificación de licenciamiento de software y restricción de uso no autorizado (GSO-GSI-ME-GAI / SEPS-2022-002).</t>
        </is>
      </c>
      <c r="J33" s="39">
        <f>"• Establecer lineamientos para " &amp; IFERROR(VLOOKUP(A33, 'ANEXO A'!$A$2:$L$94, 2, FALSE), "Este Control") &amp; CHAR(10) &amp; "• Definir roles para el control " &amp; A33 &amp; CHAR(10) &amp; "• Revisar efectividad de " &amp; IFERROR(VLOOKUP(A33, 'ANEXO A'!$A$2:$L$94, 2, FALSE), "Este Control")</f>
        <v/>
      </c>
      <c r="K33" s="39" t="inlineStr">
        <is>
          <t>Asegurar el cumplimiento, control y resguardo continuo de los procesos de Derechos de propiedad intelectual a fin de mitigar riesgos y mantener la alineación a los principios de confidencialidad, integridad y disponibilidad aplicables a este dominio.</t>
        </is>
      </c>
      <c r="L33" s="39" t="inlineStr">
        <is>
          <t>La organización deberá implementar, registrar y monitorear operativamente todos los protocolos relacionados a Derechos de propiedad intelectual, estableciendo políticas técnicas correspondientes.</t>
        </is>
      </c>
    </row>
    <row r="34" ht="56.25" customHeight="1" s="103">
      <c r="A34" s="38">
        <f>'ANEXO A'!A34</f>
        <v/>
      </c>
      <c r="B34" s="38">
        <f>IFERROR(VLOOKUP(A34, 'ANEXO A'!$A$2:$L$94, 2, FALSE), "")</f>
        <v/>
      </c>
      <c r="C34" s="38">
        <f>IF(LEFT(A34,1)="5", "5. Organizacionales", IF(LEFT(A34,1)="6", "6. Personas", IF(LEFT(A34,1)="7", "7. Físicos", "8. Tecnológicos")))</f>
        <v/>
      </c>
      <c r="D34" s="38">
        <f>IFERROR(VLOOKUP(A34, 'ANEXO A'!$A$2:$L$94, 11, FALSE), "")</f>
        <v/>
      </c>
      <c r="E34" s="38">
        <f>IFERROR(VLOOKUP(A34, 'ANEXO A'!$A$2:$L$94, 8, FALSE), "")</f>
        <v/>
      </c>
      <c r="F34" s="38">
        <f>IFERROR(VLOOKUP(A34, 'ANEXO A'!$A$2:$L$94, 9, FALSE), "")</f>
        <v/>
      </c>
      <c r="G34" s="38">
        <f>IFERROR(VLOOKUP(A34, 'ANEXO A'!$A$2:$L$94, 10, FALSE), "")</f>
        <v/>
      </c>
      <c r="H34" s="38">
        <f>IFERROR(VLOOKUP(A34, 'ANEXO A'!$A$2:$L$94, 12, FALSE), "")</f>
        <v/>
      </c>
      <c r="I34" s="38" t="inlineStr">
        <is>
          <t>6.1 Políticas / 6.14 Auditoría BD: Custodia, retención y protección física y lógica de bitácoras, actas y registros digitales (GSO-GSI-MP-GSI).</t>
        </is>
      </c>
      <c r="J34" s="39">
        <f>"• Establecer lineamientos para " &amp; IFERROR(VLOOKUP(A34, 'ANEXO A'!$A$2:$L$94, 2, FALSE), "Este Control") &amp; CHAR(10) &amp; "• Definir roles para el control " &amp; A34 &amp; CHAR(10) &amp; "• Revisar efectividad de " &amp; IFERROR(VLOOKUP(A34, 'ANEXO A'!$A$2:$L$94, 2, FALSE), "Este Control")</f>
        <v/>
      </c>
      <c r="K34" s="39" t="inlineStr">
        <is>
          <t>Asegurar el cumplimiento, control y resguardo continuo de los procesos de Protección de los registros a fin de mitigar riesgos y mantener la alineación a los principios de confidencialidad, integridad y disponibilidad aplicables a este dominio.</t>
        </is>
      </c>
      <c r="L34" s="39" t="inlineStr">
        <is>
          <t>La organización deberá implementar, registrar y monitorear operativamente todos los protocolos relacionados a Protección de los registros, estableciendo políticas técnicas correspondientes.</t>
        </is>
      </c>
    </row>
    <row r="35" ht="90" customHeight="1" s="103">
      <c r="A35" s="38">
        <f>'ANEXO A'!A35</f>
        <v/>
      </c>
      <c r="B35" s="38">
        <f>IFERROR(VLOOKUP(A35, 'ANEXO A'!$A$2:$L$94, 2, FALSE), "")</f>
        <v/>
      </c>
      <c r="C35" s="38">
        <f>IF(LEFT(A35,1)="5", "5. Organizacionales", IF(LEFT(A35,1)="6", "6. Personas", IF(LEFT(A35,1)="7", "7. Físicos", "8. Tecnológicos")))</f>
        <v/>
      </c>
      <c r="D35" s="38">
        <f>IFERROR(VLOOKUP(A35, 'ANEXO A'!$A$2:$L$94, 11, FALSE), "")</f>
        <v/>
      </c>
      <c r="E35" s="38">
        <f>IFERROR(VLOOKUP(A35, 'ANEXO A'!$A$2:$L$94, 8, FALSE), "")</f>
        <v/>
      </c>
      <c r="F35" s="38">
        <f>IFERROR(VLOOKUP(A35, 'ANEXO A'!$A$2:$L$94, 9, FALSE), "")</f>
        <v/>
      </c>
      <c r="G35" s="38">
        <f>IFERROR(VLOOKUP(A35, 'ANEXO A'!$A$2:$L$94, 10, FALSE), "")</f>
        <v/>
      </c>
      <c r="H35" s="38">
        <f>IFERROR(VLOOKUP(A35, 'ANEXO A'!$A$2:$L$94, 12, FALSE), "")</f>
        <v/>
      </c>
      <c r="I35" s="38" t="inlineStr">
        <is>
          <t>6.17 Escaneo PCI DSS / LOPDP: Tratamiento lícito, enmascaramiento y resguardo de datos personales y tarjetahabientes (GSO-GSI-MP-GSI / SEPS-2022-002).</t>
        </is>
      </c>
      <c r="J35" s="39">
        <f>"• Establecer lineamientos para " &amp; IFERROR(VLOOKUP(A35, 'ANEXO A'!$A$2:$L$94, 2, FALSE), "Este Control") &amp; CHAR(10) &amp; "• Definir roles para el control " &amp; A35 &amp; CHAR(10) &amp; "• Revisar efectividad de " &amp; IFERROR(VLOOKUP(A35, 'ANEXO A'!$A$2:$L$94, 2, FALSE), "Este Control")</f>
        <v/>
      </c>
      <c r="K35" s="39"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L35" s="39" t="inlineStr">
        <is>
          <t>La organización deberá implementar, registrar y monitorear operativamente todos los protocolos relacionados a Privacidad y protección de la información de identificación personal (PII), estableciendo políticas técnicas correspondientes.</t>
        </is>
      </c>
    </row>
    <row r="36" ht="78.75" customHeight="1" s="103">
      <c r="A36" s="38">
        <f>'ANEXO A'!A36</f>
        <v/>
      </c>
      <c r="B36" s="38">
        <f>IFERROR(VLOOKUP(A36, 'ANEXO A'!$A$2:$L$94, 2, FALSE), "")</f>
        <v/>
      </c>
      <c r="C36" s="38">
        <f>IF(LEFT(A36,1)="5", "5. Organizacionales", IF(LEFT(A36,1)="6", "6. Personas", IF(LEFT(A36,1)="7", "7. Físicos", "8. Tecnológicos")))</f>
        <v/>
      </c>
      <c r="D36" s="38">
        <f>IFERROR(VLOOKUP(A36, 'ANEXO A'!$A$2:$L$94, 11, FALSE), "")</f>
        <v/>
      </c>
      <c r="E36" s="38">
        <f>IFERROR(VLOOKUP(A36, 'ANEXO A'!$A$2:$L$94, 8, FALSE), "")</f>
        <v/>
      </c>
      <c r="F36" s="38">
        <f>IFERROR(VLOOKUP(A36, 'ANEXO A'!$A$2:$L$94, 9, FALSE), "")</f>
        <v/>
      </c>
      <c r="G36" s="38">
        <f>IFERROR(VLOOKUP(A36, 'ANEXO A'!$A$2:$L$94, 10, FALSE), "")</f>
        <v/>
      </c>
      <c r="H36" s="38">
        <f>IFERROR(VLOOKUP(A36, 'ANEXO A'!$A$2:$L$94, 12, FALSE), "")</f>
        <v/>
      </c>
      <c r="I36" s="38" t="inlineStr">
        <is>
          <t>6.2 Controles / Sec. 12 SEPS 002: Auditorías informáticas internas y externas anuales al SGSI (GSO-GSI-MP-GSI / SEPS-2022-002).</t>
        </is>
      </c>
      <c r="J36" s="39">
        <f>"• Establecer lineamientos para " &amp; IFERROR(VLOOKUP(A36, 'ANEXO A'!$A$2:$L$94, 2, FALSE), "Este Control") &amp; CHAR(10) &amp; "• Definir roles para el control " &amp; A36 &amp; CHAR(10) &amp; "• Revisar efectividad de " &amp; IFERROR(VLOOKUP(A36, 'ANEXO A'!$A$2:$L$94, 2, FALSE), "Este Control")</f>
        <v/>
      </c>
      <c r="K36" s="39"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L36" s="39" t="inlineStr">
        <is>
          <t>La organización deberá implementar, registrar y monitorear operativamente todos los protocolos relacionados a Revisión independiente de la seguridad de la información, estableciendo políticas técnicas correspondientes.</t>
        </is>
      </c>
    </row>
    <row r="37" ht="78.75" customHeight="1" s="103">
      <c r="A37" s="38">
        <f>'ANEXO A'!A37</f>
        <v/>
      </c>
      <c r="B37" s="38">
        <f>IFERROR(VLOOKUP(A37, 'ANEXO A'!$A$2:$L$94, 2, FALSE), "")</f>
        <v/>
      </c>
      <c r="C37" s="38">
        <f>IF(LEFT(A37,1)="5", "5. Organizacionales", IF(LEFT(A37,1)="6", "6. Personas", IF(LEFT(A37,1)="7", "7. Físicos", "8. Tecnológicos")))</f>
        <v/>
      </c>
      <c r="D37" s="38">
        <f>IFERROR(VLOOKUP(A37, 'ANEXO A'!$A$2:$L$94, 11, FALSE), "")</f>
        <v/>
      </c>
      <c r="E37" s="38">
        <f>IFERROR(VLOOKUP(A37, 'ANEXO A'!$A$2:$L$94, 8, FALSE), "")</f>
        <v/>
      </c>
      <c r="F37" s="38">
        <f>IFERROR(VLOOKUP(A37, 'ANEXO A'!$A$2:$L$94, 9, FALSE), "")</f>
        <v/>
      </c>
      <c r="G37" s="38">
        <f>IFERROR(VLOOKUP(A37, 'ANEXO A'!$A$2:$L$94, 10, FALSE), "")</f>
        <v/>
      </c>
      <c r="H37" s="38">
        <f>IFERROR(VLOOKUP(A37, 'ANEXO A'!$A$2:$L$94, 12, FALSE), "")</f>
        <v/>
      </c>
      <c r="I37" s="38" t="inlineStr">
        <is>
          <t>6.16 Revisión y monitoreo: Ejecución de checklist semestral y elaboración de informe de cumplimiento de políticas (GSO-GSI-MP-GSI).</t>
        </is>
      </c>
      <c r="J37" s="39">
        <f>"• Establecer lineamientos para " &amp; IFERROR(VLOOKUP(A37, 'ANEXO A'!$A$2:$L$94, 2, FALSE), "Este Control") &amp; CHAR(10) &amp; "• Definir roles para el control " &amp; A37 &amp; CHAR(10) &amp; "• Revisar efectividad de " &amp; IFERROR(VLOOKUP(A37, 'ANEXO A'!$A$2:$L$94, 2, FALSE), "Este Control")</f>
        <v/>
      </c>
      <c r="K37" s="39"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L37" s="39" t="inlineStr">
        <is>
          <t>La organización deberá implementar, registrar y monitorear operativamente todos los protocolos relacionados a Cumplimiento de las políticas, normas y estándares de seguridad, estableciendo políticas técnicas correspondientes.</t>
        </is>
      </c>
    </row>
    <row r="38" ht="78.75" customHeight="1" s="103">
      <c r="A38" s="38">
        <f>'ANEXO A'!A38</f>
        <v/>
      </c>
      <c r="B38" s="38">
        <f>IFERROR(VLOOKUP(A38, 'ANEXO A'!$A$2:$L$94, 2, FALSE), "")</f>
        <v/>
      </c>
      <c r="C38" s="38">
        <f>IF(LEFT(A38,1)="5", "5. Organizacionales", IF(LEFT(A38,1)="6", "6. Personas", IF(LEFT(A38,1)="7", "7. Físicos", "8. Tecnológicos")))</f>
        <v/>
      </c>
      <c r="D38" s="38">
        <f>IFERROR(VLOOKUP(A38, 'ANEXO A'!$A$2:$L$94, 11, FALSE), "")</f>
        <v/>
      </c>
      <c r="E38" s="38">
        <f>IFERROR(VLOOKUP(A38, 'ANEXO A'!$A$2:$L$94, 8, FALSE), "")</f>
        <v/>
      </c>
      <c r="F38" s="38">
        <f>IFERROR(VLOOKUP(A38, 'ANEXO A'!$A$2:$L$94, 9, FALSE), "")</f>
        <v/>
      </c>
      <c r="G38" s="38">
        <f>IFERROR(VLOOKUP(A38, 'ANEXO A'!$A$2:$L$94, 10, FALSE), "")</f>
        <v/>
      </c>
      <c r="H38" s="38">
        <f>IFERROR(VLOOKUP(A38, 'ANEXO A'!$A$2:$L$94, 12, FALSE), "")</f>
        <v/>
      </c>
      <c r="I38" s="38" t="inlineStr">
        <is>
          <t>Sec. 6 Procedimientos Operativos GSI: Elaboración, actualización y formalización de manuales e instructivos de seguridad (GSO-GSI-MP-GSI).</t>
        </is>
      </c>
      <c r="J38" s="39">
        <f>"• Establecer lineamientos para " &amp; IFERROR(VLOOKUP(A38, 'ANEXO A'!$A$2:$L$94, 2, FALSE), "Este Control") &amp; CHAR(10) &amp; "• Definir roles para el control " &amp; A38 &amp; CHAR(10) &amp; "• Revisar efectividad de " &amp; IFERROR(VLOOKUP(A38, 'ANEXO A'!$A$2:$L$94, 2, FALSE), "Este Control")</f>
        <v/>
      </c>
      <c r="K38" s="39" t="inlineStr">
        <is>
          <t>Asegurar el cumplimiento, control y resguardo continuo de los procesos de Procedimientos operativos documentados a fin de mitigar riesgos y mantener la alineación a los principios de confidencialidad, integridad y disponibilidad aplicables a este dominio.</t>
        </is>
      </c>
      <c r="L38" s="39" t="inlineStr">
        <is>
          <t>La organización deberá implementar, registrar y monitorear operativamente todos los protocolos relacionados a Procedimientos operativos documentados, estableciendo políticas técnicas correspondientes.</t>
        </is>
      </c>
    </row>
    <row r="39" ht="56.25" customHeight="1" s="103">
      <c r="A39" s="38">
        <f>'ANEXO A'!A39</f>
        <v/>
      </c>
      <c r="B39" s="38">
        <f>IFERROR(VLOOKUP(A39, 'ANEXO A'!$A$2:$L$94, 2, FALSE), "")</f>
        <v/>
      </c>
      <c r="C39" s="38">
        <f>IF(LEFT(A39,1)="5", "5. Organizacionales", IF(LEFT(A39,1)="6", "6. Personas", IF(LEFT(A39,1)="7", "7. Físicos", "8. Tecnológicos")))</f>
        <v/>
      </c>
      <c r="D39" s="38">
        <f>IFERROR(VLOOKUP(A39, 'ANEXO A'!$A$2:$L$94, 11, FALSE), "")</f>
        <v/>
      </c>
      <c r="E39" s="38">
        <f>IFERROR(VLOOKUP(A39, 'ANEXO A'!$A$2:$L$94, 8, FALSE), "")</f>
        <v/>
      </c>
      <c r="F39" s="38">
        <f>IFERROR(VLOOKUP(A39, 'ANEXO A'!$A$2:$L$94, 9, FALSE), "")</f>
        <v/>
      </c>
      <c r="G39" s="38">
        <f>IFERROR(VLOOKUP(A39, 'ANEXO A'!$A$2:$L$94, 10, FALSE), "")</f>
        <v/>
      </c>
      <c r="H39" s="38">
        <f>IFERROR(VLOOKUP(A39, 'ANEXO A'!$A$2:$L$94, 12, FALSE), "")</f>
        <v/>
      </c>
      <c r="I39" s="38" t="inlineStr">
        <is>
          <t>6.2 Creación de nuevos usuarios (GTH): Validación previa de antecedentes laborales, penales y académicos por Talento Humano (GSO-GSI-MP-GSI / GTH-IDP).</t>
        </is>
      </c>
      <c r="J39" s="39">
        <f>"• Establecer lineamientos para " &amp; IFERROR(VLOOKUP(A39, 'ANEXO A'!$A$2:$L$94, 2, FALSE), "Este Control") &amp; CHAR(10) &amp; "• Definir roles para el control " &amp; A39 &amp; CHAR(10) &amp; "• Revisar efectividad de " &amp; IFERROR(VLOOKUP(A39, 'ANEXO A'!$A$2:$L$94, 2, FALSE), "Este Control")</f>
        <v/>
      </c>
      <c r="K39" s="39" t="inlineStr">
        <is>
          <t>Asegurar el cumplimiento, control y resguardo continuo de los procesos de Investigación de antecedentes a fin de mitigar riesgos y mantener la alineación a los principios de confidencialidad, integridad y disponibilidad aplicables a este dominio.</t>
        </is>
      </c>
      <c r="L39" s="39" t="inlineStr">
        <is>
          <t>La organización deberá implementar, registrar y monitorear operativamente todos los protocolos relacionados a Investigación de antecedentes, estableciendo políticas técnicas correspondientes.</t>
        </is>
      </c>
    </row>
    <row r="40" ht="56.25" customHeight="1" s="103">
      <c r="A40" s="38">
        <f>'ANEXO A'!A40</f>
        <v/>
      </c>
      <c r="B40" s="38">
        <f>IFERROR(VLOOKUP(A40, 'ANEXO A'!$A$2:$L$94, 2, FALSE), "")</f>
        <v/>
      </c>
      <c r="C40" s="38">
        <f>IF(LEFT(A40,1)="5", "5. Organizacionales", IF(LEFT(A40,1)="6", "6. Personas", IF(LEFT(A40,1)="7", "7. Físicos", "8. Tecnológicos")))</f>
        <v/>
      </c>
      <c r="D40" s="38">
        <f>IFERROR(VLOOKUP(A40, 'ANEXO A'!$A$2:$L$94, 11, FALSE), "")</f>
        <v/>
      </c>
      <c r="E40" s="38">
        <f>IFERROR(VLOOKUP(A40, 'ANEXO A'!$A$2:$L$94, 8, FALSE), "")</f>
        <v/>
      </c>
      <c r="F40" s="38">
        <f>IFERROR(VLOOKUP(A40, 'ANEXO A'!$A$2:$L$94, 9, FALSE), "")</f>
        <v/>
      </c>
      <c r="G40" s="38">
        <f>IFERROR(VLOOKUP(A40, 'ANEXO A'!$A$2:$L$94, 10, FALSE), "")</f>
        <v/>
      </c>
      <c r="H40" s="38">
        <f>IFERROR(VLOOKUP(A40, 'ANEXO A'!$A$2:$L$94, 12, FALSE), "")</f>
        <v/>
      </c>
      <c r="I40" s="38" t="inlineStr">
        <is>
          <t>6.2 Políticas Específicas / GTH: Inclusión contractual de responsabilidades de seguridad y deber de sigilo institucional (GSO-GSI-MP-GSI / SEPS-2022-002).</t>
        </is>
      </c>
      <c r="J40" s="39">
        <f>"• Establecer lineamientos para " &amp; IFERROR(VLOOKUP(A40, 'ANEXO A'!$A$2:$L$94, 2, FALSE), "Este Control") &amp; CHAR(10) &amp; "• Definir roles para el control " &amp; A40 &amp; CHAR(10) &amp; "• Revisar efectividad de " &amp; IFERROR(VLOOKUP(A40, 'ANEXO A'!$A$2:$L$94, 2, FALSE), "Este Control")</f>
        <v/>
      </c>
      <c r="K40" s="39" t="inlineStr">
        <is>
          <t>Asegurar el cumplimiento, control y resguardo continuo de los procesos de Términos y condiciones de empleo a fin de mitigar riesgos y mantener la alineación a los principios de confidencialidad, integridad y disponibilidad aplicables a este dominio.</t>
        </is>
      </c>
      <c r="L40" s="39" t="inlineStr">
        <is>
          <t>La organización deberá implementar, registrar y monitorear operativamente todos los protocolos relacionados a Términos y condiciones de empleo, estableciendo políticas técnicas correspondientes.</t>
        </is>
      </c>
    </row>
    <row r="41" ht="78.75" customHeight="1" s="103">
      <c r="A41" s="38">
        <f>'ANEXO A'!A41</f>
        <v/>
      </c>
      <c r="B41" s="38">
        <f>IFERROR(VLOOKUP(A41, 'ANEXO A'!$A$2:$L$94, 2, FALSE), "")</f>
        <v/>
      </c>
      <c r="C41" s="38">
        <f>IF(LEFT(A41,1)="5", "5. Organizacionales", IF(LEFT(A41,1)="6", "6. Personas", IF(LEFT(A41,1)="7", "7. Físicos", "8. Tecnológicos")))</f>
        <v/>
      </c>
      <c r="D41" s="38">
        <f>IFERROR(VLOOKUP(A41, 'ANEXO A'!$A$2:$L$94, 11, FALSE), "")</f>
        <v/>
      </c>
      <c r="E41" s="38">
        <f>IFERROR(VLOOKUP(A41, 'ANEXO A'!$A$2:$L$94, 8, FALSE), "")</f>
        <v/>
      </c>
      <c r="F41" s="38">
        <f>IFERROR(VLOOKUP(A41, 'ANEXO A'!$A$2:$L$94, 9, FALSE), "")</f>
        <v/>
      </c>
      <c r="G41" s="38">
        <f>IFERROR(VLOOKUP(A41, 'ANEXO A'!$A$2:$L$94, 10, FALSE), "")</f>
        <v/>
      </c>
      <c r="H41" s="38">
        <f>IFERROR(VLOOKUP(A41, 'ANEXO A'!$A$2:$L$94, 12, FALSE), "")</f>
        <v/>
      </c>
      <c r="I41" s="38" t="inlineStr">
        <is>
          <t>Anexo 1 SEPS 002 (Cultura de SI): Ejecución del plan anual de capacitación y evaluación de efectividad/madurez en seguridad (SEPS-2022-002).</t>
        </is>
      </c>
      <c r="J41" s="39">
        <f>"• Establecer lineamientos para " &amp; IFERROR(VLOOKUP(A41, 'ANEXO A'!$A$2:$L$94, 2, FALSE), "Este Control") &amp; CHAR(10) &amp; "• Definir roles para el control " &amp; A41 &amp; CHAR(10) &amp; "• Revisar efectividad de " &amp; IFERROR(VLOOKUP(A41, 'ANEXO A'!$A$2:$L$94, 2, FALSE), "Este Control")</f>
        <v/>
      </c>
      <c r="K41" s="39"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L41" s="39" t="inlineStr">
        <is>
          <t>La organización deberá implementar, registrar y monitorear operativamente todos los protocolos relacionados a Concienciación, educación y capacitación, estableciendo políticas técnicas correspondientes.</t>
        </is>
      </c>
    </row>
    <row r="42" ht="56.25" customHeight="1" s="103">
      <c r="A42" s="38">
        <f>'ANEXO A'!A42</f>
        <v/>
      </c>
      <c r="B42" s="38">
        <f>IFERROR(VLOOKUP(A42, 'ANEXO A'!$A$2:$L$94, 2, FALSE), "")</f>
        <v/>
      </c>
      <c r="C42" s="38">
        <f>IF(LEFT(A42,1)="5", "5. Organizacionales", IF(LEFT(A42,1)="6", "6. Personas", IF(LEFT(A42,1)="7", "7. Físicos", "8. Tecnológicos")))</f>
        <v/>
      </c>
      <c r="D42" s="38">
        <f>IFERROR(VLOOKUP(A42, 'ANEXO A'!$A$2:$L$94, 11, FALSE), "")</f>
        <v/>
      </c>
      <c r="E42" s="38">
        <f>IFERROR(VLOOKUP(A42, 'ANEXO A'!$A$2:$L$94, 8, FALSE), "")</f>
        <v/>
      </c>
      <c r="F42" s="38">
        <f>IFERROR(VLOOKUP(A42, 'ANEXO A'!$A$2:$L$94, 9, FALSE), "")</f>
        <v/>
      </c>
      <c r="G42" s="38">
        <f>IFERROR(VLOOKUP(A42, 'ANEXO A'!$A$2:$L$94, 10, FALSE), "")</f>
        <v/>
      </c>
      <c r="H42" s="38">
        <f>IFERROR(VLOOKUP(A42, 'ANEXO A'!$A$2:$L$94, 12, FALSE), "")</f>
        <v/>
      </c>
      <c r="I42" s="38" t="inlineStr">
        <is>
          <t>6.4 Políticas / Reglamento Interno: Aplicación de sanciones ante reincidencia en bloqueos, negligencia o vulneración de políticas de SI (GSO-GSI-MP-GSI).</t>
        </is>
      </c>
      <c r="J42" s="39">
        <f>"• Establecer lineamientos para " &amp; IFERROR(VLOOKUP(A42, 'ANEXO A'!$A$2:$L$94, 2, FALSE), "Este Control") &amp; CHAR(10) &amp; "• Definir roles para el control " &amp; A42 &amp; CHAR(10) &amp; "• Revisar efectividad de " &amp; IFERROR(VLOOKUP(A42, 'ANEXO A'!$A$2:$L$94, 2, FALSE), "Este Control")</f>
        <v/>
      </c>
      <c r="K42" s="39" t="inlineStr">
        <is>
          <t>Asegurar el cumplimiento, control y resguardo continuo de los procesos de Proceso disciplinario a fin de mitigar riesgos y mantener la alineación a los principios de confidencialidad, integridad y disponibilidad aplicables a este dominio.</t>
        </is>
      </c>
      <c r="L42" s="39" t="inlineStr">
        <is>
          <t>La organización deberá implementar, registrar y monitorear operativamente todos los protocolos relacionados a Proceso disciplinario, estableciendo políticas técnicas correspondientes.</t>
        </is>
      </c>
    </row>
    <row r="43" ht="78.75" customHeight="1" s="103">
      <c r="A43" s="38">
        <f>'ANEXO A'!A43</f>
        <v/>
      </c>
      <c r="B43" s="38">
        <f>IFERROR(VLOOKUP(A43, 'ANEXO A'!$A$2:$L$94, 2, FALSE), "")</f>
        <v/>
      </c>
      <c r="C43" s="38">
        <f>IF(LEFT(A43,1)="5", "5. Organizacionales", IF(LEFT(A43,1)="6", "6. Personas", IF(LEFT(A43,1)="7", "7. Físicos", "8. Tecnológicos")))</f>
        <v/>
      </c>
      <c r="D43" s="38">
        <f>IFERROR(VLOOKUP(A43, 'ANEXO A'!$A$2:$L$94, 11, FALSE), "")</f>
        <v/>
      </c>
      <c r="E43" s="38">
        <f>IFERROR(VLOOKUP(A43, 'ANEXO A'!$A$2:$L$94, 8, FALSE), "")</f>
        <v/>
      </c>
      <c r="F43" s="38">
        <f>IFERROR(VLOOKUP(A43, 'ANEXO A'!$A$2:$L$94, 9, FALSE), "")</f>
        <v/>
      </c>
      <c r="G43" s="38">
        <f>IFERROR(VLOOKUP(A43, 'ANEXO A'!$A$2:$L$94, 10, FALSE), "")</f>
        <v/>
      </c>
      <c r="H43" s="38">
        <f>IFERROR(VLOOKUP(A43, 'ANEXO A'!$A$2:$L$94, 12, FALSE), "")</f>
        <v/>
      </c>
      <c r="I43" s="38" t="inlineStr">
        <is>
          <t>6.3 Modificación / 6.5 Eliminación de usuarios: Suscripción de acuerdos de confidencialidad permanentes y revocación de accesos al cesar funciones (GSO-GSI-MP-GSI).</t>
        </is>
      </c>
      <c r="J43" s="39">
        <f>"• Establecer lineamientos para " &amp; IFERROR(VLOOKUP(A43, 'ANEXO A'!$A$2:$L$94, 2, FALSE), "Este Control") &amp; CHAR(10) &amp; "• Definir roles para el control " &amp; A43 &amp; CHAR(10) &amp; "• Revisar efectividad de " &amp; IFERROR(VLOOKUP(A43, 'ANEXO A'!$A$2:$L$94, 2, FALSE), "Este Control")</f>
        <v/>
      </c>
      <c r="K43" s="39"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L43" s="39" t="inlineStr">
        <is>
          <t>La organización deberá implementar, registrar y monitorear operativamente todos los protocolos relacionados a Responsabilidades después de la terminación o cambio de empleo, estableciendo políticas técnicas correspondientes.</t>
        </is>
      </c>
    </row>
    <row r="44" ht="67.5" customHeight="1" s="103">
      <c r="A44" s="38">
        <f>'ANEXO A'!A44</f>
        <v/>
      </c>
      <c r="B44" s="38">
        <f>IFERROR(VLOOKUP(A44, 'ANEXO A'!$A$2:$L$94, 2, FALSE), "")</f>
        <v/>
      </c>
      <c r="C44" s="38">
        <f>IF(LEFT(A44,1)="5", "5. Organizacionales", IF(LEFT(A44,1)="6", "6. Personas", IF(LEFT(A44,1)="7", "7. Físicos", "8. Tecnológicos")))</f>
        <v/>
      </c>
      <c r="D44" s="38">
        <f>IFERROR(VLOOKUP(A44, 'ANEXO A'!$A$2:$L$94, 11, FALSE), "")</f>
        <v/>
      </c>
      <c r="E44" s="38">
        <f>IFERROR(VLOOKUP(A44, 'ANEXO A'!$A$2:$L$94, 8, FALSE), "")</f>
        <v/>
      </c>
      <c r="F44" s="38">
        <f>IFERROR(VLOOKUP(A44, 'ANEXO A'!$A$2:$L$94, 9, FALSE), "")</f>
        <v/>
      </c>
      <c r="G44" s="38">
        <f>IFERROR(VLOOKUP(A44, 'ANEXO A'!$A$2:$L$94, 10, FALSE), "")</f>
        <v/>
      </c>
      <c r="H44" s="38">
        <f>IFERROR(VLOOKUP(A44, 'ANEXO A'!$A$2:$L$94, 12, FALSE), "")</f>
        <v/>
      </c>
      <c r="I44" s="38" t="inlineStr">
        <is>
          <t>6.2 Creación (Equifax/Aval) / GTH: Firma obligatoria de convenios de confidencialidad por colaboradores y terceros (GSO-GSI-MP-GSI).</t>
        </is>
      </c>
      <c r="J44" s="39">
        <f>"• Establecer lineamientos para " &amp; IFERROR(VLOOKUP(A44, 'ANEXO A'!$A$2:$L$94, 2, FALSE), "Este Control") &amp; CHAR(10) &amp; "• Definir roles para el control " &amp; A44 &amp; CHAR(10) &amp; "• Revisar efectividad de " &amp; IFERROR(VLOOKUP(A44, 'ANEXO A'!$A$2:$L$94, 2, FALSE), "Este Control")</f>
        <v/>
      </c>
      <c r="K44" s="39"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L44" s="39" t="inlineStr">
        <is>
          <t>La organización deberá implementar, registrar y monitorear operativamente todos los protocolos relacionados a Acuerdos de confidencialidad o no divulgación, estableciendo políticas técnicas correspondientes.</t>
        </is>
      </c>
    </row>
    <row r="45" ht="56.25" customHeight="1" s="103">
      <c r="A45" s="38">
        <f>'ANEXO A'!A45</f>
        <v/>
      </c>
      <c r="B45" s="38">
        <f>IFERROR(VLOOKUP(A45, 'ANEXO A'!$A$2:$L$94, 2, FALSE), "")</f>
        <v/>
      </c>
      <c r="C45" s="38">
        <f>IF(LEFT(A45,1)="5", "5. Organizacionales", IF(LEFT(A45,1)="6", "6. Personas", IF(LEFT(A45,1)="7", "7. Físicos", "8. Tecnológicos")))</f>
        <v/>
      </c>
      <c r="D45" s="38">
        <f>IFERROR(VLOOKUP(A45, 'ANEXO A'!$A$2:$L$94, 11, FALSE), "")</f>
        <v/>
      </c>
      <c r="E45" s="38">
        <f>IFERROR(VLOOKUP(A45, 'ANEXO A'!$A$2:$L$94, 8, FALSE), "")</f>
        <v/>
      </c>
      <c r="F45" s="38">
        <f>IFERROR(VLOOKUP(A45, 'ANEXO A'!$A$2:$L$94, 9, FALSE), "")</f>
        <v/>
      </c>
      <c r="G45" s="38">
        <f>IFERROR(VLOOKUP(A45, 'ANEXO A'!$A$2:$L$94, 10, FALSE), "")</f>
        <v/>
      </c>
      <c r="H45" s="38">
        <f>IFERROR(VLOOKUP(A45, 'ANEXO A'!$A$2:$L$94, 12, FALSE), "")</f>
        <v/>
      </c>
      <c r="I45" s="38" t="inlineStr">
        <is>
          <t>6.2 VPN Directorio Activo: Uso obligatorio de VPN corporativa y autenticación multifactor para accesos remotos autorizados (GSO-GSI-MP-GSI)</t>
        </is>
      </c>
      <c r="J45" s="39">
        <f>"• Establecer lineamientos para " &amp; IFERROR(VLOOKUP(A45, 'ANEXO A'!$A$2:$L$94, 2, FALSE), "Este Control") &amp; CHAR(10) &amp; "• Definir roles para el control " &amp; A45 &amp; CHAR(10) &amp; "• Revisar efectividad de " &amp; IFERROR(VLOOKUP(A45, 'ANEXO A'!$A$2:$L$94, 2, FALSE), "Este Control")</f>
        <v/>
      </c>
      <c r="K45" s="39" t="inlineStr">
        <is>
          <t>Asegurar el cumplimiento, control y resguardo continuo de los procesos de Trabajo a distancia a fin de mitigar riesgos y mantener la alineación a los principios de confidencialidad, integridad y disponibilidad aplicables a este dominio.</t>
        </is>
      </c>
      <c r="L45" s="39" t="inlineStr">
        <is>
          <t>La organización deberá implementar, registrar y monitorear operativamente todos los protocolos relacionados a Trabajo a distancia, estableciendo políticas técnicas correspondientes.</t>
        </is>
      </c>
    </row>
    <row r="46" ht="78.75" customHeight="1" s="103">
      <c r="A46" s="38">
        <f>'ANEXO A'!A46</f>
        <v/>
      </c>
      <c r="B46" s="38">
        <f>IFERROR(VLOOKUP(A46, 'ANEXO A'!$A$2:$L$94, 2, FALSE), "")</f>
        <v/>
      </c>
      <c r="C46" s="38">
        <f>IF(LEFT(A46,1)="5", "5. Organizacionales", IF(LEFT(A46,1)="6", "6. Personas", IF(LEFT(A46,1)="7", "7. Físicos", "8. Tecnológicos")))</f>
        <v/>
      </c>
      <c r="D46" s="38">
        <f>IFERROR(VLOOKUP(A46, 'ANEXO A'!$A$2:$L$94, 11, FALSE), "")</f>
        <v/>
      </c>
      <c r="E46" s="38">
        <f>IFERROR(VLOOKUP(A46, 'ANEXO A'!$A$2:$L$94, 8, FALSE), "")</f>
        <v/>
      </c>
      <c r="F46" s="38">
        <f>IFERROR(VLOOKUP(A46, 'ANEXO A'!$A$2:$L$94, 9, FALSE), "")</f>
        <v/>
      </c>
      <c r="G46" s="38">
        <f>IFERROR(VLOOKUP(A46, 'ANEXO A'!$A$2:$L$94, 10, FALSE), "")</f>
        <v/>
      </c>
      <c r="H46" s="38">
        <f>IFERROR(VLOOKUP(A46, 'ANEXO A'!$A$2:$L$94, 12, FALSE), "")</f>
        <v/>
      </c>
      <c r="I46" s="38" t="inlineStr">
        <is>
          <t>6.15 Gestión de incidentes (Act. 1): Canalización formal vía Service Desk y correo de cualquier evento o anomalía detectada (GSO-GSI-MP-GSI).</t>
        </is>
      </c>
      <c r="J46" s="39">
        <f>"• Establecer lineamientos para " &amp; IFERROR(VLOOKUP(A46, 'ANEXO A'!$A$2:$L$94, 2, FALSE), "Este Control") &amp; CHAR(10) &amp; "• Definir roles para el control " &amp; A46 &amp; CHAR(10) &amp; "• Revisar efectividad de " &amp; IFERROR(VLOOKUP(A46, 'ANEXO A'!$A$2:$L$94, 2, FALSE), "Este Control")</f>
        <v/>
      </c>
      <c r="K46" s="39"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L46" s="39" t="inlineStr">
        <is>
          <t>La organización deberá implementar, registrar y monitorear operativamente todos los protocolos relacionados a Notificación de eventos de seguridad de la información, estableciendo políticas técnicas correspondientes.</t>
        </is>
      </c>
    </row>
    <row r="47" ht="56.25" customHeight="1" s="103">
      <c r="A47" s="38">
        <f>'ANEXO A'!A47</f>
        <v/>
      </c>
      <c r="B47" s="38">
        <f>IFERROR(VLOOKUP(A47, 'ANEXO A'!$A$2:$L$94, 2, FALSE), "")</f>
        <v/>
      </c>
      <c r="C47" s="38">
        <f>IF(LEFT(A47,1)="5", "5. Organizacionales", IF(LEFT(A47,1)="6", "6. Personas", IF(LEFT(A47,1)="7", "7. Físicos", "8. Tecnológicos")))</f>
        <v/>
      </c>
      <c r="D47" s="38">
        <f>IFERROR(VLOOKUP(A47, 'ANEXO A'!$A$2:$L$94, 11, FALSE), "")</f>
        <v/>
      </c>
      <c r="E47" s="38">
        <f>IFERROR(VLOOKUP(A47, 'ANEXO A'!$A$2:$L$94, 8, FALSE), "")</f>
        <v/>
      </c>
      <c r="F47" s="38">
        <f>IFERROR(VLOOKUP(A47, 'ANEXO A'!$A$2:$L$94, 9, FALSE), "")</f>
        <v/>
      </c>
      <c r="G47" s="38">
        <f>IFERROR(VLOOKUP(A47, 'ANEXO A'!$A$2:$L$94, 10, FALSE), "")</f>
        <v/>
      </c>
      <c r="H47" s="38">
        <f>IFERROR(VLOOKUP(A47, 'ANEXO A'!$A$2:$L$94, 12, FALSE), "")</f>
        <v/>
      </c>
      <c r="I47" s="38" t="inlineStr">
        <is>
          <t>Anexo 1 SEPS 002 (Seguridad Física): Delimitación perimetral, puertas de seguridad y áreas de data center con acceso restringido (SEPS-2022-002).</t>
        </is>
      </c>
      <c r="J47" s="39">
        <f>"• Establecer lineamientos para " &amp; IFERROR(VLOOKUP(A47, 'ANEXO A'!$A$2:$L$94, 2, FALSE), "Este Control") &amp; CHAR(10) &amp; "• Definir roles para el control " &amp; A47 &amp; CHAR(10) &amp; "• Revisar efectividad de " &amp; IFERROR(VLOOKUP(A47, 'ANEXO A'!$A$2:$L$94, 2, FALSE), "Este Control")</f>
        <v/>
      </c>
      <c r="K47" s="39" t="inlineStr">
        <is>
          <t>Asegurar el cumplimiento, control y resguardo continuo de los procesos de Perímetros de seguridad física a fin de mitigar riesgos y mantener la alineación a los principios de confidencialidad, integridad y disponibilidad aplicables a este dominio.</t>
        </is>
      </c>
      <c r="L47" s="39" t="inlineStr">
        <is>
          <t>La organización deberá implementar, registrar y monitorear operativamente todos los protocolos relacionados a Perímetros de seguridad física, estableciendo políticas técnicas correspondientes.</t>
        </is>
      </c>
    </row>
    <row r="48" ht="56.25" customHeight="1" s="103">
      <c r="A48" s="38">
        <f>'ANEXO A'!A48</f>
        <v/>
      </c>
      <c r="B48" s="38">
        <f>IFERROR(VLOOKUP(A48, 'ANEXO A'!$A$2:$L$94, 2, FALSE), "")</f>
        <v/>
      </c>
      <c r="C48" s="38">
        <f>IF(LEFT(A48,1)="5", "5. Organizacionales", IF(LEFT(A48,1)="6", "6. Personas", IF(LEFT(A48,1)="7", "7. Físicos", "8. Tecnológicos")))</f>
        <v/>
      </c>
      <c r="D48" s="38">
        <f>IFERROR(VLOOKUP(A48, 'ANEXO A'!$A$2:$L$94, 11, FALSE), "")</f>
        <v/>
      </c>
      <c r="E48" s="38">
        <f>IFERROR(VLOOKUP(A48, 'ANEXO A'!$A$2:$L$94, 8, FALSE), "")</f>
        <v/>
      </c>
      <c r="F48" s="38">
        <f>IFERROR(VLOOKUP(A48, 'ANEXO A'!$A$2:$L$94, 9, FALSE), "")</f>
        <v/>
      </c>
      <c r="G48" s="38">
        <f>IFERROR(VLOOKUP(A48, 'ANEXO A'!$A$2:$L$94, 10, FALSE), "")</f>
        <v/>
      </c>
      <c r="H48" s="38">
        <f>IFERROR(VLOOKUP(A48, 'ANEXO A'!$A$2:$L$94, 12, FALSE), "")</f>
        <v/>
      </c>
      <c r="I48" s="38" t="inlineStr">
        <is>
          <t>Anexo 1 SEPS 002 / GAD: Control biométrico, tarjetas de proximidad y registro bitacorizado de visitantes (SEPS-2022-002).</t>
        </is>
      </c>
      <c r="J48" s="39">
        <f>"• Establecer lineamientos para " &amp; IFERROR(VLOOKUP(A48, 'ANEXO A'!$A$2:$L$94, 2, FALSE), "Este Control") &amp; CHAR(10) &amp; "• Definir roles para el control " &amp; A48 &amp; CHAR(10) &amp; "• Revisar efectividad de " &amp; IFERROR(VLOOKUP(A48, 'ANEXO A'!$A$2:$L$94, 2, FALSE), "Este Control")</f>
        <v/>
      </c>
      <c r="K48" s="39" t="inlineStr">
        <is>
          <t>Asegurar el cumplimiento, control y resguardo continuo de los procesos de Controles de entrada física a fin de mitigar riesgos y mantener la alineación a los principios de confidencialidad, integridad y disponibilidad aplicables a este dominio.</t>
        </is>
      </c>
      <c r="L48" s="39" t="inlineStr">
        <is>
          <t>La organización deberá implementar, registrar y monitorear operativamente todos los protocolos relacionados a Controles de entrada física, estableciendo políticas técnicas correspondientes.</t>
        </is>
      </c>
    </row>
    <row r="49" ht="67.5" customHeight="1" s="103">
      <c r="A49" s="38">
        <f>'ANEXO A'!A49</f>
        <v/>
      </c>
      <c r="B49" s="38">
        <f>IFERROR(VLOOKUP(A49, 'ANEXO A'!$A$2:$L$94, 2, FALSE), "")</f>
        <v/>
      </c>
      <c r="C49" s="38">
        <f>IF(LEFT(A49,1)="5", "5. Organizacionales", IF(LEFT(A49,1)="6", "6. Personas", IF(LEFT(A49,1)="7", "7. Físicos", "8. Tecnológicos")))</f>
        <v/>
      </c>
      <c r="D49" s="38">
        <f>IFERROR(VLOOKUP(A49, 'ANEXO A'!$A$2:$L$94, 11, FALSE), "")</f>
        <v/>
      </c>
      <c r="E49" s="38">
        <f>IFERROR(VLOOKUP(A49, 'ANEXO A'!$A$2:$L$94, 8, FALSE), "")</f>
        <v/>
      </c>
      <c r="F49" s="38">
        <f>IFERROR(VLOOKUP(A49, 'ANEXO A'!$A$2:$L$94, 9, FALSE), "")</f>
        <v/>
      </c>
      <c r="G49" s="38">
        <f>IFERROR(VLOOKUP(A49, 'ANEXO A'!$A$2:$L$94, 10, FALSE), "")</f>
        <v/>
      </c>
      <c r="H49" s="38">
        <f>IFERROR(VLOOKUP(A49, 'ANEXO A'!$A$2:$L$94, 12, FALSE), "")</f>
        <v/>
      </c>
      <c r="I49" s="38" t="inlineStr">
        <is>
          <t>Anexo 1 SEPS 002: Protección de zonas sensibles y aislamiento físico de áreas de procesamiento crítico (SEPS-2022-002).</t>
        </is>
      </c>
      <c r="J49" s="39">
        <f>"• Establecer lineamientos para " &amp; IFERROR(VLOOKUP(A49, 'ANEXO A'!$A$2:$L$94, 2, FALSE), "Este Control") &amp; CHAR(10) &amp; "• Definir roles para el control " &amp; A49 &amp; CHAR(10) &amp; "• Revisar efectividad de " &amp; IFERROR(VLOOKUP(A49, 'ANEXO A'!$A$2:$L$94, 2, FALSE), "Este Control")</f>
        <v/>
      </c>
      <c r="K49" s="39"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L49" s="39" t="inlineStr">
        <is>
          <t>La organización deberá implementar, registrar y monitorear operativamente todos los protocolos relacionados a Seguridad de oficinas, despachos e instalaciones, estableciendo políticas técnicas correspondientes.</t>
        </is>
      </c>
    </row>
    <row r="50" ht="56.25" customHeight="1" s="103">
      <c r="A50" s="38">
        <f>'ANEXO A'!A50</f>
        <v/>
      </c>
      <c r="B50" s="38">
        <f>IFERROR(VLOOKUP(A50, 'ANEXO A'!$A$2:$L$94, 2, FALSE), "")</f>
        <v/>
      </c>
      <c r="C50" s="38">
        <f>IF(LEFT(A50,1)="5", "5. Organizacionales", IF(LEFT(A50,1)="6", "6. Personas", IF(LEFT(A50,1)="7", "7. Físicos", "8. Tecnológicos")))</f>
        <v/>
      </c>
      <c r="D50" s="38">
        <f>IFERROR(VLOOKUP(A50, 'ANEXO A'!$A$2:$L$94, 11, FALSE), "")</f>
        <v/>
      </c>
      <c r="E50" s="38">
        <f>IFERROR(VLOOKUP(A50, 'ANEXO A'!$A$2:$L$94, 8, FALSE), "")</f>
        <v/>
      </c>
      <c r="F50" s="38">
        <f>IFERROR(VLOOKUP(A50, 'ANEXO A'!$A$2:$L$94, 9, FALSE), "")</f>
        <v/>
      </c>
      <c r="G50" s="38">
        <f>IFERROR(VLOOKUP(A50, 'ANEXO A'!$A$2:$L$94, 10, FALSE), "")</f>
        <v/>
      </c>
      <c r="H50" s="38">
        <f>IFERROR(VLOOKUP(A50, 'ANEXO A'!$A$2:$L$94, 12, FALSE), "")</f>
        <v/>
      </c>
      <c r="I50" s="38" t="inlineStr">
        <is>
          <t>Anexo 1 SEPS 002 / CCTV: Monitoreo y grabación permanente mediante Circuito Cerrado de Televisión y sensores de alarma (SEPS-2022-002).</t>
        </is>
      </c>
      <c r="J50" s="39">
        <f>"• Establecer lineamientos para " &amp; IFERROR(VLOOKUP(A50, 'ANEXO A'!$A$2:$L$94, 2, FALSE), "Este Control") &amp; CHAR(10) &amp; "• Definir roles para el control " &amp; A50 &amp; CHAR(10) &amp; "• Revisar efectividad de " &amp; IFERROR(VLOOKUP(A50, 'ANEXO A'!$A$2:$L$94, 2, FALSE), "Este Control")</f>
        <v/>
      </c>
      <c r="K50" s="39" t="inlineStr">
        <is>
          <t>Asegurar el cumplimiento, control y resguardo continuo de los procesos de Supervisión de la seguridad física a fin de mitigar riesgos y mantener la alineación a los principios de confidencialidad, integridad y disponibilidad aplicables a este dominio.</t>
        </is>
      </c>
      <c r="L50" s="39" t="inlineStr">
        <is>
          <t>La organización deberá implementar, registrar y monitorear operativamente todos los protocolos relacionados a Supervisión de la seguridad física, estableciendo políticas técnicas correspondientes.</t>
        </is>
      </c>
    </row>
    <row r="51" ht="78.75" customHeight="1" s="103">
      <c r="A51" s="38">
        <f>'ANEXO A'!A51</f>
        <v/>
      </c>
      <c r="B51" s="38">
        <f>IFERROR(VLOOKUP(A51, 'ANEXO A'!$A$2:$L$94, 2, FALSE), "")</f>
        <v/>
      </c>
      <c r="C51" s="38">
        <f>IF(LEFT(A51,1)="5", "5. Organizacionales", IF(LEFT(A51,1)="6", "6. Personas", IF(LEFT(A51,1)="7", "7. Físicos", "8. Tecnológicos")))</f>
        <v/>
      </c>
      <c r="D51" s="38">
        <f>IFERROR(VLOOKUP(A51, 'ANEXO A'!$A$2:$L$94, 11, FALSE), "")</f>
        <v/>
      </c>
      <c r="E51" s="38">
        <f>IFERROR(VLOOKUP(A51, 'ANEXO A'!$A$2:$L$94, 8, FALSE), "")</f>
        <v/>
      </c>
      <c r="F51" s="38">
        <f>IFERROR(VLOOKUP(A51, 'ANEXO A'!$A$2:$L$94, 9, FALSE), "")</f>
        <v/>
      </c>
      <c r="G51" s="38">
        <f>IFERROR(VLOOKUP(A51, 'ANEXO A'!$A$2:$L$94, 10, FALSE), "")</f>
        <v/>
      </c>
      <c r="H51" s="38">
        <f>IFERROR(VLOOKUP(A51, 'ANEXO A'!$A$2:$L$94, 12, FALSE), "")</f>
        <v/>
      </c>
      <c r="I51" s="38" t="inlineStr">
        <is>
          <t>Sec. 10.2.1 Metodología GAI (S31-S40): Sistemas de detección y extinción de incendios (FM200/gas), sensores de inundación y pararrayos (GSO-GSI-ME-GAI / SEPS-2022-002).</t>
        </is>
      </c>
      <c r="J51" s="39">
        <f>"• Establecer lineamientos para " &amp; IFERROR(VLOOKUP(A51, 'ANEXO A'!$A$2:$L$94, 2, FALSE), "Este Control") &amp; CHAR(10) &amp; "• Definir roles para el control " &amp; A51 &amp; CHAR(10) &amp; "• Revisar efectividad de " &amp; IFERROR(VLOOKUP(A51, 'ANEXO A'!$A$2:$L$94, 2, FALSE), "Este Control")</f>
        <v/>
      </c>
      <c r="K51" s="39"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L51" s="39" t="inlineStr">
        <is>
          <t>La organización deberá implementar, registrar y monitorear operativamente todos los protocolos relacionados a Protección contra amenazas físicas y ambientales, estableciendo políticas técnicas correspondientes.</t>
        </is>
      </c>
    </row>
    <row r="52" ht="56.25" customHeight="1" s="103">
      <c r="A52" s="38">
        <f>'ANEXO A'!A52</f>
        <v/>
      </c>
      <c r="B52" s="38">
        <f>IFERROR(VLOOKUP(A52, 'ANEXO A'!$A$2:$L$94, 2, FALSE), "")</f>
        <v/>
      </c>
      <c r="C52" s="38">
        <f>IF(LEFT(A52,1)="5", "5. Organizacionales", IF(LEFT(A52,1)="6", "6. Personas", IF(LEFT(A52,1)="7", "7. Físicos", "8. Tecnológicos")))</f>
        <v/>
      </c>
      <c r="D52" s="38">
        <f>IFERROR(VLOOKUP(A52, 'ANEXO A'!$A$2:$L$94, 11, FALSE), "")</f>
        <v/>
      </c>
      <c r="E52" s="38">
        <f>IFERROR(VLOOKUP(A52, 'ANEXO A'!$A$2:$L$94, 8, FALSE), "")</f>
        <v/>
      </c>
      <c r="F52" s="38">
        <f>IFERROR(VLOOKUP(A52, 'ANEXO A'!$A$2:$L$94, 9, FALSE), "")</f>
        <v/>
      </c>
      <c r="G52" s="38">
        <f>IFERROR(VLOOKUP(A52, 'ANEXO A'!$A$2:$L$94, 10, FALSE), "")</f>
        <v/>
      </c>
      <c r="H52" s="38">
        <f>IFERROR(VLOOKUP(A52, 'ANEXO A'!$A$2:$L$94, 12, FALSE), "")</f>
        <v/>
      </c>
      <c r="I52" s="38" t="inlineStr">
        <is>
          <t>6.11 Claves críticas / 6.12 Llaves: Procedimientos restringidos para custodia de cajas fuertes y zonas de cifrado bajo estricto control (GSO-GSI-MP-GSI).</t>
        </is>
      </c>
      <c r="J52" s="39">
        <f>"• Establecer lineamientos para " &amp; IFERROR(VLOOKUP(A52, 'ANEXO A'!$A$2:$L$94, 2, FALSE), "Este Control") &amp; CHAR(10) &amp; "• Definir roles para el control " &amp; A52 &amp; CHAR(10) &amp; "• Revisar efectividad de " &amp; IFERROR(VLOOKUP(A52, 'ANEXO A'!$A$2:$L$94, 2, FALSE), "Este Control")</f>
        <v/>
      </c>
      <c r="K52" s="39" t="inlineStr">
        <is>
          <t>Asegurar el cumplimiento, control y resguardo continuo de los procesos de Trabajo en áreas seguras a fin de mitigar riesgos y mantener la alineación a los principios de confidencialidad, integridad y disponibilidad aplicables a este dominio.</t>
        </is>
      </c>
      <c r="L52" s="39" t="inlineStr">
        <is>
          <t>La organización deberá implementar, registrar y monitorear operativamente todos los protocolos relacionados a Trabajo en áreas seguras, estableciendo políticas técnicas correspondientes.</t>
        </is>
      </c>
    </row>
    <row r="53" ht="78.75" customHeight="1" s="103">
      <c r="A53" s="38">
        <f>'ANEXO A'!A53</f>
        <v/>
      </c>
      <c r="B53" s="38">
        <f>IFERROR(VLOOKUP(A53, 'ANEXO A'!$A$2:$L$94, 2, FALSE), "")</f>
        <v/>
      </c>
      <c r="C53" s="38">
        <f>IF(LEFT(A53,1)="5", "5. Organizacionales", IF(LEFT(A53,1)="6", "6. Personas", IF(LEFT(A53,1)="7", "7. Físicos", "8. Tecnológicos")))</f>
        <v/>
      </c>
      <c r="D53" s="38">
        <f>IFERROR(VLOOKUP(A53, 'ANEXO A'!$A$2:$L$94, 11, FALSE), "")</f>
        <v/>
      </c>
      <c r="E53" s="38">
        <f>IFERROR(VLOOKUP(A53, 'ANEXO A'!$A$2:$L$94, 8, FALSE), "")</f>
        <v/>
      </c>
      <c r="F53" s="38">
        <f>IFERROR(VLOOKUP(A53, 'ANEXO A'!$A$2:$L$94, 9, FALSE), "")</f>
        <v/>
      </c>
      <c r="G53" s="38">
        <f>IFERROR(VLOOKUP(A53, 'ANEXO A'!$A$2:$L$94, 10, FALSE), "")</f>
        <v/>
      </c>
      <c r="H53" s="38">
        <f>IFERROR(VLOOKUP(A53, 'ANEXO A'!$A$2:$L$94, 12, FALSE), "")</f>
        <v/>
      </c>
      <c r="I53" s="38" t="inlineStr">
        <is>
          <t>6.16 Revisión y monitoreo de políticas: Bloqueo automático de estación por inactividad y resguardo bajo llave de documentos físicos (GSO-GSI-MP-GSI).</t>
        </is>
      </c>
      <c r="J53" s="39">
        <f>"• Establecer lineamientos para " &amp; IFERROR(VLOOKUP(A53, 'ANEXO A'!$A$2:$L$94, 2, FALSE), "Este Control") &amp; CHAR(10) &amp; "• Definir roles para el control " &amp; A53 &amp; CHAR(10) &amp; "• Revisar efectividad de " &amp; IFERROR(VLOOKUP(A53, 'ANEXO A'!$A$2:$L$94, 2, FALSE), "Este Control")</f>
        <v/>
      </c>
      <c r="K53" s="39"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L53" s="39" t="inlineStr">
        <is>
          <t>La organización deberá implementar, registrar y monitorear operativamente todos los protocolos relacionados a Política de escritorio despejado y pantalla despejada, estableciendo políticas técnicas correspondientes.</t>
        </is>
      </c>
    </row>
    <row r="54" ht="78.75" customHeight="1" s="103">
      <c r="A54" s="38">
        <f>'ANEXO A'!A54</f>
        <v/>
      </c>
      <c r="B54" s="38">
        <f>IFERROR(VLOOKUP(A54, 'ANEXO A'!$A$2:$L$94, 2, FALSE), "")</f>
        <v/>
      </c>
      <c r="C54" s="38">
        <f>IF(LEFT(A54,1)="5", "5. Organizacionales", IF(LEFT(A54,1)="6", "6. Personas", IF(LEFT(A54,1)="7", "7. Físicos", "8. Tecnológicos")))</f>
        <v/>
      </c>
      <c r="D54" s="38">
        <f>IFERROR(VLOOKUP(A54, 'ANEXO A'!$A$2:$L$94, 11, FALSE), "")</f>
        <v/>
      </c>
      <c r="E54" s="38">
        <f>IFERROR(VLOOKUP(A54, 'ANEXO A'!$A$2:$L$94, 8, FALSE), "")</f>
        <v/>
      </c>
      <c r="F54" s="38">
        <f>IFERROR(VLOOKUP(A54, 'ANEXO A'!$A$2:$L$94, 9, FALSE), "")</f>
        <v/>
      </c>
      <c r="G54" s="38">
        <f>IFERROR(VLOOKUP(A54, 'ANEXO A'!$A$2:$L$94, 10, FALSE), "")</f>
        <v/>
      </c>
      <c r="H54" s="38">
        <f>IFERROR(VLOOKUP(A54, 'ANEXO A'!$A$2:$L$94, 12, FALSE), "")</f>
        <v/>
      </c>
      <c r="I54" s="38" t="inlineStr">
        <is>
          <t>6.13 Gestión de activos / TI: Ubicación de servidores y racks en centros de datos con control de clima y energía (GSO-GSI-ME-GAI / SEPS-2022-002).</t>
        </is>
      </c>
      <c r="J54" s="39">
        <f>"• Establecer lineamientos para " &amp; IFERROR(VLOOKUP(A54, 'ANEXO A'!$A$2:$L$94, 2, FALSE), "Este Control") &amp; CHAR(10) &amp; "• Definir roles para el control " &amp; A54 &amp; CHAR(10) &amp; "• Revisar efectividad de " &amp; IFERROR(VLOOKUP(A54, 'ANEXO A'!$A$2:$L$94, 2, FALSE), "Este Control")</f>
        <v/>
      </c>
      <c r="K54" s="39" t="inlineStr">
        <is>
          <t>Asegurar el cumplimiento, control y resguardo continuo de los procesos de Emplazamiento y protección de equipos a fin de mitigar riesgos y mantener la alineación a los principios de confidencialidad, integridad y disponibilidad aplicables a este dominio.</t>
        </is>
      </c>
      <c r="L54" s="39" t="inlineStr">
        <is>
          <t>La organización deberá implementar, registrar y monitorear operativamente todos los protocolos relacionados a Emplazamiento y protección de equipos, estableciendo políticas técnicas correspondientes.</t>
        </is>
      </c>
    </row>
    <row r="55" ht="67.5" customHeight="1" s="103">
      <c r="A55" s="38">
        <f>'ANEXO A'!A55</f>
        <v/>
      </c>
      <c r="B55" s="38">
        <f>IFERROR(VLOOKUP(A55, 'ANEXO A'!$A$2:$L$94, 2, FALSE), "")</f>
        <v/>
      </c>
      <c r="C55" s="38">
        <f>IF(LEFT(A55,1)="5", "5. Organizacionales", IF(LEFT(A55,1)="6", "6. Personas", IF(LEFT(A55,1)="7", "7. Físicos", "8. Tecnológicos")))</f>
        <v/>
      </c>
      <c r="D55" s="38">
        <f>IFERROR(VLOOKUP(A55, 'ANEXO A'!$A$2:$L$94, 11, FALSE), "")</f>
        <v/>
      </c>
      <c r="E55" s="38">
        <f>IFERROR(VLOOKUP(A55, 'ANEXO A'!$A$2:$L$94, 8, FALSE), "")</f>
        <v/>
      </c>
      <c r="F55" s="38">
        <f>IFERROR(VLOOKUP(A55, 'ANEXO A'!$A$2:$L$94, 9, FALSE), "")</f>
        <v/>
      </c>
      <c r="G55" s="38">
        <f>IFERROR(VLOOKUP(A55, 'ANEXO A'!$A$2:$L$94, 10, FALSE), "")</f>
        <v/>
      </c>
      <c r="H55" s="38">
        <f>IFERROR(VLOOKUP(A55, 'ANEXO A'!$A$2:$L$94, 12, FALSE), "")</f>
        <v/>
      </c>
      <c r="I55" s="38" t="inlineStr">
        <is>
          <t>6.1 Políticas Generales (Item 4): Equipos portátiles integrados al Directorio Activo, antivirus y cifrado de disco (GSO-GSI-MP-GSI).</t>
        </is>
      </c>
      <c r="J55" s="39">
        <f>"• Establecer lineamientos para " &amp; IFERROR(VLOOKUP(A55, 'ANEXO A'!$A$2:$L$94, 2, FALSE), "Este Control") &amp; CHAR(10) &amp; "• Definir roles para el control " &amp; A55 &amp; CHAR(10) &amp; "• Revisar efectividad de " &amp; IFERROR(VLOOKUP(A55, 'ANEXO A'!$A$2:$L$94, 2, FALSE), "Este Control")</f>
        <v/>
      </c>
      <c r="K55" s="39"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L55" s="39" t="inlineStr">
        <is>
          <t>La organización deberá implementar, registrar y monitorear operativamente todos los protocolos relacionados a Seguridad de los activos fuera de las instalaciones, estableciendo políticas técnicas correspondientes.</t>
        </is>
      </c>
    </row>
    <row r="56" ht="56.25" customHeight="1" s="103">
      <c r="A56" s="38">
        <f>'ANEXO A'!A56</f>
        <v/>
      </c>
      <c r="B56" s="38">
        <f>IFERROR(VLOOKUP(A56, 'ANEXO A'!$A$2:$L$94, 2, FALSE), "")</f>
        <v/>
      </c>
      <c r="C56" s="38">
        <f>IF(LEFT(A56,1)="5", "5. Organizacionales", IF(LEFT(A56,1)="6", "6. Personas", IF(LEFT(A56,1)="7", "7. Físicos", "8. Tecnológicos")))</f>
        <v/>
      </c>
      <c r="D56" s="38">
        <f>IFERROR(VLOOKUP(A56, 'ANEXO A'!$A$2:$L$94, 11, FALSE), "")</f>
        <v/>
      </c>
      <c r="E56" s="38">
        <f>IFERROR(VLOOKUP(A56, 'ANEXO A'!$A$2:$L$94, 8, FALSE), "")</f>
        <v/>
      </c>
      <c r="F56" s="38">
        <f>IFERROR(VLOOKUP(A56, 'ANEXO A'!$A$2:$L$94, 9, FALSE), "")</f>
        <v/>
      </c>
      <c r="G56" s="38">
        <f>IFERROR(VLOOKUP(A56, 'ANEXO A'!$A$2:$L$94, 10, FALSE), "")</f>
        <v/>
      </c>
      <c r="H56" s="38">
        <f>IFERROR(VLOOKUP(A56, 'ANEXO A'!$A$2:$L$94, 12, FALSE), "")</f>
        <v/>
      </c>
      <c r="I56" s="38" t="inlineStr">
        <is>
          <t>6.9 FTP / 6.13 Activos: Control y restricción de medios extraíbles (USB/discos) y almacenamiento de backups (GSO-GSI-MP-GSI / GSO-GSI-ME-GAI).</t>
        </is>
      </c>
      <c r="J56" s="39">
        <f>"• Establecer lineamientos para " &amp; IFERROR(VLOOKUP(A56, 'ANEXO A'!$A$2:$L$94, 2, FALSE), "Este Control") &amp; CHAR(10) &amp; "• Definir roles para el control " &amp; A56 &amp; CHAR(10) &amp; "• Revisar efectividad de " &amp; IFERROR(VLOOKUP(A56, 'ANEXO A'!$A$2:$L$94, 2, FALSE), "Este Control")</f>
        <v/>
      </c>
      <c r="K56" s="39" t="inlineStr">
        <is>
          <t>Asegurar el cumplimiento, control y resguardo continuo de los procesos de Soportes de almacenamiento a fin de mitigar riesgos y mantener la alineación a los principios de confidencialidad, integridad y disponibilidad aplicables a este dominio.</t>
        </is>
      </c>
      <c r="L56" s="39" t="inlineStr">
        <is>
          <t>La organización deberá implementar, registrar y monitorear operativamente todos los protocolos relacionados a Soportes de almacenamiento, estableciendo políticas técnicas correspondientes.</t>
        </is>
      </c>
    </row>
    <row r="57" ht="56.25" customHeight="1" s="103">
      <c r="A57" s="38">
        <f>'ANEXO A'!A57</f>
        <v/>
      </c>
      <c r="B57" s="38">
        <f>IFERROR(VLOOKUP(A57, 'ANEXO A'!$A$2:$L$94, 2, FALSE), "")</f>
        <v/>
      </c>
      <c r="C57" s="38">
        <f>IF(LEFT(A57,1)="5", "5. Organizacionales", IF(LEFT(A57,1)="6", "6. Personas", IF(LEFT(A57,1)="7", "7. Físicos", "8. Tecnológicos")))</f>
        <v/>
      </c>
      <c r="D57" s="38">
        <f>IFERROR(VLOOKUP(A57, 'ANEXO A'!$A$2:$L$94, 11, FALSE), "")</f>
        <v/>
      </c>
      <c r="E57" s="38">
        <f>IFERROR(VLOOKUP(A57, 'ANEXO A'!$A$2:$L$94, 8, FALSE), "")</f>
        <v/>
      </c>
      <c r="F57" s="38">
        <f>IFERROR(VLOOKUP(A57, 'ANEXO A'!$A$2:$L$94, 9, FALSE), "")</f>
        <v/>
      </c>
      <c r="G57" s="38">
        <f>IFERROR(VLOOKUP(A57, 'ANEXO A'!$A$2:$L$94, 10, FALSE), "")</f>
        <v/>
      </c>
      <c r="H57" s="38">
        <f>IFERROR(VLOOKUP(A57, 'ANEXO A'!$A$2:$L$94, 12, FALSE), "")</f>
        <v/>
      </c>
      <c r="I57" s="38" t="inlineStr">
        <is>
          <t>Sec. 10.2.1 Metodología GAI (S32-S33): Respaldo eléctrico mediante UPS redundantes y generador eléctrico (GSO-GSI-ME-GAI / SEPS-2022-002).</t>
        </is>
      </c>
      <c r="J57" s="39">
        <f>"• Establecer lineamientos para " &amp; IFERROR(VLOOKUP(A57, 'ANEXO A'!$A$2:$L$94, 2, FALSE), "Este Control") &amp; CHAR(10) &amp; "• Definir roles para el control " &amp; A57 &amp; CHAR(10) &amp; "• Revisar efectividad de " &amp; IFERROR(VLOOKUP(A57, 'ANEXO A'!$A$2:$L$94, 2, FALSE), "Este Control")</f>
        <v/>
      </c>
      <c r="K57" s="39" t="inlineStr">
        <is>
          <t>Asegurar el cumplimiento, control y resguardo continuo de los procesos de Servicios públicos a fin de mitigar riesgos y mantener la alineación a los principios de confidencialidad, integridad y disponibilidad aplicables a este dominio.</t>
        </is>
      </c>
      <c r="L57" s="39" t="inlineStr">
        <is>
          <t>La organización deberá implementar, registrar y monitorear operativamente todos los protocolos relacionados a Servicios públicos, estableciendo políticas técnicas correspondientes.</t>
        </is>
      </c>
    </row>
    <row r="58" ht="56.25" customHeight="1" s="103">
      <c r="A58" s="38">
        <f>'ANEXO A'!A58</f>
        <v/>
      </c>
      <c r="B58" s="38">
        <f>IFERROR(VLOOKUP(A58, 'ANEXO A'!$A$2:$L$94, 2, FALSE), "")</f>
        <v/>
      </c>
      <c r="C58" s="38">
        <f>IF(LEFT(A58,1)="5", "5. Organizacionales", IF(LEFT(A58,1)="6", "6. Personas", IF(LEFT(A58,1)="7", "7. Físicos", "8. Tecnológicos")))</f>
        <v/>
      </c>
      <c r="D58" s="38">
        <f>IFERROR(VLOOKUP(A58, 'ANEXO A'!$A$2:$L$94, 11, FALSE), "")</f>
        <v/>
      </c>
      <c r="E58" s="38">
        <f>IFERROR(VLOOKUP(A58, 'ANEXO A'!$A$2:$L$94, 8, FALSE), "")</f>
        <v/>
      </c>
      <c r="F58" s="38">
        <f>IFERROR(VLOOKUP(A58, 'ANEXO A'!$A$2:$L$94, 9, FALSE), "")</f>
        <v/>
      </c>
      <c r="G58" s="38">
        <f>IFERROR(VLOOKUP(A58, 'ANEXO A'!$A$2:$L$94, 10, FALSE), "")</f>
        <v/>
      </c>
      <c r="H58" s="38">
        <f>IFERROR(VLOOKUP(A58, 'ANEXO A'!$A$2:$L$94, 12, FALSE), "")</f>
        <v/>
      </c>
      <c r="I58" s="38" t="inlineStr">
        <is>
          <t>Anexo 1 SEPS (Infraestructura): Cableado estructurado canalizado, ordenado y protegido en ductos cerrados (SEPS-2022-002).</t>
        </is>
      </c>
      <c r="J58" s="39">
        <f>"• Establecer lineamientos para " &amp; IFERROR(VLOOKUP(A58, 'ANEXO A'!$A$2:$L$94, 2, FALSE), "Este Control") &amp; CHAR(10) &amp; "• Definir roles para el control " &amp; A58 &amp; CHAR(10) &amp; "• Revisar efectividad de " &amp; IFERROR(VLOOKUP(A58, 'ANEXO A'!$A$2:$L$94, 2, FALSE), "Este Control")</f>
        <v/>
      </c>
      <c r="K58" s="39" t="inlineStr">
        <is>
          <t>Asegurar el cumplimiento, control y resguardo continuo de los procesos de Seguridad del cableado a fin de mitigar riesgos y mantener la alineación a los principios de confidencialidad, integridad y disponibilidad aplicables a este dominio.</t>
        </is>
      </c>
      <c r="L58" s="39" t="inlineStr">
        <is>
          <t>La organización deberá implementar, registrar y monitorear operativamente todos los protocolos relacionados a Seguridad del cableado, estableciendo políticas técnicas correspondientes.</t>
        </is>
      </c>
    </row>
    <row r="59" ht="56.25" customHeight="1" s="103">
      <c r="A59" s="38">
        <f>'ANEXO A'!A59</f>
        <v/>
      </c>
      <c r="B59" s="38">
        <f>IFERROR(VLOOKUP(A59, 'ANEXO A'!$A$2:$L$94, 2, FALSE), "")</f>
        <v/>
      </c>
      <c r="C59" s="38">
        <f>IF(LEFT(A59,1)="5", "5. Organizacionales", IF(LEFT(A59,1)="6", "6. Personas", IF(LEFT(A59,1)="7", "7. Físicos", "8. Tecnológicos")))</f>
        <v/>
      </c>
      <c r="D59" s="38">
        <f>IFERROR(VLOOKUP(A59, 'ANEXO A'!$A$2:$L$94, 11, FALSE), "")</f>
        <v/>
      </c>
      <c r="E59" s="38">
        <f>IFERROR(VLOOKUP(A59, 'ANEXO A'!$A$2:$L$94, 8, FALSE), "")</f>
        <v/>
      </c>
      <c r="F59" s="38">
        <f>IFERROR(VLOOKUP(A59, 'ANEXO A'!$A$2:$L$94, 9, FALSE), "")</f>
        <v/>
      </c>
      <c r="G59" s="38">
        <f>IFERROR(VLOOKUP(A59, 'ANEXO A'!$A$2:$L$94, 10, FALSE), "")</f>
        <v/>
      </c>
      <c r="H59" s="38">
        <f>IFERROR(VLOOKUP(A59, 'ANEXO A'!$A$2:$L$94, 12, FALSE), "")</f>
        <v/>
      </c>
      <c r="I59" s="38" t="inlineStr">
        <is>
          <t>6.19 Escaneo / Plan TI: Mantenimiento preventivo y correctivo periódico a infraestructura bajo bitácora y supervisión (GSO-GSI-MP-GSI / SEPS-2022-002).</t>
        </is>
      </c>
      <c r="J59" s="39">
        <f>"• Establecer lineamientos para " &amp; IFERROR(VLOOKUP(A59, 'ANEXO A'!$A$2:$L$94, 2, FALSE), "Este Control") &amp; CHAR(10) &amp; "• Definir roles para el control " &amp; A59 &amp; CHAR(10) &amp; "• Revisar efectividad de " &amp; IFERROR(VLOOKUP(A59, 'ANEXO A'!$A$2:$L$94, 2, FALSE), "Este Control")</f>
        <v/>
      </c>
      <c r="K59" s="39" t="inlineStr">
        <is>
          <t>Asegurar el cumplimiento, control y resguardo continuo de los procesos de Mantenimiento de equipos a fin de mitigar riesgos y mantener la alineación a los principios de confidencialidad, integridad y disponibilidad aplicables a este dominio.</t>
        </is>
      </c>
      <c r="L59" s="39" t="inlineStr">
        <is>
          <t>La organización deberá implementar, registrar y monitorear operativamente todos los protocolos relacionados a Mantenimiento de equipos, estableciendo políticas técnicas correspondientes.</t>
        </is>
      </c>
    </row>
    <row r="60" ht="67.5" customHeight="1" s="103">
      <c r="A60" s="38">
        <f>'ANEXO A'!A60</f>
        <v/>
      </c>
      <c r="B60" s="38">
        <f>IFERROR(VLOOKUP(A60, 'ANEXO A'!$A$2:$L$94, 2, FALSE), "")</f>
        <v/>
      </c>
      <c r="C60" s="38">
        <f>IF(LEFT(A60,1)="5", "5. Organizacionales", IF(LEFT(A60,1)="6", "6. Personas", IF(LEFT(A60,1)="7", "7. Físicos", "8. Tecnológicos")))</f>
        <v/>
      </c>
      <c r="D60" s="38">
        <f>IFERROR(VLOOKUP(A60, 'ANEXO A'!$A$2:$L$94, 11, FALSE), "")</f>
        <v/>
      </c>
      <c r="E60" s="38">
        <f>IFERROR(VLOOKUP(A60, 'ANEXO A'!$A$2:$L$94, 8, FALSE), "")</f>
        <v/>
      </c>
      <c r="F60" s="38">
        <f>IFERROR(VLOOKUP(A60, 'ANEXO A'!$A$2:$L$94, 9, FALSE), "")</f>
        <v/>
      </c>
      <c r="G60" s="38">
        <f>IFERROR(VLOOKUP(A60, 'ANEXO A'!$A$2:$L$94, 10, FALSE), "")</f>
        <v/>
      </c>
      <c r="H60" s="38">
        <f>IFERROR(VLOOKUP(A60, 'ANEXO A'!$A$2:$L$94, 12, FALSE), "")</f>
        <v/>
      </c>
      <c r="I60" s="38" t="inlineStr">
        <is>
          <t>Sec. 1 Metodología GAI / Bajas TI: Borrado seguro de medios de almacenamiento y desmagnetización/destrucción de discos dados de baja (GSO-GSI-ME-GAI / ISO 27002).</t>
        </is>
      </c>
      <c r="J60" s="39">
        <f>"• Establecer lineamientos para " &amp; IFERROR(VLOOKUP(A60, 'ANEXO A'!$A$2:$L$94, 2, FALSE), "Este Control") &amp; CHAR(10) &amp; "• Definir roles para el control " &amp; A60 &amp; CHAR(10) &amp; "• Revisar efectividad de " &amp; IFERROR(VLOOKUP(A60, 'ANEXO A'!$A$2:$L$94, 2, FALSE), "Este Control")</f>
        <v/>
      </c>
      <c r="K60" s="39"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L60" s="39" t="inlineStr">
        <is>
          <t>La organización deberá implementar, registrar y monitorear operativamente todos los protocolos relacionados a Eliminación segura o reutilización de equipos, estableciendo políticas técnicas correspondientes.</t>
        </is>
      </c>
    </row>
    <row r="61" ht="56.25" customHeight="1" s="103">
      <c r="A61" s="38">
        <f>'ANEXO A'!A61</f>
        <v/>
      </c>
      <c r="B61" s="38">
        <f>IFERROR(VLOOKUP(A61, 'ANEXO A'!$A$2:$L$94, 2, FALSE), "")</f>
        <v/>
      </c>
      <c r="C61" s="38">
        <f>IF(LEFT(A61,1)="5", "5. Organizacionales", IF(LEFT(A61,1)="6", "6. Personas", IF(LEFT(A61,1)="7", "7. Físicos", "8. Tecnológicos")))</f>
        <v/>
      </c>
      <c r="D61" s="38">
        <f>IFERROR(VLOOKUP(A61, 'ANEXO A'!$A$2:$L$94, 11, FALSE), "")</f>
        <v/>
      </c>
      <c r="E61" s="38">
        <f>IFERROR(VLOOKUP(A61, 'ANEXO A'!$A$2:$L$94, 8, FALSE), "")</f>
        <v/>
      </c>
      <c r="F61" s="38">
        <f>IFERROR(VLOOKUP(A61, 'ANEXO A'!$A$2:$L$94, 9, FALSE), "")</f>
        <v/>
      </c>
      <c r="G61" s="38">
        <f>IFERROR(VLOOKUP(A61, 'ANEXO A'!$A$2:$L$94, 10, FALSE), "")</f>
        <v/>
      </c>
      <c r="H61" s="38">
        <f>IFERROR(VLOOKUP(A61, 'ANEXO A'!$A$2:$L$94, 12, FALSE), "")</f>
        <v/>
      </c>
      <c r="I61" s="38" t="inlineStr">
        <is>
          <t>6.1 Políticas Generales (Item 4) / 6.16: Gestión unificada por Directorio Activo, políticas GPO y monitoreo de terminales (GSO-GSI-MP-GSI).</t>
        </is>
      </c>
      <c r="J61" s="39">
        <f>"• Establecer lineamientos para " &amp; IFERROR(VLOOKUP(A61, 'ANEXO A'!$A$2:$L$94, 2, FALSE), "Este Control") &amp; CHAR(10) &amp; "• Definir roles para el control " &amp; A61 &amp; CHAR(10) &amp; "• Revisar efectividad de " &amp; IFERROR(VLOOKUP(A61, 'ANEXO A'!$A$2:$L$94, 2, FALSE), "Este Control")</f>
        <v/>
      </c>
      <c r="K61" s="39" t="inlineStr">
        <is>
          <t>Asegurar el cumplimiento, control y resguardo continuo de los procesos de Dispositivos de punto final de usuario a fin de mitigar riesgos y mantener la alineación a los principios de confidencialidad, integridad y disponibilidad aplicables a este dominio.</t>
        </is>
      </c>
      <c r="L61" s="39" t="inlineStr">
        <is>
          <t>La organización deberá implementar, registrar y monitorear operativamente todos los protocolos relacionados a Dispositivos de punto final de usuario, estableciendo políticas técnicas correspondientes.</t>
        </is>
      </c>
    </row>
    <row r="62" ht="56.25" customHeight="1" s="103">
      <c r="A62" s="38">
        <f>'ANEXO A'!A62</f>
        <v/>
      </c>
      <c r="B62" s="38">
        <f>IFERROR(VLOOKUP(A62, 'ANEXO A'!$A$2:$L$94, 2, FALSE), "")</f>
        <v/>
      </c>
      <c r="C62" s="38">
        <f>IF(LEFT(A62,1)="5", "5. Organizacionales", IF(LEFT(A62,1)="6", "6. Personas", IF(LEFT(A62,1)="7", "7. Físicos", "8. Tecnológicos")))</f>
        <v/>
      </c>
      <c r="D62" s="38">
        <f>IFERROR(VLOOKUP(A62, 'ANEXO A'!$A$2:$L$94, 11, FALSE), "")</f>
        <v/>
      </c>
      <c r="E62" s="38">
        <f>IFERROR(VLOOKUP(A62, 'ANEXO A'!$A$2:$L$94, 8, FALSE), "")</f>
        <v/>
      </c>
      <c r="F62" s="38">
        <f>IFERROR(VLOOKUP(A62, 'ANEXO A'!$A$2:$L$94, 9, FALSE), "")</f>
        <v/>
      </c>
      <c r="G62" s="38">
        <f>IFERROR(VLOOKUP(A62, 'ANEXO A'!$A$2:$L$94, 10, FALSE), "")</f>
        <v/>
      </c>
      <c r="H62" s="38">
        <f>IFERROR(VLOOKUP(A62, 'ANEXO A'!$A$2:$L$94, 12, FALSE), "")</f>
        <v/>
      </c>
      <c r="I62" s="38" t="inlineStr">
        <is>
          <t>6.7. Administración de roles y perfiles - Control de acceso privilegiado (GSO-GSI-MP-GSI)</t>
        </is>
      </c>
      <c r="J62" s="39">
        <f>"• Establecer lineamientos para " &amp; IFERROR(VLOOKUP(A62, 'ANEXO A'!$A$2:$L$94, 2, FALSE), "Este Control") &amp; CHAR(10) &amp; "• Definir roles para el control " &amp; A62 &amp; CHAR(10) &amp; "• Revisar efectividad de " &amp; IFERROR(VLOOKUP(A62, 'ANEXO A'!$A$2:$L$94, 2, FALSE), "Este Control")</f>
        <v/>
      </c>
      <c r="K62" s="39" t="inlineStr">
        <is>
          <t>Asegurar el cumplimiento, control y resguardo continuo de los procesos de Derechos de acceso privilegiado a fin de mitigar riesgos y mantener la alineación a los principios de confidencialidad, integridad y disponibilidad aplicables a este dominio.</t>
        </is>
      </c>
      <c r="L62" s="39" t="inlineStr">
        <is>
          <t>La organización deberá implementar, registrar y monitorear operativamente todos los protocolos relacionados a Derechos de acceso privilegiado, estableciendo políticas técnicas correspondientes.</t>
        </is>
      </c>
    </row>
    <row r="63" ht="67.5" customHeight="1" s="103">
      <c r="A63" s="38">
        <f>'ANEXO A'!A63</f>
        <v/>
      </c>
      <c r="B63" s="38">
        <f>IFERROR(VLOOKUP(A63, 'ANEXO A'!$A$2:$L$94, 2, FALSE), "")</f>
        <v/>
      </c>
      <c r="C63" s="38">
        <f>IF(LEFT(A63,1)="5", "5. Organizacionales", IF(LEFT(A63,1)="6", "6. Personas", IF(LEFT(A63,1)="7", "7. Físicos", "8. Tecnológicos")))</f>
        <v/>
      </c>
      <c r="D63" s="38">
        <f>IFERROR(VLOOKUP(A63, 'ANEXO A'!$A$2:$L$94, 11, FALSE), "")</f>
        <v/>
      </c>
      <c r="E63" s="38">
        <f>IFERROR(VLOOKUP(A63, 'ANEXO A'!$A$2:$L$94, 8, FALSE), "")</f>
        <v/>
      </c>
      <c r="F63" s="38">
        <f>IFERROR(VLOOKUP(A63, 'ANEXO A'!$A$2:$L$94, 9, FALSE), "")</f>
        <v/>
      </c>
      <c r="G63" s="38">
        <f>IFERROR(VLOOKUP(A63, 'ANEXO A'!$A$2:$L$94, 10, FALSE), "")</f>
        <v/>
      </c>
      <c r="H63" s="38">
        <f>IFERROR(VLOOKUP(A63, 'ANEXO A'!$A$2:$L$94, 12, FALSE), "")</f>
        <v/>
      </c>
      <c r="I63" s="38" t="inlineStr">
        <is>
          <t>6.4. Bloqueo y Desbloqueo de usuarios / 6.5 Eliminación de usuarios (GSO-GSI-MP-GSI)</t>
        </is>
      </c>
      <c r="J63" s="39">
        <f>"• Establecer lineamientos para " &amp; IFERROR(VLOOKUP(A63, 'ANEXO A'!$A$2:$L$94, 2, FALSE), "Este Control") &amp; CHAR(10) &amp; "• Definir roles para el control " &amp; A63 &amp; CHAR(10) &amp; "• Revisar efectividad de " &amp; IFERROR(VLOOKUP(A63, 'ANEXO A'!$A$2:$L$94, 2, FALSE), "Este Control")</f>
        <v/>
      </c>
      <c r="K63" s="39"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L63" s="39" t="inlineStr">
        <is>
          <t>La organización deberá implementar, registrar y monitorear operativamente todos los protocolos relacionados a Restricción del acceso a la información, estableciendo políticas técnicas correspondientes.</t>
        </is>
      </c>
    </row>
    <row r="64" ht="56.25" customHeight="1" s="103">
      <c r="A64" s="38">
        <f>'ANEXO A'!A64</f>
        <v/>
      </c>
      <c r="B64" s="38">
        <f>IFERROR(VLOOKUP(A64, 'ANEXO A'!$A$2:$L$94, 2, FALSE), "")</f>
        <v/>
      </c>
      <c r="C64" s="38">
        <f>IF(LEFT(A64,1)="5", "5. Organizacionales", IF(LEFT(A64,1)="6", "6. Personas", IF(LEFT(A64,1)="7", "7. Físicos", "8. Tecnológicos")))</f>
        <v/>
      </c>
      <c r="D64" s="38">
        <f>IFERROR(VLOOKUP(A64, 'ANEXO A'!$A$2:$L$94, 11, FALSE), "")</f>
        <v/>
      </c>
      <c r="E64" s="38">
        <f>IFERROR(VLOOKUP(A64, 'ANEXO A'!$A$2:$L$94, 8, FALSE), "")</f>
        <v/>
      </c>
      <c r="F64" s="38">
        <f>IFERROR(VLOOKUP(A64, 'ANEXO A'!$A$2:$L$94, 9, FALSE), "")</f>
        <v/>
      </c>
      <c r="G64" s="38">
        <f>IFERROR(VLOOKUP(A64, 'ANEXO A'!$A$2:$L$94, 10, FALSE), "")</f>
        <v/>
      </c>
      <c r="H64" s="38">
        <f>IFERROR(VLOOKUP(A64, 'ANEXO A'!$A$2:$L$94, 12, FALSE), "")</f>
        <v/>
      </c>
      <c r="I64" s="38" t="inlineStr">
        <is>
          <t>Anexo 1 SEPS (Desarrollo): Restricción y control de repositorios de software y herramientas de desarrollo bajo mínima asignación de privilegios (SEPS-2022-002 / ISO 27002).</t>
        </is>
      </c>
      <c r="J64" s="39">
        <f>"• Establecer lineamientos para " &amp; IFERROR(VLOOKUP(A64, 'ANEXO A'!$A$2:$L$94, 2, FALSE), "Este Control") &amp; CHAR(10) &amp; "• Definir roles para el control " &amp; A64 &amp; CHAR(10) &amp; "• Revisar efectividad de " &amp; IFERROR(VLOOKUP(A64, 'ANEXO A'!$A$2:$L$94, 2, FALSE), "Este Control")</f>
        <v/>
      </c>
      <c r="K64" s="39" t="inlineStr">
        <is>
          <t>Asegurar el cumplimiento, control y resguardo continuo de los procesos de Acceso al código fuente a fin de mitigar riesgos y mantener la alineación a los principios de confidencialidad, integridad y disponibilidad aplicables a este dominio.</t>
        </is>
      </c>
      <c r="L64" s="39" t="inlineStr">
        <is>
          <t>La organización deberá implementar, registrar y monitorear operativamente todos los protocolos relacionados a Acceso al código fuente, estableciendo políticas técnicas correspondientes.</t>
        </is>
      </c>
    </row>
    <row r="65" ht="56.25" customHeight="1" s="103">
      <c r="A65" s="38">
        <f>'ANEXO A'!A65</f>
        <v/>
      </c>
      <c r="B65" s="38">
        <f>IFERROR(VLOOKUP(A65, 'ANEXO A'!$A$2:$L$94, 2, FALSE), "")</f>
        <v/>
      </c>
      <c r="C65" s="38">
        <f>IF(LEFT(A65,1)="5", "5. Organizacionales", IF(LEFT(A65,1)="6", "6. Personas", IF(LEFT(A65,1)="7", "7. Físicos", "8. Tecnológicos")))</f>
        <v/>
      </c>
      <c r="D65" s="38">
        <f>IFERROR(VLOOKUP(A65, 'ANEXO A'!$A$2:$L$94, 11, FALSE), "")</f>
        <v/>
      </c>
      <c r="E65" s="38">
        <f>IFERROR(VLOOKUP(A65, 'ANEXO A'!$A$2:$L$94, 8, FALSE), "")</f>
        <v/>
      </c>
      <c r="F65" s="38">
        <f>IFERROR(VLOOKUP(A65, 'ANEXO A'!$A$2:$L$94, 9, FALSE), "")</f>
        <v/>
      </c>
      <c r="G65" s="38">
        <f>IFERROR(VLOOKUP(A65, 'ANEXO A'!$A$2:$L$94, 10, FALSE), "")</f>
        <v/>
      </c>
      <c r="H65" s="38">
        <f>IFERROR(VLOOKUP(A65, 'ANEXO A'!$A$2:$L$94, 12, FALSE), "")</f>
        <v/>
      </c>
      <c r="I65" s="38" t="inlineStr">
        <is>
          <t>6.4 Bloqueo / 6.2 MFA Azure: Implementación de contraseñas robustas, bloqueo por intentos fallidos y autenticación multifactor (GSO-GSI-MP-GSI).</t>
        </is>
      </c>
      <c r="J65" s="39">
        <f>"• Establecer lineamientos para " &amp; IFERROR(VLOOKUP(A65, 'ANEXO A'!$A$2:$L$94, 2, FALSE), "Este Control") &amp; CHAR(10) &amp; "• Definir roles para el control " &amp; A65 &amp; CHAR(10) &amp; "• Revisar efectividad de " &amp; IFERROR(VLOOKUP(A65, 'ANEXO A'!$A$2:$L$94, 2, FALSE), "Este Control")</f>
        <v/>
      </c>
      <c r="K65" s="39" t="inlineStr">
        <is>
          <t>Asegurar el cumplimiento, control y resguardo continuo de los procesos de Autenticación segura a fin de mitigar riesgos y mantener la alineación a los principios de confidencialidad, integridad y disponibilidad aplicables a este dominio.</t>
        </is>
      </c>
      <c r="L65" s="39" t="inlineStr">
        <is>
          <t>La organización deberá implementar, registrar y monitorear operativamente todos los protocolos relacionados a Autenticación segura, estableciendo políticas técnicas correspondientes.</t>
        </is>
      </c>
    </row>
    <row r="66" ht="56.25" customHeight="1" s="103">
      <c r="A66" s="38">
        <f>'ANEXO A'!A66</f>
        <v/>
      </c>
      <c r="B66" s="38">
        <f>IFERROR(VLOOKUP(A66, 'ANEXO A'!$A$2:$L$94, 2, FALSE), "")</f>
        <v/>
      </c>
      <c r="C66" s="38">
        <f>IF(LEFT(A66,1)="5", "5. Organizacionales", IF(LEFT(A66,1)="6", "6. Personas", IF(LEFT(A66,1)="7", "7. Físicos", "8. Tecnológicos")))</f>
        <v/>
      </c>
      <c r="D66" s="38">
        <f>IFERROR(VLOOKUP(A66, 'ANEXO A'!$A$2:$L$94, 11, FALSE), "")</f>
        <v/>
      </c>
      <c r="E66" s="38">
        <f>IFERROR(VLOOKUP(A66, 'ANEXO A'!$A$2:$L$94, 8, FALSE), "")</f>
        <v/>
      </c>
      <c r="F66" s="38">
        <f>IFERROR(VLOOKUP(A66, 'ANEXO A'!$A$2:$L$94, 9, FALSE), "")</f>
        <v/>
      </c>
      <c r="G66" s="38">
        <f>IFERROR(VLOOKUP(A66, 'ANEXO A'!$A$2:$L$94, 10, FALSE), "")</f>
        <v/>
      </c>
      <c r="H66" s="38">
        <f>IFERROR(VLOOKUP(A66, 'ANEXO A'!$A$2:$L$94, 12, FALSE), "")</f>
        <v/>
      </c>
      <c r="I66" s="38" t="inlineStr">
        <is>
          <t>6.14 Auditoría BD (Pol. 5): Monitoreo semestral del consumo de recursos, almacenamiento y rendimiento de base de datos y Core (GSO-GSI-MP-GSI).</t>
        </is>
      </c>
      <c r="J66" s="39">
        <f>"• Establecer lineamientos para " &amp; IFERROR(VLOOKUP(A66, 'ANEXO A'!$A$2:$L$94, 2, FALSE), "Este Control") &amp; CHAR(10) &amp; "• Definir roles para el control " &amp; A66 &amp; CHAR(10) &amp; "• Revisar efectividad de " &amp; IFERROR(VLOOKUP(A66, 'ANEXO A'!$A$2:$L$94, 2, FALSE), "Este Control")</f>
        <v/>
      </c>
      <c r="K66" s="39" t="inlineStr">
        <is>
          <t>Asegurar el cumplimiento, control y resguardo continuo de los procesos de Gestión de capacidad a fin de mitigar riesgos y mantener la alineación a los principios de confidencialidad, integridad y disponibilidad aplicables a este dominio.</t>
        </is>
      </c>
      <c r="L66" s="39" t="inlineStr">
        <is>
          <t>La organización deberá implementar, registrar y monitorear operativamente todos los protocolos relacionados a Gestión de capacidad, estableciendo políticas técnicas correspondientes.</t>
        </is>
      </c>
    </row>
    <row r="67" ht="56.25" customHeight="1" s="103">
      <c r="A67" s="38">
        <f>'ANEXO A'!A67</f>
        <v/>
      </c>
      <c r="B67" s="38">
        <f>IFERROR(VLOOKUP(A67, 'ANEXO A'!$A$2:$L$94, 2, FALSE), "")</f>
        <v/>
      </c>
      <c r="C67" s="38">
        <f>IF(LEFT(A67,1)="5", "5. Organizacionales", IF(LEFT(A67,1)="6", "6. Personas", IF(LEFT(A67,1)="7", "7. Físicos", "8. Tecnológicos")))</f>
        <v/>
      </c>
      <c r="D67" s="38">
        <f>IFERROR(VLOOKUP(A67, 'ANEXO A'!$A$2:$L$94, 11, FALSE), "")</f>
        <v/>
      </c>
      <c r="E67" s="38">
        <f>IFERROR(VLOOKUP(A67, 'ANEXO A'!$A$2:$L$94, 8, FALSE), "")</f>
        <v/>
      </c>
      <c r="F67" s="38">
        <f>IFERROR(VLOOKUP(A67, 'ANEXO A'!$A$2:$L$94, 9, FALSE), "")</f>
        <v/>
      </c>
      <c r="G67" s="38">
        <f>IFERROR(VLOOKUP(A67, 'ANEXO A'!$A$2:$L$94, 10, FALSE), "")</f>
        <v/>
      </c>
      <c r="H67" s="38">
        <f>IFERROR(VLOOKUP(A67, 'ANEXO A'!$A$2:$L$94, 12, FALSE), "")</f>
        <v/>
      </c>
      <c r="I67" s="38" t="inlineStr">
        <is>
          <t>6.11 Cuentas Críticas (Antivirus/AntiSpam): Administración centralizada de consola antivirus, filtros antispam y actualización de firmas (GSO-GSI-MP-GSI).</t>
        </is>
      </c>
      <c r="J67" s="39">
        <f>"• Establecer lineamientos para " &amp; IFERROR(VLOOKUP(A67, 'ANEXO A'!$A$2:$L$94, 2, FALSE), "Este Control") &amp; CHAR(10) &amp; "• Definir roles para el control " &amp; A67 &amp; CHAR(10) &amp; "• Revisar efectividad de " &amp; IFERROR(VLOOKUP(A67, 'ANEXO A'!$A$2:$L$94, 2, FALSE), "Este Control")</f>
        <v/>
      </c>
      <c r="K67" s="39" t="inlineStr">
        <is>
          <t>Asegurar el cumplimiento, control y resguardo continuo de los procesos de Protección contra malware a fin de mitigar riesgos y mantener la alineación a los principios de confidencialidad, integridad y disponibilidad aplicables a este dominio.</t>
        </is>
      </c>
      <c r="L67" s="39" t="inlineStr">
        <is>
          <t>La organización deberá implementar, registrar y monitorear operativamente todos los protocolos relacionados a Protección contra malware, estableciendo políticas técnicas correspondientes.</t>
        </is>
      </c>
    </row>
    <row r="68" ht="56.25" customHeight="1" s="103">
      <c r="A68" s="38">
        <f>'ANEXO A'!A68</f>
        <v/>
      </c>
      <c r="B68" s="38">
        <f>IFERROR(VLOOKUP(A68, 'ANEXO A'!$A$2:$L$94, 2, FALSE), "")</f>
        <v/>
      </c>
      <c r="C68" s="38">
        <f>IF(LEFT(A68,1)="5", "5. Organizacionales", IF(LEFT(A68,1)="6", "6. Personas", IF(LEFT(A68,1)="7", "7. Físicos", "8. Tecnológicos")))</f>
        <v/>
      </c>
      <c r="D68" s="38">
        <f>IFERROR(VLOOKUP(A68, 'ANEXO A'!$A$2:$L$94, 11, FALSE), "")</f>
        <v/>
      </c>
      <c r="E68" s="38">
        <f>IFERROR(VLOOKUP(A68, 'ANEXO A'!$A$2:$L$94, 8, FALSE), "")</f>
        <v/>
      </c>
      <c r="F68" s="38">
        <f>IFERROR(VLOOKUP(A68, 'ANEXO A'!$A$2:$L$94, 9, FALSE), "")</f>
        <v/>
      </c>
      <c r="G68" s="38">
        <f>IFERROR(VLOOKUP(A68, 'ANEXO A'!$A$2:$L$94, 10, FALSE), "")</f>
        <v/>
      </c>
      <c r="H68" s="38">
        <f>IFERROR(VLOOKUP(A68, 'ANEXO A'!$A$2:$L$94, 12, FALSE), "")</f>
        <v/>
      </c>
      <c r="I68" s="38" t="inlineStr">
        <is>
          <t>6.19. Escaneo de vulnerabilidades internas y externas - Mantenimiento de software (GSO-GSI-MP-GSI)</t>
        </is>
      </c>
      <c r="J68" s="39">
        <f>"• Establecer lineamientos para " &amp; IFERROR(VLOOKUP(A68, 'ANEXO A'!$A$2:$L$94, 2, FALSE), "Este Control") &amp; CHAR(10) &amp; "• Definir roles para el control " &amp; A68 &amp; CHAR(10) &amp; "• Revisar efectividad de " &amp; IFERROR(VLOOKUP(A68, 'ANEXO A'!$A$2:$L$94, 2, FALSE), "Este Control")</f>
        <v/>
      </c>
      <c r="K68" s="39" t="inlineStr">
        <is>
          <t>Asegurar el cumplimiento, control y resguardo continuo de los procesos de Gestión de vulnerabilidades técnicas a fin de mitigar riesgos y mantener la alineación a los principios de confidencialidad, integridad y disponibilidad aplicables a este dominio.</t>
        </is>
      </c>
      <c r="L68" s="39" t="inlineStr">
        <is>
          <t>La organización deberá implementar, registrar y monitorear operativamente todos los protocolos relacionados a Gestión de vulnerabilidades técnicas, estableciendo políticas técnicas correspondientes.</t>
        </is>
      </c>
    </row>
    <row r="69" ht="56.25" customHeight="1" s="103">
      <c r="A69" s="38">
        <f>'ANEXO A'!A69</f>
        <v/>
      </c>
      <c r="B69" s="38">
        <f>IFERROR(VLOOKUP(A69, 'ANEXO A'!$A$2:$L$94, 2, FALSE), "")</f>
        <v/>
      </c>
      <c r="C69" s="38">
        <f>IF(LEFT(A69,1)="5", "5. Organizacionales", IF(LEFT(A69,1)="6", "6. Personas", IF(LEFT(A69,1)="7", "7. Físicos", "8. Tecnológicos")))</f>
        <v/>
      </c>
      <c r="D69" s="38">
        <f>IFERROR(VLOOKUP(A69, 'ANEXO A'!$A$2:$L$94, 11, FALSE), "")</f>
        <v/>
      </c>
      <c r="E69" s="38">
        <f>IFERROR(VLOOKUP(A69, 'ANEXO A'!$A$2:$L$94, 8, FALSE), "")</f>
        <v/>
      </c>
      <c r="F69" s="38">
        <f>IFERROR(VLOOKUP(A69, 'ANEXO A'!$A$2:$L$94, 9, FALSE), "")</f>
        <v/>
      </c>
      <c r="G69" s="38">
        <f>IFERROR(VLOOKUP(A69, 'ANEXO A'!$A$2:$L$94, 10, FALSE), "")</f>
        <v/>
      </c>
      <c r="H69" s="38">
        <f>IFERROR(VLOOKUP(A69, 'ANEXO A'!$A$2:$L$94, 12, FALSE), "")</f>
        <v/>
      </c>
      <c r="I69" s="38" t="inlineStr">
        <is>
          <t>Anexo 1 SEPS 002 (Configuración): Establecimiento y auditoría de líneas base seguras (Hardening) en servidores, BD y comunicaciones (SEPS-2022-002).</t>
        </is>
      </c>
      <c r="J69" s="39">
        <f>"• Establecer lineamientos para " &amp; IFERROR(VLOOKUP(A69, 'ANEXO A'!$A$2:$L$94, 2, FALSE), "Este Control") &amp; CHAR(10) &amp; "• Definir roles para el control " &amp; A69 &amp; CHAR(10) &amp; "• Revisar efectividad de " &amp; IFERROR(VLOOKUP(A69, 'ANEXO A'!$A$2:$L$94, 2, FALSE), "Este Control")</f>
        <v/>
      </c>
      <c r="K69" s="39" t="inlineStr">
        <is>
          <t>Asegurar el cumplimiento, control y resguardo continuo de los procesos de Gestión de la configuración a fin de mitigar riesgos y mantener la alineación a los principios de confidencialidad, integridad y disponibilidad aplicables a este dominio.</t>
        </is>
      </c>
      <c r="L69" s="39" t="inlineStr">
        <is>
          <t>La organización deberá implementar, registrar y monitorear operativamente todos los protocolos relacionados a Gestión de la configuración, estableciendo políticas técnicas correspondientes.</t>
        </is>
      </c>
    </row>
    <row r="70" ht="56.25" customHeight="1" s="103">
      <c r="A70" s="38">
        <f>'ANEXO A'!A70</f>
        <v/>
      </c>
      <c r="B70" s="38">
        <f>IFERROR(VLOOKUP(A70, 'ANEXO A'!$A$2:$L$94, 2, FALSE), "")</f>
        <v/>
      </c>
      <c r="C70" s="38">
        <f>IF(LEFT(A70,1)="5", "5. Organizacionales", IF(LEFT(A70,1)="6", "6. Personas", IF(LEFT(A70,1)="7", "7. Físicos", "8. Tecnológicos")))</f>
        <v/>
      </c>
      <c r="D70" s="38">
        <f>IFERROR(VLOOKUP(A70, 'ANEXO A'!$A$2:$L$94, 11, FALSE), "")</f>
        <v/>
      </c>
      <c r="E70" s="38">
        <f>IFERROR(VLOOKUP(A70, 'ANEXO A'!$A$2:$L$94, 8, FALSE), "")</f>
        <v/>
      </c>
      <c r="F70" s="38">
        <f>IFERROR(VLOOKUP(A70, 'ANEXO A'!$A$2:$L$94, 9, FALSE), "")</f>
        <v/>
      </c>
      <c r="G70" s="38">
        <f>IFERROR(VLOOKUP(A70, 'ANEXO A'!$A$2:$L$94, 10, FALSE), "")</f>
        <v/>
      </c>
      <c r="H70" s="38">
        <f>IFERROR(VLOOKUP(A70, 'ANEXO A'!$A$2:$L$94, 12, FALSE), "")</f>
        <v/>
      </c>
      <c r="I70" s="38" t="inlineStr">
        <is>
          <t>6.5 Eliminación de usuarios / Retención: Expiración de productos/roles y purga segura de archivos temporales (GSO-GSI-MP-GSI / ISO 27002).</t>
        </is>
      </c>
      <c r="J70" s="39">
        <f>"• Establecer lineamientos para " &amp; IFERROR(VLOOKUP(A70, 'ANEXO A'!$A$2:$L$94, 2, FALSE), "Este Control") &amp; CHAR(10) &amp; "• Definir roles para el control " &amp; A70 &amp; CHAR(10) &amp; "• Revisar efectividad de " &amp; IFERROR(VLOOKUP(A70, 'ANEXO A'!$A$2:$L$94, 2, FALSE), "Este Control")</f>
        <v/>
      </c>
      <c r="K70" s="39" t="inlineStr">
        <is>
          <t>Asegurar el cumplimiento, control y resguardo continuo de los procesos de Eliminación de información a fin de mitigar riesgos y mantener la alineación a los principios de confidencialidad, integridad y disponibilidad aplicables a este dominio.</t>
        </is>
      </c>
      <c r="L70" s="39" t="inlineStr">
        <is>
          <t>La organización deberá implementar, registrar y monitorear operativamente todos los protocolos relacionados a Eliminación de información, estableciendo políticas técnicas correspondientes.</t>
        </is>
      </c>
    </row>
    <row r="71" ht="56.25" customHeight="1" s="103">
      <c r="A71" s="38">
        <f>'ANEXO A'!A71</f>
        <v/>
      </c>
      <c r="B71" s="38">
        <f>IFERROR(VLOOKUP(A71, 'ANEXO A'!$A$2:$L$94, 2, FALSE), "")</f>
        <v/>
      </c>
      <c r="C71" s="38">
        <f>IF(LEFT(A71,1)="5", "5. Organizacionales", IF(LEFT(A71,1)="6", "6. Personas", IF(LEFT(A71,1)="7", "7. Físicos", "8. Tecnológicos")))</f>
        <v/>
      </c>
      <c r="D71" s="38">
        <f>IFERROR(VLOOKUP(A71, 'ANEXO A'!$A$2:$L$94, 11, FALSE), "")</f>
        <v/>
      </c>
      <c r="E71" s="38">
        <f>IFERROR(VLOOKUP(A71, 'ANEXO A'!$A$2:$L$94, 8, FALSE), "")</f>
        <v/>
      </c>
      <c r="F71" s="38">
        <f>IFERROR(VLOOKUP(A71, 'ANEXO A'!$A$2:$L$94, 9, FALSE), "")</f>
        <v/>
      </c>
      <c r="G71" s="38">
        <f>IFERROR(VLOOKUP(A71, 'ANEXO A'!$A$2:$L$94, 10, FALSE), "")</f>
        <v/>
      </c>
      <c r="H71" s="38">
        <f>IFERROR(VLOOKUP(A71, 'ANEXO A'!$A$2:$L$94, 12, FALSE), "")</f>
        <v/>
      </c>
      <c r="I71" s="38" t="inlineStr">
        <is>
          <t>6.17 Escaneo PCI DSS (Pol. 3-6): Truncamiento y ofuscación del PAN (visibilidad máx. primeros 6 y últimos 4 dígitos) (GSO-GSI-MP-GSI).</t>
        </is>
      </c>
      <c r="J71" s="39">
        <f>"• Establecer lineamientos para " &amp; IFERROR(VLOOKUP(A71, 'ANEXO A'!$A$2:$L$94, 2, FALSE), "Este Control") &amp; CHAR(10) &amp; "• Definir roles para el control " &amp; A71 &amp; CHAR(10) &amp; "• Revisar efectividad de " &amp; IFERROR(VLOOKUP(A71, 'ANEXO A'!$A$2:$L$94, 2, FALSE), "Este Control")</f>
        <v/>
      </c>
      <c r="K71" s="39" t="inlineStr">
        <is>
          <t>Asegurar el cumplimiento, control y resguardo continuo de los procesos de Enmascaramiento de datos a fin de mitigar riesgos y mantener la alineación a los principios de confidencialidad, integridad y disponibilidad aplicables a este dominio.</t>
        </is>
      </c>
      <c r="L71" s="39" t="inlineStr">
        <is>
          <t>La organización deberá implementar, registrar y monitorear operativamente todos los protocolos relacionados a Enmascaramiento de datos, estableciendo políticas técnicas correspondientes.</t>
        </is>
      </c>
    </row>
    <row r="72" ht="56.25" customHeight="1" s="103">
      <c r="A72" s="38">
        <f>'ANEXO A'!A72</f>
        <v/>
      </c>
      <c r="B72" s="38">
        <f>IFERROR(VLOOKUP(A72, 'ANEXO A'!$A$2:$L$94, 2, FALSE), "")</f>
        <v/>
      </c>
      <c r="C72" s="38">
        <f>IF(LEFT(A72,1)="5", "5. Organizacionales", IF(LEFT(A72,1)="6", "6. Personas", IF(LEFT(A72,1)="7", "7. Físicos", "8. Tecnológicos")))</f>
        <v/>
      </c>
      <c r="D72" s="38">
        <f>IFERROR(VLOOKUP(A72, 'ANEXO A'!$A$2:$L$94, 11, FALSE), "")</f>
        <v/>
      </c>
      <c r="E72" s="38">
        <f>IFERROR(VLOOKUP(A72, 'ANEXO A'!$A$2:$L$94, 8, FALSE), "")</f>
        <v/>
      </c>
      <c r="F72" s="38">
        <f>IFERROR(VLOOKUP(A72, 'ANEXO A'!$A$2:$L$94, 9, FALSE), "")</f>
        <v/>
      </c>
      <c r="G72" s="38">
        <f>IFERROR(VLOOKUP(A72, 'ANEXO A'!$A$2:$L$94, 10, FALSE), "")</f>
        <v/>
      </c>
      <c r="H72" s="38">
        <f>IFERROR(VLOOKUP(A72, 'ANEXO A'!$A$2:$L$94, 12, FALSE), "")</f>
        <v/>
      </c>
      <c r="I72" s="38" t="inlineStr">
        <is>
          <t>6.9 Control FTP / 6.17 PCI DSS: Restricción de descargas masivas, monitoreo de canales de salida y bloqueo de fuga de información crítica (GSO-GSI-MP-GSI).</t>
        </is>
      </c>
      <c r="J72" s="39">
        <f>"• Establecer lineamientos para " &amp; IFERROR(VLOOKUP(A72, 'ANEXO A'!$A$2:$L$94, 2, FALSE), "Este Control") &amp; CHAR(10) &amp; "• Definir roles para el control " &amp; A72 &amp; CHAR(10) &amp; "• Revisar efectividad de " &amp; IFERROR(VLOOKUP(A72, 'ANEXO A'!$A$2:$L$94, 2, FALSE), "Este Control")</f>
        <v/>
      </c>
      <c r="K72" s="39" t="inlineStr">
        <is>
          <t>Asegurar el cumplimiento, control y resguardo continuo de los procesos de Prevención de fuga de datos a fin de mitigar riesgos y mantener la alineación a los principios de confidencialidad, integridad y disponibilidad aplicables a este dominio.</t>
        </is>
      </c>
      <c r="L72" s="39" t="inlineStr">
        <is>
          <t>La organización deberá implementar, registrar y monitorear operativamente todos los protocolos relacionados a Prevención de fuga de datos, estableciendo políticas técnicas correspondientes.</t>
        </is>
      </c>
    </row>
    <row r="73" ht="56.25" customHeight="1" s="103">
      <c r="A73" s="38">
        <f>'ANEXO A'!A73</f>
        <v/>
      </c>
      <c r="B73" s="38">
        <f>IFERROR(VLOOKUP(A73, 'ANEXO A'!$A$2:$L$94, 2, FALSE), "")</f>
        <v/>
      </c>
      <c r="C73" s="38">
        <f>IF(LEFT(A73,1)="5", "5. Organizacionales", IF(LEFT(A73,1)="6", "6. Personas", IF(LEFT(A73,1)="7", "7. Físicos", "8. Tecnológicos")))</f>
        <v/>
      </c>
      <c r="D73" s="38">
        <f>IFERROR(VLOOKUP(A73, 'ANEXO A'!$A$2:$L$94, 11, FALSE), "")</f>
        <v/>
      </c>
      <c r="E73" s="38">
        <f>IFERROR(VLOOKUP(A73, 'ANEXO A'!$A$2:$L$94, 8, FALSE), "")</f>
        <v/>
      </c>
      <c r="F73" s="38">
        <f>IFERROR(VLOOKUP(A73, 'ANEXO A'!$A$2:$L$94, 9, FALSE), "")</f>
        <v/>
      </c>
      <c r="G73" s="38">
        <f>IFERROR(VLOOKUP(A73, 'ANEXO A'!$A$2:$L$94, 10, FALSE), "")</f>
        <v/>
      </c>
      <c r="H73" s="38">
        <f>IFERROR(VLOOKUP(A73, 'ANEXO A'!$A$2:$L$94, 12, FALSE), "")</f>
        <v/>
      </c>
      <c r="I73" s="38" t="inlineStr">
        <is>
          <t>Anexo 1 SEPS 002 (Respaldos): Resguardo periódico automatizado de BD y aplicativos, y pruebas semestrales de restauración (SEPS-2022-002).</t>
        </is>
      </c>
      <c r="J73" s="39">
        <f>"• Establecer lineamientos para " &amp; IFERROR(VLOOKUP(A73, 'ANEXO A'!$A$2:$L$94, 2, FALSE), "Este Control") &amp; CHAR(10) &amp; "• Definir roles para el control " &amp; A73 &amp; CHAR(10) &amp; "• Revisar efectividad de " &amp; IFERROR(VLOOKUP(A73, 'ANEXO A'!$A$2:$L$94, 2, FALSE), "Este Control")</f>
        <v/>
      </c>
      <c r="K73" s="39" t="inlineStr">
        <is>
          <t>Asegurar el cumplimiento, control y resguardo continuo de los procesos de Copias de seguridad de la información a fin de mitigar riesgos y mantener la alineación a los principios de confidencialidad, integridad y disponibilidad aplicables a este dominio.</t>
        </is>
      </c>
      <c r="L73" s="39" t="inlineStr">
        <is>
          <t>La organización deberá implementar, registrar y monitorear operativamente todos los protocolos relacionados a Copias de seguridad de la información, estableciendo políticas técnicas correspondientes.</t>
        </is>
      </c>
    </row>
    <row r="74" ht="78.75" customHeight="1" s="103">
      <c r="A74" s="38">
        <f>'ANEXO A'!A74</f>
        <v/>
      </c>
      <c r="B74" s="38">
        <f>IFERROR(VLOOKUP(A74, 'ANEXO A'!$A$2:$L$94, 2, FALSE), "")</f>
        <v/>
      </c>
      <c r="C74" s="38">
        <f>IF(LEFT(A74,1)="5", "5. Organizacionales", IF(LEFT(A74,1)="6", "6. Personas", IF(LEFT(A74,1)="7", "7. Físicos", "8. Tecnológicos")))</f>
        <v/>
      </c>
      <c r="D74" s="38">
        <f>IFERROR(VLOOKUP(A74, 'ANEXO A'!$A$2:$L$94, 11, FALSE), "")</f>
        <v/>
      </c>
      <c r="E74" s="38">
        <f>IFERROR(VLOOKUP(A74, 'ANEXO A'!$A$2:$L$94, 8, FALSE), "")</f>
        <v/>
      </c>
      <c r="F74" s="38">
        <f>IFERROR(VLOOKUP(A74, 'ANEXO A'!$A$2:$L$94, 9, FALSE), "")</f>
        <v/>
      </c>
      <c r="G74" s="38">
        <f>IFERROR(VLOOKUP(A74, 'ANEXO A'!$A$2:$L$94, 10, FALSE), "")</f>
        <v/>
      </c>
      <c r="H74" s="38">
        <f>IFERROR(VLOOKUP(A74, 'ANEXO A'!$A$2:$L$94, 12, FALSE), "")</f>
        <v/>
      </c>
      <c r="I74" s="38" t="inlineStr">
        <is>
          <t>Anexo 1 SEPS (Arquitectura): Implementación de clúster de servidores, alta disponibilidad de BD y enlaces de comunicación alternos (SEPS-2022-002).</t>
        </is>
      </c>
      <c r="J74" s="39">
        <f>"• Establecer lineamientos para " &amp; IFERROR(VLOOKUP(A74, 'ANEXO A'!$A$2:$L$94, 2, FALSE), "Este Control") &amp; CHAR(10) &amp; "• Definir roles para el control " &amp; A74 &amp; CHAR(10) &amp; "• Revisar efectividad de " &amp; IFERROR(VLOOKUP(A74, 'ANEXO A'!$A$2:$L$94, 2, FALSE), "Este Control")</f>
        <v/>
      </c>
      <c r="K74" s="39"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L74" s="39" t="inlineStr">
        <is>
          <t>La organización deberá implementar, registrar y monitorear operativamente todos los protocolos relacionados a Redundancia de las instalaciones de procesamiento de información, estableciendo políticas técnicas correspondientes.</t>
        </is>
      </c>
    </row>
    <row r="75" ht="56.25" customHeight="1" s="103">
      <c r="A75" s="38">
        <f>'ANEXO A'!A75</f>
        <v/>
      </c>
      <c r="B75" s="38">
        <f>IFERROR(VLOOKUP(A75, 'ANEXO A'!$A$2:$L$94, 2, FALSE), "")</f>
        <v/>
      </c>
      <c r="C75" s="38">
        <f>IF(LEFT(A75,1)="5", "5. Organizacionales", IF(LEFT(A75,1)="6", "6. Personas", IF(LEFT(A75,1)="7", "7. Físicos", "8. Tecnológicos")))</f>
        <v/>
      </c>
      <c r="D75" s="38">
        <f>IFERROR(VLOOKUP(A75, 'ANEXO A'!$A$2:$L$94, 11, FALSE), "")</f>
        <v/>
      </c>
      <c r="E75" s="38">
        <f>IFERROR(VLOOKUP(A75, 'ANEXO A'!$A$2:$L$94, 8, FALSE), "")</f>
        <v/>
      </c>
      <c r="F75" s="38">
        <f>IFERROR(VLOOKUP(A75, 'ANEXO A'!$A$2:$L$94, 9, FALSE), "")</f>
        <v/>
      </c>
      <c r="G75" s="38">
        <f>IFERROR(VLOOKUP(A75, 'ANEXO A'!$A$2:$L$94, 10, FALSE), "")</f>
        <v/>
      </c>
      <c r="H75" s="38">
        <f>IFERROR(VLOOKUP(A75, 'ANEXO A'!$A$2:$L$94, 12, FALSE), "")</f>
        <v/>
      </c>
      <c r="I75" s="38" t="inlineStr">
        <is>
          <t>6.14. Administración de la auditoría de la base de datos - Registro y monitoreo de eventos (GSO-GSI-MP-GSI)</t>
        </is>
      </c>
      <c r="J75" s="39">
        <f>"• Establecer lineamientos para " &amp; IFERROR(VLOOKUP(A75, 'ANEXO A'!$A$2:$L$94, 2, FALSE), "Este Control") &amp; CHAR(10) &amp; "• Definir roles para el control " &amp; A75 &amp; CHAR(10) &amp; "• Revisar efectividad de " &amp; IFERROR(VLOOKUP(A75, 'ANEXO A'!$A$2:$L$94, 2, FALSE), "Este Control")</f>
        <v/>
      </c>
      <c r="K75" s="39" t="inlineStr">
        <is>
          <t>Asegurar el cumplimiento, control y resguardo continuo de los procesos de Registro de eventos (Logging) a fin de mitigar riesgos y mantener la alineación a los principios de confidencialidad, integridad y disponibilidad aplicables a este dominio.</t>
        </is>
      </c>
      <c r="L75" s="39" t="inlineStr">
        <is>
          <t>La organización deberá implementar, registrar y monitorear operativamente todos los protocolos relacionados a Registro de eventos (Logging), estableciendo políticas técnicas correspondientes.</t>
        </is>
      </c>
    </row>
    <row r="76" ht="67.5" customHeight="1" s="103">
      <c r="A76" s="38">
        <f>'ANEXO A'!A76</f>
        <v/>
      </c>
      <c r="B76" s="38">
        <f>IFERROR(VLOOKUP(A76, 'ANEXO A'!$A$2:$L$94, 2, FALSE), "")</f>
        <v/>
      </c>
      <c r="C76" s="38">
        <f>IF(LEFT(A76,1)="5", "5. Organizacionales", IF(LEFT(A76,1)="6", "6. Personas", IF(LEFT(A76,1)="7", "7. Físicos", "8. Tecnológicos")))</f>
        <v/>
      </c>
      <c r="D76" s="38">
        <f>IFERROR(VLOOKUP(A76, 'ANEXO A'!$A$2:$L$94, 11, FALSE), "")</f>
        <v/>
      </c>
      <c r="E76" s="38">
        <f>IFERROR(VLOOKUP(A76, 'ANEXO A'!$A$2:$L$94, 8, FALSE), "")</f>
        <v/>
      </c>
      <c r="F76" s="38">
        <f>IFERROR(VLOOKUP(A76, 'ANEXO A'!$A$2:$L$94, 9, FALSE), "")</f>
        <v/>
      </c>
      <c r="G76" s="38">
        <f>IFERROR(VLOOKUP(A76, 'ANEXO A'!$A$2:$L$94, 10, FALSE), "")</f>
        <v/>
      </c>
      <c r="H76" s="38">
        <f>IFERROR(VLOOKUP(A76, 'ANEXO A'!$A$2:$L$94, 12, FALSE), "")</f>
        <v/>
      </c>
      <c r="I76" s="38" t="inlineStr">
        <is>
          <t>6.14 Auditoría BD / 6.16 Monitoreo: Supervisión continua mediante scripts, logs de base de datos y herramientas de red (GSO-GSI-MP-GSI).</t>
        </is>
      </c>
      <c r="J76" s="39">
        <f>"• Establecer lineamientos para " &amp; IFERROR(VLOOKUP(A76, 'ANEXO A'!$A$2:$L$94, 2, FALSE), "Este Control") &amp; CHAR(10) &amp; "• Definir roles para el control " &amp; A76 &amp; CHAR(10) &amp; "• Revisar efectividad de " &amp; IFERROR(VLOOKUP(A76, 'ANEXO A'!$A$2:$L$94, 2, FALSE), "Este Control")</f>
        <v/>
      </c>
      <c r="K76" s="39" t="inlineStr">
        <is>
          <t>Asegurar el cumplimiento, control y resguardo continuo de los procesos de Actividades de seguimiento (Monitoring) a fin de mitigar riesgos y mantener la alineación a los principios de confidencialidad, integridad y disponibilidad aplicables a este dominio.</t>
        </is>
      </c>
      <c r="L76" s="39" t="inlineStr">
        <is>
          <t>La organización deberá implementar, registrar y monitorear operativamente todos los protocolos relacionados a Actividades de seguimiento (Monitoring), estableciendo políticas técnicas correspondientes.</t>
        </is>
      </c>
    </row>
    <row r="77" ht="56.25" customHeight="1" s="103">
      <c r="A77" s="38">
        <f>'ANEXO A'!A77</f>
        <v/>
      </c>
      <c r="B77" s="38">
        <f>IFERROR(VLOOKUP(A77, 'ANEXO A'!$A$2:$L$94, 2, FALSE), "")</f>
        <v/>
      </c>
      <c r="C77" s="38">
        <f>IF(LEFT(A77,1)="5", "5. Organizacionales", IF(LEFT(A77,1)="6", "6. Personas", IF(LEFT(A77,1)="7", "7. Físicos", "8. Tecnológicos")))</f>
        <v/>
      </c>
      <c r="D77" s="38">
        <f>IFERROR(VLOOKUP(A77, 'ANEXO A'!$A$2:$L$94, 11, FALSE), "")</f>
        <v/>
      </c>
      <c r="E77" s="38">
        <f>IFERROR(VLOOKUP(A77, 'ANEXO A'!$A$2:$L$94, 8, FALSE), "")</f>
        <v/>
      </c>
      <c r="F77" s="38">
        <f>IFERROR(VLOOKUP(A77, 'ANEXO A'!$A$2:$L$94, 9, FALSE), "")</f>
        <v/>
      </c>
      <c r="G77" s="38">
        <f>IFERROR(VLOOKUP(A77, 'ANEXO A'!$A$2:$L$94, 10, FALSE), "")</f>
        <v/>
      </c>
      <c r="H77" s="38">
        <f>IFERROR(VLOOKUP(A77, 'ANEXO A'!$A$2:$L$94, 12, FALSE), "")</f>
        <v/>
      </c>
      <c r="I77" s="38" t="inlineStr">
        <is>
          <t>Anexo 1 SEPS (Logs y Detección): Sincronización automática de todos los servidores y estaciones a fuentes horarias oficiales (NTP) (SEPS-2022-002 / ISO 27002).</t>
        </is>
      </c>
      <c r="J77" s="39">
        <f>"• Establecer lineamientos para " &amp; IFERROR(VLOOKUP(A77, 'ANEXO A'!$A$2:$L$94, 2, FALSE), "Este Control") &amp; CHAR(10) &amp; "• Definir roles para el control " &amp; A77 &amp; CHAR(10) &amp; "• Revisar efectividad de " &amp; IFERROR(VLOOKUP(A77, 'ANEXO A'!$A$2:$L$94, 2, FALSE), "Este Control")</f>
        <v/>
      </c>
      <c r="K77" s="39" t="inlineStr">
        <is>
          <t>Asegurar el cumplimiento, control y resguardo continuo de los procesos de Sincronización de relojes a fin de mitigar riesgos y mantener la alineación a los principios de confidencialidad, integridad y disponibilidad aplicables a este dominio.</t>
        </is>
      </c>
      <c r="L77" s="39" t="inlineStr">
        <is>
          <t>La organización deberá implementar, registrar y monitorear operativamente todos los protocolos relacionados a Sincronización de relojes, estableciendo políticas técnicas correspondientes.</t>
        </is>
      </c>
    </row>
    <row r="78" ht="67.5" customHeight="1" s="103">
      <c r="A78" s="38">
        <f>'ANEXO A'!A78</f>
        <v/>
      </c>
      <c r="B78" s="38">
        <f>IFERROR(VLOOKUP(A78, 'ANEXO A'!$A$2:$L$94, 2, FALSE), "")</f>
        <v/>
      </c>
      <c r="C78" s="38">
        <f>IF(LEFT(A78,1)="5", "5. Organizacionales", IF(LEFT(A78,1)="6", "6. Personas", IF(LEFT(A78,1)="7", "7. Físicos", "8. Tecnológicos")))</f>
        <v/>
      </c>
      <c r="D78" s="38">
        <f>IFERROR(VLOOKUP(A78, 'ANEXO A'!$A$2:$L$94, 11, FALSE), "")</f>
        <v/>
      </c>
      <c r="E78" s="38">
        <f>IFERROR(VLOOKUP(A78, 'ANEXO A'!$A$2:$L$94, 8, FALSE), "")</f>
        <v/>
      </c>
      <c r="F78" s="38">
        <f>IFERROR(VLOOKUP(A78, 'ANEXO A'!$A$2:$L$94, 9, FALSE), "")</f>
        <v/>
      </c>
      <c r="G78" s="38">
        <f>IFERROR(VLOOKUP(A78, 'ANEXO A'!$A$2:$L$94, 10, FALSE), "")</f>
        <v/>
      </c>
      <c r="H78" s="38">
        <f>IFERROR(VLOOKUP(A78, 'ANEXO A'!$A$2:$L$94, 12, FALSE), "")</f>
        <v/>
      </c>
      <c r="I78" s="38" t="inlineStr">
        <is>
          <t>6.11 Cuentas Críticas / 6.14 BD: Restricción estricta de ejecución de scripts DDL/DML directos y herramientas de bajo nivel (GSO-GSI-MP-GSI).</t>
        </is>
      </c>
      <c r="J78" s="39">
        <f>"• Establecer lineamientos para " &amp; IFERROR(VLOOKUP(A78, 'ANEXO A'!$A$2:$L$94, 2, FALSE), "Este Control") &amp; CHAR(10) &amp; "• Definir roles para el control " &amp; A78 &amp; CHAR(10) &amp; "• Revisar efectividad de " &amp; IFERROR(VLOOKUP(A78, 'ANEXO A'!$A$2:$L$94, 2, FALSE), "Este Control")</f>
        <v/>
      </c>
      <c r="K78" s="39"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L78" s="39" t="inlineStr">
        <is>
          <t>La organización deberá implementar, registrar y monitorear operativamente todos los protocolos relacionados a Uso de programas de utilidad privilegiados, estableciendo políticas técnicas correspondientes.</t>
        </is>
      </c>
    </row>
    <row r="79" ht="67.5" customHeight="1" s="103">
      <c r="A79" s="38">
        <f>'ANEXO A'!A79</f>
        <v/>
      </c>
      <c r="B79" s="38">
        <f>IFERROR(VLOOKUP(A79, 'ANEXO A'!$A$2:$L$94, 2, FALSE), "")</f>
        <v/>
      </c>
      <c r="C79" s="38">
        <f>IF(LEFT(A79,1)="5", "5. Organizacionales", IF(LEFT(A79,1)="6", "6. Personas", IF(LEFT(A79,1)="7", "7. Físicos", "8. Tecnológicos")))</f>
        <v/>
      </c>
      <c r="D79" s="38">
        <f>IFERROR(VLOOKUP(A79, 'ANEXO A'!$A$2:$L$94, 11, FALSE), "")</f>
        <v/>
      </c>
      <c r="E79" s="38">
        <f>IFERROR(VLOOKUP(A79, 'ANEXO A'!$A$2:$L$94, 8, FALSE), "")</f>
        <v/>
      </c>
      <c r="F79" s="38">
        <f>IFERROR(VLOOKUP(A79, 'ANEXO A'!$A$2:$L$94, 9, FALSE), "")</f>
        <v/>
      </c>
      <c r="G79" s="38">
        <f>IFERROR(VLOOKUP(A79, 'ANEXO A'!$A$2:$L$94, 10, FALSE), "")</f>
        <v/>
      </c>
      <c r="H79" s="38">
        <f>IFERROR(VLOOKUP(A79, 'ANEXO A'!$A$2:$L$94, 12, FALSE), "")</f>
        <v/>
      </c>
      <c r="I79" s="38" t="inlineStr">
        <is>
          <t>6.1 Políticas (Item 4) / GPO: Bloqueo de permisos de instalación a usuarios finales; software desplegado centralmente por TI (GSO-GSI-MP-GSI).</t>
        </is>
      </c>
      <c r="J79" s="39">
        <f>"• Establecer lineamientos para " &amp; IFERROR(VLOOKUP(A79, 'ANEXO A'!$A$2:$L$94, 2, FALSE), "Este Control") &amp; CHAR(10) &amp; "• Definir roles para el control " &amp; A79 &amp; CHAR(10) &amp; "• Revisar efectividad de " &amp; IFERROR(VLOOKUP(A79, 'ANEXO A'!$A$2:$L$94, 2, FALSE), "Este Control")</f>
        <v/>
      </c>
      <c r="K79" s="39"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L79" s="39" t="inlineStr">
        <is>
          <t>La organización deberá implementar, registrar y monitorear operativamente todos los protocolos relacionados a Instalación de software en sistemas operativos, estableciendo políticas técnicas correspondientes.</t>
        </is>
      </c>
    </row>
    <row r="80" ht="56.25" customHeight="1" s="103">
      <c r="A80" s="38">
        <f>'ANEXO A'!A80</f>
        <v/>
      </c>
      <c r="B80" s="38">
        <f>IFERROR(VLOOKUP(A80, 'ANEXO A'!$A$2:$L$94, 2, FALSE), "")</f>
        <v/>
      </c>
      <c r="C80" s="38">
        <f>IF(LEFT(A80,1)="5", "5. Organizacionales", IF(LEFT(A80,1)="6", "6. Personas", IF(LEFT(A80,1)="7", "7. Físicos", "8. Tecnológicos")))</f>
        <v/>
      </c>
      <c r="D80" s="38">
        <f>IFERROR(VLOOKUP(A80, 'ANEXO A'!$A$2:$L$94, 11, FALSE), "")</f>
        <v/>
      </c>
      <c r="E80" s="38">
        <f>IFERROR(VLOOKUP(A80, 'ANEXO A'!$A$2:$L$94, 8, FALSE), "")</f>
        <v/>
      </c>
      <c r="F80" s="38">
        <f>IFERROR(VLOOKUP(A80, 'ANEXO A'!$A$2:$L$94, 9, FALSE), "")</f>
        <v/>
      </c>
      <c r="G80" s="38">
        <f>IFERROR(VLOOKUP(A80, 'ANEXO A'!$A$2:$L$94, 10, FALSE), "")</f>
        <v/>
      </c>
      <c r="H80" s="38">
        <f>IFERROR(VLOOKUP(A80, 'ANEXO A'!$A$2:$L$94, 12, FALSE), "")</f>
        <v/>
      </c>
      <c r="I80" s="38" t="inlineStr">
        <is>
          <t>6.11 Firewalls / Enrutadores: Administración de firewalls de borde, políticas de enrutamiento y reglas de filtrado perimetral (GSO-GSI-MP-GSI).</t>
        </is>
      </c>
      <c r="J80" s="39">
        <f>"• Establecer lineamientos para " &amp; IFERROR(VLOOKUP(A80, 'ANEXO A'!$A$2:$L$94, 2, FALSE), "Este Control") &amp; CHAR(10) &amp; "• Definir roles para el control " &amp; A80 &amp; CHAR(10) &amp; "• Revisar efectividad de " &amp; IFERROR(VLOOKUP(A80, 'ANEXO A'!$A$2:$L$94, 2, FALSE), "Este Control")</f>
        <v/>
      </c>
      <c r="K80" s="39" t="inlineStr">
        <is>
          <t>Asegurar el cumplimiento, control y resguardo continuo de los procesos de Seguridad de las redes a fin de mitigar riesgos y mantener la alineación a los principios de confidencialidad, integridad y disponibilidad aplicables a este dominio.</t>
        </is>
      </c>
      <c r="L80" s="39" t="inlineStr">
        <is>
          <t>La organización deberá implementar, registrar y monitorear operativamente todos los protocolos relacionados a Seguridad de las redes, estableciendo políticas técnicas correspondientes.</t>
        </is>
      </c>
    </row>
    <row r="81" ht="56.25" customHeight="1" s="103">
      <c r="A81" s="38">
        <f>'ANEXO A'!A81</f>
        <v/>
      </c>
      <c r="B81" s="38">
        <f>IFERROR(VLOOKUP(A81, 'ANEXO A'!$A$2:$L$94, 2, FALSE), "")</f>
        <v/>
      </c>
      <c r="C81" s="38">
        <f>IF(LEFT(A81,1)="5", "5. Organizacionales", IF(LEFT(A81,1)="6", "6. Personas", IF(LEFT(A81,1)="7", "7. Físicos", "8. Tecnológicos")))</f>
        <v/>
      </c>
      <c r="D81" s="38">
        <f>IFERROR(VLOOKUP(A81, 'ANEXO A'!$A$2:$L$94, 11, FALSE), "")</f>
        <v/>
      </c>
      <c r="E81" s="38">
        <f>IFERROR(VLOOKUP(A81, 'ANEXO A'!$A$2:$L$94, 8, FALSE), "")</f>
        <v/>
      </c>
      <c r="F81" s="38">
        <f>IFERROR(VLOOKUP(A81, 'ANEXO A'!$A$2:$L$94, 9, FALSE), "")</f>
        <v/>
      </c>
      <c r="G81" s="38">
        <f>IFERROR(VLOOKUP(A81, 'ANEXO A'!$A$2:$L$94, 10, FALSE), "")</f>
        <v/>
      </c>
      <c r="H81" s="38">
        <f>IFERROR(VLOOKUP(A81, 'ANEXO A'!$A$2:$L$94, 12, FALSE), "")</f>
        <v/>
      </c>
      <c r="I81" s="38" t="inlineStr">
        <is>
          <t>6.11 FiltraWeb / AntiSpam: Gestión de seguridad y niveles de servicio en DNS, navegación y correo electrónico (GSO-GSI-MP-GSI).</t>
        </is>
      </c>
      <c r="J81" s="39">
        <f>"• Establecer lineamientos para " &amp; IFERROR(VLOOKUP(A81, 'ANEXO A'!$A$2:$L$94, 2, FALSE), "Este Control") &amp; CHAR(10) &amp; "• Definir roles para el control " &amp; A81 &amp; CHAR(10) &amp; "• Revisar efectividad de " &amp; IFERROR(VLOOKUP(A81, 'ANEXO A'!$A$2:$L$94, 2, FALSE), "Este Control")</f>
        <v/>
      </c>
      <c r="K81" s="39" t="inlineStr">
        <is>
          <t>Asegurar el cumplimiento, control y resguardo continuo de los procesos de Seguridad de los servicios de red a fin de mitigar riesgos y mantener la alineación a los principios de confidencialidad, integridad y disponibilidad aplicables a este dominio.</t>
        </is>
      </c>
      <c r="L81" s="39" t="inlineStr">
        <is>
          <t>La organización deberá implementar, registrar y monitorear operativamente todos los protocolos relacionados a Seguridad de los servicios de red, estableciendo políticas técnicas correspondientes.</t>
        </is>
      </c>
    </row>
    <row r="82" ht="56.25" customHeight="1" s="103">
      <c r="A82" s="38">
        <f>'ANEXO A'!A82</f>
        <v/>
      </c>
      <c r="B82" s="38">
        <f>IFERROR(VLOOKUP(A82, 'ANEXO A'!$A$2:$L$94, 2, FALSE), "")</f>
        <v/>
      </c>
      <c r="C82" s="38">
        <f>IF(LEFT(A82,1)="5", "5. Organizacionales", IF(LEFT(A82,1)="6", "6. Personas", IF(LEFT(A82,1)="7", "7. Físicos", "8. Tecnológicos")))</f>
        <v/>
      </c>
      <c r="D82" s="38">
        <f>IFERROR(VLOOKUP(A82, 'ANEXO A'!$A$2:$L$94, 11, FALSE), "")</f>
        <v/>
      </c>
      <c r="E82" s="38">
        <f>IFERROR(VLOOKUP(A82, 'ANEXO A'!$A$2:$L$94, 8, FALSE), "")</f>
        <v/>
      </c>
      <c r="F82" s="38">
        <f>IFERROR(VLOOKUP(A82, 'ANEXO A'!$A$2:$L$94, 9, FALSE), "")</f>
        <v/>
      </c>
      <c r="G82" s="38">
        <f>IFERROR(VLOOKUP(A82, 'ANEXO A'!$A$2:$L$94, 10, FALSE), "")</f>
        <v/>
      </c>
      <c r="H82" s="38">
        <f>IFERROR(VLOOKUP(A82, 'ANEXO A'!$A$2:$L$94, 12, FALSE), "")</f>
        <v/>
      </c>
      <c r="I82" s="38" t="inlineStr">
        <is>
          <t>6.17 Ambiente PCI / 6.18 Wireless: Aislamiento de VLANs operativas, red de ambiente de tarjetas (PCI) y red Wi-Fi de clientes (GSO-GSI-MP-GSI).</t>
        </is>
      </c>
      <c r="J82" s="39">
        <f>"• Establecer lineamientos para " &amp; IFERROR(VLOOKUP(A82, 'ANEXO A'!$A$2:$L$94, 2, FALSE), "Este Control") &amp; CHAR(10) &amp; "• Definir roles para el control " &amp; A82 &amp; CHAR(10) &amp; "• Revisar efectividad de " &amp; IFERROR(VLOOKUP(A82, 'ANEXO A'!$A$2:$L$94, 2, FALSE), "Este Control")</f>
        <v/>
      </c>
      <c r="K82" s="39" t="inlineStr">
        <is>
          <t>Asegurar el cumplimiento, control y resguardo continuo de los procesos de Segregación de redes a fin de mitigar riesgos y mantener la alineación a los principios de confidencialidad, integridad y disponibilidad aplicables a este dominio.</t>
        </is>
      </c>
      <c r="L82" s="39" t="inlineStr">
        <is>
          <t>La organización deberá implementar, registrar y monitorear operativamente todos los protocolos relacionados a Segregación de redes, estableciendo políticas técnicas correspondientes.</t>
        </is>
      </c>
    </row>
    <row r="83" ht="56.25" customHeight="1" s="103">
      <c r="A83" s="38">
        <f>'ANEXO A'!A83</f>
        <v/>
      </c>
      <c r="B83" s="38">
        <f>IFERROR(VLOOKUP(A83, 'ANEXO A'!$A$2:$L$94, 2, FALSE), "")</f>
        <v/>
      </c>
      <c r="C83" s="38">
        <f>IF(LEFT(A83,1)="5", "5. Organizacionales", IF(LEFT(A83,1)="6", "6. Personas", IF(LEFT(A83,1)="7", "7. Físicos", "8. Tecnológicos")))</f>
        <v/>
      </c>
      <c r="D83" s="38">
        <f>IFERROR(VLOOKUP(A83, 'ANEXO A'!$A$2:$L$94, 11, FALSE), "")</f>
        <v/>
      </c>
      <c r="E83" s="38">
        <f>IFERROR(VLOOKUP(A83, 'ANEXO A'!$A$2:$L$94, 8, FALSE), "")</f>
        <v/>
      </c>
      <c r="F83" s="38">
        <f>IFERROR(VLOOKUP(A83, 'ANEXO A'!$A$2:$L$94, 9, FALSE), "")</f>
        <v/>
      </c>
      <c r="G83" s="38">
        <f>IFERROR(VLOOKUP(A83, 'ANEXO A'!$A$2:$L$94, 10, FALSE), "")</f>
        <v/>
      </c>
      <c r="H83" s="38">
        <f>IFERROR(VLOOKUP(A83, 'ANEXO A'!$A$2:$L$94, 12, FALSE), "")</f>
        <v/>
      </c>
      <c r="I83" s="38" t="inlineStr">
        <is>
          <t>6.11 Cuentas Críticas (FiltraWeb): Bloqueo de sitios web maliciosos, redes no laborales y categorías de riesgo (GSO-GSI-MP-GSI).</t>
        </is>
      </c>
      <c r="J83" s="39">
        <f>"• Establecer lineamientos para " &amp; IFERROR(VLOOKUP(A83, 'ANEXO A'!$A$2:$L$94, 2, FALSE), "Este Control") &amp; CHAR(10) &amp; "• Definir roles para el control " &amp; A83 &amp; CHAR(10) &amp; "• Revisar efectividad de " &amp; IFERROR(VLOOKUP(A83, 'ANEXO A'!$A$2:$L$94, 2, FALSE), "Este Control")</f>
        <v/>
      </c>
      <c r="K83" s="39" t="inlineStr">
        <is>
          <t>Asegurar el cumplimiento, control y resguardo continuo de los procesos de Filtrado web a fin de mitigar riesgos y mantener la alineación a los principios de confidencialidad, integridad y disponibilidad aplicables a este dominio.</t>
        </is>
      </c>
      <c r="L83" s="39" t="inlineStr">
        <is>
          <t>La organización deberá implementar, registrar y monitorear operativamente todos los protocolos relacionados a Filtrado web, estableciendo políticas técnicas correspondientes.</t>
        </is>
      </c>
    </row>
    <row r="84" ht="56.25" customHeight="1" s="103">
      <c r="A84" s="38">
        <f>'ANEXO A'!A84</f>
        <v/>
      </c>
      <c r="B84" s="38">
        <f>IFERROR(VLOOKUP(A84, 'ANEXO A'!$A$2:$L$94, 2, FALSE), "")</f>
        <v/>
      </c>
      <c r="C84" s="38">
        <f>IF(LEFT(A84,1)="5", "5. Organizacionales", IF(LEFT(A84,1)="6", "6. Personas", IF(LEFT(A84,1)="7", "7. Físicos", "8. Tecnológicos")))</f>
        <v/>
      </c>
      <c r="D84" s="38">
        <f>IFERROR(VLOOKUP(A84, 'ANEXO A'!$A$2:$L$94, 11, FALSE), "")</f>
        <v/>
      </c>
      <c r="E84" s="38">
        <f>IFERROR(VLOOKUP(A84, 'ANEXO A'!$A$2:$L$94, 8, FALSE), "")</f>
        <v/>
      </c>
      <c r="F84" s="38">
        <f>IFERROR(VLOOKUP(A84, 'ANEXO A'!$A$2:$L$94, 9, FALSE), "")</f>
        <v/>
      </c>
      <c r="G84" s="38">
        <f>IFERROR(VLOOKUP(A84, 'ANEXO A'!$A$2:$L$94, 10, FALSE), "")</f>
        <v/>
      </c>
      <c r="H84" s="38">
        <f>IFERROR(VLOOKUP(A84, 'ANEXO A'!$A$2:$L$94, 12, FALSE), "")</f>
        <v/>
      </c>
      <c r="I84" s="38" t="inlineStr">
        <is>
          <t>6.12. Creación, ingreso y custodia de llaves criptográficas - Cifrado (GSO-GSI-MP-GSI)</t>
        </is>
      </c>
      <c r="J84" s="39">
        <f>"• Establecer lineamientos para " &amp; IFERROR(VLOOKUP(A84, 'ANEXO A'!$A$2:$L$94, 2, FALSE), "Este Control") &amp; CHAR(10) &amp; "• Definir roles para el control " &amp; A84 &amp; CHAR(10) &amp; "• Revisar efectividad de " &amp; IFERROR(VLOOKUP(A84, 'ANEXO A'!$A$2:$L$94, 2, FALSE), "Este Control")</f>
        <v/>
      </c>
      <c r="K84" s="39" t="inlineStr">
        <is>
          <t>Asegurar el cumplimiento, control y resguardo continuo de los procesos de Uso de criptografía a fin de mitigar riesgos y mantener la alineación a los principios de confidencialidad, integridad y disponibilidad aplicables a este dominio.</t>
        </is>
      </c>
      <c r="L84" s="39" t="inlineStr">
        <is>
          <t>La organización deberá implementar, registrar y monitorear operativamente todos los protocolos relacionados a Uso de criptografía, estableciendo políticas técnicas correspondientes.</t>
        </is>
      </c>
    </row>
    <row r="85" ht="56.25" customHeight="1" s="103">
      <c r="A85" s="38">
        <f>'ANEXO A'!A85</f>
        <v/>
      </c>
      <c r="B85" s="38">
        <f>IFERROR(VLOOKUP(A85, 'ANEXO A'!$A$2:$L$94, 2, FALSE), "")</f>
        <v/>
      </c>
      <c r="C85" s="38">
        <f>IF(LEFT(A85,1)="5", "5. Organizacionales", IF(LEFT(A85,1)="6", "6. Personas", IF(LEFT(A85,1)="7", "7. Físicos", "8. Tecnológicos")))</f>
        <v/>
      </c>
      <c r="D85" s="38">
        <f>IFERROR(VLOOKUP(A85, 'ANEXO A'!$A$2:$L$94, 11, FALSE), "")</f>
        <v/>
      </c>
      <c r="E85" s="38">
        <f>IFERROR(VLOOKUP(A85, 'ANEXO A'!$A$2:$L$94, 8, FALSE), "")</f>
        <v/>
      </c>
      <c r="F85" s="38">
        <f>IFERROR(VLOOKUP(A85, 'ANEXO A'!$A$2:$L$94, 9, FALSE), "")</f>
        <v/>
      </c>
      <c r="G85" s="38">
        <f>IFERROR(VLOOKUP(A85, 'ANEXO A'!$A$2:$L$94, 10, FALSE), "")</f>
        <v/>
      </c>
      <c r="H85" s="38">
        <f>IFERROR(VLOOKUP(A85, 'ANEXO A'!$A$2:$L$94, 12, FALSE), "")</f>
        <v/>
      </c>
      <c r="I85" s="38" t="inlineStr">
        <is>
          <t>6.11 Cuentas Críticas (FiltraWeb): Bloqueo de sitios web maliciosos, redes no laborales y categorías de riesgo (GSO-GSI-MP-GSI).</t>
        </is>
      </c>
      <c r="J85" s="39">
        <f>"• Establecer lineamientos para " &amp; IFERROR(VLOOKUP(A85, 'ANEXO A'!$A$2:$L$94, 2, FALSE), "Este Control") &amp; CHAR(10) &amp; "• Definir roles para el control " &amp; A85 &amp; CHAR(10) &amp; "• Revisar efectividad de " &amp; IFERROR(VLOOKUP(A85, 'ANEXO A'!$A$2:$L$94, 2, FALSE), "Este Control")</f>
        <v/>
      </c>
      <c r="K85" s="39" t="inlineStr">
        <is>
          <t>Asegurar el cumplimiento, control y resguardo continuo de los procesos de Ciclo de vida del desarrollo seguro a fin de mitigar riesgos y mantener la alineación a los principios de confidencialidad, integridad y disponibilidad aplicables a este dominio.</t>
        </is>
      </c>
      <c r="L85" s="39" t="inlineStr">
        <is>
          <t>La organización deberá implementar, registrar y monitorear operativamente todos los protocolos relacionados a Ciclo de vida del desarrollo seguro, estableciendo políticas técnicas correspondientes.</t>
        </is>
      </c>
    </row>
    <row r="86" ht="67.5" customHeight="1" s="103">
      <c r="A86" s="38">
        <f>'ANEXO A'!A86</f>
        <v/>
      </c>
      <c r="B86" s="38">
        <f>IFERROR(VLOOKUP(A86, 'ANEXO A'!$A$2:$L$94, 2, FALSE), "")</f>
        <v/>
      </c>
      <c r="C86" s="38">
        <f>IF(LEFT(A86,1)="5", "5. Organizacionales", IF(LEFT(A86,1)="6", "6. Personas", IF(LEFT(A86,1)="7", "7. Físicos", "8. Tecnológicos")))</f>
        <v/>
      </c>
      <c r="D86" s="38">
        <f>IFERROR(VLOOKUP(A86, 'ANEXO A'!$A$2:$L$94, 11, FALSE), "")</f>
        <v/>
      </c>
      <c r="E86" s="38">
        <f>IFERROR(VLOOKUP(A86, 'ANEXO A'!$A$2:$L$94, 8, FALSE), "")</f>
        <v/>
      </c>
      <c r="F86" s="38">
        <f>IFERROR(VLOOKUP(A86, 'ANEXO A'!$A$2:$L$94, 9, FALSE), "")</f>
        <v/>
      </c>
      <c r="G86" s="38">
        <f>IFERROR(VLOOKUP(A86, 'ANEXO A'!$A$2:$L$94, 10, FALSE), "")</f>
        <v/>
      </c>
      <c r="H86" s="38">
        <f>IFERROR(VLOOKUP(A86, 'ANEXO A'!$A$2:$L$94, 12, FALSE), "")</f>
        <v/>
      </c>
      <c r="I86" s="38" t="inlineStr">
        <is>
          <t>Anexo 1 SEPS 002 (Gestión de software): Definición de requisitos de autenticación, transaccionalidad y cifrado en nuevas soluciones (SEPS-2022-002).</t>
        </is>
      </c>
      <c r="J86" s="39">
        <f>"• Establecer lineamientos para " &amp; IFERROR(VLOOKUP(A86, 'ANEXO A'!$A$2:$L$94, 2, FALSE), "Este Control") &amp; CHAR(10) &amp; "• Definir roles para el control " &amp; A86 &amp; CHAR(10) &amp; "• Revisar efectividad de " &amp; IFERROR(VLOOKUP(A86, 'ANEXO A'!$A$2:$L$94, 2, FALSE), "Este Control")</f>
        <v/>
      </c>
      <c r="K86" s="39"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L86" s="39" t="inlineStr">
        <is>
          <t>La organización deberá implementar, registrar y monitorear operativamente todos los protocolos relacionados a Requisitos de seguridad de las aplicaciones, estableciendo políticas técnicas correspondientes.</t>
        </is>
      </c>
    </row>
    <row r="87" ht="78.75" customHeight="1" s="103">
      <c r="A87" s="38">
        <f>'ANEXO A'!A87</f>
        <v/>
      </c>
      <c r="B87" s="38">
        <f>IFERROR(VLOOKUP(A87, 'ANEXO A'!$A$2:$L$94, 2, FALSE), "")</f>
        <v/>
      </c>
      <c r="C87" s="38">
        <f>IF(LEFT(A87,1)="5", "5. Organizacionales", IF(LEFT(A87,1)="6", "6. Personas", IF(LEFT(A87,1)="7", "7. Físicos", "8. Tecnológicos")))</f>
        <v/>
      </c>
      <c r="D87" s="38">
        <f>IFERROR(VLOOKUP(A87, 'ANEXO A'!$A$2:$L$94, 11, FALSE), "")</f>
        <v/>
      </c>
      <c r="E87" s="38">
        <f>IFERROR(VLOOKUP(A87, 'ANEXO A'!$A$2:$L$94, 8, FALSE), "")</f>
        <v/>
      </c>
      <c r="F87" s="38">
        <f>IFERROR(VLOOKUP(A87, 'ANEXO A'!$A$2:$L$94, 9, FALSE), "")</f>
        <v/>
      </c>
      <c r="G87" s="38">
        <f>IFERROR(VLOOKUP(A87, 'ANEXO A'!$A$2:$L$94, 10, FALSE), "")</f>
        <v/>
      </c>
      <c r="H87" s="38">
        <f>IFERROR(VLOOKUP(A87, 'ANEXO A'!$A$2:$L$94, 12, FALSE), "")</f>
        <v/>
      </c>
      <c r="I87" s="38" t="inlineStr">
        <is>
          <t>Anexo 1 SEPS 002 (Arquitectura Segura): Aplicación de principios de defensa en profundidad, zonas desmilitarizadas y segmentación (SEPS-2022-002).</t>
        </is>
      </c>
      <c r="J87" s="39">
        <f>"• Establecer lineamientos para " &amp; IFERROR(VLOOKUP(A87, 'ANEXO A'!$A$2:$L$94, 2, FALSE), "Este Control") &amp; CHAR(10) &amp; "• Definir roles para el control " &amp; A87 &amp; CHAR(10) &amp; "• Revisar efectividad de " &amp; IFERROR(VLOOKUP(A87, 'ANEXO A'!$A$2:$L$94, 2, FALSE), "Este Control")</f>
        <v/>
      </c>
      <c r="K87" s="39"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L87" s="39" t="inlineStr">
        <is>
          <t>La organización deberá implementar, registrar y monitorear operativamente todos los protocolos relacionados a Arquitectura de sistemas seguros y principios de ingeniería, estableciendo políticas técnicas correspondientes.</t>
        </is>
      </c>
    </row>
    <row r="88" ht="56.25" customHeight="1" s="103">
      <c r="A88" s="38">
        <f>'ANEXO A'!A88</f>
        <v/>
      </c>
      <c r="B88" s="38">
        <f>IFERROR(VLOOKUP(A88, 'ANEXO A'!$A$2:$L$94, 2, FALSE), "")</f>
        <v/>
      </c>
      <c r="C88" s="38">
        <f>IF(LEFT(A88,1)="5", "5. Organizacionales", IF(LEFT(A88,1)="6", "6. Personas", IF(LEFT(A88,1)="7", "7. Físicos", "8. Tecnológicos")))</f>
        <v/>
      </c>
      <c r="D88" s="38">
        <f>IFERROR(VLOOKUP(A88, 'ANEXO A'!$A$2:$L$94, 11, FALSE), "")</f>
        <v/>
      </c>
      <c r="E88" s="38">
        <f>IFERROR(VLOOKUP(A88, 'ANEXO A'!$A$2:$L$94, 8, FALSE), "")</f>
        <v/>
      </c>
      <c r="F88" s="38">
        <f>IFERROR(VLOOKUP(A88, 'ANEXO A'!$A$2:$L$94, 9, FALSE), "")</f>
        <v/>
      </c>
      <c r="G88" s="38">
        <f>IFERROR(VLOOKUP(A88, 'ANEXO A'!$A$2:$L$94, 10, FALSE), "")</f>
        <v/>
      </c>
      <c r="H88" s="38">
        <f>IFERROR(VLOOKUP(A88, 'ANEXO A'!$A$2:$L$94, 12, FALSE), "")</f>
        <v/>
      </c>
      <c r="I88" s="38" t="inlineStr">
        <is>
          <t>Anexo 1 SEPS / OWASP: Implementación de buenas prácticas de programación para evitar inyecciones, XSS y fallos lógicos (SEPS-2022-002 / ISO 27002).</t>
        </is>
      </c>
      <c r="J88" s="39">
        <f>"• Establecer lineamientos para " &amp; IFERROR(VLOOKUP(A88, 'ANEXO A'!$A$2:$L$94, 2, FALSE), "Este Control") &amp; CHAR(10) &amp; "• Definir roles para el control " &amp; A88 &amp; CHAR(10) &amp; "• Revisar efectividad de " &amp; IFERROR(VLOOKUP(A88, 'ANEXO A'!$A$2:$L$94, 2, FALSE), "Este Control")</f>
        <v/>
      </c>
      <c r="K88" s="39" t="inlineStr">
        <is>
          <t>Asegurar el cumplimiento, control y resguardo continuo de los procesos de Codificación segura a fin de mitigar riesgos y mantener la alineación a los principios de confidencialidad, integridad y disponibilidad aplicables a este dominio.</t>
        </is>
      </c>
      <c r="L88" s="39" t="inlineStr">
        <is>
          <t>La organización deberá implementar, registrar y monitorear operativamente todos los protocolos relacionados a Codificación segura, estableciendo políticas técnicas correspondientes.</t>
        </is>
      </c>
    </row>
    <row r="89" ht="78.75" customHeight="1" s="103">
      <c r="A89" s="38">
        <f>'ANEXO A'!A89</f>
        <v/>
      </c>
      <c r="B89" s="38">
        <f>IFERROR(VLOOKUP(A89, 'ANEXO A'!$A$2:$L$94, 2, FALSE), "")</f>
        <v/>
      </c>
      <c r="C89" s="38">
        <f>IF(LEFT(A89,1)="5", "5. Organizacionales", IF(LEFT(A89,1)="6", "6. Personas", IF(LEFT(A89,1)="7", "7. Físicos", "8. Tecnológicos")))</f>
        <v/>
      </c>
      <c r="D89" s="38">
        <f>IFERROR(VLOOKUP(A89, 'ANEXO A'!$A$2:$L$94, 11, FALSE), "")</f>
        <v/>
      </c>
      <c r="E89" s="38">
        <f>IFERROR(VLOOKUP(A89, 'ANEXO A'!$A$2:$L$94, 8, FALSE), "")</f>
        <v/>
      </c>
      <c r="F89" s="38">
        <f>IFERROR(VLOOKUP(A89, 'ANEXO A'!$A$2:$L$94, 9, FALSE), "")</f>
        <v/>
      </c>
      <c r="G89" s="38">
        <f>IFERROR(VLOOKUP(A89, 'ANEXO A'!$A$2:$L$94, 10, FALSE), "")</f>
        <v/>
      </c>
      <c r="H89" s="38">
        <f>IFERROR(VLOOKUP(A89, 'ANEXO A'!$A$2:$L$94, 12, FALSE), "")</f>
        <v/>
      </c>
      <c r="I89" s="38" t="inlineStr">
        <is>
          <t>6.19 Escaneo / Anexo 1 SEPS: Ejecución de pruebas de vulnerabilidad, análisis estático y pruebas de aceptación previas a pase a producción (GSO-GSI-MP-GSI / SEPS-2022-002).</t>
        </is>
      </c>
      <c r="J89" s="39">
        <f>"• Establecer lineamientos para " &amp; IFERROR(VLOOKUP(A89, 'ANEXO A'!$A$2:$L$94, 2, FALSE), "Este Control") &amp; CHAR(10) &amp; "• Definir roles para el control " &amp; A89 &amp; CHAR(10) &amp; "• Revisar efectividad de " &amp; IFERROR(VLOOKUP(A89, 'ANEXO A'!$A$2:$L$94, 2, FALSE), "Este Control")</f>
        <v/>
      </c>
      <c r="K89" s="39"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L89" s="39" t="inlineStr">
        <is>
          <t>La organización deberá implementar, registrar y monitorear operativamente todos los protocolos relacionados a Pruebas de seguridad en el desarrollo y la aceptación, estableciendo políticas técnicas correspondientes.</t>
        </is>
      </c>
    </row>
    <row r="90" ht="56.25" customHeight="1" s="103">
      <c r="A90" s="38">
        <f>'ANEXO A'!A90</f>
        <v/>
      </c>
      <c r="B90" s="38">
        <f>IFERROR(VLOOKUP(A90, 'ANEXO A'!$A$2:$L$94, 2, FALSE), "")</f>
        <v/>
      </c>
      <c r="C90" s="38">
        <f>IF(LEFT(A90,1)="5", "5. Organizacionales", IF(LEFT(A90,1)="6", "6. Personas", IF(LEFT(A90,1)="7", "7. Físicos", "8. Tecnológicos")))</f>
        <v/>
      </c>
      <c r="D90" s="38">
        <f>IFERROR(VLOOKUP(A90, 'ANEXO A'!$A$2:$L$94, 11, FALSE), "")</f>
        <v/>
      </c>
      <c r="E90" s="38">
        <f>IFERROR(VLOOKUP(A90, 'ANEXO A'!$A$2:$L$94, 8, FALSE), "")</f>
        <v/>
      </c>
      <c r="F90" s="38">
        <f>IFERROR(VLOOKUP(A90, 'ANEXO A'!$A$2:$L$94, 9, FALSE), "")</f>
        <v/>
      </c>
      <c r="G90" s="38">
        <f>IFERROR(VLOOKUP(A90, 'ANEXO A'!$A$2:$L$94, 10, FALSE), "")</f>
        <v/>
      </c>
      <c r="H90" s="38">
        <f>IFERROR(VLOOKUP(A90, 'ANEXO A'!$A$2:$L$94, 12, FALSE), "")</f>
        <v/>
      </c>
      <c r="I90" s="38" t="inlineStr">
        <is>
          <t>Anexo 1 SEPS / Disposición 2da: Exigir entrega de código probado, escaneos de seguridad y cumplimiento normativo a fábricas de software (SEPS-2022-002).</t>
        </is>
      </c>
      <c r="J90" s="39">
        <f>"• Establecer lineamientos para " &amp; IFERROR(VLOOKUP(A90, 'ANEXO A'!$A$2:$L$94, 2, FALSE), "Este Control") &amp; CHAR(10) &amp; "• Definir roles para el control " &amp; A90 &amp; CHAR(10) &amp; "• Revisar efectividad de " &amp; IFERROR(VLOOKUP(A90, 'ANEXO A'!$A$2:$L$94, 2, FALSE), "Este Control")</f>
        <v/>
      </c>
      <c r="K90" s="39" t="inlineStr">
        <is>
          <t>Asegurar el cumplimiento, control y resguardo continuo de los procesos de Desarrollo externalizado a fin de mitigar riesgos y mantener la alineación a los principios de confidencialidad, integridad y disponibilidad aplicables a este dominio.</t>
        </is>
      </c>
      <c r="L90" s="39" t="inlineStr">
        <is>
          <t>La organización deberá implementar, registrar y monitorear operativamente todos los protocolos relacionados a Desarrollo externalizado, estableciendo políticas técnicas correspondientes.</t>
        </is>
      </c>
    </row>
    <row r="91" ht="78.75" customHeight="1" s="103">
      <c r="A91" s="38">
        <f>'ANEXO A'!A91</f>
        <v/>
      </c>
      <c r="B91" s="38">
        <f>IFERROR(VLOOKUP(A91, 'ANEXO A'!$A$2:$L$94, 2, FALSE), "")</f>
        <v/>
      </c>
      <c r="C91" s="38">
        <f>IF(LEFT(A91,1)="5", "5. Organizacionales", IF(LEFT(A91,1)="6", "6. Personas", IF(LEFT(A91,1)="7", "7. Físicos", "8. Tecnológicos")))</f>
        <v/>
      </c>
      <c r="D91" s="38">
        <f>IFERROR(VLOOKUP(A91, 'ANEXO A'!$A$2:$L$94, 11, FALSE), "")</f>
        <v/>
      </c>
      <c r="E91" s="38">
        <f>IFERROR(VLOOKUP(A91, 'ANEXO A'!$A$2:$L$94, 8, FALSE), "")</f>
        <v/>
      </c>
      <c r="F91" s="38">
        <f>IFERROR(VLOOKUP(A91, 'ANEXO A'!$A$2:$L$94, 9, FALSE), "")</f>
        <v/>
      </c>
      <c r="G91" s="38">
        <f>IFERROR(VLOOKUP(A91, 'ANEXO A'!$A$2:$L$94, 10, FALSE), "")</f>
        <v/>
      </c>
      <c r="H91" s="38">
        <f>IFERROR(VLOOKUP(A91, 'ANEXO A'!$A$2:$L$94, 12, FALSE), "")</f>
        <v/>
      </c>
      <c r="I91" s="38" t="inlineStr">
        <is>
          <t>Anexo 1 SEPS (Desarrollo y Pruebas): Aislamiento estricto de ambientes de desarrollo, pruebas y producción sin uso de datos reales (SEPS-2022-002).</t>
        </is>
      </c>
      <c r="J91" s="39">
        <f>"• Establecer lineamientos para " &amp; IFERROR(VLOOKUP(A91, 'ANEXO A'!$A$2:$L$94, 2, FALSE), "Este Control") &amp; CHAR(10) &amp; "• Definir roles para el control " &amp; A91 &amp; CHAR(10) &amp; "• Revisar efectividad de " &amp; IFERROR(VLOOKUP(A91, 'ANEXO A'!$A$2:$L$94, 2, FALSE), "Este Control")</f>
        <v/>
      </c>
      <c r="K91" s="39"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L91" s="39" t="inlineStr">
        <is>
          <t>La organización deberá implementar, registrar y monitorear operativamente todos los protocolos relacionados a Separación de entornos de desarrollo, pruebas y producción, estableciendo políticas técnicas correspondientes.</t>
        </is>
      </c>
    </row>
    <row r="92" ht="56.25" customHeight="1" s="103">
      <c r="A92" s="38">
        <f>'ANEXO A'!A92</f>
        <v/>
      </c>
      <c r="B92" s="38">
        <f>IFERROR(VLOOKUP(A92, 'ANEXO A'!$A$2:$L$94, 2, FALSE), "")</f>
        <v/>
      </c>
      <c r="C92" s="38">
        <f>IF(LEFT(A92,1)="5", "5. Organizacionales", IF(LEFT(A92,1)="6", "6. Personas", IF(LEFT(A92,1)="7", "7. Físicos", "8. Tecnológicos")))</f>
        <v/>
      </c>
      <c r="D92" s="38">
        <f>IFERROR(VLOOKUP(A92, 'ANEXO A'!$A$2:$L$94, 11, FALSE), "")</f>
        <v/>
      </c>
      <c r="E92" s="38">
        <f>IFERROR(VLOOKUP(A92, 'ANEXO A'!$A$2:$L$94, 8, FALSE), "")</f>
        <v/>
      </c>
      <c r="F92" s="38">
        <f>IFERROR(VLOOKUP(A92, 'ANEXO A'!$A$2:$L$94, 9, FALSE), "")</f>
        <v/>
      </c>
      <c r="G92" s="38">
        <f>IFERROR(VLOOKUP(A92, 'ANEXO A'!$A$2:$L$94, 10, FALSE), "")</f>
        <v/>
      </c>
      <c r="H92" s="38">
        <f>IFERROR(VLOOKUP(A92, 'ANEXO A'!$A$2:$L$94, 12, FALSE), "")</f>
        <v/>
      </c>
      <c r="I92" s="38" t="inlineStr">
        <is>
          <t>Anexo 1 SEPS (Gestión de Cambios): Procedimiento formal de solicitud, evaluación de impacto de seguridad, aprobación y rollback de cambios (SEPS-2022-002).</t>
        </is>
      </c>
      <c r="J92" s="39">
        <f>"• Establecer lineamientos para " &amp; IFERROR(VLOOKUP(A92, 'ANEXO A'!$A$2:$L$94, 2, FALSE), "Este Control") &amp; CHAR(10) &amp; "• Definir roles para el control " &amp; A92 &amp; CHAR(10) &amp; "• Revisar efectividad de " &amp; IFERROR(VLOOKUP(A92, 'ANEXO A'!$A$2:$L$94, 2, FALSE), "Este Control")</f>
        <v/>
      </c>
      <c r="K92" s="39" t="inlineStr">
        <is>
          <t>Asegurar el cumplimiento, control y resguardo continuo de los procesos de Gestión de cambios a fin de mitigar riesgos y mantener la alineación a los principios de confidencialidad, integridad y disponibilidad aplicables a este dominio.</t>
        </is>
      </c>
      <c r="L92" s="39" t="inlineStr">
        <is>
          <t>La organización deberá implementar, registrar y monitorear operativamente todos los protocolos relacionados a Gestión de cambios, estableciendo políticas técnicas correspondientes.</t>
        </is>
      </c>
    </row>
    <row r="93" ht="56.25" customHeight="1" s="103">
      <c r="A93" s="38">
        <f>'ANEXO A'!A93</f>
        <v/>
      </c>
      <c r="B93" s="38">
        <f>IFERROR(VLOOKUP(A93, 'ANEXO A'!$A$2:$L$94, 2, FALSE), "")</f>
        <v/>
      </c>
      <c r="C93" s="38">
        <f>IF(LEFT(A93,1)="5", "5. Organizacionales", IF(LEFT(A93,1)="6", "6. Personas", IF(LEFT(A93,1)="7", "7. Físicos", "8. Tecnológicos")))</f>
        <v/>
      </c>
      <c r="D93" s="38">
        <f>IFERROR(VLOOKUP(A93, 'ANEXO A'!$A$2:$L$94, 11, FALSE), "")</f>
        <v/>
      </c>
      <c r="E93" s="38">
        <f>IFERROR(VLOOKUP(A93, 'ANEXO A'!$A$2:$L$94, 8, FALSE), "")</f>
        <v/>
      </c>
      <c r="F93" s="38">
        <f>IFERROR(VLOOKUP(A93, 'ANEXO A'!$A$2:$L$94, 9, FALSE), "")</f>
        <v/>
      </c>
      <c r="G93" s="38">
        <f>IFERROR(VLOOKUP(A93, 'ANEXO A'!$A$2:$L$94, 10, FALSE), "")</f>
        <v/>
      </c>
      <c r="H93" s="38">
        <f>IFERROR(VLOOKUP(A93, 'ANEXO A'!$A$2:$L$94, 12, FALSE), "")</f>
        <v/>
      </c>
      <c r="I93" s="38" t="inlineStr">
        <is>
          <t>6.17 PCI DSS / Anexo 1 SEPS: Uso de datos ficticios, anonimizados u ofuscados para las pruebas de aplicaciones (GSO-GSI-MP-GSI / SEPS-2022-002).</t>
        </is>
      </c>
      <c r="J93" s="39">
        <f>"• Establecer lineamientos para " &amp; IFERROR(VLOOKUP(A93, 'ANEXO A'!$A$2:$L$94, 2, FALSE), "Este Control") &amp; CHAR(10) &amp; "• Definir roles para el control " &amp; A93 &amp; CHAR(10) &amp; "• Revisar efectividad de " &amp; IFERROR(VLOOKUP(A93, 'ANEXO A'!$A$2:$L$94, 2, FALSE), "Este Control")</f>
        <v/>
      </c>
      <c r="K93" s="39" t="inlineStr">
        <is>
          <t>Asegurar el cumplimiento, control y resguardo continuo de los procesos de Información de prueba a fin de mitigar riesgos y mantener la alineación a los principios de confidencialidad, integridad y disponibilidad aplicables a este dominio.</t>
        </is>
      </c>
      <c r="L93" s="39" t="inlineStr">
        <is>
          <t>La organización deberá implementar, registrar y monitorear operativamente todos los protocolos relacionados a Información de prueba, estableciendo políticas técnicas correspondientes.</t>
        </is>
      </c>
    </row>
    <row r="94" ht="90" customHeight="1" s="103">
      <c r="A94" s="38">
        <f>'ANEXO A'!A94</f>
        <v/>
      </c>
      <c r="B94" s="38">
        <f>IFERROR(VLOOKUP(A94, 'ANEXO A'!$A$2:$L$94, 2, FALSE), "")</f>
        <v/>
      </c>
      <c r="C94" s="38">
        <f>IF(LEFT(A94,1)="5", "5. Organizacionales", IF(LEFT(A94,1)="6", "6. Personas", IF(LEFT(A94,1)="7", "7. Físicos", "8. Tecnológicos")))</f>
        <v/>
      </c>
      <c r="D94" s="38">
        <f>IFERROR(VLOOKUP(A94, 'ANEXO A'!$A$2:$L$94, 11, FALSE), "")</f>
        <v/>
      </c>
      <c r="E94" s="38">
        <f>IFERROR(VLOOKUP(A94, 'ANEXO A'!$A$2:$L$94, 8, FALSE), "")</f>
        <v/>
      </c>
      <c r="F94" s="38">
        <f>IFERROR(VLOOKUP(A94, 'ANEXO A'!$A$2:$L$94, 9, FALSE), "")</f>
        <v/>
      </c>
      <c r="G94" s="38">
        <f>IFERROR(VLOOKUP(A94, 'ANEXO A'!$A$2:$L$94, 10, FALSE), "")</f>
        <v/>
      </c>
      <c r="H94" s="38">
        <f>IFERROR(VLOOKUP(A94, 'ANEXO A'!$A$2:$L$94, 12, FALSE), "")</f>
        <v/>
      </c>
      <c r="I94" s="38" t="inlineStr">
        <is>
          <t>6.19 Escaneo (Pol. 1): Realización de pruebas intrusivas y de auditoría en horarios no laborables y con autorización previa (GSO-GSI-MP-GSI).</t>
        </is>
      </c>
      <c r="J94" s="39">
        <f>"• Establecer lineamientos para " &amp; IFERROR(VLOOKUP(A94, 'ANEXO A'!$A$2:$L$94, 2, FALSE), "Este Control") &amp; CHAR(10) &amp; "• Definir roles para el control " &amp; A94 &amp; CHAR(10) &amp; "• Revisar efectividad de " &amp; IFERROR(VLOOKUP(A94, 'ANEXO A'!$A$2:$L$94, 2, FALSE), "Este Control")</f>
        <v/>
      </c>
      <c r="K94" s="39"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L94" s="39" t="inlineStr">
        <is>
          <t>La organización deberá implementar, registrar y monitorear operativamente todos los protocolos relacionados a Protección de los sistemas de información durante las pruebas de auditoría, estableciendo políticas técnicas correspondientes.</t>
        </is>
      </c>
    </row>
  </sheetData>
  <autoFilter ref="A1:L94"/>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F23"/>
  <sheetViews>
    <sheetView workbookViewId="0">
      <selection activeCell="A1" sqref="A1"/>
    </sheetView>
  </sheetViews>
  <sheetFormatPr baseColWidth="8" defaultRowHeight="15"/>
  <sheetData>
    <row r="2">
      <c r="B2" s="108" t="inlineStr">
        <is>
          <t>RESUMEN EJECUTIVO DEL INVENTARIO DE ACTIVOS</t>
        </is>
      </c>
    </row>
    <row r="4">
      <c r="B4" s="109" t="inlineStr">
        <is>
          <t>Distribución por Criticidad</t>
        </is>
      </c>
      <c r="C4" s="109" t="inlineStr">
        <is>
          <t>Cantidad</t>
        </is>
      </c>
      <c r="E4" s="109" t="inlineStr">
        <is>
          <t>Distribución por Tipo de Activo</t>
        </is>
      </c>
      <c r="F4" s="109" t="inlineStr">
        <is>
          <t>Cantidad</t>
        </is>
      </c>
    </row>
    <row r="5">
      <c r="B5" t="inlineStr">
        <is>
          <t>ALTA</t>
        </is>
      </c>
      <c r="C5">
        <f>COUNTIF(INVENTARIO!$T$3:$T$2000, "*ALTA*")</f>
        <v/>
      </c>
      <c r="E5" t="inlineStr">
        <is>
          <t>PRIMARIOS</t>
        </is>
      </c>
      <c r="F5">
        <f>COUNTIF(INVENTARIO!$N$3:$N$2000, "PRIMARIOS")</f>
        <v/>
      </c>
    </row>
    <row r="6">
      <c r="B6" t="inlineStr">
        <is>
          <t>MEDIA</t>
        </is>
      </c>
      <c r="C6">
        <f>COUNTIF(INVENTARIO!$T$3:$T$2000, "*MEDIA*")</f>
        <v/>
      </c>
      <c r="E6" t="inlineStr">
        <is>
          <t>APOYO</t>
        </is>
      </c>
      <c r="F6">
        <f>COUNTIF(INVENTARIO!$N$3:$N$2000, "APOYO")</f>
        <v/>
      </c>
    </row>
    <row r="7">
      <c r="B7" t="inlineStr">
        <is>
          <t>BAJA</t>
        </is>
      </c>
      <c r="C7">
        <f>COUNTIF(INVENTARIO!$T$3:$T$2000, "*BAJA*")</f>
        <v/>
      </c>
    </row>
    <row r="8">
      <c r="B8" t="inlineStr">
        <is>
          <t>CRÍTICO</t>
        </is>
      </c>
      <c r="C8">
        <f>COUNTIF(INVENTARIO!$T$3:$T$2000, "*CRÍTICO*")</f>
        <v/>
      </c>
    </row>
    <row r="10">
      <c r="B10" s="109" t="inlineStr">
        <is>
          <t>Distribución por Categoría</t>
        </is>
      </c>
      <c r="C10" s="109" t="inlineStr">
        <is>
          <t>Cantidad</t>
        </is>
      </c>
      <c r="E10" s="109" t="inlineStr">
        <is>
          <t>Distribución por Acceso</t>
        </is>
      </c>
      <c r="F10" s="109" t="inlineStr">
        <is>
          <t>Cantidad</t>
        </is>
      </c>
    </row>
    <row r="11">
      <c r="B11" t="inlineStr">
        <is>
          <t>COMUNICACIÓN INTERNA</t>
        </is>
      </c>
      <c r="C11">
        <f>COUNTIF(INVENTARIO!$O$3:$O$2000, "COMUNICACIÓN INTERNA")</f>
        <v/>
      </c>
      <c r="E11" t="inlineStr">
        <is>
          <t>Con Acceso Externo (SI)</t>
        </is>
      </c>
      <c r="F11">
        <f>COUNTIF(INVENTARIO!$U$3:$U$2000, "SI")</f>
        <v/>
      </c>
    </row>
    <row r="12">
      <c r="B12" t="inlineStr">
        <is>
          <t>CONVENIOS Y CONTRATOS</t>
        </is>
      </c>
      <c r="C12">
        <f>COUNTIF(INVENTARIO!$O$3:$O$2000, "CONVENIOS Y CONTRATOS")</f>
        <v/>
      </c>
      <c r="E12" t="inlineStr">
        <is>
          <t>Acceso Interno (NO)</t>
        </is>
      </c>
      <c r="F12">
        <f>COUNTIF(INVENTARIO!$U$3:$U$2000, "NO")</f>
        <v/>
      </c>
    </row>
    <row r="13">
      <c r="B13" t="inlineStr">
        <is>
          <t>DOCUMENTOS HABILITANTES</t>
        </is>
      </c>
      <c r="C13">
        <f>COUNTIF(INVENTARIO!$O$3:$O$2000, "DOCUMENTOS HABILITANTES")</f>
        <v/>
      </c>
      <c r="E13" t="inlineStr">
        <is>
          <t>No Aplica (-)</t>
        </is>
      </c>
      <c r="F13">
        <f>COUNTIF(INVENTARIO!$U$3:$U$2000, "-")</f>
        <v/>
      </c>
    </row>
    <row r="14">
      <c r="B14" t="inlineStr">
        <is>
          <t>DOCUMENTOS TÉCNICOS</t>
        </is>
      </c>
      <c r="C14">
        <f>COUNTIF(INVENTARIO!$O$3:$O$2000, "DOCUMENTOS TÉCNICOS")</f>
        <v/>
      </c>
    </row>
    <row r="15">
      <c r="B15" t="inlineStr">
        <is>
          <t>HARDWARE</t>
        </is>
      </c>
      <c r="C15">
        <f>COUNTIF(INVENTARIO!$O$3:$O$2000, "HARDWARE")</f>
        <v/>
      </c>
    </row>
    <row r="16">
      <c r="B16" t="inlineStr">
        <is>
          <t>INFORMACIÓN DE SOCIOS Y CLIENTES</t>
        </is>
      </c>
      <c r="C16">
        <f>COUNTIF(INVENTARIO!$O$3:$O$2000, "INFORMACIÓN DE SOCIOS Y CLIENTES")</f>
        <v/>
      </c>
    </row>
    <row r="17">
      <c r="B17" t="inlineStr">
        <is>
          <t>INFORMACIÓN DE TERCEROS</t>
        </is>
      </c>
      <c r="C17">
        <f>COUNTIF(INVENTARIO!$O$3:$O$2000, "INFORMACIÓN DE TERCEROS")</f>
        <v/>
      </c>
    </row>
    <row r="18">
      <c r="B18" t="inlineStr">
        <is>
          <t>NORMATIVA INTERNA</t>
        </is>
      </c>
      <c r="C18">
        <f>COUNTIF(INVENTARIO!$O$3:$O$2000, "NORMATIVA INTERNA")</f>
        <v/>
      </c>
    </row>
    <row r="19">
      <c r="B19" t="inlineStr">
        <is>
          <t>OTROS</t>
        </is>
      </c>
      <c r="C19">
        <f>COUNTIF(INVENTARIO!$O$3:$O$2000, "OTROS")</f>
        <v/>
      </c>
    </row>
    <row r="20">
      <c r="B20" t="inlineStr">
        <is>
          <t>RECURSO HUMANO</t>
        </is>
      </c>
      <c r="C20">
        <f>COUNTIF(INVENTARIO!$O$3:$O$2000, "RECURSO HUMANO")</f>
        <v/>
      </c>
    </row>
    <row r="21">
      <c r="B21" t="inlineStr">
        <is>
          <t>REDES</t>
        </is>
      </c>
      <c r="C21">
        <f>COUNTIF(INVENTARIO!$O$3:$O$2000, "REDES")</f>
        <v/>
      </c>
    </row>
    <row r="22">
      <c r="B22" t="inlineStr">
        <is>
          <t>SERVICIOS</t>
        </is>
      </c>
      <c r="C22">
        <f>COUNTIF(INVENTARIO!$O$3:$O$2000, "SERVICIOS")</f>
        <v/>
      </c>
    </row>
    <row r="23">
      <c r="B23" t="inlineStr">
        <is>
          <t>SOFTWARE</t>
        </is>
      </c>
      <c r="C23">
        <f>COUNTIF(INVENTARIO!$O$3:$O$2000, "SOFTWARE")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2026-09-02T14:39:38Z</dcterms:modified>
  <cp:lastModifiedBy>SEGURIDAD DE LA INFORMACION</cp:lastModifiedBy>
  <cp:lastPrinted>2025-09-10T17:26:07Z</cp:lastPrinted>
</cp:coreProperties>
</file>