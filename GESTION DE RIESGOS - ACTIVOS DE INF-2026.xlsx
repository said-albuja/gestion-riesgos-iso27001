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741" firstSheet="10" activeTab="11"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Documentación Aplicabilidad" sheetId="12" state="visible" r:id="rId12"/>
    <sheet name="Métricas ISO 27004" sheetId="13" state="visible" r:id="rId13"/>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'Documentación Aplicabilidad'!$A$1:$Q$94</definedName>
    <definedName name="_xlnm._FilterDatabase" localSheetId="12" hidden="1">'Métricas ISO 27004'!$A$1:$J$94</definedName>
  </definedNames>
  <calcPr calcId="191029" fullCalcOnLoad="1"/>
  <pivotCaches>
    <pivotCache cacheId="7" r:id="rId14"/>
    <pivotCache cacheId="6" r:id="rId15"/>
  </pivotCaches>
</workbook>
</file>

<file path=xl/styles.xml><?xml version="1.0" encoding="utf-8"?>
<styleSheet xmlns="http://schemas.openxmlformats.org/spreadsheetml/2006/main">
  <numFmts count="0"/>
  <fonts count="11">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b val="1"/>
      <color rgb="00FFFFFF"/>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pivotCacheDefinition" Target="/xl/pivotCache/pivotCacheDefinition1.xml" Id="rId14" /><Relationship Type="http://schemas.openxmlformats.org/officeDocument/2006/relationships/pivotCacheDefinition" Target="/xl/pivotCache/pivotCacheDefinition2.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pivotSource>
    <name>[V3GESTION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[V3GESTION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[V3GESTION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[V3GESTION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8"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9"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7"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5" cacheId="6"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1"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486" workbookViewId="0">
      <selection activeCell="A515" sqref="A515"/>
    </sheetView>
  </sheetViews>
  <sheetFormatPr baseColWidth="10" defaultRowHeight="11.25"/>
  <cols>
    <col hidden="1" width="19.1640625" customWidth="1" style="103" min="2" max="2"/>
    <col hidden="1" width="26" customWidth="1" style="103" min="3" max="3"/>
    <col hidden="1" width="26.1640625" customWidth="1" style="103" min="4" max="4"/>
    <col hidden="1" width="41.6640625" customWidth="1" style="103" min="5" max="5"/>
    <col hidden="1" width="15.1640625" customWidth="1" style="103" min="6" max="6"/>
    <col hidden="1" width="31" customWidth="1" style="103" min="7" max="7"/>
    <col width="40.1640625" customWidth="1" style="103" min="8" max="8"/>
    <col width="44.6640625" customWidth="1" style="103" min="9" max="9"/>
    <col hidden="1" width="16.1640625" customWidth="1" style="103" min="10" max="10"/>
    <col hidden="1" width="19.1640625" customWidth="1" style="103" min="11" max="11"/>
    <col width="18.5" customWidth="1" style="103" min="12" max="12"/>
    <col width="26.1640625" customWidth="1" style="103" min="13" max="13"/>
    <col width="17.6640625" customWidth="1" style="103" min="14" max="14"/>
    <col width="33.1640625" bestFit="1" customWidth="1" style="103" min="15" max="15"/>
    <col width="20.5" customWidth="1" style="103" min="16" max="16"/>
    <col width="13.6640625" customWidth="1" style="103" min="17" max="17"/>
    <col width="17.1640625" customWidth="1" style="103" min="18" max="18"/>
    <col width="15.1640625" customWidth="1" style="103" min="19" max="19"/>
    <col width="13.5" customWidth="1" style="103" min="20" max="20"/>
    <col width="19.1640625" customWidth="1" style="103" min="21" max="21"/>
    <col width="21.1640625" customWidth="1" style="103" min="22" max="22"/>
    <col width="19" customWidth="1" style="103" min="23" max="23"/>
    <col width="27.6640625" customWidth="1" style="103" min="24" max="24"/>
  </cols>
  <sheetData>
    <row r="1">
      <c r="A1" s="94" t="n"/>
      <c r="B1" s="94" t="inlineStr">
        <is>
          <t>PROCESO/PROCEDIMIENTO</t>
        </is>
      </c>
      <c r="C1" s="95" t="n"/>
      <c r="D1" s="95" t="n"/>
      <c r="E1" s="95" t="n"/>
      <c r="F1" s="95" t="n"/>
      <c r="G1" s="96" t="n"/>
      <c r="H1" s="94" t="n"/>
      <c r="I1" s="94" t="n"/>
      <c r="J1" s="94" t="n"/>
      <c r="K1" s="94" t="n"/>
      <c r="L1" s="94" t="n"/>
      <c r="M1" s="94" t="n"/>
      <c r="N1" s="27" t="n"/>
      <c r="O1" s="94" t="n"/>
      <c r="P1" s="94" t="inlineStr">
        <is>
          <t>CLASIFICACIÓN</t>
        </is>
      </c>
      <c r="Q1" s="95" t="n"/>
      <c r="R1" s="96" t="n"/>
      <c r="S1" s="94" t="inlineStr">
        <is>
          <t>CRITICIDAD</t>
        </is>
      </c>
      <c r="T1" s="96" t="n"/>
      <c r="U1" s="94" t="n"/>
      <c r="V1" s="94" t="n"/>
      <c r="W1" s="94" t="n"/>
    </row>
    <row r="2" ht="24" customHeight="1" s="103">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6"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1">
        <f>+IFERROR(IF(VLOOKUP(Tabla2[[#This Row],[ID]],'EVALUACION DE RIESGO'!A:A,1,FALSE)=Tabla2[[#This Row],[ID]],"SI","NO"),"NO")</f>
        <v/>
      </c>
    </row>
    <row r="4">
      <c r="A4" s="96"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6"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6"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6"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6"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6"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6"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6"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6"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6"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6"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6"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6"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6"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6"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6"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6"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6"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6"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6"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6"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6"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6"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6"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6"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6"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6"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6"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6"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6"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6"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6"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6"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6"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6"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6"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6"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6"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6"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6"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6"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6"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6"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6"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6"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6"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6"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6"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6"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6"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6"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6"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6"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6"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6"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6"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6"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6"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6"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6"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6"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6"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6"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6"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6"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6"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6"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6"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6"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3">
      <c r="A73" s="96"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6"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6"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6"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6"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6"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6"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6"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6"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6"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6"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6"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6"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6"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6"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6"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6"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6"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6"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6"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6"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6"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6"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6"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6"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6"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6"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6"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6"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6"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6"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6"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6"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6"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6"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6"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6"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6"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6"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6"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6"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6"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6"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6"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6"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6"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6"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6"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6"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6"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6"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6"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6"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6"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6"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6"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6"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6"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6"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6"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6"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6"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6"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6"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6"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6"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6"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6"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6"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6"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6"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6"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6"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6"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6"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6"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6"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6"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6"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6"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6"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6"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6"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6"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6"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6"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6"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6"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6"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6"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6"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6"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6"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6"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6"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6"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6"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6"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6"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6"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6"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6"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6"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6"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6"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6"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6"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6"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6"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6"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6"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6"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6"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6"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6"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6"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6"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6"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6"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6"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6"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6"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6"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6"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6"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6"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6"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6"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6"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6"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6"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6"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6"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6"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6"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6"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6"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6"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6"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6"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6"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6"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6"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6"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6"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6"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6"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6"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6"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6"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6"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6"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6"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6"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6"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6"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6"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6"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6"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6"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6"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6"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6"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6"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6"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6"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6"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6"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6"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6"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6"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6"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6"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6"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6"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6"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6"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6"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6"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6"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6"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6"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6"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6"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6"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6"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6"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6"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6"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6"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6"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3">
      <c r="A264" s="96"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6"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6"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6"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6"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3">
      <c r="A269" s="96"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6"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6"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6"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3">
      <c r="A273" s="96"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6"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6"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6"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6"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6"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6"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3">
      <c r="A280" s="96"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3">
      <c r="A281" s="96"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6"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3">
      <c r="A283" s="96"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6"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3">
      <c r="A285" s="96"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3">
      <c r="A286" s="96"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3">
      <c r="A287" s="96"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6"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6"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6"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6"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6"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3">
      <c r="A293" s="96"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6"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6"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6"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6"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6"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6"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6"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6"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6"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6"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6"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6"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6"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6"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6"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6"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6"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6"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6"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6"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6"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6"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6"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6"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6"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6"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6"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6"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6"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6"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6"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6"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6"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6"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3">
      <c r="A328" s="96"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6"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3">
      <c r="A330" s="96"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6"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6"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6"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6"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3">
      <c r="A335" s="96"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6"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6"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3">
      <c r="A338" s="96"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6"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6"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3">
      <c r="A341" s="96"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3">
      <c r="A342" s="96"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6"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3">
      <c r="A344" s="96"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6"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6"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6"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6"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6"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6"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6"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6"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6"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6"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6"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6"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6"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6"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6"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6"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6"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6"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6"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6"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6"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6"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6"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6"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6"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6"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6"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6"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6"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6"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6"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6"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6"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6"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6"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6"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6"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6"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6"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6"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6"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6"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6"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6"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6"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6"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6"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6"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6"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6"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6"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6"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6"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6"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6"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6"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6"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6"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6"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6"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6"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6"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6"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6"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6"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6"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6"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6"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6"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6"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6"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6"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6"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6"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6"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6"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6"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6"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6"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6"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6"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6"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6"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6"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6"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6"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6"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6"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6"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6"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6"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6"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3">
      <c r="A437" s="96"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6"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6"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6"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6"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6"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6"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6"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6"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3">
      <c r="A446" s="96"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6"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6"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6"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6"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6"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6"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6"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3">
      <c r="A454" s="96"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6"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6"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6"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6"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6"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6"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6"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6"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6"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6"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3">
      <c r="A465" s="96"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6"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6"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6"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6"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6"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6"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6"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6"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6"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6"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6"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6"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6"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6"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6"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6"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6"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6"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6"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6"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6"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6"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6"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6"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6"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6"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6"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6"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6"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6"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6"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6"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6"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6"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6"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6"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6"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6"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6"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6"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6"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6"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6"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6"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6"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6"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6"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6"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6"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6"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6"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6"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6"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6"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6"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6"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6"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6"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6"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6"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6"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6"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6"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6"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6"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6"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6"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6"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6"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6"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6"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6"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6"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3">
      <c r="A539" s="96"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6"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6"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6"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3">
      <c r="A543" s="96"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6"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6"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3">
      <c r="A546" s="96"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3">
      <c r="A547" s="96"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6"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6"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3">
      <c r="A550" s="96"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6"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6"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6"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6"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6"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6"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6"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3">
      <c r="A558" s="96"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6"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6"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6"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6"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6"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6"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6"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6"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6"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6"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6"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6"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6"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6"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6"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6"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6"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6"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6"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6"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6"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6"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6"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6"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6"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6"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6"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6"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6"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6"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6"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6"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6"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6"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6"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6"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6"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6"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6"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6"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6"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6"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6"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6"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6"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6"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6"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6"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6"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6"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6"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6"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6"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6"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6"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6"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6"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6"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6"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6"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6"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6"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6"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6"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6"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6"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6"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6"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6"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6"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6"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6"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6"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6"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6"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6"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6"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6"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6"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6"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6"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6"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6"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6"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6"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6"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6"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6"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6"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6"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6"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6"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6"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6"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6"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6"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6"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6"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6"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6"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6"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6"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6"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6"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6"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6"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6"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6"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6"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6"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6"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6"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6"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6"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6"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6"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6"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6"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6"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6"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6"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6"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6"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6"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6"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6"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6"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6"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6"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6"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6"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6"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6"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6"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6"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6"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6"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6"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6"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6"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6"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6"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6"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6"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6"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6"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6"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6"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6"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6"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6"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6"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6"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6"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6"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6"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6"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6"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6"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6"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3">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6"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6"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6"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6"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3">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6"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6"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6"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6"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6"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6"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6"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6"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6"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6"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6"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6"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6"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6"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6"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6"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6"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6"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6"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6"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6"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6"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6"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6"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6"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6"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6"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6"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6"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6"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6"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6"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6"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6"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6"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6"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6"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6"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6"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6"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6"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3">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3">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3">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3">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3">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3">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3">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3">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3">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3">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3">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3">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3">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6"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3">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3">
      <c r="A781" s="96"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6"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3">
      <c r="A783" s="96"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3">
      <c r="A784" s="96"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6"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6"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6"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3">
      <c r="A788" s="96"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3">
      <c r="A789" s="96"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3">
      <c r="A790" s="96"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3">
      <c r="A791" s="96"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3">
      <c r="A792" s="96"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3">
      <c r="A793" s="96"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3">
      <c r="A794" s="96"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3">
      <c r="A795" s="96"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3">
      <c r="A796" s="96"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3">
      <c r="A797" s="96"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6"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6"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6"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6"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6"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6"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6"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6"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6"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6"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6"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6"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6"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6"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6"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6"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6"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6"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6"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6"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3">
      <c r="A818" s="96"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3">
      <c r="A819" s="96"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3">
      <c r="A820" s="96"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3">
      <c r="A821" s="96"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3">
      <c r="A822" s="96"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3">
      <c r="A823" s="96"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6"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6"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6"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6"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6"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6"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6"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6"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6"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6"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6"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6"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6"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6"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6"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6"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6"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6"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6"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6"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6"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6"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6"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6"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6"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6"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6"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6"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6"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6"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6"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6"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6"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6"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6"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6"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6"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6"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6"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6"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6"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6"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6"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6"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6"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6"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6"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6"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6"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6"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6"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6"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6"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6"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6"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6"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6"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6"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6"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6"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6"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6"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6"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6"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6"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6"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6"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6"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6"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6"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6"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6"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6"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6"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6"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6"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6"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6"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6"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6"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6"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6"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6"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6"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6"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6"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6"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6"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6"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6"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6"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6"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6"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6"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6"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6"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6"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6"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6"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6"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6"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6"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6"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6"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6"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6"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6"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3">
      <c r="A931" s="96"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3">
      <c r="A932" s="96"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6"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6"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6"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6"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6"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6"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6"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6"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6"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6"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6"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6"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6"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6"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6"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6"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6"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6"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6"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6"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6"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6"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6"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6"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6"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6"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6"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6"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6"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6"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6"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6"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6"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6"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6"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6"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6"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3">
      <c r="A970" s="96"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6"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6"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6"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6"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6"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6"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6"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6"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6"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6"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6"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6"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6"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6"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6"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6"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6"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6"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6"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6"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6"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6"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6"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6"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6"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6"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6"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6"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6"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6"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6"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6"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6"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6"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6"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6"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6"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6"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6"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6"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6"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6"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6"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6"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6"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6"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6"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6"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6"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6"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6"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6"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6"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6"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6"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6"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6"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6"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6"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6"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6"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6"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6"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6"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6"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6"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6"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6"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6"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6"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6"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6"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6"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6"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6"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6"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6"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6"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6"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6"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6"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6"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6"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6"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6"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6"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6"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6"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6"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6"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6"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6"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6"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6"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6"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6"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6"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6"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6"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6"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6"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6"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6"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6"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6"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6"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6"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6"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6"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6"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6"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6"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6"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6"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6"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6"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6"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6"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6"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6"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6"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6"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6"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6"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6"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6"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6"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6"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6"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6"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6"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6"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6"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6"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6"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6"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6"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6"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6"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6"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6"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6"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6"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6"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6"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6"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6"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6"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6"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6"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6"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6"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6"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6"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6"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6"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6"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6"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6"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6"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6"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6"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6"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6"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6"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6"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6"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6"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6"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6"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6"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6"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6"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6"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6"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6"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6"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6"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6"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6"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6"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6"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6"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6"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6"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6"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6"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6"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6"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6"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6"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6"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6"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6"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6"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6"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6"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6"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6"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6"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6"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6"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6"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6"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6"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6"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6"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6"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6"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6"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6"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6"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6"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6"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6"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6"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6"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6"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6"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6"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6"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6"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6"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6"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6"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6"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6"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6"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6"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6"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6"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6"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6"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6"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6"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6"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6"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6"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6"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6"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6"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6"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6"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6"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6"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6"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6"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6"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6"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6"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6"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6"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6"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6"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6"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6"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6"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6"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6"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6"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6"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6"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6"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6"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6"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6"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6"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6"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6"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6"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6"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6"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6"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6"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6"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6"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6"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6"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6"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6"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6"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6"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6"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6"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6"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6"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6"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6"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6"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6"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6"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6"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6"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6"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6"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6"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6"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6"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6"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6"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6"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6"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6"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6"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6"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6"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6"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6"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6"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6"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6"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6"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6"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6"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6"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6"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6"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6"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6"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6"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6"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6"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6"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6"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6"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6"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6"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6"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6"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6"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6"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6"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6"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6"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6"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6"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6"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6"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6"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6"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6"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6"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6"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6"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6"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6"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6"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6"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6"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6"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6"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6"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6"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6"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6"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6"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6"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6"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6"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6"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6"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6"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6"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6"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6"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6"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6"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6"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6"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6"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6"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6"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6"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6"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6"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6"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6"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6"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6"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6"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3">
      <c r="A1351" s="96"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6"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6"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6"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6"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6"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6"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6"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6"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6"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6"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6"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6"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6"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6"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6"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6"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6"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6"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6"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6"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6"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6"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6"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6"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6"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6"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6"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6"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6"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6"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6"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6"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6"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6"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6"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6"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6"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6"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6"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6"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6"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6"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6"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6"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3">
      <c r="A1396" s="96"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6"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6"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6"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6"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6"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6"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6"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6"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6"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3" min="1" max="1"/>
    <col width="16.5" customWidth="1" style="103" min="2" max="2"/>
    <col width="20.6640625" customWidth="1" style="103" min="3" max="3"/>
    <col width="24.1640625" bestFit="1" customWidth="1" style="103" min="4" max="4"/>
  </cols>
  <sheetData>
    <row r="1">
      <c r="A1" s="97" t="inlineStr">
        <is>
          <t>PROBABILIDAD</t>
        </is>
      </c>
      <c r="B1" s="98" t="n"/>
      <c r="C1" s="98" t="n"/>
      <c r="D1" s="98" t="n"/>
    </row>
    <row r="2" ht="25.5" customHeight="1" s="103">
      <c r="A2" s="1" t="inlineStr">
        <is>
          <t>Descripción</t>
        </is>
      </c>
      <c r="B2" s="1" t="inlineStr">
        <is>
          <t>Nivel</t>
        </is>
      </c>
      <c r="C2" s="9" t="inlineStr">
        <is>
          <t xml:space="preserve">Porcentaje de ocurrencia del evento </t>
        </is>
      </c>
      <c r="D2" s="9" t="inlineStr">
        <is>
          <t>Frecuencia</t>
        </is>
      </c>
    </row>
    <row r="3" ht="12" customHeight="1" s="103">
      <c r="A3" s="2" t="inlineStr">
        <is>
          <t>Muy Baja</t>
        </is>
      </c>
      <c r="B3" s="3" t="n">
        <v>1</v>
      </c>
      <c r="C3" s="3" t="inlineStr">
        <is>
          <t>0,00% al 4,64%</t>
        </is>
      </c>
      <c r="D3" s="4" t="inlineStr">
        <is>
          <t>Ocurre una vez al año</t>
        </is>
      </c>
    </row>
    <row r="4" ht="12" customHeight="1" s="103">
      <c r="A4" s="5" t="inlineStr">
        <is>
          <t>Baja</t>
        </is>
      </c>
      <c r="B4" s="3" t="n">
        <v>2</v>
      </c>
      <c r="C4" s="3" t="inlineStr">
        <is>
          <t>4,65% al 7,60%</t>
        </is>
      </c>
      <c r="D4" s="4" t="inlineStr">
        <is>
          <t>Ocurre una vez al mes</t>
        </is>
      </c>
    </row>
    <row r="5" ht="20.45" customHeight="1" s="103">
      <c r="A5" s="6" t="inlineStr">
        <is>
          <t>Media</t>
        </is>
      </c>
      <c r="B5" s="3" t="n">
        <v>3</v>
      </c>
      <c r="C5" s="3" t="inlineStr">
        <is>
          <t>7.61% al 28,26%</t>
        </is>
      </c>
      <c r="D5" s="4" t="inlineStr">
        <is>
          <t>Ocurre una vez a la semana</t>
        </is>
      </c>
    </row>
    <row r="6" ht="12" customHeight="1" s="103">
      <c r="A6" s="7" t="inlineStr">
        <is>
          <t>Alta</t>
        </is>
      </c>
      <c r="B6" s="3" t="n">
        <v>4</v>
      </c>
      <c r="C6" s="3" t="inlineStr">
        <is>
          <t>28,27% al 40,70%</t>
        </is>
      </c>
      <c r="D6" s="4" t="inlineStr">
        <is>
          <t>Ocurre una vez al día</t>
        </is>
      </c>
    </row>
    <row r="7" ht="24" customHeight="1" s="103">
      <c r="A7" s="8" t="inlineStr">
        <is>
          <t>Muy Alta</t>
        </is>
      </c>
      <c r="B7" s="3" t="n">
        <v>5</v>
      </c>
      <c r="C7" s="3" t="inlineStr">
        <is>
          <t>40,71% al 100%</t>
        </is>
      </c>
      <c r="D7" s="4" t="inlineStr">
        <is>
          <t>Ocurre varias veces al día.</t>
        </is>
      </c>
    </row>
    <row r="9">
      <c r="A9" s="97" t="inlineStr">
        <is>
          <t>IMPACTO/DEGRADACIÓN</t>
        </is>
      </c>
      <c r="B9" s="98"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9" t="inlineStr">
        <is>
          <t>NIVEL DE RIESGO DE SEGURIDAD = IMPACTO * PROBABILIDAD</t>
        </is>
      </c>
      <c r="B17" s="95" t="n"/>
      <c r="C17" s="95" t="n"/>
      <c r="D17" s="95" t="n"/>
      <c r="E17" s="95" t="n"/>
      <c r="F17" s="96" t="n"/>
      <c r="H17" s="102" t="n"/>
    </row>
    <row r="18">
      <c r="A18" s="100" t="inlineStr">
        <is>
          <t>PROBABILIDAD</t>
        </is>
      </c>
      <c r="B18" s="99" t="inlineStr">
        <is>
          <t>IMPACTO</t>
        </is>
      </c>
      <c r="C18" s="95" t="n"/>
      <c r="D18" s="95" t="n"/>
      <c r="E18" s="95" t="n"/>
      <c r="F18" s="96" t="n"/>
    </row>
    <row r="19">
      <c r="A19" s="101" t="n"/>
      <c r="B19" s="3" t="inlineStr">
        <is>
          <t>Insignificante</t>
        </is>
      </c>
      <c r="C19" s="3" t="inlineStr">
        <is>
          <t>Bajo</t>
        </is>
      </c>
      <c r="D19" s="3" t="inlineStr">
        <is>
          <t>Medio</t>
        </is>
      </c>
      <c r="E19" s="3" t="inlineStr">
        <is>
          <t>Alto</t>
        </is>
      </c>
      <c r="F19" s="3" t="inlineStr">
        <is>
          <t>Severo</t>
        </is>
      </c>
      <c r="H19" s="99" t="inlineStr">
        <is>
          <t>NIVEL DE RIESGO</t>
        </is>
      </c>
      <c r="I19" s="96"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39" min="3" max="3"/>
    <col hidden="1" width="32.5" customWidth="1" style="39"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3" min="22" max="22"/>
    <col width="14.5" customWidth="1" style="103" min="23" max="23"/>
    <col width="19.1640625" customWidth="1" style="103" min="24" max="24"/>
    <col width="13.1640625" customWidth="1" style="103" min="25" max="25"/>
    <col width="37.1640625" customWidth="1" style="103" min="26" max="26"/>
  </cols>
  <sheetData>
    <row r="1">
      <c r="O1" s="16" t="n"/>
      <c r="P1" s="16" t="n"/>
      <c r="Q1" s="16" t="n"/>
    </row>
    <row r="2" ht="41.1" customHeight="1" s="103">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3">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3">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3">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3">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3">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3">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3">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3">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3">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3">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3">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3">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3">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3">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3">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3">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3">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3">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3">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3">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3">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3">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3">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3">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3">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3">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3">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3">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3">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3">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3">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3">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3">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3">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3">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3">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3">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3">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3">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3">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3">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3">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3">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3">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3">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3">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3">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3">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3">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3">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3">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3">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3">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3">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3">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3">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3">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3">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3">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3">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3">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3">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3">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3">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3">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3">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3">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3">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3">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3">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3">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3">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3">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3">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3">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3">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3">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3">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3">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3">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3">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3">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3">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3">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3">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3">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3">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3">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3">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3">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3">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3">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3">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3">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3">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3">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3">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3">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3">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3">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3">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3">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3">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3">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3">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3">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3">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3">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3">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3">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3">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3">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3">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3">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3">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3">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3">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3">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3">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3">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3">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3">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3">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3">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3">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3">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3">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3">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3">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3">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3">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3">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3">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3">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3">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3">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3">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3">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3">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3">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3">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3">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3">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3">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3">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3">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3">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3">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3">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3">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3">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3">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3">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3">
      <c r="A156" s="96"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3">
      <c r="A157" s="96"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3">
      <c r="A158" s="96"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3">
      <c r="A159" s="96"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3">
      <c r="A160" s="96"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3">
      <c r="A161" s="96"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3">
      <c r="A162" s="96"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3">
      <c r="A163" s="96"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3">
      <c r="A164" s="96"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3">
      <c r="A165" s="96"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3">
      <c r="A166" s="96"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3">
      <c r="A167" s="96"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3">
      <c r="A168" s="96"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3">
      <c r="A169" s="96"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3">
      <c r="A170" s="96"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3">
      <c r="A171" s="96"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3">
      <c r="A172" s="96"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3">
      <c r="A173" s="96"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3">
      <c r="A174" s="96"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3">
      <c r="A175" s="96"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3">
      <c r="A176" s="96"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3">
      <c r="A177" s="96"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3">
      <c r="A178" s="96"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3">
      <c r="A179" s="96"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3">
      <c r="A180" s="96"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3">
      <c r="A181" s="96"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3">
      <c r="A182" s="96"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3">
      <c r="A183" s="96"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3">
      <c r="A184" s="96"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3">
      <c r="A185" s="96"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3">
      <c r="A186" s="96"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3">
      <c r="A187" s="96"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3">
      <c r="A188" s="96"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3">
      <c r="A189" s="96"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3">
      <c r="A190" s="96"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3">
      <c r="A191" s="96"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3">
      <c r="A192" s="96"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3">
      <c r="A193" s="96"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3">
      <c r="A194" s="96"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3">
      <c r="A195" s="96"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3">
      <c r="A196" s="96"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3">
      <c r="A197" s="96"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3">
      <c r="A198" s="96"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3">
      <c r="A199" s="96"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3">
      <c r="A200" s="96"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3">
      <c r="A201" s="96"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3">
      <c r="A202" s="96"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3">
      <c r="A203" s="96"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3">
      <c r="A204" s="96"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3">
      <c r="A205" s="96"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3">
      <c r="A206" s="96"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3">
      <c r="A207" s="96"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3">
      <c r="A208" s="96"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3">
      <c r="A209" s="96"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3">
      <c r="A210" s="96"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3">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3" min="1" max="1"/>
    <col width="46.6640625" customWidth="1" style="16" min="2" max="2"/>
    <col width="40.1640625" bestFit="1" customWidth="1" style="16" min="3" max="3"/>
    <col width="10" bestFit="1" customWidth="1" style="103" min="4" max="4"/>
  </cols>
  <sheetData>
    <row r="1" ht="20.45" customHeight="1" s="103">
      <c r="A1" s="83" t="inlineStr">
        <is>
          <t>PLAN DE ACCION</t>
        </is>
      </c>
      <c r="B1" s="84" t="inlineStr">
        <is>
          <t>DESCIPCION PLAN DE ACCIÓN</t>
        </is>
      </c>
      <c r="C1" s="81" t="inlineStr">
        <is>
          <t>RESPONSABLE</t>
        </is>
      </c>
      <c r="D1" s="86" t="inlineStr">
        <is>
          <t>PLAZO</t>
        </is>
      </c>
    </row>
    <row r="2" ht="20.45" customHeight="1" s="103">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3">
      <c r="A3" s="82" t="inlineStr">
        <is>
          <t>PA-SI-002</t>
        </is>
      </c>
      <c r="B3" s="82" t="inlineStr">
        <is>
          <t>Fortalecer mecanismos de protección contra ataques DoS/DDoS</t>
        </is>
      </c>
      <c r="C3" s="82" t="inlineStr">
        <is>
          <t>JEFE DE SEGURIDAD DE LA INFORMACION</t>
        </is>
      </c>
      <c r="D3" s="85" t="inlineStr">
        <is>
          <t>3 MESES</t>
        </is>
      </c>
    </row>
    <row r="4" ht="20.45" customHeight="1" s="103">
      <c r="A4" s="82" t="inlineStr">
        <is>
          <t>PA-SI-003</t>
        </is>
      </c>
      <c r="B4" s="82" t="inlineStr">
        <is>
          <t>Determinar accesos restringidos para la consola administrativa</t>
        </is>
      </c>
      <c r="C4" s="82" t="inlineStr">
        <is>
          <t>JEFE DE SEGURIDAD DE LA INFORMACION</t>
        </is>
      </c>
      <c r="D4" s="85" t="inlineStr">
        <is>
          <t>3 MESES</t>
        </is>
      </c>
    </row>
    <row r="5" ht="24" customHeight="1" s="103">
      <c r="A5" s="82" t="inlineStr">
        <is>
          <t>PA-SI-004</t>
        </is>
      </c>
      <c r="B5" s="82" t="inlineStr">
        <is>
          <t>Aplicar política de expiración de contraseñas VPN.</t>
        </is>
      </c>
      <c r="C5" s="82" t="inlineStr">
        <is>
          <t>JEFE DE SEGURIDAD DE LA INFORMACION</t>
        </is>
      </c>
      <c r="D5" s="85" t="inlineStr">
        <is>
          <t>6 MESES</t>
        </is>
      </c>
    </row>
    <row r="6" ht="20.45" customHeight="1" s="103">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3">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3" min="1" max="1"/>
    <col width="12.5" customWidth="1" style="103" min="2" max="2"/>
    <col width="6.1640625" bestFit="1" customWidth="1" style="103" min="3" max="3"/>
    <col width="7.1640625" bestFit="1" customWidth="1" style="103" min="4" max="4"/>
    <col width="13.1640625" bestFit="1" customWidth="1" style="103" min="5" max="6"/>
    <col width="68.1640625" bestFit="1" customWidth="1" style="103" min="7" max="22"/>
    <col width="13.1640625" bestFit="1" customWidth="1" style="103"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3" min="2" max="2"/>
  </cols>
  <sheetData>
    <row r="1">
      <c r="A1" s="97" t="n"/>
      <c r="B1" s="98" t="n"/>
    </row>
    <row r="2">
      <c r="A2" s="99" t="inlineStr">
        <is>
          <t>Código</t>
        </is>
      </c>
      <c r="B2" s="99"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7"/>
    <col width="11.5" customWidth="1" style="16" min="18" max="16384"/>
  </cols>
  <sheetData>
    <row r="1">
      <c r="A1" s="17" t="n"/>
      <c r="B1" s="34" t="n"/>
      <c r="C1" s="17" t="n"/>
      <c r="D1" s="34" t="n"/>
      <c r="E1" s="104" t="inlineStr">
        <is>
          <t>TIPOS DE ACTIVOS</t>
        </is>
      </c>
      <c r="F1" s="95" t="n"/>
      <c r="G1" s="95" t="n"/>
      <c r="H1" s="95" t="n"/>
      <c r="I1" s="95" t="n"/>
      <c r="J1" s="95" t="n"/>
      <c r="K1" s="95" t="n"/>
      <c r="L1" s="95" t="n"/>
      <c r="M1" s="95" t="n"/>
      <c r="N1" s="96" t="n"/>
    </row>
    <row r="2" ht="101.1" customHeight="1" s="103">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3">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3">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3">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3">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3">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3">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3">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3">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3">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3">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3">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3">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3">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3">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3">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3">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3">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3">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3">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3">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3">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3">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3">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3">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3">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3">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3">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3">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3">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3">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3">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3">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3">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3">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3">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3">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3">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3">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3">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3">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3">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3">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3">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3">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3" min="1" max="1"/>
    <col width="79.5" customWidth="1" style="103" min="2" max="2"/>
  </cols>
  <sheetData>
    <row r="1">
      <c r="A1" t="inlineStr">
        <is>
          <t>TIPO DE ACTIVO</t>
        </is>
      </c>
      <c r="B1" t="inlineStr">
        <is>
          <t>DESCRIPCION</t>
        </is>
      </c>
    </row>
    <row r="2" ht="41.1" customHeight="1" s="103">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3">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3">
      <c r="A4" s="41" t="inlineStr">
        <is>
          <t>[S] Servicios</t>
        </is>
      </c>
      <c r="B4" s="17" t="inlineStr">
        <is>
          <t>Función que satisface una necesidad de los usuarios (del servicio). Esta sección contempla servicios prestados por el sistema.</t>
        </is>
      </c>
    </row>
    <row r="5" ht="41.1" customHeight="1" s="103">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3">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3">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3">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3">
      <c r="A9" s="41" t="inlineStr">
        <is>
          <t>[AUX] equipamiento auxiliar</t>
        </is>
      </c>
      <c r="B9" s="17" t="inlineStr">
        <is>
          <t>En este epígrafe se consideran otros equipos que sirven de soporte a los sistemas de información, sin estar directamente relacionados con datos.</t>
        </is>
      </c>
    </row>
    <row r="10" ht="20.45" customHeight="1" s="103">
      <c r="A10" s="41" t="inlineStr">
        <is>
          <t>[L] Instalaciones</t>
        </is>
      </c>
      <c r="B10" s="17" t="inlineStr">
        <is>
          <t>En este epígrafe entran los lugares donde se hospedan los sistemas de información y comunicaciones.</t>
        </is>
      </c>
    </row>
    <row r="11" ht="12" customHeight="1" s="103">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3" min="1" max="1"/>
    <col width="82" bestFit="1" customWidth="1" style="103" min="2" max="2"/>
    <col width="86" bestFit="1" customWidth="1" style="103" min="3" max="3"/>
  </cols>
  <sheetData>
    <row r="1">
      <c r="A1" s="99" t="inlineStr">
        <is>
          <t>CONTROLES IMPLEMENTADOS</t>
        </is>
      </c>
      <c r="B1" s="96" t="n"/>
    </row>
    <row r="2">
      <c r="A2" s="99" t="inlineStr">
        <is>
          <t>Código</t>
        </is>
      </c>
      <c r="B2" s="99" t="inlineStr">
        <is>
          <t>Descripción</t>
        </is>
      </c>
    </row>
    <row r="3">
      <c r="A3" s="99" t="inlineStr">
        <is>
          <t>1. Política de Seguridad de la Información</t>
        </is>
      </c>
      <c r="B3" s="96"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9" t="inlineStr">
        <is>
          <t>2. Organización de la Seguridad de la Información</t>
        </is>
      </c>
      <c r="B8" s="96"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9" t="inlineStr">
        <is>
          <t>3. Gestión de Activos</t>
        </is>
      </c>
      <c r="B12" s="96"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9" t="inlineStr">
        <is>
          <t>4. Seguridad de los Recursos Humanos</t>
        </is>
      </c>
      <c r="B16" s="96"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9" t="inlineStr">
        <is>
          <t>5. Control de Acceso</t>
        </is>
      </c>
      <c r="B19" s="96"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9" t="inlineStr">
        <is>
          <t>6. Criptografía</t>
        </is>
      </c>
      <c r="B26" s="96"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9" t="inlineStr">
        <is>
          <t>7. Seguridad Física y del Entorno</t>
        </is>
      </c>
      <c r="B29" s="96"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9" t="inlineStr">
        <is>
          <t>8. Seguridad de las Operaciones</t>
        </is>
      </c>
      <c r="B32" s="96"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9" t="inlineStr">
        <is>
          <t>9. Seguridad en las Comunicaciones</t>
        </is>
      </c>
      <c r="B40" s="96"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9" t="inlineStr">
        <is>
          <t>10. Adquisición, desarrollo y mantenimiento</t>
        </is>
      </c>
      <c r="B43" s="96"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9" t="inlineStr">
        <is>
          <t>11. Relaciones con Proveedores</t>
        </is>
      </c>
      <c r="B48" s="96"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9" t="inlineStr">
        <is>
          <t>12. Gestión de Incidentes de Seguridad</t>
        </is>
      </c>
      <c r="B51" s="96"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9" t="inlineStr">
        <is>
          <t>13. Gestión de Continuidad del Negocio</t>
        </is>
      </c>
      <c r="B54" s="96"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9" t="inlineStr">
        <is>
          <t>14. Cumplimiento</t>
        </is>
      </c>
      <c r="B57" s="96"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39" min="2" max="2"/>
    <col width="12.6640625" customWidth="1" style="39" min="3" max="3"/>
    <col width="17.6640625" customWidth="1" style="39" min="4" max="4"/>
    <col width="14" customWidth="1" style="39" min="5" max="5"/>
    <col width="39.1640625" customWidth="1" style="38" min="6" max="6"/>
    <col width="25" customWidth="1" style="39" min="7" max="7"/>
    <col width="29.6640625" customWidth="1" style="39" min="8" max="8"/>
    <col width="18.6640625" customWidth="1" style="39" min="9" max="9"/>
    <col width="16.1640625" customWidth="1" style="39" min="10" max="10"/>
    <col width="13.1640625" customWidth="1" style="39" min="11" max="11"/>
    <col width="19.6640625" customWidth="1" style="39" min="12" max="12"/>
    <col width="9.1640625" customWidth="1" style="39" min="13" max="14"/>
    <col width="9.1640625" customWidth="1" style="39" min="15" max="16384"/>
  </cols>
  <sheetData>
    <row r="1" ht="60" customHeight="1" s="103">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3">
      <c r="A2" s="38" t="inlineStr">
        <is>
          <t>5.1</t>
        </is>
      </c>
      <c r="B2" s="39" t="inlineStr">
        <is>
          <t>Políticas para la seguridad de la información</t>
        </is>
      </c>
      <c r="C2" s="39" t="inlineStr">
        <is>
          <t>#Preventivo</t>
        </is>
      </c>
      <c r="D2" s="39" t="inlineStr">
        <is>
          <t>#Confidencialidad, #Integridad, #Disponibilidad</t>
        </is>
      </c>
      <c r="E2" s="39" t="inlineStr">
        <is>
          <t>#Identificar</t>
        </is>
      </c>
      <c r="F2" s="38" t="inlineStr">
        <is>
          <t>#Gobernanza</t>
        </is>
      </c>
      <c r="G2" s="39" t="inlineStr">
        <is>
          <t>#Gobernanza_y_Ecosistema</t>
        </is>
      </c>
      <c r="H2" s="39" t="inlineStr">
        <is>
          <t>Obligatorio SEPS (Régimen General)</t>
        </is>
      </c>
      <c r="I2" s="39" t="inlineStr">
        <is>
          <t>C1: Revisión periódica de políticas y procedimientos</t>
        </is>
      </c>
      <c r="J2" s="39" t="inlineStr">
        <is>
          <t>2. Metodología Interna GSO-GSI + ISO 27001</t>
        </is>
      </c>
      <c r="K2" s="39" t="inlineStr">
        <is>
          <t>Aplica</t>
        </is>
      </c>
      <c r="L2" s="39" t="inlineStr">
        <is>
          <t>Requisito interno GSO-GSI</t>
        </is>
      </c>
    </row>
    <row r="3" ht="48" customHeight="1" s="103">
      <c r="A3" s="38" t="inlineStr">
        <is>
          <t>5.2</t>
        </is>
      </c>
      <c r="B3" s="39" t="inlineStr">
        <is>
          <t>Funciones y responsabilidades de seguridad de la información</t>
        </is>
      </c>
      <c r="C3" s="39" t="inlineStr">
        <is>
          <t>#Preventivo</t>
        </is>
      </c>
      <c r="D3" s="39" t="inlineStr">
        <is>
          <t>#Confidencialidad, #Integridad, #Disponibilidad</t>
        </is>
      </c>
      <c r="E3" s="39" t="inlineStr">
        <is>
          <t>#Identificar</t>
        </is>
      </c>
      <c r="F3" s="38" t="inlineStr">
        <is>
          <t>#Gobernanza</t>
        </is>
      </c>
      <c r="G3" s="39" t="inlineStr">
        <is>
          <t>#Gobernanza_y_Ecosistema</t>
        </is>
      </c>
      <c r="H3" s="39" t="inlineStr">
        <is>
          <t>Obligatorio SEPS (Régimen General)</t>
        </is>
      </c>
      <c r="I3" s="39" t="inlineStr">
        <is>
          <t>-</t>
        </is>
      </c>
      <c r="J3" s="39" t="inlineStr">
        <is>
          <t>1. Regulatorio SEPS 002-2022 + ISO 27001</t>
        </is>
      </c>
      <c r="K3" s="39" t="inlineStr">
        <is>
          <t>Aplica</t>
        </is>
      </c>
      <c r="L3" s="39" t="inlineStr">
        <is>
          <t>Requerido por ente regulador SEPS</t>
        </is>
      </c>
    </row>
    <row r="4" ht="36" customHeight="1" s="103">
      <c r="A4" s="38" t="inlineStr">
        <is>
          <t>5.3</t>
        </is>
      </c>
      <c r="B4" s="39" t="inlineStr">
        <is>
          <t>Segregación de funciones</t>
        </is>
      </c>
      <c r="C4" s="39" t="inlineStr">
        <is>
          <t>#Preventivo</t>
        </is>
      </c>
      <c r="D4" s="39" t="inlineStr">
        <is>
          <t>#Confidencialidad, #Integridad</t>
        </is>
      </c>
      <c r="E4" s="39" t="inlineStr">
        <is>
          <t>#Proteger</t>
        </is>
      </c>
      <c r="F4" s="38" t="inlineStr">
        <is>
          <t>#Gobernanza</t>
        </is>
      </c>
      <c r="G4" s="39" t="inlineStr">
        <is>
          <t>#Gobernanza_y_Ecosistema</t>
        </is>
      </c>
      <c r="H4" s="39" t="inlineStr">
        <is>
          <t>Obligatorio SEPS (Régimen General)</t>
        </is>
      </c>
      <c r="I4" s="39" t="inlineStr">
        <is>
          <t>-</t>
        </is>
      </c>
      <c r="J4" s="39" t="inlineStr">
        <is>
          <t>1. Regulatorio SEPS 002-2022 + ISO 27001</t>
        </is>
      </c>
      <c r="K4" s="39" t="inlineStr">
        <is>
          <t>Aplica</t>
        </is>
      </c>
      <c r="L4" s="39" t="inlineStr">
        <is>
          <t>Requerido por ente regulador SEPS</t>
        </is>
      </c>
    </row>
    <row r="5" ht="36" customHeight="1" s="103">
      <c r="A5" s="38" t="inlineStr">
        <is>
          <t>5.4</t>
        </is>
      </c>
      <c r="B5" s="39" t="inlineStr">
        <is>
          <t>Responsabilidades de la dirección</t>
        </is>
      </c>
      <c r="C5" s="39" t="inlineStr">
        <is>
          <t>#Preventivo</t>
        </is>
      </c>
      <c r="D5" s="39" t="inlineStr">
        <is>
          <t>#Confidencialidad, #Integridad, #Disponibilidad</t>
        </is>
      </c>
      <c r="E5" s="39" t="inlineStr">
        <is>
          <t>#Identificar</t>
        </is>
      </c>
      <c r="F5" s="38" t="inlineStr">
        <is>
          <t>#Gobernanza</t>
        </is>
      </c>
      <c r="G5" s="39" t="inlineStr">
        <is>
          <t>#Gobernanza_y_Ecosistema</t>
        </is>
      </c>
      <c r="H5" s="39" t="inlineStr">
        <is>
          <t>Obligatorio SEPS (Régimen General)</t>
        </is>
      </c>
      <c r="I5" s="39" t="inlineStr">
        <is>
          <t>-</t>
        </is>
      </c>
      <c r="J5" s="39" t="inlineStr">
        <is>
          <t>1. Regulatorio SEPS 002-2022 + ISO 27001</t>
        </is>
      </c>
      <c r="K5" s="39" t="inlineStr">
        <is>
          <t>Aplica</t>
        </is>
      </c>
      <c r="L5" s="39" t="inlineStr">
        <is>
          <t>Requerido por ente regulador SEPS</t>
        </is>
      </c>
    </row>
    <row r="6" ht="36" customHeight="1" s="103">
      <c r="A6" s="38" t="inlineStr">
        <is>
          <t>5.5</t>
        </is>
      </c>
      <c r="B6" s="39" t="inlineStr">
        <is>
          <t>Contacto con las autoridades</t>
        </is>
      </c>
      <c r="C6" s="39" t="inlineStr">
        <is>
          <t>#Preventivo</t>
        </is>
      </c>
      <c r="D6" s="39" t="inlineStr">
        <is>
          <t>#Disponibilidad</t>
        </is>
      </c>
      <c r="E6" s="39" t="inlineStr">
        <is>
          <t>#Responder</t>
        </is>
      </c>
      <c r="F6" s="38" t="inlineStr">
        <is>
          <t>#Gobernanza</t>
        </is>
      </c>
      <c r="G6" s="39" t="inlineStr">
        <is>
          <t>#Gobernanza_y_Ecosistema</t>
        </is>
      </c>
      <c r="H6" s="39" t="inlineStr">
        <is>
          <t>Obligatorio SEPS (Régimen General)</t>
        </is>
      </c>
      <c r="I6" s="39" t="inlineStr">
        <is>
          <t>-</t>
        </is>
      </c>
      <c r="J6" s="39" t="inlineStr">
        <is>
          <t>1. Regulatorio SEPS 002-2022 + ISO 27001</t>
        </is>
      </c>
      <c r="K6" s="39" t="inlineStr">
        <is>
          <t>Aplica</t>
        </is>
      </c>
      <c r="L6" s="39" t="inlineStr">
        <is>
          <t>Requerido por ente regulador SEPS</t>
        </is>
      </c>
    </row>
    <row r="7" ht="60" customHeight="1" s="103">
      <c r="A7" s="38" t="inlineStr">
        <is>
          <t>5.6</t>
        </is>
      </c>
      <c r="B7" s="39" t="inlineStr">
        <is>
          <t>Contacto con grupos de interés especial</t>
        </is>
      </c>
      <c r="C7" s="39" t="inlineStr">
        <is>
          <t>#Preventivo</t>
        </is>
      </c>
      <c r="D7" s="39" t="inlineStr">
        <is>
          <t>#Disponibilidad</t>
        </is>
      </c>
      <c r="E7" s="39" t="inlineStr">
        <is>
          <t>#Identificar</t>
        </is>
      </c>
      <c r="F7" s="38" t="inlineStr">
        <is>
          <t>#Gobernanza</t>
        </is>
      </c>
      <c r="G7" s="39" t="inlineStr">
        <is>
          <t>#Gobernanza_y_Ecosistema</t>
        </is>
      </c>
      <c r="H7" s="39" t="inlineStr">
        <is>
          <t>Mejor Práctica (No obligatorio SEPS)</t>
        </is>
      </c>
      <c r="I7" s="39" t="inlineStr">
        <is>
          <t>-</t>
        </is>
      </c>
      <c r="J7" s="39" t="inlineStr">
        <is>
          <t>3. Tratamiento de Riesgos Específico (ISO 27002 / MAGERIT)</t>
        </is>
      </c>
      <c r="K7" s="39" t="inlineStr">
        <is>
          <t>Aplica</t>
        </is>
      </c>
      <c r="L7" s="39" t="inlineStr">
        <is>
          <t>Requisito de control complementario y mejor práctica de seguridad</t>
        </is>
      </c>
    </row>
    <row r="8" ht="60" customHeight="1" s="103">
      <c r="A8" s="38" t="inlineStr">
        <is>
          <t>5.7</t>
        </is>
      </c>
      <c r="B8" s="39" t="inlineStr">
        <is>
          <t>Inteligencia de amenazas</t>
        </is>
      </c>
      <c r="C8" s="39" t="inlineStr">
        <is>
          <t>#Detectivo, #Preventivo</t>
        </is>
      </c>
      <c r="D8" s="39" t="inlineStr">
        <is>
          <t>#Confidencialidad, #Integridad, #Disponibilidad</t>
        </is>
      </c>
      <c r="E8" s="39" t="inlineStr">
        <is>
          <t>#Identificar</t>
        </is>
      </c>
      <c r="F8" s="38" t="inlineStr">
        <is>
          <t>#Gestión_de_amenazas_y_vulnerabilidades</t>
        </is>
      </c>
      <c r="G8" s="39" t="inlineStr">
        <is>
          <t>#Gobernanza_y_Ecosistema</t>
        </is>
      </c>
      <c r="H8" s="39" t="inlineStr">
        <is>
          <t>Mejor Práctica (No obligatorio SEPS)</t>
        </is>
      </c>
      <c r="I8" s="39" t="inlineStr">
        <is>
          <t>-</t>
        </is>
      </c>
      <c r="J8" s="39" t="inlineStr">
        <is>
          <t>3. Tratamiento de Riesgos Específico (ISO 27002 / MAGERIT)</t>
        </is>
      </c>
      <c r="K8" s="39" t="inlineStr">
        <is>
          <t>Aplica</t>
        </is>
      </c>
      <c r="L8" s="39" t="inlineStr">
        <is>
          <t>Requisito de control complementario y mejor práctica de seguridad</t>
        </is>
      </c>
    </row>
    <row r="9" ht="36" customHeight="1" s="103">
      <c r="A9" s="38" t="inlineStr">
        <is>
          <t>5.8</t>
        </is>
      </c>
      <c r="B9" s="39" t="inlineStr">
        <is>
          <t>Seguridad de la información en la gestión de proyectos</t>
        </is>
      </c>
      <c r="C9" s="39" t="inlineStr">
        <is>
          <t>#Preventivo</t>
        </is>
      </c>
      <c r="D9" s="39" t="inlineStr">
        <is>
          <t>#Confidencialidad, #Integridad, #Disponibilidad</t>
        </is>
      </c>
      <c r="E9" s="39" t="inlineStr">
        <is>
          <t>#Proteger</t>
        </is>
      </c>
      <c r="F9" s="38" t="inlineStr">
        <is>
          <t>#Gobernanza</t>
        </is>
      </c>
      <c r="G9" s="39" t="inlineStr">
        <is>
          <t>#Gobernanza_y_Ecosistema</t>
        </is>
      </c>
      <c r="H9" s="39" t="inlineStr">
        <is>
          <t>Obligatorio SEPS (Régimen General)</t>
        </is>
      </c>
      <c r="I9" s="39" t="inlineStr">
        <is>
          <t>-</t>
        </is>
      </c>
      <c r="J9" s="39" t="inlineStr">
        <is>
          <t>1. Regulatorio SEPS 002-2022 + ISO 27001</t>
        </is>
      </c>
      <c r="K9" s="39" t="inlineStr">
        <is>
          <t>Aplica</t>
        </is>
      </c>
      <c r="L9" s="39" t="inlineStr">
        <is>
          <t>Requerido por ente regulador SEPS</t>
        </is>
      </c>
    </row>
    <row r="10" ht="36" customHeight="1" s="103">
      <c r="A10" s="38" t="inlineStr">
        <is>
          <t>5.9</t>
        </is>
      </c>
      <c r="B10" s="39" t="inlineStr">
        <is>
          <t>Inventario de información y otros activos asociados</t>
        </is>
      </c>
      <c r="C10" s="39" t="inlineStr">
        <is>
          <t>#Preventivo</t>
        </is>
      </c>
      <c r="D10" s="39" t="inlineStr">
        <is>
          <t>#Confidencialidad, #Integridad, #Disponibilidad</t>
        </is>
      </c>
      <c r="E10" s="39" t="inlineStr">
        <is>
          <t>#Identificar</t>
        </is>
      </c>
      <c r="F10" s="38" t="inlineStr">
        <is>
          <t>#Gestión_de_activos</t>
        </is>
      </c>
      <c r="G10" s="39" t="inlineStr">
        <is>
          <t>#Gobernanza_y_Ecosistema</t>
        </is>
      </c>
      <c r="H10" s="39" t="inlineStr">
        <is>
          <t>Obligatorio SEPS (Régimen General)</t>
        </is>
      </c>
      <c r="I10" s="39" t="inlineStr">
        <is>
          <t>-</t>
        </is>
      </c>
      <c r="J10" s="39" t="inlineStr">
        <is>
          <t>1. Regulatorio SEPS 002-2022 + ISO 27001</t>
        </is>
      </c>
      <c r="K10" s="39" t="inlineStr">
        <is>
          <t>Aplica</t>
        </is>
      </c>
      <c r="L10" s="39" t="inlineStr">
        <is>
          <t>Requerido por ente regulador SEPS</t>
        </is>
      </c>
    </row>
    <row r="11" ht="36" customHeight="1" s="103">
      <c r="A11" s="38" t="inlineStr">
        <is>
          <t>5.10</t>
        </is>
      </c>
      <c r="B11" s="39" t="inlineStr">
        <is>
          <t>Uso aceptable de la información y otros activos asociados</t>
        </is>
      </c>
      <c r="C11" s="39" t="inlineStr">
        <is>
          <t>#Preventivo</t>
        </is>
      </c>
      <c r="D11" s="39" t="inlineStr">
        <is>
          <t>#Confidencialidad, #Integridad, #Disponibilidad</t>
        </is>
      </c>
      <c r="E11" s="39" t="inlineStr">
        <is>
          <t>#Proteger</t>
        </is>
      </c>
      <c r="F11" s="38" t="inlineStr">
        <is>
          <t>#Protección_de_la_información</t>
        </is>
      </c>
      <c r="G11" s="39" t="inlineStr">
        <is>
          <t>#Gobernanza_y_Ecosistema</t>
        </is>
      </c>
      <c r="H11" s="39" t="inlineStr">
        <is>
          <t>Obligatorio SEPS (Régimen General)</t>
        </is>
      </c>
      <c r="I11" s="39" t="inlineStr">
        <is>
          <t>-</t>
        </is>
      </c>
      <c r="J11" s="39" t="inlineStr">
        <is>
          <t>1. Regulatorio SEPS 002-2022 + ISO 27001</t>
        </is>
      </c>
      <c r="K11" s="39" t="inlineStr">
        <is>
          <t>Aplica</t>
        </is>
      </c>
      <c r="L11" s="39" t="inlineStr">
        <is>
          <t>Requerido por ente regulador SEPS</t>
        </is>
      </c>
    </row>
    <row r="12" ht="36" customHeight="1" s="103">
      <c r="A12" s="38" t="inlineStr">
        <is>
          <t>5.11</t>
        </is>
      </c>
      <c r="B12" s="39" t="inlineStr">
        <is>
          <t>Devolución de activos</t>
        </is>
      </c>
      <c r="C12" s="39" t="inlineStr">
        <is>
          <t>#Preventivo</t>
        </is>
      </c>
      <c r="D12" s="39" t="inlineStr">
        <is>
          <t>#Confidencialidad, #Integridad, #Disponibilidad</t>
        </is>
      </c>
      <c r="E12" s="39" t="inlineStr">
        <is>
          <t>#Proteger</t>
        </is>
      </c>
      <c r="F12" s="38" t="inlineStr">
        <is>
          <t>#Gestión_de_activos</t>
        </is>
      </c>
      <c r="G12" s="39" t="inlineStr">
        <is>
          <t>#Gobernanza_y_Ecosistema</t>
        </is>
      </c>
      <c r="H12" s="39" t="inlineStr">
        <is>
          <t>Obligatorio SEPS (Régimen General)</t>
        </is>
      </c>
      <c r="I12" s="39" t="inlineStr">
        <is>
          <t>-</t>
        </is>
      </c>
      <c r="J12" s="39" t="inlineStr">
        <is>
          <t>1. Regulatorio SEPS 002-2022 + ISO 27001</t>
        </is>
      </c>
      <c r="K12" s="39" t="inlineStr">
        <is>
          <t>Aplica</t>
        </is>
      </c>
      <c r="L12" s="39" t="inlineStr">
        <is>
          <t>Requerido por ente regulador SEPS</t>
        </is>
      </c>
    </row>
    <row r="13" ht="36" customHeight="1" s="103">
      <c r="A13" s="38" t="inlineStr">
        <is>
          <t>5.12</t>
        </is>
      </c>
      <c r="B13" s="39" t="inlineStr">
        <is>
          <t>Clasificación de la información</t>
        </is>
      </c>
      <c r="C13" s="39" t="inlineStr">
        <is>
          <t>#Preventivo</t>
        </is>
      </c>
      <c r="D13" s="39" t="inlineStr">
        <is>
          <t>#Confidencialidad, #Integridad, #Disponibilidad</t>
        </is>
      </c>
      <c r="E13" s="39" t="inlineStr">
        <is>
          <t>#Identificar</t>
        </is>
      </c>
      <c r="F13" s="38" t="inlineStr">
        <is>
          <t>#Protección_de_la_información</t>
        </is>
      </c>
      <c r="G13" s="39" t="inlineStr">
        <is>
          <t>#Gobernanza_y_Ecosistema</t>
        </is>
      </c>
      <c r="H13" s="39" t="inlineStr">
        <is>
          <t>Obligatorio SEPS (Régimen General)</t>
        </is>
      </c>
      <c r="I13" s="39" t="inlineStr">
        <is>
          <t>C2: Clasificación de la información</t>
        </is>
      </c>
      <c r="J13" s="39" t="inlineStr">
        <is>
          <t>2. Metodología Interna GSO-GSI + ISO 27001</t>
        </is>
      </c>
      <c r="K13" s="39" t="inlineStr">
        <is>
          <t>Aplica</t>
        </is>
      </c>
      <c r="L13" s="39" t="inlineStr">
        <is>
          <t>Requisito interno GSO-GSI</t>
        </is>
      </c>
    </row>
    <row r="14" ht="36" customHeight="1" s="103">
      <c r="A14" s="38" t="inlineStr">
        <is>
          <t>5.13</t>
        </is>
      </c>
      <c r="B14" s="39" t="inlineStr">
        <is>
          <t>Etiquetado de la información</t>
        </is>
      </c>
      <c r="C14" s="39" t="inlineStr">
        <is>
          <t>#Preventivo</t>
        </is>
      </c>
      <c r="D14" s="39" t="inlineStr">
        <is>
          <t>#Confidencialidad, #Integridad, #Disponibilidad</t>
        </is>
      </c>
      <c r="E14" s="39" t="inlineStr">
        <is>
          <t>#Proteger</t>
        </is>
      </c>
      <c r="F14" s="38" t="inlineStr">
        <is>
          <t>#Protección_de_la_información</t>
        </is>
      </c>
      <c r="G14" s="39" t="inlineStr">
        <is>
          <t>#Gobernanza_y_Ecosistema</t>
        </is>
      </c>
      <c r="H14" s="39" t="inlineStr">
        <is>
          <t>Obligatorio SEPS (Régimen General)</t>
        </is>
      </c>
      <c r="I14" s="39" t="inlineStr">
        <is>
          <t>C2: Clasificación de la información</t>
        </is>
      </c>
      <c r="J14" s="39" t="inlineStr">
        <is>
          <t>2. Metodología Interna GSO-GSI + ISO 27001</t>
        </is>
      </c>
      <c r="K14" s="39" t="inlineStr">
        <is>
          <t>Aplica</t>
        </is>
      </c>
      <c r="L14" s="39" t="inlineStr">
        <is>
          <t>Requisito interno GSO-GSI</t>
        </is>
      </c>
    </row>
    <row r="15" ht="36" customHeight="1" s="103">
      <c r="A15" s="38" t="inlineStr">
        <is>
          <t>5.14</t>
        </is>
      </c>
      <c r="B15" s="39" t="inlineStr">
        <is>
          <t>Transferencia de información</t>
        </is>
      </c>
      <c r="C15" s="39" t="inlineStr">
        <is>
          <t>#Preventivo</t>
        </is>
      </c>
      <c r="D15" s="39" t="inlineStr">
        <is>
          <t>#Confidencialidad, #Integridad, #Disponibilidad</t>
        </is>
      </c>
      <c r="E15" s="39" t="inlineStr">
        <is>
          <t>#Proteger</t>
        </is>
      </c>
      <c r="F15" s="38" t="inlineStr">
        <is>
          <t>#Protección_de_la_información</t>
        </is>
      </c>
      <c r="G15" s="39" t="inlineStr">
        <is>
          <t>#Gobernanza_y_Ecosistema</t>
        </is>
      </c>
      <c r="H15" s="39" t="inlineStr">
        <is>
          <t>Obligatorio SEPS (Régimen General)</t>
        </is>
      </c>
      <c r="I15" s="39" t="inlineStr">
        <is>
          <t>-</t>
        </is>
      </c>
      <c r="J15" s="39" t="inlineStr">
        <is>
          <t>1. Regulatorio SEPS 002-2022 + ISO 27001</t>
        </is>
      </c>
      <c r="K15" s="39" t="inlineStr">
        <is>
          <t>Aplica</t>
        </is>
      </c>
      <c r="L15" s="39" t="inlineStr">
        <is>
          <t>Requerido por ente regulador SEPS</t>
        </is>
      </c>
    </row>
    <row r="16" ht="36" customHeight="1" s="103">
      <c r="A16" s="38" t="inlineStr">
        <is>
          <t>5.15</t>
        </is>
      </c>
      <c r="B16" s="39" t="inlineStr">
        <is>
          <t>Control de acceso</t>
        </is>
      </c>
      <c r="C16" s="39" t="inlineStr">
        <is>
          <t>#Preventivo</t>
        </is>
      </c>
      <c r="D16" s="39" t="inlineStr">
        <is>
          <t>#Confidencialidad, #Integridad, #Disponibilidad</t>
        </is>
      </c>
      <c r="E16" s="39" t="inlineStr">
        <is>
          <t>#Proteger</t>
        </is>
      </c>
      <c r="F16" s="38" t="inlineStr">
        <is>
          <t>#Administración_de_identidad_y_acceso</t>
        </is>
      </c>
      <c r="G16" s="39" t="inlineStr">
        <is>
          <t>#Gobernanza_y_Ecosistema</t>
        </is>
      </c>
      <c r="H16" s="39" t="inlineStr">
        <is>
          <t>Obligatorio SEPS (Régimen General)</t>
        </is>
      </c>
      <c r="I16" s="39" t="inlineStr">
        <is>
          <t>C4: Restricción del control de acceso</t>
        </is>
      </c>
      <c r="J16" s="39" t="inlineStr">
        <is>
          <t>2. Metodología Interna GSO-GSI + ISO 27001</t>
        </is>
      </c>
      <c r="K16" s="39" t="inlineStr">
        <is>
          <t>Aplica</t>
        </is>
      </c>
      <c r="L16" s="39" t="inlineStr">
        <is>
          <t>Requisito interno GSO-GSI</t>
        </is>
      </c>
    </row>
    <row r="17" ht="36" customHeight="1" s="103">
      <c r="A17" s="38" t="inlineStr">
        <is>
          <t>5.16</t>
        </is>
      </c>
      <c r="B17" s="39" t="inlineStr">
        <is>
          <t>Gestión de identidades</t>
        </is>
      </c>
      <c r="C17" s="39" t="inlineStr">
        <is>
          <t>#Preventivo</t>
        </is>
      </c>
      <c r="D17" s="39" t="inlineStr">
        <is>
          <t>#Confidencialidad, #Integridad, #Disponibilidad</t>
        </is>
      </c>
      <c r="E17" s="39" t="inlineStr">
        <is>
          <t>#Proteger</t>
        </is>
      </c>
      <c r="F17" s="38" t="inlineStr">
        <is>
          <t>#Administración_de_identidad_y_acceso</t>
        </is>
      </c>
      <c r="G17" s="39" t="inlineStr">
        <is>
          <t>#Gobernanza_y_Ecosistema</t>
        </is>
      </c>
      <c r="H17" s="39" t="inlineStr">
        <is>
          <t>Obligatorio SEPS (Régimen General)</t>
        </is>
      </c>
      <c r="I17" s="39" t="inlineStr">
        <is>
          <t>-</t>
        </is>
      </c>
      <c r="J17" s="39" t="inlineStr">
        <is>
          <t>1. Regulatorio SEPS 002-2022 + ISO 27001</t>
        </is>
      </c>
      <c r="K17" s="39" t="inlineStr">
        <is>
          <t>Aplica</t>
        </is>
      </c>
      <c r="L17" s="39" t="inlineStr">
        <is>
          <t>Requerido por ente regulador SEPS</t>
        </is>
      </c>
    </row>
    <row r="18" ht="36" customHeight="1" s="103">
      <c r="A18" s="38" t="inlineStr">
        <is>
          <t>5.17</t>
        </is>
      </c>
      <c r="B18" s="39" t="inlineStr">
        <is>
          <t>Información de autenticación</t>
        </is>
      </c>
      <c r="C18" s="39" t="inlineStr">
        <is>
          <t>#Preventivo</t>
        </is>
      </c>
      <c r="D18" s="39" t="inlineStr">
        <is>
          <t>#Confidencialidad, #Integridad, #Disponibilidad</t>
        </is>
      </c>
      <c r="E18" s="39" t="inlineStr">
        <is>
          <t>#Proteger</t>
        </is>
      </c>
      <c r="F18" s="38" t="inlineStr">
        <is>
          <t>#Administración_de_identidad_y_acceso</t>
        </is>
      </c>
      <c r="G18" s="39" t="inlineStr">
        <is>
          <t>#Gobernanza_y_Ecosistema</t>
        </is>
      </c>
      <c r="H18" s="39" t="inlineStr">
        <is>
          <t>Obligatorio SEPS (Régimen General)</t>
        </is>
      </c>
      <c r="I18" s="39" t="inlineStr">
        <is>
          <t>C8: Uso de contraseñas fuertes</t>
        </is>
      </c>
      <c r="J18" s="39" t="inlineStr">
        <is>
          <t>2. Metodología Interna GSO-GSI + ISO 27001</t>
        </is>
      </c>
      <c r="K18" s="39" t="inlineStr">
        <is>
          <t>Aplica</t>
        </is>
      </c>
      <c r="L18" s="39" t="inlineStr">
        <is>
          <t>Requisito interno GSO-GSI</t>
        </is>
      </c>
    </row>
    <row r="19" ht="36" customHeight="1" s="103">
      <c r="A19" s="38" t="inlineStr">
        <is>
          <t>5.18</t>
        </is>
      </c>
      <c r="B19" s="39" t="inlineStr">
        <is>
          <t>Derechos de acceso</t>
        </is>
      </c>
      <c r="C19" s="39" t="inlineStr">
        <is>
          <t>#Preventivo</t>
        </is>
      </c>
      <c r="D19" s="39" t="inlineStr">
        <is>
          <t>#Confidencialidad, #Integridad, #Disponibilidad</t>
        </is>
      </c>
      <c r="E19" s="39" t="inlineStr">
        <is>
          <t>#Proteger</t>
        </is>
      </c>
      <c r="F19" s="38" t="inlineStr">
        <is>
          <t>#Administración_de_identidad_y_acceso</t>
        </is>
      </c>
      <c r="G19" s="39" t="inlineStr">
        <is>
          <t>#Gobernanza_y_Ecosistema</t>
        </is>
      </c>
      <c r="H19" s="39" t="inlineStr">
        <is>
          <t>Obligatorio SEPS (Régimen General)</t>
        </is>
      </c>
      <c r="I19" s="39" t="inlineStr">
        <is>
          <t>C7: Revisión periódica de los derechos de acceso</t>
        </is>
      </c>
      <c r="J19" s="39" t="inlineStr">
        <is>
          <t>2. Metodología Interna GSO-GSI + ISO 27001</t>
        </is>
      </c>
      <c r="K19" s="39" t="inlineStr">
        <is>
          <t>Aplica</t>
        </is>
      </c>
      <c r="L19" s="39" t="inlineStr">
        <is>
          <t>Requisito interno GSO-GSI</t>
        </is>
      </c>
    </row>
    <row r="20" ht="48" customHeight="1" s="103">
      <c r="A20" s="38" t="inlineStr">
        <is>
          <t>5.19</t>
        </is>
      </c>
      <c r="B20" s="39" t="inlineStr">
        <is>
          <t>Seguridad de la información en las relaciones con los proveedores</t>
        </is>
      </c>
      <c r="C20" s="39" t="inlineStr">
        <is>
          <t>#Preventivo</t>
        </is>
      </c>
      <c r="D20" s="39" t="inlineStr">
        <is>
          <t>#Confidencialidad, #Integridad, #Disponibilidad</t>
        </is>
      </c>
      <c r="E20" s="39" t="inlineStr">
        <is>
          <t>#Proteger</t>
        </is>
      </c>
      <c r="F20" s="38" t="inlineStr">
        <is>
          <t>#Seguridad_en_relaciones_con_proveedores</t>
        </is>
      </c>
      <c r="G20" s="39" t="inlineStr">
        <is>
          <t>#Gobernanza_y_Ecosistema</t>
        </is>
      </c>
      <c r="H20" s="39" t="inlineStr">
        <is>
          <t>Obligatorio SEPS (Régimen General)</t>
        </is>
      </c>
      <c r="I20" s="39" t="inlineStr">
        <is>
          <t>-</t>
        </is>
      </c>
      <c r="J20" s="39" t="inlineStr">
        <is>
          <t>1. Regulatorio SEPS 002-2022 + ISO 27001</t>
        </is>
      </c>
      <c r="K20" s="39" t="inlineStr">
        <is>
          <t>Aplica</t>
        </is>
      </c>
      <c r="L20" s="39" t="inlineStr">
        <is>
          <t>Requerido por ente regulador SEPS</t>
        </is>
      </c>
    </row>
    <row r="21" ht="60" customHeight="1" s="103">
      <c r="A21" s="38" t="inlineStr">
        <is>
          <t>5.20</t>
        </is>
      </c>
      <c r="B21" s="39" t="inlineStr">
        <is>
          <t>Tratamiento de la seguridad de la información en los acuerdos con los proveedores</t>
        </is>
      </c>
      <c r="C21" s="39" t="inlineStr">
        <is>
          <t>#Preventivo</t>
        </is>
      </c>
      <c r="D21" s="39" t="inlineStr">
        <is>
          <t>#Confidencialidad, #Integridad, #Disponibilidad</t>
        </is>
      </c>
      <c r="E21" s="39" t="inlineStr">
        <is>
          <t>#Proteger</t>
        </is>
      </c>
      <c r="F21" s="38" t="inlineStr">
        <is>
          <t>#Seguridad_en_relaciones_con_proveedores</t>
        </is>
      </c>
      <c r="G21" s="39" t="inlineStr">
        <is>
          <t>#Gobernanza_y_Ecosistema</t>
        </is>
      </c>
      <c r="H21" s="39" t="inlineStr">
        <is>
          <t>Obligatorio SEPS (Régimen General)</t>
        </is>
      </c>
      <c r="I21" s="39" t="inlineStr">
        <is>
          <t>-</t>
        </is>
      </c>
      <c r="J21" s="39" t="inlineStr">
        <is>
          <t>1. Regulatorio SEPS 002-2022 + ISO 27001</t>
        </is>
      </c>
      <c r="K21" s="39" t="inlineStr">
        <is>
          <t>Aplica</t>
        </is>
      </c>
      <c r="L21" s="39" t="inlineStr">
        <is>
          <t>Requerido por ente regulador SEPS</t>
        </is>
      </c>
    </row>
    <row r="22" ht="60" customHeight="1" s="103">
      <c r="A22" s="38" t="inlineStr">
        <is>
          <t>5.21</t>
        </is>
      </c>
      <c r="B22" s="39" t="inlineStr">
        <is>
          <t>Gestión de la seguridad de la información en la cadena de suministro de TIC</t>
        </is>
      </c>
      <c r="C22" s="39" t="inlineStr">
        <is>
          <t>#Preventivo</t>
        </is>
      </c>
      <c r="D22" s="39" t="inlineStr">
        <is>
          <t>#Confidencialidad, #Integridad, #Disponibilidad</t>
        </is>
      </c>
      <c r="E22" s="39" t="inlineStr">
        <is>
          <t>#Proteger</t>
        </is>
      </c>
      <c r="F22" s="38" t="inlineStr">
        <is>
          <t>#Seguridad_en_relaciones_con_proveedores</t>
        </is>
      </c>
      <c r="G22" s="39" t="inlineStr">
        <is>
          <t>#Gobernanza_y_Ecosistema</t>
        </is>
      </c>
      <c r="H22" s="39" t="inlineStr">
        <is>
          <t>Obligatorio SEPS (Régimen General)</t>
        </is>
      </c>
      <c r="I22" s="39" t="inlineStr">
        <is>
          <t>-</t>
        </is>
      </c>
      <c r="J22" s="39" t="inlineStr">
        <is>
          <t>1. Regulatorio SEPS 002-2022 + ISO 27001</t>
        </is>
      </c>
      <c r="K22" s="39" t="inlineStr">
        <is>
          <t>Aplica</t>
        </is>
      </c>
      <c r="L22" s="39" t="inlineStr">
        <is>
          <t>Requerido por ente regulador SEPS</t>
        </is>
      </c>
    </row>
    <row r="23" ht="60" customHeight="1" s="103">
      <c r="A23" s="38" t="inlineStr">
        <is>
          <t>5.22</t>
        </is>
      </c>
      <c r="B23" s="39" t="inlineStr">
        <is>
          <t>Seguimiento, revisión y gestión de cambios en los servicios de los proveedores</t>
        </is>
      </c>
      <c r="C23" s="39" t="inlineStr">
        <is>
          <t>#Preventivo</t>
        </is>
      </c>
      <c r="D23" s="39" t="inlineStr">
        <is>
          <t>#Confidencialidad, #Integridad, #Disponibilidad</t>
        </is>
      </c>
      <c r="E23" s="39" t="inlineStr">
        <is>
          <t>#Proteger</t>
        </is>
      </c>
      <c r="F23" s="38" t="inlineStr">
        <is>
          <t>#Seguridad_en_relaciones_con_proveedores</t>
        </is>
      </c>
      <c r="G23" s="39" t="inlineStr">
        <is>
          <t>#Gobernanza_y_Ecosistema</t>
        </is>
      </c>
      <c r="H23" s="39" t="inlineStr">
        <is>
          <t>Obligatorio SEPS (Régimen General)</t>
        </is>
      </c>
      <c r="I23" s="39" t="inlineStr">
        <is>
          <t>-</t>
        </is>
      </c>
      <c r="J23" s="39" t="inlineStr">
        <is>
          <t>1. Regulatorio SEPS 002-2022 + ISO 27001</t>
        </is>
      </c>
      <c r="K23" s="39" t="inlineStr">
        <is>
          <t>Aplica</t>
        </is>
      </c>
      <c r="L23" s="39" t="inlineStr">
        <is>
          <t>Requerido por ente regulador SEPS</t>
        </is>
      </c>
    </row>
    <row r="24" ht="48" customHeight="1" s="103">
      <c r="A24" s="38" t="inlineStr">
        <is>
          <t>5.23</t>
        </is>
      </c>
      <c r="B24" s="39" t="inlineStr">
        <is>
          <t>Seguridad de la información en el uso de servicios en la nube</t>
        </is>
      </c>
      <c r="C24" s="39" t="inlineStr">
        <is>
          <t>#Preventivo</t>
        </is>
      </c>
      <c r="D24" s="39" t="inlineStr">
        <is>
          <t>#Confidencialidad, #Integridad, #Disponibilidad</t>
        </is>
      </c>
      <c r="E24" s="39" t="inlineStr">
        <is>
          <t>#Proteger</t>
        </is>
      </c>
      <c r="F24" s="38" t="inlineStr">
        <is>
          <t>#Seguridad_en_relaciones_con_proveedores</t>
        </is>
      </c>
      <c r="G24" s="39" t="inlineStr">
        <is>
          <t>#Gobernanza_y_Ecosistema</t>
        </is>
      </c>
      <c r="H24" s="39" t="inlineStr">
        <is>
          <t>Obligatorio SEPS (Régimen General)</t>
        </is>
      </c>
      <c r="I24" s="39" t="inlineStr">
        <is>
          <t>-</t>
        </is>
      </c>
      <c r="J24" s="39" t="inlineStr">
        <is>
          <t>3. Tratamiento de Riesgos Específico (ISO 27002 / MAGERIT)</t>
        </is>
      </c>
      <c r="K24" s="39" t="inlineStr">
        <is>
          <t>Aplica</t>
        </is>
      </c>
      <c r="L24" s="39" t="inlineStr">
        <is>
          <t>Requisito de control complementario y mejor práctica de seguridad</t>
        </is>
      </c>
    </row>
    <row r="25" ht="36" customHeight="1" s="103">
      <c r="A25" s="38" t="inlineStr">
        <is>
          <t>5.24</t>
        </is>
      </c>
      <c r="B25" s="39" t="inlineStr">
        <is>
          <t>Planificación y preparación de la gestión de incidentes</t>
        </is>
      </c>
      <c r="C25" s="39" t="inlineStr">
        <is>
          <t>#Preventivo</t>
        </is>
      </c>
      <c r="D25" s="39" t="inlineStr">
        <is>
          <t>#Confidencialidad, #Integridad, #Disponibilidad</t>
        </is>
      </c>
      <c r="E25" s="39" t="inlineStr">
        <is>
          <t>#Responder</t>
        </is>
      </c>
      <c r="F25" s="38" t="inlineStr">
        <is>
          <t>#Seguridad_de_la_información_gestión_de_eventos</t>
        </is>
      </c>
      <c r="G25" s="39" t="inlineStr">
        <is>
          <t>#Gobernanza_y_Ecosistema</t>
        </is>
      </c>
      <c r="H25" s="39" t="inlineStr">
        <is>
          <t>Obligatorio SEPS (Régimen General)</t>
        </is>
      </c>
      <c r="I25" s="39" t="inlineStr">
        <is>
          <t>-</t>
        </is>
      </c>
      <c r="J25" s="39" t="inlineStr">
        <is>
          <t>1. Regulatorio SEPS 002-2022 + ISO 27001</t>
        </is>
      </c>
      <c r="K25" s="39" t="inlineStr">
        <is>
          <t>Aplica</t>
        </is>
      </c>
      <c r="L25" s="39" t="inlineStr">
        <is>
          <t>Requerido por ente regulador SEPS</t>
        </is>
      </c>
    </row>
    <row r="26" ht="36" customHeight="1" s="103">
      <c r="A26" s="38" t="inlineStr">
        <is>
          <t>5.25</t>
        </is>
      </c>
      <c r="B26" s="39" t="inlineStr">
        <is>
          <t>Evaluación y decisión sobre los eventos de seguridad</t>
        </is>
      </c>
      <c r="C26" s="39" t="inlineStr">
        <is>
          <t>#Detectivo</t>
        </is>
      </c>
      <c r="D26" s="39" t="inlineStr">
        <is>
          <t>#Confidencialidad, #Integridad, #Disponibilidad</t>
        </is>
      </c>
      <c r="E26" s="39" t="inlineStr">
        <is>
          <t>#Detectar</t>
        </is>
      </c>
      <c r="F26" s="38" t="inlineStr">
        <is>
          <t>#Seguridad_de_la_información_gestión_de_eventos</t>
        </is>
      </c>
      <c r="G26" s="39" t="inlineStr">
        <is>
          <t>#Gobernanza_y_Ecosistema</t>
        </is>
      </c>
      <c r="H26" s="39" t="inlineStr">
        <is>
          <t>Obligatorio SEPS (Régimen General)</t>
        </is>
      </c>
      <c r="I26" s="39" t="inlineStr">
        <is>
          <t>-</t>
        </is>
      </c>
      <c r="J26" s="39" t="inlineStr">
        <is>
          <t>1. Regulatorio SEPS 002-2022 + ISO 27001</t>
        </is>
      </c>
      <c r="K26" s="39" t="inlineStr">
        <is>
          <t>Aplica</t>
        </is>
      </c>
      <c r="L26" s="39" t="inlineStr">
        <is>
          <t>Requerido por ente regulador SEPS</t>
        </is>
      </c>
    </row>
    <row r="27" ht="48" customHeight="1" s="103">
      <c r="A27" s="38" t="inlineStr">
        <is>
          <t>5.26</t>
        </is>
      </c>
      <c r="B27" s="39" t="inlineStr">
        <is>
          <t>Respuesta a los incidentes de seguridad de la información</t>
        </is>
      </c>
      <c r="C27" s="39" t="inlineStr">
        <is>
          <t>#Correctivo</t>
        </is>
      </c>
      <c r="D27" s="39" t="inlineStr">
        <is>
          <t>#Confidencialidad, #Integridad, #Disponibilidad</t>
        </is>
      </c>
      <c r="E27" s="39" t="inlineStr">
        <is>
          <t>#Responder</t>
        </is>
      </c>
      <c r="F27" s="38" t="inlineStr">
        <is>
          <t>#Seguridad_de_la_información_gestión_de_eventos</t>
        </is>
      </c>
      <c r="G27" s="39" t="inlineStr">
        <is>
          <t>#Gobernanza_y_Ecosistema</t>
        </is>
      </c>
      <c r="H27" s="39" t="inlineStr">
        <is>
          <t>Obligatorio SEPS (Régimen General)</t>
        </is>
      </c>
      <c r="I27" s="39" t="inlineStr">
        <is>
          <t>-</t>
        </is>
      </c>
      <c r="J27" s="39" t="inlineStr">
        <is>
          <t>1. Regulatorio SEPS 002-2022 + ISO 27001</t>
        </is>
      </c>
      <c r="K27" s="39" t="inlineStr">
        <is>
          <t>Aplica</t>
        </is>
      </c>
      <c r="L27" s="39" t="inlineStr">
        <is>
          <t>Requerido por ente regulador SEPS</t>
        </is>
      </c>
    </row>
    <row r="28" ht="48" customHeight="1" s="103">
      <c r="A28" s="38" t="inlineStr">
        <is>
          <t>5.27</t>
        </is>
      </c>
      <c r="B28" s="39" t="inlineStr">
        <is>
          <t>Aprendizaje de los incidentes de seguridad de la información</t>
        </is>
      </c>
      <c r="C28" s="39" t="inlineStr">
        <is>
          <t>#Preventivo</t>
        </is>
      </c>
      <c r="D28" s="39" t="inlineStr">
        <is>
          <t>#Confidencialidad, #Integridad, #Disponibilidad</t>
        </is>
      </c>
      <c r="E28" s="39" t="inlineStr">
        <is>
          <t>#Identificar</t>
        </is>
      </c>
      <c r="F28" s="38" t="inlineStr">
        <is>
          <t>#Seguridad_de_la_información_gestión_de_eventos</t>
        </is>
      </c>
      <c r="G28" s="39" t="inlineStr">
        <is>
          <t>#Gobernanza_y_Ecosistema</t>
        </is>
      </c>
      <c r="H28" s="39" t="inlineStr">
        <is>
          <t>Obligatorio SEPS (Régimen General)</t>
        </is>
      </c>
      <c r="I28" s="39" t="inlineStr">
        <is>
          <t>-</t>
        </is>
      </c>
      <c r="J28" s="39" t="inlineStr">
        <is>
          <t>1. Regulatorio SEPS 002-2022 + ISO 27001</t>
        </is>
      </c>
      <c r="K28" s="39" t="inlineStr">
        <is>
          <t>Aplica</t>
        </is>
      </c>
      <c r="L28" s="39" t="inlineStr">
        <is>
          <t>Requerido por ente regulador SEPS</t>
        </is>
      </c>
    </row>
    <row r="29" ht="36" customHeight="1" s="103">
      <c r="A29" s="38" t="inlineStr">
        <is>
          <t>5.28</t>
        </is>
      </c>
      <c r="B29" s="39" t="inlineStr">
        <is>
          <t>Recolección de evidencias</t>
        </is>
      </c>
      <c r="C29" s="39" t="inlineStr">
        <is>
          <t>#Preventivo, #Correctivo</t>
        </is>
      </c>
      <c r="D29" s="39" t="inlineStr">
        <is>
          <t>#Confidencialidad, #Integridad, #Disponibilidad</t>
        </is>
      </c>
      <c r="E29" s="39" t="inlineStr">
        <is>
          <t>#Responder</t>
        </is>
      </c>
      <c r="F29" s="38" t="inlineStr">
        <is>
          <t>#Seguridad_de_la_información_gestión_de_eventos</t>
        </is>
      </c>
      <c r="G29" s="39" t="inlineStr">
        <is>
          <t>#Gobernanza_y_Ecosistema</t>
        </is>
      </c>
      <c r="H29" s="39" t="inlineStr">
        <is>
          <t>Obligatorio SEPS (Régimen General)</t>
        </is>
      </c>
      <c r="I29" s="39" t="inlineStr">
        <is>
          <t>-</t>
        </is>
      </c>
      <c r="J29" s="39" t="inlineStr">
        <is>
          <t>1. Regulatorio SEPS 002-2022 + ISO 27001</t>
        </is>
      </c>
      <c r="K29" s="39" t="inlineStr">
        <is>
          <t>Aplica</t>
        </is>
      </c>
      <c r="L29" s="39" t="inlineStr">
        <is>
          <t>Requerido por ente regulador SEPS</t>
        </is>
      </c>
    </row>
    <row r="30" ht="48" customHeight="1" s="103">
      <c r="A30" s="38" t="inlineStr">
        <is>
          <t>5.29</t>
        </is>
      </c>
      <c r="B30" s="39" t="inlineStr">
        <is>
          <t>Seguridad de la información durante la interrupción</t>
        </is>
      </c>
      <c r="C30" s="39" t="inlineStr">
        <is>
          <t>#Preventivo</t>
        </is>
      </c>
      <c r="D30" s="39" t="inlineStr">
        <is>
          <t>#Confidencialidad, #Integridad, #Disponibilidad</t>
        </is>
      </c>
      <c r="E30" s="39" t="inlineStr">
        <is>
          <t>#Recuperar</t>
        </is>
      </c>
      <c r="F30" s="38" t="inlineStr">
        <is>
          <t>#Continuidad</t>
        </is>
      </c>
      <c r="G30" s="39" t="inlineStr">
        <is>
          <t>#Resiliencia</t>
        </is>
      </c>
      <c r="H30" s="39" t="inlineStr">
        <is>
          <t>Obligatorio SEPS (Régimen General)</t>
        </is>
      </c>
      <c r="I30" s="39" t="inlineStr">
        <is>
          <t>C6: Procedimientos de reversión (rollback) / Respaldo</t>
        </is>
      </c>
      <c r="J30" s="39" t="inlineStr">
        <is>
          <t>2. Metodología Interna GSO-GSI + ISO 27001</t>
        </is>
      </c>
      <c r="K30" s="39" t="inlineStr">
        <is>
          <t>Aplica</t>
        </is>
      </c>
      <c r="L30" s="39" t="inlineStr">
        <is>
          <t>Requisito interno GSO-GSI</t>
        </is>
      </c>
    </row>
    <row r="31" ht="48" customHeight="1" s="103">
      <c r="A31" s="38" t="inlineStr">
        <is>
          <t>5.30</t>
        </is>
      </c>
      <c r="B31" s="39" t="inlineStr">
        <is>
          <t>Preparación de las TIC para la continuidad del negocio</t>
        </is>
      </c>
      <c r="C31" s="39" t="inlineStr">
        <is>
          <t>#Preventivo</t>
        </is>
      </c>
      <c r="D31" s="39" t="inlineStr">
        <is>
          <t>#Confidencialidad, #Integridad, #Disponibilidad</t>
        </is>
      </c>
      <c r="E31" s="39" t="inlineStr">
        <is>
          <t>#Recuperar</t>
        </is>
      </c>
      <c r="F31" s="38" t="inlineStr">
        <is>
          <t>#Continuidad</t>
        </is>
      </c>
      <c r="G31" s="39" t="inlineStr">
        <is>
          <t>#Resiliencia</t>
        </is>
      </c>
      <c r="H31" s="39" t="inlineStr">
        <is>
          <t>Obligatorio SEPS (Régimen General)</t>
        </is>
      </c>
      <c r="I31" s="39" t="inlineStr">
        <is>
          <t>-</t>
        </is>
      </c>
      <c r="J31" s="39" t="inlineStr">
        <is>
          <t>1. Regulatorio SEPS 002-2022 + ISO 27001</t>
        </is>
      </c>
      <c r="K31" s="39" t="inlineStr">
        <is>
          <t>Aplica</t>
        </is>
      </c>
      <c r="L31" s="39" t="inlineStr">
        <is>
          <t>Requerido por ente regulador SEPS</t>
        </is>
      </c>
    </row>
    <row r="32" ht="48" customHeight="1" s="103">
      <c r="A32" s="38" t="inlineStr">
        <is>
          <t>5.31</t>
        </is>
      </c>
      <c r="B32" s="39" t="inlineStr">
        <is>
          <t>Requisitos legales, estatutarios, reglamentarios y contractuales</t>
        </is>
      </c>
      <c r="C32" s="39" t="inlineStr">
        <is>
          <t>#Preventivo</t>
        </is>
      </c>
      <c r="D32" s="39" t="inlineStr">
        <is>
          <t>#Confidencialidad, #Integridad, #Disponibilidad</t>
        </is>
      </c>
      <c r="E32" s="39" t="inlineStr">
        <is>
          <t>#Identificar</t>
        </is>
      </c>
      <c r="F32" s="38" t="inlineStr">
        <is>
          <t>#Gobernanza</t>
        </is>
      </c>
      <c r="G32" s="39" t="inlineStr">
        <is>
          <t>#Gobernanza_y_Ecosistema</t>
        </is>
      </c>
      <c r="H32" s="39" t="inlineStr">
        <is>
          <t>Obligatorio SEPS (Régimen General)</t>
        </is>
      </c>
      <c r="I32" s="39" t="inlineStr">
        <is>
          <t>-</t>
        </is>
      </c>
      <c r="J32" s="39" t="inlineStr">
        <is>
          <t>1. Regulatorio SEPS 002-2022 + ISO 27001</t>
        </is>
      </c>
      <c r="K32" s="39" t="inlineStr">
        <is>
          <t>Aplica</t>
        </is>
      </c>
      <c r="L32" s="39" t="inlineStr">
        <is>
          <t>Requerido por ente regulador SEPS</t>
        </is>
      </c>
    </row>
    <row r="33" ht="60" customHeight="1" s="103">
      <c r="A33" s="38" t="inlineStr">
        <is>
          <t>5.32</t>
        </is>
      </c>
      <c r="B33" s="39" t="inlineStr">
        <is>
          <t>Derechos de propiedad intelectual</t>
        </is>
      </c>
      <c r="C33" s="39" t="inlineStr">
        <is>
          <t>#Preventivo</t>
        </is>
      </c>
      <c r="D33" s="39" t="inlineStr">
        <is>
          <t>#Confidencialidad, #Integridad, #Disponibilidad</t>
        </is>
      </c>
      <c r="E33" s="39" t="inlineStr">
        <is>
          <t>#Proteger</t>
        </is>
      </c>
      <c r="F33" s="38" t="inlineStr">
        <is>
          <t>#Gobernanza</t>
        </is>
      </c>
      <c r="G33" s="39" t="inlineStr">
        <is>
          <t>#Gobernanza_y_Ecosistema</t>
        </is>
      </c>
      <c r="H33" s="39" t="inlineStr">
        <is>
          <t>Mejor Práctica (No obligatorio SEPS)</t>
        </is>
      </c>
      <c r="I33" s="39" t="inlineStr">
        <is>
          <t>-</t>
        </is>
      </c>
      <c r="J33" s="39" t="inlineStr">
        <is>
          <t>3. Tratamiento de Riesgos Específico (ISO 27002 / MAGERIT)</t>
        </is>
      </c>
      <c r="K33" s="39" t="inlineStr">
        <is>
          <t>Aplica</t>
        </is>
      </c>
      <c r="L33" s="39" t="inlineStr">
        <is>
          <t>Requisito de control complementario y mejor práctica de seguridad</t>
        </is>
      </c>
    </row>
    <row r="34" ht="36" customHeight="1" s="103">
      <c r="A34" s="38" t="inlineStr">
        <is>
          <t>5.33</t>
        </is>
      </c>
      <c r="B34" s="39" t="inlineStr">
        <is>
          <t>Protección de los registros</t>
        </is>
      </c>
      <c r="C34" s="39" t="inlineStr">
        <is>
          <t>#Preventivo</t>
        </is>
      </c>
      <c r="D34" s="39" t="inlineStr">
        <is>
          <t>#Confidencialidad, #Integridad, #Disponibilidad</t>
        </is>
      </c>
      <c r="E34" s="39" t="inlineStr">
        <is>
          <t>#Proteger</t>
        </is>
      </c>
      <c r="F34" s="38" t="inlineStr">
        <is>
          <t>#Protección_de_la_información</t>
        </is>
      </c>
      <c r="G34" s="39" t="inlineStr">
        <is>
          <t>#Gobernanza_y_Ecosistema</t>
        </is>
      </c>
      <c r="H34" s="39" t="inlineStr">
        <is>
          <t>Obligatorio SEPS (Régimen General)</t>
        </is>
      </c>
      <c r="I34" s="39" t="inlineStr">
        <is>
          <t>-</t>
        </is>
      </c>
      <c r="J34" s="39" t="inlineStr">
        <is>
          <t>1. Regulatorio SEPS 002-2022 + ISO 27001</t>
        </is>
      </c>
      <c r="K34" s="39" t="inlineStr">
        <is>
          <t>Aplica</t>
        </is>
      </c>
      <c r="L34" s="39" t="inlineStr">
        <is>
          <t>Requerido por ente regulador SEPS</t>
        </is>
      </c>
    </row>
    <row r="35" ht="60" customHeight="1" s="103">
      <c r="A35" s="38" t="inlineStr">
        <is>
          <t>5.34</t>
        </is>
      </c>
      <c r="B35" s="39" t="inlineStr">
        <is>
          <t>Privacidad y protección de la información de identificación personal (PII)</t>
        </is>
      </c>
      <c r="C35" s="39" t="inlineStr">
        <is>
          <t>#Preventivo</t>
        </is>
      </c>
      <c r="D35" s="39" t="inlineStr">
        <is>
          <t>#Confidencialidad, #Integridad</t>
        </is>
      </c>
      <c r="E35" s="39" t="inlineStr">
        <is>
          <t>#Proteger</t>
        </is>
      </c>
      <c r="F35" s="38" t="inlineStr">
        <is>
          <t>#Gobernanza</t>
        </is>
      </c>
      <c r="G35" s="39" t="inlineStr">
        <is>
          <t>#Gobernanza_y_Ecosistema</t>
        </is>
      </c>
      <c r="H35" s="39" t="inlineStr">
        <is>
          <t>Obligatorio SEPS (Régimen General)</t>
        </is>
      </c>
      <c r="I35" s="39" t="inlineStr">
        <is>
          <t>-</t>
        </is>
      </c>
      <c r="J35" s="39" t="inlineStr">
        <is>
          <t>1. Regulatorio SEPS 002-2022 + ISO 27001</t>
        </is>
      </c>
      <c r="K35" s="39" t="inlineStr">
        <is>
          <t>Aplica</t>
        </is>
      </c>
      <c r="L35" s="39" t="inlineStr">
        <is>
          <t>Requerido por ente regulador SEPS</t>
        </is>
      </c>
    </row>
    <row r="36" ht="48" customHeight="1" s="103">
      <c r="A36" s="38" t="inlineStr">
        <is>
          <t>5.35</t>
        </is>
      </c>
      <c r="B36" s="39" t="inlineStr">
        <is>
          <t>Revisión independiente de la seguridad de la información</t>
        </is>
      </c>
      <c r="C36" s="39" t="inlineStr">
        <is>
          <t>#Preventivo</t>
        </is>
      </c>
      <c r="D36" s="39" t="inlineStr">
        <is>
          <t>#Confidencialidad, #Integridad, #Disponibilidad</t>
        </is>
      </c>
      <c r="E36" s="39" t="inlineStr">
        <is>
          <t>#Identificar</t>
        </is>
      </c>
      <c r="F36" s="38" t="inlineStr">
        <is>
          <t>#Información_seguridad_garantía</t>
        </is>
      </c>
      <c r="G36" s="39" t="inlineStr">
        <is>
          <t>#Gobernanza_y_Ecosistema</t>
        </is>
      </c>
      <c r="H36" s="39" t="inlineStr">
        <is>
          <t>Obligatorio SEPS (Régimen General)</t>
        </is>
      </c>
      <c r="I36" s="39" t="inlineStr">
        <is>
          <t>-</t>
        </is>
      </c>
      <c r="J36" s="39" t="inlineStr">
        <is>
          <t>1. Regulatorio SEPS 002-2022 + ISO 27001</t>
        </is>
      </c>
      <c r="K36" s="39" t="inlineStr">
        <is>
          <t>Aplica</t>
        </is>
      </c>
      <c r="L36" s="39" t="inlineStr">
        <is>
          <t>Requerido por ente regulador SEPS</t>
        </is>
      </c>
    </row>
    <row r="37" ht="48" customHeight="1" s="103">
      <c r="A37" s="38" t="inlineStr">
        <is>
          <t>5.36</t>
        </is>
      </c>
      <c r="B37" s="39" t="inlineStr">
        <is>
          <t>Cumplimiento de las políticas, normas y estándares de seguridad</t>
        </is>
      </c>
      <c r="C37" s="39" t="inlineStr">
        <is>
          <t>#Preventivo</t>
        </is>
      </c>
      <c r="D37" s="39" t="inlineStr">
        <is>
          <t>#Confidencialidad, #Integridad, #Disponibilidad</t>
        </is>
      </c>
      <c r="E37" s="39" t="inlineStr">
        <is>
          <t>#Identificar</t>
        </is>
      </c>
      <c r="F37" s="38" t="inlineStr">
        <is>
          <t>#Gobernanza</t>
        </is>
      </c>
      <c r="G37" s="39" t="inlineStr">
        <is>
          <t>#Gobernanza_y_Ecosistema</t>
        </is>
      </c>
      <c r="H37" s="39" t="inlineStr">
        <is>
          <t>Obligatorio SEPS (Régimen General)</t>
        </is>
      </c>
      <c r="I37" s="39" t="inlineStr">
        <is>
          <t>-</t>
        </is>
      </c>
      <c r="J37" s="39" t="inlineStr">
        <is>
          <t>1. Regulatorio SEPS 002-2022 + ISO 27001</t>
        </is>
      </c>
      <c r="K37" s="39" t="inlineStr">
        <is>
          <t>Aplica</t>
        </is>
      </c>
      <c r="L37" s="39" t="inlineStr">
        <is>
          <t>Requerido por ente regulador SEPS</t>
        </is>
      </c>
    </row>
    <row r="38" ht="36" customHeight="1" s="103">
      <c r="A38" s="38" t="inlineStr">
        <is>
          <t>5.37</t>
        </is>
      </c>
      <c r="B38" s="39" t="inlineStr">
        <is>
          <t>Procedimientos operativos documentados</t>
        </is>
      </c>
      <c r="C38" s="39" t="inlineStr">
        <is>
          <t>#Preventivo</t>
        </is>
      </c>
      <c r="D38" s="39" t="inlineStr">
        <is>
          <t>#Confidencialidad, #Integridad, #Disponibilidad</t>
        </is>
      </c>
      <c r="E38" s="39" t="inlineStr">
        <is>
          <t>#Proteger</t>
        </is>
      </c>
      <c r="F38" s="38" t="inlineStr">
        <is>
          <t>#Gobernanza</t>
        </is>
      </c>
      <c r="G38" s="39" t="inlineStr">
        <is>
          <t>#Gobernanza_y_Ecosistema</t>
        </is>
      </c>
      <c r="H38" s="39" t="inlineStr">
        <is>
          <t>Obligatorio SEPS (Régimen General)</t>
        </is>
      </c>
      <c r="I38" s="39" t="inlineStr">
        <is>
          <t>-</t>
        </is>
      </c>
      <c r="J38" s="39" t="inlineStr">
        <is>
          <t>1. Regulatorio SEPS 002-2022 + ISO 27001</t>
        </is>
      </c>
      <c r="K38" s="39" t="inlineStr">
        <is>
          <t>Aplica</t>
        </is>
      </c>
      <c r="L38" s="39" t="inlineStr">
        <is>
          <t>Requerido por ente regulador SEPS</t>
        </is>
      </c>
    </row>
    <row r="39" ht="36" customHeight="1" s="103">
      <c r="A39" s="38" t="inlineStr">
        <is>
          <t>6.1</t>
        </is>
      </c>
      <c r="B39" s="39" t="inlineStr">
        <is>
          <t>Investigación de antecedentes</t>
        </is>
      </c>
      <c r="C39" s="39" t="inlineStr">
        <is>
          <t>#Preventivo</t>
        </is>
      </c>
      <c r="D39" s="39" t="inlineStr">
        <is>
          <t>#Confidencialidad, #Integridad, #Disponibilidad</t>
        </is>
      </c>
      <c r="E39" s="39" t="inlineStr">
        <is>
          <t>#Proteger</t>
        </is>
      </c>
      <c r="F39" s="38" t="inlineStr">
        <is>
          <t>#Seguridad_de_recursos_humanos</t>
        </is>
      </c>
      <c r="G39" s="39" t="inlineStr">
        <is>
          <t>#Proteccion</t>
        </is>
      </c>
      <c r="H39" s="39" t="inlineStr">
        <is>
          <t>Obligatorio SEPS (Régimen General)</t>
        </is>
      </c>
      <c r="I39" s="39" t="inlineStr">
        <is>
          <t>-</t>
        </is>
      </c>
      <c r="J39" s="39" t="inlineStr">
        <is>
          <t>1. Regulatorio SEPS 002-2022 + ISO 27001</t>
        </is>
      </c>
      <c r="K39" s="39" t="inlineStr">
        <is>
          <t>Aplica</t>
        </is>
      </c>
      <c r="L39" s="39" t="inlineStr">
        <is>
          <t>Requerido por ente regulador SEPS</t>
        </is>
      </c>
    </row>
    <row r="40" ht="36" customHeight="1" s="103">
      <c r="A40" s="38" t="inlineStr">
        <is>
          <t>6.2</t>
        </is>
      </c>
      <c r="B40" s="39" t="inlineStr">
        <is>
          <t>Términos y condiciones de empleo</t>
        </is>
      </c>
      <c r="C40" s="39" t="inlineStr">
        <is>
          <t>#Preventivo</t>
        </is>
      </c>
      <c r="D40" s="39" t="inlineStr">
        <is>
          <t>#Confidencialidad, #Integridad, #Disponibilidad</t>
        </is>
      </c>
      <c r="E40" s="39" t="inlineStr">
        <is>
          <t>#Proteger</t>
        </is>
      </c>
      <c r="F40" s="38" t="inlineStr">
        <is>
          <t>#Seguridad_de_recursos_humanos</t>
        </is>
      </c>
      <c r="G40" s="39" t="inlineStr">
        <is>
          <t>#Proteccion</t>
        </is>
      </c>
      <c r="H40" s="39" t="inlineStr">
        <is>
          <t>Obligatorio SEPS (Régimen General)</t>
        </is>
      </c>
      <c r="I40" s="39" t="inlineStr">
        <is>
          <t>-</t>
        </is>
      </c>
      <c r="J40" s="39" t="inlineStr">
        <is>
          <t>1. Regulatorio SEPS 002-2022 + ISO 27001</t>
        </is>
      </c>
      <c r="K40" s="39" t="inlineStr">
        <is>
          <t>Aplica</t>
        </is>
      </c>
      <c r="L40" s="39" t="inlineStr">
        <is>
          <t>Requerido por ente regulador SEPS</t>
        </is>
      </c>
    </row>
    <row r="41" ht="36" customHeight="1" s="103">
      <c r="A41" s="38" t="inlineStr">
        <is>
          <t>6.3</t>
        </is>
      </c>
      <c r="B41" s="39" t="inlineStr">
        <is>
          <t>Concienciación, educación y capacitación</t>
        </is>
      </c>
      <c r="C41" s="39" t="inlineStr">
        <is>
          <t>#Preventivo</t>
        </is>
      </c>
      <c r="D41" s="39" t="inlineStr">
        <is>
          <t>#Confidencialidad, #Integridad, #Disponibilidad</t>
        </is>
      </c>
      <c r="E41" s="39" t="inlineStr">
        <is>
          <t>#Proteger</t>
        </is>
      </c>
      <c r="F41" s="38" t="inlineStr">
        <is>
          <t>#Seguridad_de_recursos_humanos</t>
        </is>
      </c>
      <c r="G41" s="39" t="inlineStr">
        <is>
          <t>#Proteccion</t>
        </is>
      </c>
      <c r="H41" s="39" t="inlineStr">
        <is>
          <t>Obligatorio SEPS (Régimen General)</t>
        </is>
      </c>
      <c r="I41" s="39" t="inlineStr">
        <is>
          <t>C5: Programas de concienciación y capacitación</t>
        </is>
      </c>
      <c r="J41" s="39" t="inlineStr">
        <is>
          <t>2. Metodología Interna GSO-GSI + ISO 27001</t>
        </is>
      </c>
      <c r="K41" s="39" t="inlineStr">
        <is>
          <t>Aplica</t>
        </is>
      </c>
      <c r="L41" s="39" t="inlineStr">
        <is>
          <t>Requisito interno GSO-GSI</t>
        </is>
      </c>
    </row>
    <row r="42" ht="36" customHeight="1" s="103">
      <c r="A42" s="38" t="inlineStr">
        <is>
          <t>6.4</t>
        </is>
      </c>
      <c r="B42" s="39" t="inlineStr">
        <is>
          <t>Proceso disciplinario</t>
        </is>
      </c>
      <c r="C42" s="39" t="inlineStr">
        <is>
          <t>#Correctivo, #Preventivo</t>
        </is>
      </c>
      <c r="D42" s="39" t="inlineStr">
        <is>
          <t>#Confidencialidad, #Integridad, #Disponibilidad</t>
        </is>
      </c>
      <c r="E42" s="39" t="inlineStr">
        <is>
          <t>#Responder</t>
        </is>
      </c>
      <c r="F42" s="38" t="inlineStr">
        <is>
          <t>#Seguridad_de_recursos_humanos</t>
        </is>
      </c>
      <c r="G42" s="39" t="inlineStr">
        <is>
          <t>#Defensa</t>
        </is>
      </c>
      <c r="H42" s="39" t="inlineStr">
        <is>
          <t>Obligatorio SEPS (Régimen General)</t>
        </is>
      </c>
      <c r="I42" s="39" t="inlineStr">
        <is>
          <t>-</t>
        </is>
      </c>
      <c r="J42" s="39" t="inlineStr">
        <is>
          <t>1. Regulatorio SEPS 002-2022 + ISO 27001</t>
        </is>
      </c>
      <c r="K42" s="39" t="inlineStr">
        <is>
          <t>Aplica</t>
        </is>
      </c>
      <c r="L42" s="39" t="inlineStr">
        <is>
          <t>Requerido por ente regulador SEPS</t>
        </is>
      </c>
    </row>
    <row r="43" ht="48" customHeight="1" s="103">
      <c r="A43" s="38" t="inlineStr">
        <is>
          <t>6.5</t>
        </is>
      </c>
      <c r="B43" s="39" t="inlineStr">
        <is>
          <t>Responsabilidades después de la terminación o cambio de empleo</t>
        </is>
      </c>
      <c r="C43" s="39" t="inlineStr">
        <is>
          <t>#Preventivo</t>
        </is>
      </c>
      <c r="D43" s="39" t="inlineStr">
        <is>
          <t>#Confidencialidad, #Integridad, #Disponibilidad</t>
        </is>
      </c>
      <c r="E43" s="39" t="inlineStr">
        <is>
          <t>#Proteger</t>
        </is>
      </c>
      <c r="F43" s="38" t="inlineStr">
        <is>
          <t>#Seguridad_de_recursos_humanos</t>
        </is>
      </c>
      <c r="G43" s="39" t="inlineStr">
        <is>
          <t>#Proteccion</t>
        </is>
      </c>
      <c r="H43" s="39" t="inlineStr">
        <is>
          <t>Obligatorio SEPS (Régimen General)</t>
        </is>
      </c>
      <c r="I43" s="39" t="inlineStr">
        <is>
          <t>-</t>
        </is>
      </c>
      <c r="J43" s="39" t="inlineStr">
        <is>
          <t>1. Regulatorio SEPS 002-2022 + ISO 27001</t>
        </is>
      </c>
      <c r="K43" s="39" t="inlineStr">
        <is>
          <t>Aplica</t>
        </is>
      </c>
      <c r="L43" s="39" t="inlineStr">
        <is>
          <t>Requerido por ente regulador SEPS</t>
        </is>
      </c>
    </row>
    <row r="44" ht="36" customHeight="1" s="103">
      <c r="A44" s="38" t="inlineStr">
        <is>
          <t>6.6</t>
        </is>
      </c>
      <c r="B44" s="39" t="inlineStr">
        <is>
          <t>Acuerdos de confidencialidad o no divulgación</t>
        </is>
      </c>
      <c r="C44" s="39" t="inlineStr">
        <is>
          <t>#Preventivo</t>
        </is>
      </c>
      <c r="D44" s="39" t="inlineStr">
        <is>
          <t>#Confidencialidad, #Integridad, #Disponibilidad</t>
        </is>
      </c>
      <c r="E44" s="39" t="inlineStr">
        <is>
          <t>#Proteger</t>
        </is>
      </c>
      <c r="F44" s="38" t="inlineStr">
        <is>
          <t>#Seguridad_de_recursos_humanos</t>
        </is>
      </c>
      <c r="G44" s="39" t="inlineStr">
        <is>
          <t>#Proteccion</t>
        </is>
      </c>
      <c r="H44" s="39" t="inlineStr">
        <is>
          <t>Obligatorio SEPS (Régimen General)</t>
        </is>
      </c>
      <c r="I44" s="39" t="inlineStr">
        <is>
          <t>C3: Acuerdos de confidencialidad</t>
        </is>
      </c>
      <c r="J44" s="39" t="inlineStr">
        <is>
          <t>2. Metodología Interna GSO-GSI + ISO 27001</t>
        </is>
      </c>
      <c r="K44" s="39" t="inlineStr">
        <is>
          <t>Aplica</t>
        </is>
      </c>
      <c r="L44" s="39" t="inlineStr">
        <is>
          <t>Requisito interno GSO-GSI</t>
        </is>
      </c>
    </row>
    <row r="45" ht="48" customHeight="1" s="103">
      <c r="A45" s="38" t="inlineStr">
        <is>
          <t>6.7</t>
        </is>
      </c>
      <c r="B45" s="39" t="inlineStr">
        <is>
          <t>Trabajo a distancia</t>
        </is>
      </c>
      <c r="C45" s="39" t="inlineStr">
        <is>
          <t>#Preventivo</t>
        </is>
      </c>
      <c r="D45" s="39" t="inlineStr">
        <is>
          <t>#Confidencialidad, #Integridad, #Disponibilidad</t>
        </is>
      </c>
      <c r="E45" s="39" t="inlineStr">
        <is>
          <t>#Proteger</t>
        </is>
      </c>
      <c r="F45" s="38" t="inlineStr">
        <is>
          <t>#Seguridad_de_recursos_humanos</t>
        </is>
      </c>
      <c r="G45" s="39" t="inlineStr">
        <is>
          <t>#Proteccion</t>
        </is>
      </c>
      <c r="H45" s="39" t="inlineStr">
        <is>
          <t>Obligatorio SEPS (Régimen General)</t>
        </is>
      </c>
      <c r="I45" s="39" t="inlineStr">
        <is>
          <t>-</t>
        </is>
      </c>
      <c r="J45" s="39" t="inlineStr">
        <is>
          <t>3. Tratamiento de Riesgos Específico (ISO 27002 / MAGERIT)</t>
        </is>
      </c>
      <c r="K45" s="39" t="inlineStr">
        <is>
          <t>Aplica</t>
        </is>
      </c>
      <c r="L45" s="39" t="inlineStr">
        <is>
          <t>Requisito de control complementario y mejor práctica de seguridad</t>
        </is>
      </c>
    </row>
    <row r="46" ht="36" customHeight="1" s="103">
      <c r="A46" s="38" t="inlineStr">
        <is>
          <t>6.8</t>
        </is>
      </c>
      <c r="B46" s="39" t="inlineStr">
        <is>
          <t>Notificación de eventos de seguridad de la información</t>
        </is>
      </c>
      <c r="C46" s="39" t="inlineStr">
        <is>
          <t>#Preventivo, #Detectivo</t>
        </is>
      </c>
      <c r="D46" s="39" t="inlineStr">
        <is>
          <t>#Confidencialidad, #Integridad, #Disponibilidad</t>
        </is>
      </c>
      <c r="E46" s="39" t="inlineStr">
        <is>
          <t>#Detectar</t>
        </is>
      </c>
      <c r="F46" s="38" t="inlineStr">
        <is>
          <t>#Seguridad_de_recursos_humanos</t>
        </is>
      </c>
      <c r="G46" s="39" t="inlineStr">
        <is>
          <t>#Defensa</t>
        </is>
      </c>
      <c r="H46" s="39" t="inlineStr">
        <is>
          <t>Obligatorio SEPS (Régimen General)</t>
        </is>
      </c>
      <c r="I46" s="39" t="inlineStr">
        <is>
          <t>-</t>
        </is>
      </c>
      <c r="J46" s="39" t="inlineStr">
        <is>
          <t>1. Regulatorio SEPS 002-2022 + ISO 27001</t>
        </is>
      </c>
      <c r="K46" s="39" t="inlineStr">
        <is>
          <t>Aplica</t>
        </is>
      </c>
      <c r="L46" s="39" t="inlineStr">
        <is>
          <t>Requerido por ente regulador SEPS</t>
        </is>
      </c>
    </row>
    <row r="47" ht="36" customHeight="1" s="103">
      <c r="A47" s="38" t="inlineStr">
        <is>
          <t>7.1</t>
        </is>
      </c>
      <c r="B47" s="39" t="inlineStr">
        <is>
          <t>Perímetros de seguridad física</t>
        </is>
      </c>
      <c r="C47" s="39" t="inlineStr">
        <is>
          <t>#Preventivo</t>
        </is>
      </c>
      <c r="D47" s="39" t="inlineStr">
        <is>
          <t>#Confidencialidad, #Integridad, #Disponibilidad</t>
        </is>
      </c>
      <c r="E47" s="39" t="inlineStr">
        <is>
          <t>#Proteger</t>
        </is>
      </c>
      <c r="F47" s="38" t="inlineStr">
        <is>
          <t>#Seguridad_física</t>
        </is>
      </c>
      <c r="G47" s="39" t="inlineStr">
        <is>
          <t>#Proteccion</t>
        </is>
      </c>
      <c r="H47" s="39" t="inlineStr">
        <is>
          <t>Obligatorio SEPS (Régimen General)</t>
        </is>
      </c>
      <c r="I47" s="39" t="inlineStr">
        <is>
          <t>-</t>
        </is>
      </c>
      <c r="J47" s="39" t="inlineStr">
        <is>
          <t>1. Regulatorio SEPS 002-2022 + ISO 27001</t>
        </is>
      </c>
      <c r="K47" s="39" t="inlineStr">
        <is>
          <t>Aplica</t>
        </is>
      </c>
      <c r="L47" s="39" t="inlineStr">
        <is>
          <t>Requerido por ente regulador SEPS</t>
        </is>
      </c>
    </row>
    <row r="48" ht="36" customHeight="1" s="103">
      <c r="A48" s="38" t="inlineStr">
        <is>
          <t>7.2</t>
        </is>
      </c>
      <c r="B48" s="39" t="inlineStr">
        <is>
          <t>Controles de entrada física</t>
        </is>
      </c>
      <c r="C48" s="39" t="inlineStr">
        <is>
          <t>#Preventivo</t>
        </is>
      </c>
      <c r="D48" s="39" t="inlineStr">
        <is>
          <t>#Confidencialidad, #Integridad, #Disponibilidad</t>
        </is>
      </c>
      <c r="E48" s="39" t="inlineStr">
        <is>
          <t>#Proteger</t>
        </is>
      </c>
      <c r="F48" s="38" t="inlineStr">
        <is>
          <t>#Seguridad_física</t>
        </is>
      </c>
      <c r="G48" s="39" t="inlineStr">
        <is>
          <t>#Proteccion</t>
        </is>
      </c>
      <c r="H48" s="39" t="inlineStr">
        <is>
          <t>Obligatorio SEPS (Régimen General)</t>
        </is>
      </c>
      <c r="I48" s="39" t="inlineStr">
        <is>
          <t>-</t>
        </is>
      </c>
      <c r="J48" s="39" t="inlineStr">
        <is>
          <t>1. Regulatorio SEPS 002-2022 + ISO 27001</t>
        </is>
      </c>
      <c r="K48" s="39" t="inlineStr">
        <is>
          <t>Aplica</t>
        </is>
      </c>
      <c r="L48" s="39" t="inlineStr">
        <is>
          <t>Requerido por ente regulador SEPS</t>
        </is>
      </c>
    </row>
    <row r="49" ht="36" customHeight="1" s="103">
      <c r="A49" s="38" t="inlineStr">
        <is>
          <t>7.3</t>
        </is>
      </c>
      <c r="B49" s="39" t="inlineStr">
        <is>
          <t>Seguridad de oficinas, despachos e instalaciones</t>
        </is>
      </c>
      <c r="C49" s="39" t="inlineStr">
        <is>
          <t>#Preventivo</t>
        </is>
      </c>
      <c r="D49" s="39" t="inlineStr">
        <is>
          <t>#Confidencialidad, #Integridad, #Disponibilidad</t>
        </is>
      </c>
      <c r="E49" s="39" t="inlineStr">
        <is>
          <t>#Proteger</t>
        </is>
      </c>
      <c r="F49" s="38" t="inlineStr">
        <is>
          <t>#Seguridad_física</t>
        </is>
      </c>
      <c r="G49" s="39" t="inlineStr">
        <is>
          <t>#Proteccion</t>
        </is>
      </c>
      <c r="H49" s="39" t="inlineStr">
        <is>
          <t>Obligatorio SEPS (Régimen General)</t>
        </is>
      </c>
      <c r="I49" s="39" t="inlineStr">
        <is>
          <t>-</t>
        </is>
      </c>
      <c r="J49" s="39" t="inlineStr">
        <is>
          <t>1. Regulatorio SEPS 002-2022 + ISO 27001</t>
        </is>
      </c>
      <c r="K49" s="39" t="inlineStr">
        <is>
          <t>Aplica</t>
        </is>
      </c>
      <c r="L49" s="39" t="inlineStr">
        <is>
          <t>Requerido por ente regulador SEPS</t>
        </is>
      </c>
    </row>
    <row r="50" ht="36" customHeight="1" s="103">
      <c r="A50" s="38" t="inlineStr">
        <is>
          <t>7.4</t>
        </is>
      </c>
      <c r="B50" s="39" t="inlineStr">
        <is>
          <t>Supervisión de la seguridad física</t>
        </is>
      </c>
      <c r="C50" s="39" t="inlineStr">
        <is>
          <t>#Detectivo</t>
        </is>
      </c>
      <c r="D50" s="39" t="inlineStr">
        <is>
          <t>#Confidencialidad, #Integridad, #Disponibilidad</t>
        </is>
      </c>
      <c r="E50" s="39" t="inlineStr">
        <is>
          <t>#Detectar</t>
        </is>
      </c>
      <c r="F50" s="38" t="inlineStr">
        <is>
          <t>#Seguridad_física</t>
        </is>
      </c>
      <c r="G50" s="39" t="inlineStr">
        <is>
          <t>#Proteccion</t>
        </is>
      </c>
      <c r="H50" s="39" t="inlineStr">
        <is>
          <t>Obligatorio SEPS (Régimen General)</t>
        </is>
      </c>
      <c r="I50" s="39" t="inlineStr">
        <is>
          <t>-</t>
        </is>
      </c>
      <c r="J50" s="39" t="inlineStr">
        <is>
          <t>1. Regulatorio SEPS 002-2022 + ISO 27001</t>
        </is>
      </c>
      <c r="K50" s="39" t="inlineStr">
        <is>
          <t>Aplica</t>
        </is>
      </c>
      <c r="L50" s="39" t="inlineStr">
        <is>
          <t>Requerido por ente regulador SEPS</t>
        </is>
      </c>
    </row>
    <row r="51" ht="36" customHeight="1" s="103">
      <c r="A51" s="38" t="inlineStr">
        <is>
          <t>7.5</t>
        </is>
      </c>
      <c r="B51" s="39" t="inlineStr">
        <is>
          <t>Protección contra amenazas físicas y ambientales</t>
        </is>
      </c>
      <c r="C51" s="39" t="inlineStr">
        <is>
          <t>#Preventivo</t>
        </is>
      </c>
      <c r="D51" s="39" t="inlineStr">
        <is>
          <t>#Confidencialidad, #Integridad, #Disponibilidad</t>
        </is>
      </c>
      <c r="E51" s="39" t="inlineStr">
        <is>
          <t>#Proteger</t>
        </is>
      </c>
      <c r="F51" s="38" t="inlineStr">
        <is>
          <t>#Seguridad_física</t>
        </is>
      </c>
      <c r="G51" s="39" t="inlineStr">
        <is>
          <t>#Resiliencia</t>
        </is>
      </c>
      <c r="H51" s="39" t="inlineStr">
        <is>
          <t>Obligatorio SEPS (Régimen General)</t>
        </is>
      </c>
      <c r="I51" s="39" t="inlineStr">
        <is>
          <t>-</t>
        </is>
      </c>
      <c r="J51" s="39" t="inlineStr">
        <is>
          <t>1. Regulatorio SEPS 002-2022 + ISO 27001</t>
        </is>
      </c>
      <c r="K51" s="39" t="inlineStr">
        <is>
          <t>Aplica</t>
        </is>
      </c>
      <c r="L51" s="39" t="inlineStr">
        <is>
          <t>Requerido por ente regulador SEPS</t>
        </is>
      </c>
    </row>
    <row r="52" ht="36" customHeight="1" s="103">
      <c r="A52" s="38" t="inlineStr">
        <is>
          <t>7.6</t>
        </is>
      </c>
      <c r="B52" s="39" t="inlineStr">
        <is>
          <t>Trabajo en áreas seguras</t>
        </is>
      </c>
      <c r="C52" s="39" t="inlineStr">
        <is>
          <t>#Preventivo</t>
        </is>
      </c>
      <c r="D52" s="39" t="inlineStr">
        <is>
          <t>#Confidencialidad, #Integridad, #Disponibilidad</t>
        </is>
      </c>
      <c r="E52" s="39" t="inlineStr">
        <is>
          <t>#Proteger</t>
        </is>
      </c>
      <c r="F52" s="38" t="inlineStr">
        <is>
          <t>#Seguridad_física</t>
        </is>
      </c>
      <c r="G52" s="39" t="inlineStr">
        <is>
          <t>#Proteccion</t>
        </is>
      </c>
      <c r="H52" s="39" t="inlineStr">
        <is>
          <t>Obligatorio SEPS (Régimen General)</t>
        </is>
      </c>
      <c r="I52" s="39" t="inlineStr">
        <is>
          <t>-</t>
        </is>
      </c>
      <c r="J52" s="39" t="inlineStr">
        <is>
          <t>1. Regulatorio SEPS 002-2022 + ISO 27001</t>
        </is>
      </c>
      <c r="K52" s="39" t="inlineStr">
        <is>
          <t>Aplica</t>
        </is>
      </c>
      <c r="L52" s="39" t="inlineStr">
        <is>
          <t>Requerido por ente regulador SEPS</t>
        </is>
      </c>
    </row>
    <row r="53" ht="36" customHeight="1" s="103">
      <c r="A53" s="38" t="inlineStr">
        <is>
          <t>7.7</t>
        </is>
      </c>
      <c r="B53" s="39" t="inlineStr">
        <is>
          <t>Política de escritorio despejado y pantalla despejada</t>
        </is>
      </c>
      <c r="C53" s="39" t="inlineStr">
        <is>
          <t>#Preventivo</t>
        </is>
      </c>
      <c r="D53" s="39" t="inlineStr">
        <is>
          <t>#Confidencialidad, #Integridad, #Disponibilidad</t>
        </is>
      </c>
      <c r="E53" s="39" t="inlineStr">
        <is>
          <t>#Proteger</t>
        </is>
      </c>
      <c r="F53" s="38" t="inlineStr">
        <is>
          <t>#Seguridad_física</t>
        </is>
      </c>
      <c r="G53" s="39" t="inlineStr">
        <is>
          <t>#Proteccion</t>
        </is>
      </c>
      <c r="H53" s="39" t="inlineStr">
        <is>
          <t>Obligatorio SEPS (Régimen General)</t>
        </is>
      </c>
      <c r="I53" s="39" t="inlineStr">
        <is>
          <t>-</t>
        </is>
      </c>
      <c r="J53" s="39" t="inlineStr">
        <is>
          <t>1. Regulatorio SEPS 002-2022 + ISO 27001</t>
        </is>
      </c>
      <c r="K53" s="39" t="inlineStr">
        <is>
          <t>Aplica</t>
        </is>
      </c>
      <c r="L53" s="39" t="inlineStr">
        <is>
          <t>Requerido por ente regulador SEPS</t>
        </is>
      </c>
    </row>
    <row r="54" ht="36" customHeight="1" s="103">
      <c r="A54" s="38" t="inlineStr">
        <is>
          <t>7.8</t>
        </is>
      </c>
      <c r="B54" s="39" t="inlineStr">
        <is>
          <t>Emplazamiento y protección de equipos</t>
        </is>
      </c>
      <c r="C54" s="39" t="inlineStr">
        <is>
          <t>#Preventivo</t>
        </is>
      </c>
      <c r="D54" s="39" t="inlineStr">
        <is>
          <t>#Confidencialidad, #Integridad, #Disponibilidad</t>
        </is>
      </c>
      <c r="E54" s="39" t="inlineStr">
        <is>
          <t>#Proteger</t>
        </is>
      </c>
      <c r="F54" s="38" t="inlineStr">
        <is>
          <t>#Seguridad_física</t>
        </is>
      </c>
      <c r="G54" s="39" t="inlineStr">
        <is>
          <t>#Proteccion</t>
        </is>
      </c>
      <c r="H54" s="39" t="inlineStr">
        <is>
          <t>Obligatorio SEPS (Régimen General)</t>
        </is>
      </c>
      <c r="I54" s="39" t="inlineStr">
        <is>
          <t>-</t>
        </is>
      </c>
      <c r="J54" s="39" t="inlineStr">
        <is>
          <t>1. Regulatorio SEPS 002-2022 + ISO 27001</t>
        </is>
      </c>
      <c r="K54" s="39" t="inlineStr">
        <is>
          <t>Aplica</t>
        </is>
      </c>
      <c r="L54" s="39" t="inlineStr">
        <is>
          <t>Requerido por ente regulador SEPS</t>
        </is>
      </c>
    </row>
    <row r="55" ht="36" customHeight="1" s="103">
      <c r="A55" s="38" t="inlineStr">
        <is>
          <t>7.9</t>
        </is>
      </c>
      <c r="B55" s="39" t="inlineStr">
        <is>
          <t>Seguridad de los activos fuera de las instalaciones</t>
        </is>
      </c>
      <c r="C55" s="39" t="inlineStr">
        <is>
          <t>#Preventivo</t>
        </is>
      </c>
      <c r="D55" s="39" t="inlineStr">
        <is>
          <t>#Confidencialidad, #Integridad, #Disponibilidad</t>
        </is>
      </c>
      <c r="E55" s="39" t="inlineStr">
        <is>
          <t>#Proteger</t>
        </is>
      </c>
      <c r="F55" s="38" t="inlineStr">
        <is>
          <t>#Gestión_de_activos</t>
        </is>
      </c>
      <c r="G55" s="39" t="inlineStr">
        <is>
          <t>#Proteccion</t>
        </is>
      </c>
      <c r="H55" s="39" t="inlineStr">
        <is>
          <t>Obligatorio SEPS (Régimen General)</t>
        </is>
      </c>
      <c r="I55" s="39" t="inlineStr">
        <is>
          <t>-</t>
        </is>
      </c>
      <c r="J55" s="39" t="inlineStr">
        <is>
          <t>1. Regulatorio SEPS 002-2022 + ISO 27001</t>
        </is>
      </c>
      <c r="K55" s="39" t="inlineStr">
        <is>
          <t>Aplica</t>
        </is>
      </c>
      <c r="L55" s="39" t="inlineStr">
        <is>
          <t>Requerido por ente regulador SEPS</t>
        </is>
      </c>
    </row>
    <row r="56" ht="36" customHeight="1" s="103">
      <c r="A56" s="38" t="inlineStr">
        <is>
          <t>7.10</t>
        </is>
      </c>
      <c r="B56" s="39" t="inlineStr">
        <is>
          <t>Soportes de almacenamiento</t>
        </is>
      </c>
      <c r="C56" s="39" t="inlineStr">
        <is>
          <t>#Preventivo</t>
        </is>
      </c>
      <c r="D56" s="39" t="inlineStr">
        <is>
          <t>#Confidencialidad, #Integridad, #Disponibilidad</t>
        </is>
      </c>
      <c r="E56" s="39" t="inlineStr">
        <is>
          <t>#Proteger</t>
        </is>
      </c>
      <c r="F56" s="38" t="inlineStr">
        <is>
          <t>#Gestión_de_activos</t>
        </is>
      </c>
      <c r="G56" s="39" t="inlineStr">
        <is>
          <t>#Proteccion</t>
        </is>
      </c>
      <c r="H56" s="39" t="inlineStr">
        <is>
          <t>Obligatorio SEPS (Régimen General)</t>
        </is>
      </c>
      <c r="I56" s="39" t="inlineStr">
        <is>
          <t>-</t>
        </is>
      </c>
      <c r="J56" s="39" t="inlineStr">
        <is>
          <t>1. Regulatorio SEPS 002-2022 + ISO 27001</t>
        </is>
      </c>
      <c r="K56" s="39" t="inlineStr">
        <is>
          <t>Aplica</t>
        </is>
      </c>
      <c r="L56" s="39" t="inlineStr">
        <is>
          <t>Requerido por ente regulador SEPS</t>
        </is>
      </c>
    </row>
    <row r="57" ht="36" customHeight="1" s="103">
      <c r="A57" s="38" t="inlineStr">
        <is>
          <t>7.11</t>
        </is>
      </c>
      <c r="B57" s="39" t="inlineStr">
        <is>
          <t>Servicios públicos</t>
        </is>
      </c>
      <c r="C57" s="39" t="inlineStr">
        <is>
          <t>#Preventivo</t>
        </is>
      </c>
      <c r="D57" s="39" t="inlineStr">
        <is>
          <t>#Confidencialidad, #Integridad, #Disponibilidad</t>
        </is>
      </c>
      <c r="E57" s="39" t="inlineStr">
        <is>
          <t>#Proteger</t>
        </is>
      </c>
      <c r="F57" s="38" t="inlineStr">
        <is>
          <t>#Seguridad_física</t>
        </is>
      </c>
      <c r="G57" s="39" t="inlineStr">
        <is>
          <t>#Resiliencia</t>
        </is>
      </c>
      <c r="H57" s="39" t="inlineStr">
        <is>
          <t>Obligatorio SEPS (Régimen General)</t>
        </is>
      </c>
      <c r="I57" s="39" t="inlineStr">
        <is>
          <t>-</t>
        </is>
      </c>
      <c r="J57" s="39" t="inlineStr">
        <is>
          <t>1. Regulatorio SEPS 002-2022 + ISO 27001</t>
        </is>
      </c>
      <c r="K57" s="39" t="inlineStr">
        <is>
          <t>Aplica</t>
        </is>
      </c>
      <c r="L57" s="39" t="inlineStr">
        <is>
          <t>Requerido por ente regulador SEPS</t>
        </is>
      </c>
    </row>
    <row r="58" ht="36" customHeight="1" s="103">
      <c r="A58" s="38" t="inlineStr">
        <is>
          <t>7.12</t>
        </is>
      </c>
      <c r="B58" s="39" t="inlineStr">
        <is>
          <t>Seguridad del cableado</t>
        </is>
      </c>
      <c r="C58" s="39" t="inlineStr">
        <is>
          <t>#Preventivo</t>
        </is>
      </c>
      <c r="D58" s="39" t="inlineStr">
        <is>
          <t>#Confidencialidad, #Integridad, #Disponibilidad</t>
        </is>
      </c>
      <c r="E58" s="39" t="inlineStr">
        <is>
          <t>#Proteger</t>
        </is>
      </c>
      <c r="F58" s="38" t="inlineStr">
        <is>
          <t>#Seguridad_física</t>
        </is>
      </c>
      <c r="G58" s="39" t="inlineStr">
        <is>
          <t>#Proteccion</t>
        </is>
      </c>
      <c r="H58" s="39" t="inlineStr">
        <is>
          <t>Obligatorio SEPS (Régimen General)</t>
        </is>
      </c>
      <c r="I58" s="39" t="inlineStr">
        <is>
          <t>-</t>
        </is>
      </c>
      <c r="J58" s="39" t="inlineStr">
        <is>
          <t>1. Regulatorio SEPS 002-2022 + ISO 27001</t>
        </is>
      </c>
      <c r="K58" s="39" t="inlineStr">
        <is>
          <t>Aplica</t>
        </is>
      </c>
      <c r="L58" s="39" t="inlineStr">
        <is>
          <t>Requerido por ente regulador SEPS</t>
        </is>
      </c>
    </row>
    <row r="59" ht="36" customHeight="1" s="103">
      <c r="A59" s="38" t="inlineStr">
        <is>
          <t>7.13</t>
        </is>
      </c>
      <c r="B59" s="39" t="inlineStr">
        <is>
          <t>Mantenimiento de equipos</t>
        </is>
      </c>
      <c r="C59" s="39" t="inlineStr">
        <is>
          <t>#Preventivo</t>
        </is>
      </c>
      <c r="D59" s="39" t="inlineStr">
        <is>
          <t>#Confidencialidad, #Integridad, #Disponibilidad</t>
        </is>
      </c>
      <c r="E59" s="39" t="inlineStr">
        <is>
          <t>#Proteger</t>
        </is>
      </c>
      <c r="F59" s="38" t="inlineStr">
        <is>
          <t>#Seguridad_física</t>
        </is>
      </c>
      <c r="G59" s="39" t="inlineStr">
        <is>
          <t>#Proteccion</t>
        </is>
      </c>
      <c r="H59" s="39" t="inlineStr">
        <is>
          <t>Obligatorio SEPS (Régimen General)</t>
        </is>
      </c>
      <c r="I59" s="39" t="inlineStr">
        <is>
          <t>C11: Mantenimiento periódico de activos físicos</t>
        </is>
      </c>
      <c r="J59" s="39" t="inlineStr">
        <is>
          <t>2. Metodología Interna GSO-GSI + ISO 27001</t>
        </is>
      </c>
      <c r="K59" s="39" t="inlineStr">
        <is>
          <t>Aplica</t>
        </is>
      </c>
      <c r="L59" s="39" t="inlineStr">
        <is>
          <t>Requisito interno GSO-GSI</t>
        </is>
      </c>
    </row>
    <row r="60" ht="36" customHeight="1" s="103">
      <c r="A60" s="38" t="inlineStr">
        <is>
          <t>7.14</t>
        </is>
      </c>
      <c r="B60" s="39" t="inlineStr">
        <is>
          <t>Eliminación segura o reutilización de equipos</t>
        </is>
      </c>
      <c r="C60" s="39" t="inlineStr">
        <is>
          <t>#Preventivo</t>
        </is>
      </c>
      <c r="D60" s="39" t="inlineStr">
        <is>
          <t>#Confidencialidad, #Integridad, #Disponibilidad</t>
        </is>
      </c>
      <c r="E60" s="39" t="inlineStr">
        <is>
          <t>#Proteger</t>
        </is>
      </c>
      <c r="F60" s="38" t="inlineStr">
        <is>
          <t>#Seguridad_física</t>
        </is>
      </c>
      <c r="G60" s="39" t="inlineStr">
        <is>
          <t>#Proteccion</t>
        </is>
      </c>
      <c r="H60" s="39" t="inlineStr">
        <is>
          <t>Obligatorio SEPS (Régimen General)</t>
        </is>
      </c>
      <c r="I60" s="39" t="inlineStr">
        <is>
          <t>-</t>
        </is>
      </c>
      <c r="J60" s="39" t="inlineStr">
        <is>
          <t>1. Regulatorio SEPS 002-2022 + ISO 27001</t>
        </is>
      </c>
      <c r="K60" s="39" t="inlineStr">
        <is>
          <t>Aplica</t>
        </is>
      </c>
      <c r="L60" s="39" t="inlineStr">
        <is>
          <t>Requerido por ente regulador SEPS</t>
        </is>
      </c>
    </row>
    <row r="61" ht="36" customHeight="1" s="103">
      <c r="A61" s="38" t="inlineStr">
        <is>
          <t>8.1</t>
        </is>
      </c>
      <c r="B61" s="39" t="inlineStr">
        <is>
          <t>Dispositivos de punto final de usuario</t>
        </is>
      </c>
      <c r="C61" s="39" t="inlineStr">
        <is>
          <t>#Preventivo</t>
        </is>
      </c>
      <c r="D61" s="39" t="inlineStr">
        <is>
          <t>#Confidencialidad, #Integridad, #Disponibilidad</t>
        </is>
      </c>
      <c r="E61" s="39" t="inlineStr">
        <is>
          <t>#Proteger</t>
        </is>
      </c>
      <c r="F61" s="38" t="inlineStr">
        <is>
          <t>#Gestión_de_activos</t>
        </is>
      </c>
      <c r="G61" s="39" t="inlineStr">
        <is>
          <t>#Proteccion</t>
        </is>
      </c>
      <c r="H61" s="39" t="inlineStr">
        <is>
          <t>Obligatorio SEPS (Régimen General)</t>
        </is>
      </c>
      <c r="I61" s="39" t="inlineStr">
        <is>
          <t>-</t>
        </is>
      </c>
      <c r="J61" s="39" t="inlineStr">
        <is>
          <t>1. Regulatorio SEPS 002-2022 + ISO 27001</t>
        </is>
      </c>
      <c r="K61" s="39" t="inlineStr">
        <is>
          <t>Aplica</t>
        </is>
      </c>
      <c r="L61" s="39" t="inlineStr">
        <is>
          <t>Requerido por ente regulador SEPS</t>
        </is>
      </c>
    </row>
    <row r="62" ht="36" customHeight="1" s="103">
      <c r="A62" s="38" t="inlineStr">
        <is>
          <t>8.2</t>
        </is>
      </c>
      <c r="B62" s="39" t="inlineStr">
        <is>
          <t>Derechos de acceso privilegiado</t>
        </is>
      </c>
      <c r="C62" s="39" t="inlineStr">
        <is>
          <t>#Preventivo</t>
        </is>
      </c>
      <c r="D62" s="39" t="inlineStr">
        <is>
          <t>#Confidencialidad, #Integridad, #Disponibilidad</t>
        </is>
      </c>
      <c r="E62" s="39" t="inlineStr">
        <is>
          <t>#Proteger</t>
        </is>
      </c>
      <c r="F62" s="38" t="inlineStr">
        <is>
          <t>#Administración_de_identidad_y_acceso</t>
        </is>
      </c>
      <c r="G62" s="39" t="inlineStr">
        <is>
          <t>#Proteccion</t>
        </is>
      </c>
      <c r="H62" s="39" t="inlineStr">
        <is>
          <t>Obligatorio SEPS (Régimen General)</t>
        </is>
      </c>
      <c r="I62" s="39" t="inlineStr">
        <is>
          <t>C9: Principio de mínimos privilegios</t>
        </is>
      </c>
      <c r="J62" s="39" t="inlineStr">
        <is>
          <t>2. Metodología Interna GSO-GSI + ISO 27001</t>
        </is>
      </c>
      <c r="K62" s="39" t="inlineStr">
        <is>
          <t>Aplica</t>
        </is>
      </c>
      <c r="L62" s="39" t="inlineStr">
        <is>
          <t>Requisito interno GSO-GSI</t>
        </is>
      </c>
    </row>
    <row r="63" ht="36" customHeight="1" s="103">
      <c r="A63" s="38" t="inlineStr">
        <is>
          <t>8.3</t>
        </is>
      </c>
      <c r="B63" s="39" t="inlineStr">
        <is>
          <t>Restricción del acceso a la información</t>
        </is>
      </c>
      <c r="C63" s="39" t="inlineStr">
        <is>
          <t>#Preventivo</t>
        </is>
      </c>
      <c r="D63" s="39" t="inlineStr">
        <is>
          <t>#Confidencialidad, #Integridad, #Disponibilidad</t>
        </is>
      </c>
      <c r="E63" s="39" t="inlineStr">
        <is>
          <t>#Proteger</t>
        </is>
      </c>
      <c r="F63" s="38" t="inlineStr">
        <is>
          <t>#Administración_de_identidad_y_acceso</t>
        </is>
      </c>
      <c r="G63" s="39" t="inlineStr">
        <is>
          <t>#Proteccion</t>
        </is>
      </c>
      <c r="H63" s="39" t="inlineStr">
        <is>
          <t>Obligatorio SEPS (Régimen General)</t>
        </is>
      </c>
      <c r="I63" s="39" t="inlineStr">
        <is>
          <t>C4: Restricción del control de acceso</t>
        </is>
      </c>
      <c r="J63" s="39" t="inlineStr">
        <is>
          <t>2. Metodología Interna GSO-GSI + ISO 27001</t>
        </is>
      </c>
      <c r="K63" s="39" t="inlineStr">
        <is>
          <t>Aplica</t>
        </is>
      </c>
      <c r="L63" s="39" t="inlineStr">
        <is>
          <t>Requisito interno GSO-GSI</t>
        </is>
      </c>
    </row>
    <row r="64" ht="36" customHeight="1" s="103">
      <c r="A64" s="38" t="inlineStr">
        <is>
          <t>8.4</t>
        </is>
      </c>
      <c r="B64" s="39" t="inlineStr">
        <is>
          <t>Acceso al código fuente</t>
        </is>
      </c>
      <c r="C64" s="39" t="inlineStr">
        <is>
          <t>#Preventivo</t>
        </is>
      </c>
      <c r="D64" s="39" t="inlineStr">
        <is>
          <t>#Confidencialidad, #Integridad, #Disponibilidad</t>
        </is>
      </c>
      <c r="E64" s="39" t="inlineStr">
        <is>
          <t>#Proteger</t>
        </is>
      </c>
      <c r="F64" s="38" t="inlineStr">
        <is>
          <t>#Seguridad_de_aplicaciones</t>
        </is>
      </c>
      <c r="G64" s="39" t="inlineStr">
        <is>
          <t>#Proteccion</t>
        </is>
      </c>
      <c r="H64" s="39" t="inlineStr">
        <is>
          <t>Obligatorio SEPS (Régimen General)</t>
        </is>
      </c>
      <c r="I64" s="39" t="inlineStr">
        <is>
          <t>-</t>
        </is>
      </c>
      <c r="J64" s="39" t="inlineStr">
        <is>
          <t>1. Regulatorio SEPS 002-2022 + ISO 27001</t>
        </is>
      </c>
      <c r="K64" s="39" t="inlineStr">
        <is>
          <t>Aplica</t>
        </is>
      </c>
      <c r="L64" s="39" t="inlineStr">
        <is>
          <t>Requerido por ente regulador SEPS</t>
        </is>
      </c>
    </row>
    <row r="65" ht="36" customHeight="1" s="103">
      <c r="A65" s="38" t="inlineStr">
        <is>
          <t>8.5</t>
        </is>
      </c>
      <c r="B65" s="39" t="inlineStr">
        <is>
          <t>Autenticación segura</t>
        </is>
      </c>
      <c r="C65" s="39" t="inlineStr">
        <is>
          <t>#Preventivo</t>
        </is>
      </c>
      <c r="D65" s="39" t="inlineStr">
        <is>
          <t>#Confidencialidad, #Integridad, #Disponibilidad</t>
        </is>
      </c>
      <c r="E65" s="39" t="inlineStr">
        <is>
          <t>#Proteger</t>
        </is>
      </c>
      <c r="F65" s="38" t="inlineStr">
        <is>
          <t>#Administración_de_identidad_y_acceso</t>
        </is>
      </c>
      <c r="G65" s="39" t="inlineStr">
        <is>
          <t>#Proteccion</t>
        </is>
      </c>
      <c r="H65" s="39" t="inlineStr">
        <is>
          <t>Obligatorio SEPS (Régimen General)</t>
        </is>
      </c>
      <c r="I65" s="39" t="inlineStr">
        <is>
          <t>-</t>
        </is>
      </c>
      <c r="J65" s="39" t="inlineStr">
        <is>
          <t>1. Regulatorio SEPS 002-2022 + ISO 27001</t>
        </is>
      </c>
      <c r="K65" s="39" t="inlineStr">
        <is>
          <t>Aplica</t>
        </is>
      </c>
      <c r="L65" s="39" t="inlineStr">
        <is>
          <t>Requerido por ente regulador SEPS</t>
        </is>
      </c>
    </row>
    <row r="66" ht="36" customHeight="1" s="103">
      <c r="A66" s="38" t="inlineStr">
        <is>
          <t>8.6</t>
        </is>
      </c>
      <c r="B66" s="39" t="inlineStr">
        <is>
          <t>Gestión de capacidad</t>
        </is>
      </c>
      <c r="C66" s="39" t="inlineStr">
        <is>
          <t>#Preventivo</t>
        </is>
      </c>
      <c r="D66" s="39" t="inlineStr">
        <is>
          <t>#Confidencialidad, #Integridad, #Disponibilidad</t>
        </is>
      </c>
      <c r="E66" s="39" t="inlineStr">
        <is>
          <t>#Proteger</t>
        </is>
      </c>
      <c r="F66" s="38" t="inlineStr">
        <is>
          <t>#Seguridad_de_sistemas_y_redes</t>
        </is>
      </c>
      <c r="G66" s="39" t="inlineStr">
        <is>
          <t>#Resiliencia</t>
        </is>
      </c>
      <c r="H66" s="39" t="inlineStr">
        <is>
          <t>Obligatorio SEPS (Régimen General)</t>
        </is>
      </c>
      <c r="I66" s="39" t="inlineStr">
        <is>
          <t>-</t>
        </is>
      </c>
      <c r="J66" s="39" t="inlineStr">
        <is>
          <t>1. Regulatorio SEPS 002-2022 + ISO 27001</t>
        </is>
      </c>
      <c r="K66" s="39" t="inlineStr">
        <is>
          <t>Aplica</t>
        </is>
      </c>
      <c r="L66" s="39" t="inlineStr">
        <is>
          <t>Requerido por ente regulador SEPS</t>
        </is>
      </c>
    </row>
    <row r="67" ht="36" customHeight="1" s="103">
      <c r="A67" s="38" t="inlineStr">
        <is>
          <t>8.7</t>
        </is>
      </c>
      <c r="B67" s="39" t="inlineStr">
        <is>
          <t>Protección contra malware</t>
        </is>
      </c>
      <c r="C67" s="39" t="inlineStr">
        <is>
          <t>#Preventivo, #Detectivo, #Correctivo</t>
        </is>
      </c>
      <c r="D67" s="39" t="inlineStr">
        <is>
          <t>#Confidencialidad, #Integridad, #Disponibilidad</t>
        </is>
      </c>
      <c r="E67" s="39" t="inlineStr">
        <is>
          <t>#Proteger</t>
        </is>
      </c>
      <c r="F67" s="38" t="inlineStr">
        <is>
          <t>#Seguridad_de_sistemas_y_redes</t>
        </is>
      </c>
      <c r="G67" s="39" t="inlineStr">
        <is>
          <t>#Defensa</t>
        </is>
      </c>
      <c r="H67" s="39" t="inlineStr">
        <is>
          <t>Obligatorio SEPS (Régimen General)</t>
        </is>
      </c>
      <c r="I67" s="39" t="inlineStr">
        <is>
          <t>-</t>
        </is>
      </c>
      <c r="J67" s="39" t="inlineStr">
        <is>
          <t>1. Regulatorio SEPS 002-2022 + ISO 27001</t>
        </is>
      </c>
      <c r="K67" s="39" t="inlineStr">
        <is>
          <t>Aplica</t>
        </is>
      </c>
      <c r="L67" s="39" t="inlineStr">
        <is>
          <t>Requerido por ente regulador SEPS</t>
        </is>
      </c>
    </row>
    <row r="68" ht="48" customHeight="1" s="103">
      <c r="A68" s="38" t="inlineStr">
        <is>
          <t>8.8</t>
        </is>
      </c>
      <c r="B68" s="39" t="inlineStr">
        <is>
          <t>Gestión de vulnerabilidades técnicas</t>
        </is>
      </c>
      <c r="C68" s="39" t="inlineStr">
        <is>
          <t>#Preventivo, #Correctivo</t>
        </is>
      </c>
      <c r="D68" s="39" t="inlineStr">
        <is>
          <t>#Confidencialidad, #Integridad, #Disponibilidad</t>
        </is>
      </c>
      <c r="E68" s="39" t="inlineStr">
        <is>
          <t>#Proteger</t>
        </is>
      </c>
      <c r="F68" s="38" t="inlineStr">
        <is>
          <t>#Gestión_de_amenazas_y_vulnerabilidades</t>
        </is>
      </c>
      <c r="G68" s="39" t="inlineStr">
        <is>
          <t>#Defensa</t>
        </is>
      </c>
      <c r="H68" s="39" t="inlineStr">
        <is>
          <t>Obligatorio SEPS (Régimen General)</t>
        </is>
      </c>
      <c r="I68" s="39" t="inlineStr">
        <is>
          <t>C12: Actualizaciones periódicas firmware/software</t>
        </is>
      </c>
      <c r="J68" s="39" t="inlineStr">
        <is>
          <t>2. Metodología Interna GSO-GSI + ISO 27001</t>
        </is>
      </c>
      <c r="K68" s="39" t="inlineStr">
        <is>
          <t>Aplica</t>
        </is>
      </c>
      <c r="L68" s="39" t="inlineStr">
        <is>
          <t>Requisito interno GSO-GSI</t>
        </is>
      </c>
    </row>
    <row r="69" ht="48" customHeight="1" s="103">
      <c r="A69" s="38" t="inlineStr">
        <is>
          <t>8.9</t>
        </is>
      </c>
      <c r="B69" s="39" t="inlineStr">
        <is>
          <t>Gestión de la configuración</t>
        </is>
      </c>
      <c r="C69" s="39" t="inlineStr">
        <is>
          <t>#Preventivo</t>
        </is>
      </c>
      <c r="D69" s="39" t="inlineStr">
        <is>
          <t>#Confidencialidad, #Integridad, #Disponibilidad</t>
        </is>
      </c>
      <c r="E69" s="39" t="inlineStr">
        <is>
          <t>#Proteger</t>
        </is>
      </c>
      <c r="F69" s="38" t="inlineStr">
        <is>
          <t>#Configuración_segura</t>
        </is>
      </c>
      <c r="G69" s="39" t="inlineStr">
        <is>
          <t>#Proteccion</t>
        </is>
      </c>
      <c r="H69" s="39" t="inlineStr">
        <is>
          <t>Obligatorio SEPS (Régimen General)</t>
        </is>
      </c>
      <c r="I69" s="39" t="inlineStr">
        <is>
          <t>C52: Mantenimiento preventivo / Configuración segura</t>
        </is>
      </c>
      <c r="J69" s="39" t="inlineStr">
        <is>
          <t>2. Metodología Interna GSO-GSI + ISO 27001</t>
        </is>
      </c>
      <c r="K69" s="39" t="inlineStr">
        <is>
          <t>Aplica</t>
        </is>
      </c>
      <c r="L69" s="39" t="inlineStr">
        <is>
          <t>Requisito interno GSO-GSI</t>
        </is>
      </c>
    </row>
    <row r="70" ht="36" customHeight="1" s="103">
      <c r="A70" s="38" t="inlineStr">
        <is>
          <t>8.10</t>
        </is>
      </c>
      <c r="B70" s="39" t="inlineStr">
        <is>
          <t>Eliminación de información</t>
        </is>
      </c>
      <c r="C70" s="39" t="inlineStr">
        <is>
          <t>#Preventivo</t>
        </is>
      </c>
      <c r="D70" s="39" t="inlineStr">
        <is>
          <t>#Confidencialidad, #Integridad, #Disponibilidad</t>
        </is>
      </c>
      <c r="E70" s="39" t="inlineStr">
        <is>
          <t>#Proteger</t>
        </is>
      </c>
      <c r="F70" s="38" t="inlineStr">
        <is>
          <t>#Protección_de_la_información</t>
        </is>
      </c>
      <c r="G70" s="39" t="inlineStr">
        <is>
          <t>#Proteccion</t>
        </is>
      </c>
      <c r="H70" s="39" t="inlineStr">
        <is>
          <t>Obligatorio SEPS (Régimen General)</t>
        </is>
      </c>
      <c r="I70" s="39" t="inlineStr">
        <is>
          <t>-</t>
        </is>
      </c>
      <c r="J70" s="39" t="inlineStr">
        <is>
          <t>1. Regulatorio SEPS 002-2022 + ISO 27001</t>
        </is>
      </c>
      <c r="K70" s="39" t="inlineStr">
        <is>
          <t>Aplica</t>
        </is>
      </c>
      <c r="L70" s="39" t="inlineStr">
        <is>
          <t>Requerido por ente regulador SEPS</t>
        </is>
      </c>
    </row>
    <row r="71" ht="60" customHeight="1" s="103">
      <c r="A71" s="38" t="inlineStr">
        <is>
          <t>8.11</t>
        </is>
      </c>
      <c r="B71" s="39" t="inlineStr">
        <is>
          <t>Enmascaramiento de datos</t>
        </is>
      </c>
      <c r="C71" s="39" t="inlineStr">
        <is>
          <t>#Preventivo</t>
        </is>
      </c>
      <c r="D71" s="39" t="inlineStr">
        <is>
          <t>#Confidencialidad, #Integridad, #Disponibilidad</t>
        </is>
      </c>
      <c r="E71" s="39" t="inlineStr">
        <is>
          <t>#Proteger</t>
        </is>
      </c>
      <c r="F71" s="38" t="inlineStr">
        <is>
          <t>#Protección_de_la_información</t>
        </is>
      </c>
      <c r="G71" s="39" t="inlineStr">
        <is>
          <t>#Proteccion</t>
        </is>
      </c>
      <c r="H71" s="39" t="inlineStr">
        <is>
          <t>Mejor Práctica (No obligatorio SEPS)</t>
        </is>
      </c>
      <c r="I71" s="39" t="inlineStr">
        <is>
          <t>-</t>
        </is>
      </c>
      <c r="J71" s="39" t="inlineStr">
        <is>
          <t>3. Tratamiento de Riesgos Específico (ISO 27002 / MAGERIT)</t>
        </is>
      </c>
      <c r="K71" s="39" t="inlineStr">
        <is>
          <t>Aplica</t>
        </is>
      </c>
      <c r="L71" s="39" t="inlineStr">
        <is>
          <t>Requisito de control complementario y mejor práctica de seguridad</t>
        </is>
      </c>
    </row>
    <row r="72" ht="36" customHeight="1" s="103">
      <c r="A72" s="38" t="inlineStr">
        <is>
          <t>8.12</t>
        </is>
      </c>
      <c r="B72" s="39" t="inlineStr">
        <is>
          <t>Prevención de fuga de datos</t>
        </is>
      </c>
      <c r="C72" s="39" t="inlineStr">
        <is>
          <t>#Preventivo, #Detectivo</t>
        </is>
      </c>
      <c r="D72" s="39" t="inlineStr">
        <is>
          <t>#Confidencialidad, #Integridad, #Disponibilidad</t>
        </is>
      </c>
      <c r="E72" s="39" t="inlineStr">
        <is>
          <t>#Proteger</t>
        </is>
      </c>
      <c r="F72" s="38" t="inlineStr">
        <is>
          <t>#Protección_de_la_información</t>
        </is>
      </c>
      <c r="G72" s="39" t="inlineStr">
        <is>
          <t>#Proteccion</t>
        </is>
      </c>
      <c r="H72" s="39" t="inlineStr">
        <is>
          <t>Obligatorio SEPS (Régimen General)</t>
        </is>
      </c>
      <c r="I72" s="39" t="inlineStr">
        <is>
          <t>-</t>
        </is>
      </c>
      <c r="J72" s="39" t="inlineStr">
        <is>
          <t>1. Regulatorio SEPS 002-2022 + ISO 27001</t>
        </is>
      </c>
      <c r="K72" s="39" t="inlineStr">
        <is>
          <t>Aplica</t>
        </is>
      </c>
      <c r="L72" s="39" t="inlineStr">
        <is>
          <t>Requerido por ente regulador SEPS</t>
        </is>
      </c>
    </row>
    <row r="73" ht="48" customHeight="1" s="103">
      <c r="A73" s="38" t="inlineStr">
        <is>
          <t>8.13</t>
        </is>
      </c>
      <c r="B73" s="39" t="inlineStr">
        <is>
          <t>Copias de seguridad de la información</t>
        </is>
      </c>
      <c r="C73" s="39" t="inlineStr">
        <is>
          <t>#Preventivo, #Correctivo</t>
        </is>
      </c>
      <c r="D73" s="39" t="inlineStr">
        <is>
          <t>#Confidencialidad, #Integridad, #Disponibilidad</t>
        </is>
      </c>
      <c r="E73" s="39" t="inlineStr">
        <is>
          <t>#Recuperar</t>
        </is>
      </c>
      <c r="F73" s="38" t="inlineStr">
        <is>
          <t>#Continuidad</t>
        </is>
      </c>
      <c r="G73" s="39" t="inlineStr">
        <is>
          <t>#Resiliencia</t>
        </is>
      </c>
      <c r="H73" s="39" t="inlineStr">
        <is>
          <t>Obligatorio SEPS (Régimen General)</t>
        </is>
      </c>
      <c r="I73" s="39" t="inlineStr">
        <is>
          <t>C6: Procedimientos de reversión (rollback) / Respaldo</t>
        </is>
      </c>
      <c r="J73" s="39" t="inlineStr">
        <is>
          <t>2. Metodología Interna GSO-GSI + ISO 27001</t>
        </is>
      </c>
      <c r="K73" s="39" t="inlineStr">
        <is>
          <t>Aplica</t>
        </is>
      </c>
      <c r="L73" s="39" t="inlineStr">
        <is>
          <t>Requisito interno GSO-GSI</t>
        </is>
      </c>
    </row>
    <row r="74" ht="48" customHeight="1" s="103">
      <c r="A74" s="38" t="inlineStr">
        <is>
          <t>8.14</t>
        </is>
      </c>
      <c r="B74" s="39" t="inlineStr">
        <is>
          <t>Redundancia de las instalaciones de procesamiento de información</t>
        </is>
      </c>
      <c r="C74" s="39" t="inlineStr">
        <is>
          <t>#Preventivo</t>
        </is>
      </c>
      <c r="D74" s="39" t="inlineStr">
        <is>
          <t>#Confidencialidad, #Integridad, #Disponibilidad</t>
        </is>
      </c>
      <c r="E74" s="39" t="inlineStr">
        <is>
          <t>#Recuperar</t>
        </is>
      </c>
      <c r="F74" s="38" t="inlineStr">
        <is>
          <t>#Continuidad</t>
        </is>
      </c>
      <c r="G74" s="39" t="inlineStr">
        <is>
          <t>#Resiliencia</t>
        </is>
      </c>
      <c r="H74" s="39" t="inlineStr">
        <is>
          <t>Obligatorio SEPS (Régimen General)</t>
        </is>
      </c>
      <c r="I74" s="39" t="inlineStr">
        <is>
          <t>-</t>
        </is>
      </c>
      <c r="J74" s="39" t="inlineStr">
        <is>
          <t>1. Regulatorio SEPS 002-2022 + ISO 27001</t>
        </is>
      </c>
      <c r="K74" s="39" t="inlineStr">
        <is>
          <t>Aplica</t>
        </is>
      </c>
      <c r="L74" s="39" t="inlineStr">
        <is>
          <t>Requerido por ente regulador SEPS</t>
        </is>
      </c>
    </row>
    <row r="75" ht="36" customHeight="1" s="103">
      <c r="A75" s="38" t="inlineStr">
        <is>
          <t>8.15</t>
        </is>
      </c>
      <c r="B75" s="39" t="inlineStr">
        <is>
          <t>Registro de eventos (Logging)</t>
        </is>
      </c>
      <c r="C75" s="39" t="inlineStr">
        <is>
          <t>#Detectivo</t>
        </is>
      </c>
      <c r="D75" s="39" t="inlineStr">
        <is>
          <t>#Confidencialidad, #Integridad, #Disponibilidad</t>
        </is>
      </c>
      <c r="E75" s="39" t="inlineStr">
        <is>
          <t>#Detectar</t>
        </is>
      </c>
      <c r="F75" s="38" t="inlineStr">
        <is>
          <t>#Seguridad_de_la_información_gestión_de_eventos</t>
        </is>
      </c>
      <c r="G75" s="39" t="inlineStr">
        <is>
          <t>#Defensa</t>
        </is>
      </c>
      <c r="H75" s="39" t="inlineStr">
        <is>
          <t>Obligatorio SEPS (Régimen General)</t>
        </is>
      </c>
      <c r="I75" s="39" t="inlineStr">
        <is>
          <t>C10: Registro de fallos en el control de acceso</t>
        </is>
      </c>
      <c r="J75" s="39" t="inlineStr">
        <is>
          <t>2. Metodología Interna GSO-GSI + ISO 27001</t>
        </is>
      </c>
      <c r="K75" s="39" t="inlineStr">
        <is>
          <t>Aplica</t>
        </is>
      </c>
      <c r="L75" s="39" t="inlineStr">
        <is>
          <t>Requisito interno GSO-GSI</t>
        </is>
      </c>
    </row>
    <row r="76" ht="36" customHeight="1" s="103">
      <c r="A76" s="38" t="inlineStr">
        <is>
          <t>8.16</t>
        </is>
      </c>
      <c r="B76" s="39" t="inlineStr">
        <is>
          <t>Actividades de seguimiento (Monitoring)</t>
        </is>
      </c>
      <c r="C76" s="39" t="inlineStr">
        <is>
          <t>#Detectivo</t>
        </is>
      </c>
      <c r="D76" s="39" t="inlineStr">
        <is>
          <t>#Confidencialidad, #Integridad, #Disponibilidad</t>
        </is>
      </c>
      <c r="E76" s="39" t="inlineStr">
        <is>
          <t>#Detectar</t>
        </is>
      </c>
      <c r="F76" s="38" t="inlineStr">
        <is>
          <t>#Seguridad_de_la_información_gestión_de_eventos</t>
        </is>
      </c>
      <c r="G76" s="39" t="inlineStr">
        <is>
          <t>#Defensa</t>
        </is>
      </c>
      <c r="H76" s="39" t="inlineStr">
        <is>
          <t>Obligatorio SEPS (Régimen General)</t>
        </is>
      </c>
      <c r="I76" s="39" t="inlineStr">
        <is>
          <t>C13: Monitoreo y control</t>
        </is>
      </c>
      <c r="J76" s="39" t="inlineStr">
        <is>
          <t>2. Metodología Interna GSO-GSI + ISO 27001</t>
        </is>
      </c>
      <c r="K76" s="39" t="inlineStr">
        <is>
          <t>Aplica</t>
        </is>
      </c>
      <c r="L76" s="39" t="inlineStr">
        <is>
          <t>Requisito interno GSO-GSI</t>
        </is>
      </c>
    </row>
    <row r="77" ht="36" customHeight="1" s="103">
      <c r="A77" s="38" t="inlineStr">
        <is>
          <t>8.17</t>
        </is>
      </c>
      <c r="B77" s="39" t="inlineStr">
        <is>
          <t>Sincronización de relojes</t>
        </is>
      </c>
      <c r="C77" s="39" t="inlineStr">
        <is>
          <t>#Preventivo</t>
        </is>
      </c>
      <c r="D77" s="39" t="inlineStr">
        <is>
          <t>#Confidencialidad, #Integridad, #Disponibilidad</t>
        </is>
      </c>
      <c r="E77" s="39" t="inlineStr">
        <is>
          <t>#Proteger</t>
        </is>
      </c>
      <c r="F77" s="38" t="inlineStr">
        <is>
          <t>#Seguridad_de_sistemas_y_redes</t>
        </is>
      </c>
      <c r="G77" s="39" t="inlineStr">
        <is>
          <t>#Proteccion</t>
        </is>
      </c>
      <c r="H77" s="39" t="inlineStr">
        <is>
          <t>Obligatorio SEPS (Régimen General)</t>
        </is>
      </c>
      <c r="I77" s="39" t="inlineStr">
        <is>
          <t>-</t>
        </is>
      </c>
      <c r="J77" s="39" t="inlineStr">
        <is>
          <t>1. Regulatorio SEPS 002-2022 + ISO 27001</t>
        </is>
      </c>
      <c r="K77" s="39" t="inlineStr">
        <is>
          <t>Aplica</t>
        </is>
      </c>
      <c r="L77" s="39" t="inlineStr">
        <is>
          <t>Requerido por ente regulador SEPS</t>
        </is>
      </c>
    </row>
    <row r="78" ht="36" customHeight="1" s="103">
      <c r="A78" s="38" t="inlineStr">
        <is>
          <t>8.18</t>
        </is>
      </c>
      <c r="B78" s="39" t="inlineStr">
        <is>
          <t>Uso de programas de utilidad privilegiados</t>
        </is>
      </c>
      <c r="C78" s="39" t="inlineStr">
        <is>
          <t>#Preventivo</t>
        </is>
      </c>
      <c r="D78" s="39" t="inlineStr">
        <is>
          <t>#Confidencialidad, #Integridad, #Disponibilidad</t>
        </is>
      </c>
      <c r="E78" s="39" t="inlineStr">
        <is>
          <t>#Proteger</t>
        </is>
      </c>
      <c r="F78" s="38" t="inlineStr">
        <is>
          <t>#Administración_de_identidad_y_acceso</t>
        </is>
      </c>
      <c r="G78" s="39" t="inlineStr">
        <is>
          <t>#Proteccion</t>
        </is>
      </c>
      <c r="H78" s="39" t="inlineStr">
        <is>
          <t>Obligatorio SEPS (Régimen General)</t>
        </is>
      </c>
      <c r="I78" s="39" t="inlineStr">
        <is>
          <t>-</t>
        </is>
      </c>
      <c r="J78" s="39" t="inlineStr">
        <is>
          <t>1. Regulatorio SEPS 002-2022 + ISO 27001</t>
        </is>
      </c>
      <c r="K78" s="39" t="inlineStr">
        <is>
          <t>Aplica</t>
        </is>
      </c>
      <c r="L78" s="39" t="inlineStr">
        <is>
          <t>Requerido por ente regulador SEPS</t>
        </is>
      </c>
    </row>
    <row r="79" ht="48" customHeight="1" s="103">
      <c r="A79" s="38" t="inlineStr">
        <is>
          <t>8.19</t>
        </is>
      </c>
      <c r="B79" s="39" t="inlineStr">
        <is>
          <t>Instalación de software en sistemas operativos</t>
        </is>
      </c>
      <c r="C79" s="39" t="inlineStr">
        <is>
          <t>#Preventivo</t>
        </is>
      </c>
      <c r="D79" s="39" t="inlineStr">
        <is>
          <t>#Confidencialidad, #Integridad, #Disponibilidad</t>
        </is>
      </c>
      <c r="E79" s="39" t="inlineStr">
        <is>
          <t>#Proteger</t>
        </is>
      </c>
      <c r="F79" s="38" t="inlineStr">
        <is>
          <t>#Configuración_segura</t>
        </is>
      </c>
      <c r="G79" s="39" t="inlineStr">
        <is>
          <t>#Proteccion</t>
        </is>
      </c>
      <c r="H79" s="39" t="inlineStr">
        <is>
          <t>Obligatorio SEPS (Régimen General)</t>
        </is>
      </c>
      <c r="I79" s="39" t="inlineStr">
        <is>
          <t>C12: Actualizaciones periódicas firmware/software</t>
        </is>
      </c>
      <c r="J79" s="39" t="inlineStr">
        <is>
          <t>2. Metodología Interna GSO-GSI + ISO 27001</t>
        </is>
      </c>
      <c r="K79" s="39" t="inlineStr">
        <is>
          <t>Aplica</t>
        </is>
      </c>
      <c r="L79" s="39" t="inlineStr">
        <is>
          <t>Requisito interno GSO-GSI</t>
        </is>
      </c>
    </row>
    <row r="80" ht="48" customHeight="1" s="103">
      <c r="A80" s="38" t="inlineStr">
        <is>
          <t>8.20</t>
        </is>
      </c>
      <c r="B80" s="39" t="inlineStr">
        <is>
          <t>Seguridad de las redes</t>
        </is>
      </c>
      <c r="C80" s="39" t="inlineStr">
        <is>
          <t>#Preventivo</t>
        </is>
      </c>
      <c r="D80" s="39" t="inlineStr">
        <is>
          <t>#Confidencialidad, #Integridad, #Disponibilidad</t>
        </is>
      </c>
      <c r="E80" s="39" t="inlineStr">
        <is>
          <t>#Proteger</t>
        </is>
      </c>
      <c r="F80" s="38" t="inlineStr">
        <is>
          <t>#Seguridad_de_sistemas_y_redes</t>
        </is>
      </c>
      <c r="G80" s="39" t="inlineStr">
        <is>
          <t>#Proteccion</t>
        </is>
      </c>
      <c r="H80" s="39" t="inlineStr">
        <is>
          <t>Obligatorio SEPS (Régimen General)</t>
        </is>
      </c>
      <c r="I80" s="39" t="inlineStr">
        <is>
          <t>C52: Mantenimiento preventivo / Configuración segura</t>
        </is>
      </c>
      <c r="J80" s="39" t="inlineStr">
        <is>
          <t>2. Metodología Interna GSO-GSI + ISO 27001</t>
        </is>
      </c>
      <c r="K80" s="39" t="inlineStr">
        <is>
          <t>Aplica</t>
        </is>
      </c>
      <c r="L80" s="39" t="inlineStr">
        <is>
          <t>Requisito interno GSO-GSI</t>
        </is>
      </c>
    </row>
    <row r="81" ht="36" customHeight="1" s="103">
      <c r="A81" s="38" t="inlineStr">
        <is>
          <t>8.21</t>
        </is>
      </c>
      <c r="B81" s="39" t="inlineStr">
        <is>
          <t>Seguridad de los servicios de red</t>
        </is>
      </c>
      <c r="C81" s="39" t="inlineStr">
        <is>
          <t>#Preventivo</t>
        </is>
      </c>
      <c r="D81" s="39" t="inlineStr">
        <is>
          <t>#Confidencialidad, #Integridad, #Disponibilidad</t>
        </is>
      </c>
      <c r="E81" s="39" t="inlineStr">
        <is>
          <t>#Proteger</t>
        </is>
      </c>
      <c r="F81" s="38" t="inlineStr">
        <is>
          <t>#Seguridad_de_sistemas_y_redes</t>
        </is>
      </c>
      <c r="G81" s="39" t="inlineStr">
        <is>
          <t>#Proteccion</t>
        </is>
      </c>
      <c r="H81" s="39" t="inlineStr">
        <is>
          <t>Obligatorio SEPS (Régimen General)</t>
        </is>
      </c>
      <c r="I81" s="39" t="inlineStr">
        <is>
          <t>-</t>
        </is>
      </c>
      <c r="J81" s="39" t="inlineStr">
        <is>
          <t>1. Regulatorio SEPS 002-2022 + ISO 27001</t>
        </is>
      </c>
      <c r="K81" s="39" t="inlineStr">
        <is>
          <t>Aplica</t>
        </is>
      </c>
      <c r="L81" s="39" t="inlineStr">
        <is>
          <t>Requerido por ente regulador SEPS</t>
        </is>
      </c>
    </row>
    <row r="82" ht="36" customHeight="1" s="103">
      <c r="A82" s="38" t="inlineStr">
        <is>
          <t>8.22</t>
        </is>
      </c>
      <c r="B82" s="39" t="inlineStr">
        <is>
          <t>Segregación de redes</t>
        </is>
      </c>
      <c r="C82" s="39" t="inlineStr">
        <is>
          <t>#Preventivo</t>
        </is>
      </c>
      <c r="D82" s="39" t="inlineStr">
        <is>
          <t>#Confidencialidad, #Integridad, #Disponibilidad</t>
        </is>
      </c>
      <c r="E82" s="39" t="inlineStr">
        <is>
          <t>#Proteger</t>
        </is>
      </c>
      <c r="F82" s="38" t="inlineStr">
        <is>
          <t>#Seguridad_de_sistemas_y_redes</t>
        </is>
      </c>
      <c r="G82" s="39" t="inlineStr">
        <is>
          <t>#Proteccion</t>
        </is>
      </c>
      <c r="H82" s="39" t="inlineStr">
        <is>
          <t>Obligatorio SEPS (Régimen General)</t>
        </is>
      </c>
      <c r="I82" s="39" t="inlineStr">
        <is>
          <t>-</t>
        </is>
      </c>
      <c r="J82" s="39" t="inlineStr">
        <is>
          <t>1. Regulatorio SEPS 002-2022 + ISO 27001</t>
        </is>
      </c>
      <c r="K82" s="39" t="inlineStr">
        <is>
          <t>Aplica</t>
        </is>
      </c>
      <c r="L82" s="39" t="inlineStr">
        <is>
          <t>Requerido por ente regulador SEPS</t>
        </is>
      </c>
    </row>
    <row r="83" ht="60" customHeight="1" s="103">
      <c r="A83" s="38" t="inlineStr">
        <is>
          <t>8.23</t>
        </is>
      </c>
      <c r="B83" s="39" t="inlineStr">
        <is>
          <t>Filtrado web</t>
        </is>
      </c>
      <c r="C83" s="39" t="inlineStr">
        <is>
          <t>#Preventivo</t>
        </is>
      </c>
      <c r="D83" s="39" t="inlineStr">
        <is>
          <t>#Confidencialidad, #Integridad, #Disponibilidad</t>
        </is>
      </c>
      <c r="E83" s="39" t="inlineStr">
        <is>
          <t>#Proteger</t>
        </is>
      </c>
      <c r="F83" s="38" t="inlineStr">
        <is>
          <t>#Seguridad_de_sistemas_y_redes</t>
        </is>
      </c>
      <c r="G83" s="39" t="inlineStr">
        <is>
          <t>#Proteccion</t>
        </is>
      </c>
      <c r="H83" s="39" t="inlineStr">
        <is>
          <t>Mejor Práctica (No obligatorio SEPS)</t>
        </is>
      </c>
      <c r="I83" s="39" t="inlineStr">
        <is>
          <t>-</t>
        </is>
      </c>
      <c r="J83" s="39" t="inlineStr">
        <is>
          <t>3. Tratamiento de Riesgos Específico (ISO 27002 / MAGERIT)</t>
        </is>
      </c>
      <c r="K83" s="39" t="inlineStr">
        <is>
          <t>Aplica</t>
        </is>
      </c>
      <c r="L83" s="39" t="inlineStr">
        <is>
          <t>Requisito de control complementario y mejor práctica de seguridad</t>
        </is>
      </c>
    </row>
    <row r="84" ht="36" customHeight="1" s="103">
      <c r="A84" s="38" t="inlineStr">
        <is>
          <t>8.24</t>
        </is>
      </c>
      <c r="B84" s="39" t="inlineStr">
        <is>
          <t>Uso de criptografía</t>
        </is>
      </c>
      <c r="C84" s="39" t="inlineStr">
        <is>
          <t>#Preventivo</t>
        </is>
      </c>
      <c r="D84" s="39" t="inlineStr">
        <is>
          <t>#Confidencialidad, #Integridad, #Disponibilidad</t>
        </is>
      </c>
      <c r="E84" s="39" t="inlineStr">
        <is>
          <t>#Proteger</t>
        </is>
      </c>
      <c r="F84" s="38" t="inlineStr">
        <is>
          <t>#Protección_de_la_información</t>
        </is>
      </c>
      <c r="G84" s="39" t="inlineStr">
        <is>
          <t>#Proteccion</t>
        </is>
      </c>
      <c r="H84" s="39" t="inlineStr">
        <is>
          <t>Obligatorio SEPS (Régimen General)</t>
        </is>
      </c>
      <c r="I84" s="39" t="inlineStr">
        <is>
          <t>-</t>
        </is>
      </c>
      <c r="J84" s="39" t="inlineStr">
        <is>
          <t>1. Regulatorio SEPS 002-2022 + ISO 27001</t>
        </is>
      </c>
      <c r="K84" s="39" t="inlineStr">
        <is>
          <t>Aplica</t>
        </is>
      </c>
      <c r="L84" s="39" t="inlineStr">
        <is>
          <t>Requerido por ente regulador SEPS</t>
        </is>
      </c>
    </row>
    <row r="85" ht="36" customHeight="1" s="103">
      <c r="A85" s="38" t="inlineStr">
        <is>
          <t>8.25</t>
        </is>
      </c>
      <c r="B85" s="39" t="inlineStr">
        <is>
          <t>Ciclo de vida del desarrollo seguro</t>
        </is>
      </c>
      <c r="C85" s="39" t="inlineStr">
        <is>
          <t>#Preventivo</t>
        </is>
      </c>
      <c r="D85" s="39" t="inlineStr">
        <is>
          <t>#Confidencialidad, #Integridad, #Disponibilidad</t>
        </is>
      </c>
      <c r="E85" s="39" t="inlineStr">
        <is>
          <t>#Proteger</t>
        </is>
      </c>
      <c r="F85" s="38" t="inlineStr">
        <is>
          <t>#Seguridad_de_aplicaciones</t>
        </is>
      </c>
      <c r="G85" s="39" t="inlineStr">
        <is>
          <t>#Proteccion</t>
        </is>
      </c>
      <c r="H85" s="39" t="inlineStr">
        <is>
          <t>Obligatorio SEPS (Régimen General)</t>
        </is>
      </c>
      <c r="I85" s="39" t="inlineStr">
        <is>
          <t>-</t>
        </is>
      </c>
      <c r="J85" s="39" t="inlineStr">
        <is>
          <t>1. Regulatorio SEPS 002-2022 + ISO 27001</t>
        </is>
      </c>
      <c r="K85" s="39" t="inlineStr">
        <is>
          <t>Aplica</t>
        </is>
      </c>
      <c r="L85" s="39" t="inlineStr">
        <is>
          <t>Requerido por ente regulador SEPS</t>
        </is>
      </c>
    </row>
    <row r="86" ht="36" customHeight="1" s="103">
      <c r="A86" s="38" t="inlineStr">
        <is>
          <t>8.26</t>
        </is>
      </c>
      <c r="B86" s="39" t="inlineStr">
        <is>
          <t>Requisitos de seguridad de las aplicaciones</t>
        </is>
      </c>
      <c r="C86" s="39" t="inlineStr">
        <is>
          <t>#Preventivo</t>
        </is>
      </c>
      <c r="D86" s="39" t="inlineStr">
        <is>
          <t>#Confidencialidad, #Integridad, #Disponibilidad</t>
        </is>
      </c>
      <c r="E86" s="39" t="inlineStr">
        <is>
          <t>#Proteger</t>
        </is>
      </c>
      <c r="F86" s="38" t="inlineStr">
        <is>
          <t>#Seguridad_de_aplicaciones</t>
        </is>
      </c>
      <c r="G86" s="39" t="inlineStr">
        <is>
          <t>#Proteccion</t>
        </is>
      </c>
      <c r="H86" s="39" t="inlineStr">
        <is>
          <t>Obligatorio SEPS (Régimen General)</t>
        </is>
      </c>
      <c r="I86" s="39" t="inlineStr">
        <is>
          <t>-</t>
        </is>
      </c>
      <c r="J86" s="39" t="inlineStr">
        <is>
          <t>1. Regulatorio SEPS 002-2022 + ISO 27001</t>
        </is>
      </c>
      <c r="K86" s="39" t="inlineStr">
        <is>
          <t>Aplica</t>
        </is>
      </c>
      <c r="L86" s="39" t="inlineStr">
        <is>
          <t>Requerido por ente regulador SEPS</t>
        </is>
      </c>
    </row>
    <row r="87" ht="48" customHeight="1" s="103">
      <c r="A87" s="38" t="inlineStr">
        <is>
          <t>8.27</t>
        </is>
      </c>
      <c r="B87" s="39" t="inlineStr">
        <is>
          <t>Arquitectura de sistemas seguros y principios de ingeniería</t>
        </is>
      </c>
      <c r="C87" s="39" t="inlineStr">
        <is>
          <t>#Preventivo</t>
        </is>
      </c>
      <c r="D87" s="39" t="inlineStr">
        <is>
          <t>#Confidencialidad, #Integridad, #Disponibilidad</t>
        </is>
      </c>
      <c r="E87" s="39" t="inlineStr">
        <is>
          <t>#Proteger</t>
        </is>
      </c>
      <c r="F87" s="38" t="inlineStr">
        <is>
          <t>#Seguridad_de_aplicaciones</t>
        </is>
      </c>
      <c r="G87" s="39" t="inlineStr">
        <is>
          <t>#Proteccion</t>
        </is>
      </c>
      <c r="H87" s="39" t="inlineStr">
        <is>
          <t>Obligatorio SEPS (Régimen General)</t>
        </is>
      </c>
      <c r="I87" s="39" t="inlineStr">
        <is>
          <t>-</t>
        </is>
      </c>
      <c r="J87" s="39" t="inlineStr">
        <is>
          <t>1. Regulatorio SEPS 002-2022 + ISO 27001</t>
        </is>
      </c>
      <c r="K87" s="39" t="inlineStr">
        <is>
          <t>Aplica</t>
        </is>
      </c>
      <c r="L87" s="39" t="inlineStr">
        <is>
          <t>Requerido por ente regulador SEPS</t>
        </is>
      </c>
    </row>
    <row r="88" ht="36" customHeight="1" s="103">
      <c r="A88" s="38" t="inlineStr">
        <is>
          <t>8.28</t>
        </is>
      </c>
      <c r="B88" s="39" t="inlineStr">
        <is>
          <t>Codificación segura</t>
        </is>
      </c>
      <c r="C88" s="39" t="inlineStr">
        <is>
          <t>#Preventivo</t>
        </is>
      </c>
      <c r="D88" s="39" t="inlineStr">
        <is>
          <t>#Confidencialidad, #Integridad, #Disponibilidad</t>
        </is>
      </c>
      <c r="E88" s="39" t="inlineStr">
        <is>
          <t>#Proteger</t>
        </is>
      </c>
      <c r="F88" s="38" t="inlineStr">
        <is>
          <t>#Seguridad_de_aplicaciones</t>
        </is>
      </c>
      <c r="G88" s="39" t="inlineStr">
        <is>
          <t>#Proteccion</t>
        </is>
      </c>
      <c r="H88" s="39" t="inlineStr">
        <is>
          <t>Obligatorio SEPS (Régimen General)</t>
        </is>
      </c>
      <c r="I88" s="39" t="inlineStr">
        <is>
          <t>-</t>
        </is>
      </c>
      <c r="J88" s="39" t="inlineStr">
        <is>
          <t>1. Regulatorio SEPS 002-2022 + ISO 27001</t>
        </is>
      </c>
      <c r="K88" s="39" t="inlineStr">
        <is>
          <t>Aplica</t>
        </is>
      </c>
      <c r="L88" s="39" t="inlineStr">
        <is>
          <t>Requerido por ente regulador SEPS</t>
        </is>
      </c>
    </row>
    <row r="89" ht="48" customHeight="1" s="103">
      <c r="A89" s="38" t="inlineStr">
        <is>
          <t>8.29</t>
        </is>
      </c>
      <c r="B89" s="39" t="inlineStr">
        <is>
          <t>Pruebas de seguridad en el desarrollo y la aceptación</t>
        </is>
      </c>
      <c r="C89" s="39" t="inlineStr">
        <is>
          <t>#Preventivo, #Detectivo</t>
        </is>
      </c>
      <c r="D89" s="39" t="inlineStr">
        <is>
          <t>#Confidencialidad, #Integridad, #Disponibilidad</t>
        </is>
      </c>
      <c r="E89" s="39" t="inlineStr">
        <is>
          <t>#Proteger</t>
        </is>
      </c>
      <c r="F89" s="38" t="inlineStr">
        <is>
          <t>#Seguridad_de_aplicaciones</t>
        </is>
      </c>
      <c r="G89" s="39" t="inlineStr">
        <is>
          <t>#Proteccion</t>
        </is>
      </c>
      <c r="H89" s="39" t="inlineStr">
        <is>
          <t>Obligatorio SEPS (Régimen General)</t>
        </is>
      </c>
      <c r="I89" s="39" t="inlineStr">
        <is>
          <t>-</t>
        </is>
      </c>
      <c r="J89" s="39" t="inlineStr">
        <is>
          <t>1. Regulatorio SEPS 002-2022 + ISO 27001</t>
        </is>
      </c>
      <c r="K89" s="39" t="inlineStr">
        <is>
          <t>Aplica</t>
        </is>
      </c>
      <c r="L89" s="39" t="inlineStr">
        <is>
          <t>Requerido por ente regulador SEPS</t>
        </is>
      </c>
    </row>
    <row r="90" ht="48" customHeight="1" s="103">
      <c r="A90" s="38" t="inlineStr">
        <is>
          <t>8.30</t>
        </is>
      </c>
      <c r="B90" s="39" t="inlineStr">
        <is>
          <t>Desarrollo externalizado</t>
        </is>
      </c>
      <c r="C90" s="39" t="inlineStr">
        <is>
          <t>#Preventivo</t>
        </is>
      </c>
      <c r="D90" s="39" t="inlineStr">
        <is>
          <t>#Confidencialidad, #Integridad, #Disponibilidad</t>
        </is>
      </c>
      <c r="E90" s="39" t="inlineStr">
        <is>
          <t>#Proteger</t>
        </is>
      </c>
      <c r="F90" s="38" t="inlineStr">
        <is>
          <t>#Seguridad_de_aplicaciones</t>
        </is>
      </c>
      <c r="G90" s="39" t="inlineStr">
        <is>
          <t>#Proteccion</t>
        </is>
      </c>
      <c r="H90" s="39" t="inlineStr">
        <is>
          <t>Mejor Práctica (No obligatorio SEPS)</t>
        </is>
      </c>
      <c r="I90" s="39" t="inlineStr">
        <is>
          <t>-</t>
        </is>
      </c>
      <c r="J90" s="39" t="inlineStr">
        <is>
          <t>3. Tratamiento de Riesgos Específico (ISO 27002 / MAGERIT)</t>
        </is>
      </c>
      <c r="K90" s="39" t="inlineStr">
        <is>
          <t>Aplica</t>
        </is>
      </c>
      <c r="L90" s="39" t="inlineStr">
        <is>
          <t>Requisito de control complementario y mejor práctica de seguridad</t>
        </is>
      </c>
    </row>
    <row r="91" ht="48" customHeight="1" s="103">
      <c r="A91" s="38" t="inlineStr">
        <is>
          <t>8.31</t>
        </is>
      </c>
      <c r="B91" s="39" t="inlineStr">
        <is>
          <t>Separación de entornos de desarrollo, pruebas y producción</t>
        </is>
      </c>
      <c r="C91" s="39" t="inlineStr">
        <is>
          <t>#Preventivo</t>
        </is>
      </c>
      <c r="D91" s="39" t="inlineStr">
        <is>
          <t>#Confidencialidad, #Integridad, #Disponibilidad</t>
        </is>
      </c>
      <c r="E91" s="39" t="inlineStr">
        <is>
          <t>#Proteger</t>
        </is>
      </c>
      <c r="F91" s="38" t="inlineStr">
        <is>
          <t>#Seguridad_de_sistemas_y_redes</t>
        </is>
      </c>
      <c r="G91" s="39" t="inlineStr">
        <is>
          <t>#Proteccion</t>
        </is>
      </c>
      <c r="H91" s="39" t="inlineStr">
        <is>
          <t>Obligatorio SEPS (Régimen General)</t>
        </is>
      </c>
      <c r="I91" s="39" t="inlineStr">
        <is>
          <t>-</t>
        </is>
      </c>
      <c r="J91" s="39" t="inlineStr">
        <is>
          <t>1. Regulatorio SEPS 002-2022 + ISO 27001</t>
        </is>
      </c>
      <c r="K91" s="39" t="inlineStr">
        <is>
          <t>Aplica</t>
        </is>
      </c>
      <c r="L91" s="39" t="inlineStr">
        <is>
          <t>Requerido por ente regulador SEPS</t>
        </is>
      </c>
    </row>
    <row r="92" ht="36" customHeight="1" s="103">
      <c r="A92" s="38" t="inlineStr">
        <is>
          <t>8.32</t>
        </is>
      </c>
      <c r="B92" s="39" t="inlineStr">
        <is>
          <t>Gestión de cambios</t>
        </is>
      </c>
      <c r="C92" s="39" t="inlineStr">
        <is>
          <t>#Preventivo</t>
        </is>
      </c>
      <c r="D92" s="39" t="inlineStr">
        <is>
          <t>#Confidencialidad, #Integridad, #Disponibilidad</t>
        </is>
      </c>
      <c r="E92" s="39" t="inlineStr">
        <is>
          <t>#Proteger</t>
        </is>
      </c>
      <c r="F92" s="38" t="inlineStr">
        <is>
          <t>#Seguridad_de_sistemas_y_redes</t>
        </is>
      </c>
      <c r="G92" s="39" t="inlineStr">
        <is>
          <t>#Proteccion</t>
        </is>
      </c>
      <c r="H92" s="39" t="inlineStr">
        <is>
          <t>Obligatorio SEPS (Régimen General)</t>
        </is>
      </c>
      <c r="I92" s="39" t="inlineStr">
        <is>
          <t>-</t>
        </is>
      </c>
      <c r="J92" s="39" t="inlineStr">
        <is>
          <t>1. Regulatorio SEPS 002-2022 + ISO 27001</t>
        </is>
      </c>
      <c r="K92" s="39" t="inlineStr">
        <is>
          <t>Aplica</t>
        </is>
      </c>
      <c r="L92" s="39" t="inlineStr">
        <is>
          <t>Requerido por ente regulador SEPS</t>
        </is>
      </c>
    </row>
    <row r="93" ht="36" customHeight="1" s="103">
      <c r="A93" s="38" t="inlineStr">
        <is>
          <t>8.33</t>
        </is>
      </c>
      <c r="B93" s="39" t="inlineStr">
        <is>
          <t>Información de prueba</t>
        </is>
      </c>
      <c r="C93" s="39" t="inlineStr">
        <is>
          <t>#Preventivo</t>
        </is>
      </c>
      <c r="D93" s="39" t="inlineStr">
        <is>
          <t>#Confidencialidad, #Integridad, #Disponibilidad</t>
        </is>
      </c>
      <c r="E93" s="39" t="inlineStr">
        <is>
          <t>#Proteger</t>
        </is>
      </c>
      <c r="F93" s="38" t="inlineStr">
        <is>
          <t>#Seguridad_de_aplicaciones</t>
        </is>
      </c>
      <c r="G93" s="39" t="inlineStr">
        <is>
          <t>#Proteccion</t>
        </is>
      </c>
      <c r="H93" s="39" t="inlineStr">
        <is>
          <t>Obligatorio SEPS (Régimen General)</t>
        </is>
      </c>
      <c r="I93" s="39" t="inlineStr">
        <is>
          <t>-</t>
        </is>
      </c>
      <c r="J93" s="39" t="inlineStr">
        <is>
          <t>1. Regulatorio SEPS 002-2022 + ISO 27001</t>
        </is>
      </c>
      <c r="K93" s="39" t="inlineStr">
        <is>
          <t>Aplica</t>
        </is>
      </c>
      <c r="L93" s="39" t="inlineStr">
        <is>
          <t>Requerido por ente regulador SEPS</t>
        </is>
      </c>
    </row>
    <row r="94" ht="60" customHeight="1" s="103">
      <c r="A94" s="38" t="inlineStr">
        <is>
          <t>8.34</t>
        </is>
      </c>
      <c r="B94" s="39" t="inlineStr">
        <is>
          <t>Protección de los sistemas de información durante las pruebas de auditoría</t>
        </is>
      </c>
      <c r="C94" s="39" t="inlineStr">
        <is>
          <t>#Preventivo</t>
        </is>
      </c>
      <c r="D94" s="39" t="inlineStr">
        <is>
          <t>#Confidencialidad, #Integridad, #Disponibilidad</t>
        </is>
      </c>
      <c r="E94" s="39" t="inlineStr">
        <is>
          <t>#Proteger</t>
        </is>
      </c>
      <c r="F94" s="38" t="inlineStr">
        <is>
          <t>#Seguridad_de_sistemas_y_redes</t>
        </is>
      </c>
      <c r="G94" s="39" t="inlineStr">
        <is>
          <t>#Proteccion</t>
        </is>
      </c>
      <c r="H94" s="39" t="inlineStr">
        <is>
          <t>Mejor Práctica (No obligatorio SEPS)</t>
        </is>
      </c>
      <c r="I94" s="39" t="inlineStr">
        <is>
          <t>-</t>
        </is>
      </c>
      <c r="J94" s="39" t="inlineStr">
        <is>
          <t>3. Tratamiento de Riesgos Específico (ISO 27002 / MAGERIT)</t>
        </is>
      </c>
      <c r="K94" s="39" t="inlineStr">
        <is>
          <t>Aplica</t>
        </is>
      </c>
      <c r="L94" s="39" t="inlineStr">
        <is>
          <t>Requisito de control complementario y mejor práctica de seguridad</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39"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3" min="10" max="10"/>
    <col width="19.1640625" customWidth="1" style="103" min="11" max="11"/>
    <col width="18" customWidth="1" style="103" min="12" max="12"/>
    <col width="13.83203125" customWidth="1" style="103" min="13" max="13"/>
    <col width="14.6640625" customWidth="1" style="103" min="14" max="14"/>
  </cols>
  <sheetData>
    <row r="1" ht="33.75" customHeight="1" s="103">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3">
      <c r="A2" s="33">
        <f>'ANEXO A'!A2</f>
        <v/>
      </c>
      <c r="B2" s="39">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3">
      <c r="A3" s="33">
        <f>'ANEXO A'!A3</f>
        <v/>
      </c>
      <c r="B3" s="39">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3">
      <c r="A4" s="33">
        <f>'ANEXO A'!A4</f>
        <v/>
      </c>
      <c r="B4" s="39">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3">
      <c r="A5" s="33">
        <f>'ANEXO A'!A5</f>
        <v/>
      </c>
      <c r="B5" s="39">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3">
      <c r="A6" s="33">
        <f>'ANEXO A'!A6</f>
        <v/>
      </c>
      <c r="B6" s="39">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3">
      <c r="A7" s="33">
        <f>'ANEXO A'!A7</f>
        <v/>
      </c>
      <c r="B7" s="39">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3">
      <c r="A8" s="33">
        <f>'ANEXO A'!A8</f>
        <v/>
      </c>
      <c r="B8" s="39">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3">
      <c r="A9" s="33">
        <f>'ANEXO A'!A9</f>
        <v/>
      </c>
      <c r="B9" s="39">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3">
      <c r="A10" s="33">
        <f>'ANEXO A'!A10</f>
        <v/>
      </c>
      <c r="B10" s="39">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3">
      <c r="A11" s="33">
        <f>'ANEXO A'!A11</f>
        <v/>
      </c>
      <c r="B11" s="39">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3">
      <c r="A12" s="33">
        <f>'ANEXO A'!A12</f>
        <v/>
      </c>
      <c r="B12" s="39">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3">
      <c r="A13" s="33">
        <f>'ANEXO A'!A13</f>
        <v/>
      </c>
      <c r="B13" s="39">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3">
      <c r="A14" s="33">
        <f>'ANEXO A'!A14</f>
        <v/>
      </c>
      <c r="B14" s="39">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3">
      <c r="A15" s="33">
        <f>'ANEXO A'!A15</f>
        <v/>
      </c>
      <c r="B15" s="39">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3">
      <c r="A16" s="33">
        <f>'ANEXO A'!A16</f>
        <v/>
      </c>
      <c r="B16" s="39">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3">
      <c r="A17" s="33">
        <f>'ANEXO A'!A17</f>
        <v/>
      </c>
      <c r="B17" s="39">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3">
      <c r="A18" s="33">
        <f>'ANEXO A'!A18</f>
        <v/>
      </c>
      <c r="B18" s="39">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3">
      <c r="A19" s="33">
        <f>'ANEXO A'!A19</f>
        <v/>
      </c>
      <c r="B19" s="39">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3">
      <c r="A20" s="33">
        <f>'ANEXO A'!A20</f>
        <v/>
      </c>
      <c r="B20" s="39">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3">
      <c r="A21" s="33">
        <f>'ANEXO A'!A21</f>
        <v/>
      </c>
      <c r="B21" s="39">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3">
      <c r="A22" s="33">
        <f>'ANEXO A'!A22</f>
        <v/>
      </c>
      <c r="B22" s="39">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3">
      <c r="A23" s="33">
        <f>'ANEXO A'!A23</f>
        <v/>
      </c>
      <c r="B23" s="39">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3">
      <c r="A24" s="33">
        <f>'ANEXO A'!A24</f>
        <v/>
      </c>
      <c r="B24" s="39">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3">
      <c r="A25" s="33">
        <f>'ANEXO A'!A25</f>
        <v/>
      </c>
      <c r="B25" s="39">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3">
      <c r="A26" s="33">
        <f>'ANEXO A'!A26</f>
        <v/>
      </c>
      <c r="B26" s="39">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3">
      <c r="A27" s="33">
        <f>'ANEXO A'!A27</f>
        <v/>
      </c>
      <c r="B27" s="39">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3">
      <c r="A28" s="33">
        <f>'ANEXO A'!A28</f>
        <v/>
      </c>
      <c r="B28" s="39">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3">
      <c r="A29" s="33">
        <f>'ANEXO A'!A29</f>
        <v/>
      </c>
      <c r="B29" s="39">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3">
      <c r="A30" s="33">
        <f>'ANEXO A'!A30</f>
        <v/>
      </c>
      <c r="B30" s="39">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3">
      <c r="A31" s="33">
        <f>'ANEXO A'!A31</f>
        <v/>
      </c>
      <c r="B31" s="39">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3">
      <c r="A32" s="33">
        <f>'ANEXO A'!A32</f>
        <v/>
      </c>
      <c r="B32" s="39">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3">
      <c r="A33" s="33">
        <f>'ANEXO A'!A33</f>
        <v/>
      </c>
      <c r="B33" s="39">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3">
      <c r="A34" s="33">
        <f>'ANEXO A'!A34</f>
        <v/>
      </c>
      <c r="B34" s="39">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3">
      <c r="A35" s="33">
        <f>'ANEXO A'!A35</f>
        <v/>
      </c>
      <c r="B35" s="39">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3">
      <c r="A36" s="33">
        <f>'ANEXO A'!A36</f>
        <v/>
      </c>
      <c r="B36" s="39">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3">
      <c r="A37" s="33">
        <f>'ANEXO A'!A37</f>
        <v/>
      </c>
      <c r="B37" s="39">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3">
      <c r="A38" s="33">
        <f>'ANEXO A'!A38</f>
        <v/>
      </c>
      <c r="B38" s="39">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3">
      <c r="A39" s="33">
        <f>'ANEXO A'!A39</f>
        <v/>
      </c>
      <c r="B39" s="39">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3">
      <c r="A40" s="33">
        <f>'ANEXO A'!A40</f>
        <v/>
      </c>
      <c r="B40" s="39">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3">
      <c r="A41" s="33">
        <f>'ANEXO A'!A41</f>
        <v/>
      </c>
      <c r="B41" s="39">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3">
      <c r="A42" s="33">
        <f>'ANEXO A'!A42</f>
        <v/>
      </c>
      <c r="B42" s="39">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3">
      <c r="A43" s="33">
        <f>'ANEXO A'!A43</f>
        <v/>
      </c>
      <c r="B43" s="39">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3">
      <c r="A44" s="33">
        <f>'ANEXO A'!A44</f>
        <v/>
      </c>
      <c r="B44" s="39">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3">
      <c r="A45" s="33">
        <f>'ANEXO A'!A45</f>
        <v/>
      </c>
      <c r="B45" s="39">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3">
      <c r="A46" s="33">
        <f>'ANEXO A'!A46</f>
        <v/>
      </c>
      <c r="B46" s="39">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3">
      <c r="A47" s="33">
        <f>'ANEXO A'!A47</f>
        <v/>
      </c>
      <c r="B47" s="39">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3">
      <c r="A48" s="33">
        <f>'ANEXO A'!A48</f>
        <v/>
      </c>
      <c r="B48" s="39">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3">
      <c r="A49" s="33">
        <f>'ANEXO A'!A49</f>
        <v/>
      </c>
      <c r="B49" s="39">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3">
      <c r="A50" s="33">
        <f>'ANEXO A'!A50</f>
        <v/>
      </c>
      <c r="B50" s="39">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3">
      <c r="A51" s="33">
        <f>'ANEXO A'!A51</f>
        <v/>
      </c>
      <c r="B51" s="39">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3">
      <c r="A52" s="33">
        <f>'ANEXO A'!A52</f>
        <v/>
      </c>
      <c r="B52" s="39">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3">
      <c r="A53" s="33">
        <f>'ANEXO A'!A53</f>
        <v/>
      </c>
      <c r="B53" s="39">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3">
      <c r="A54" s="33">
        <f>'ANEXO A'!A54</f>
        <v/>
      </c>
      <c r="B54" s="39">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3">
      <c r="A55" s="33">
        <f>'ANEXO A'!A55</f>
        <v/>
      </c>
      <c r="B55" s="39">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3">
      <c r="A56" s="33">
        <f>'ANEXO A'!A56</f>
        <v/>
      </c>
      <c r="B56" s="39">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3">
      <c r="A57" s="33">
        <f>'ANEXO A'!A57</f>
        <v/>
      </c>
      <c r="B57" s="39">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3">
      <c r="A58" s="33">
        <f>'ANEXO A'!A58</f>
        <v/>
      </c>
      <c r="B58" s="39">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3">
      <c r="A59" s="33">
        <f>'ANEXO A'!A59</f>
        <v/>
      </c>
      <c r="B59" s="39">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3">
      <c r="A60" s="33">
        <f>'ANEXO A'!A60</f>
        <v/>
      </c>
      <c r="B60" s="39">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3">
      <c r="A61" s="33">
        <f>'ANEXO A'!A61</f>
        <v/>
      </c>
      <c r="B61" s="39">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3">
      <c r="A62" s="33">
        <f>'ANEXO A'!A62</f>
        <v/>
      </c>
      <c r="B62" s="39">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3">
      <c r="A63" s="33">
        <f>'ANEXO A'!A63</f>
        <v/>
      </c>
      <c r="B63" s="39">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3">
      <c r="A64" s="33">
        <f>'ANEXO A'!A64</f>
        <v/>
      </c>
      <c r="B64" s="39">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3">
      <c r="A65" s="33">
        <f>'ANEXO A'!A65</f>
        <v/>
      </c>
      <c r="B65" s="39">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3">
      <c r="A66" s="33">
        <f>'ANEXO A'!A66</f>
        <v/>
      </c>
      <c r="B66" s="39">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3">
      <c r="A67" s="33">
        <f>'ANEXO A'!A67</f>
        <v/>
      </c>
      <c r="B67" s="39">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3">
      <c r="A68" s="33">
        <f>'ANEXO A'!A68</f>
        <v/>
      </c>
      <c r="B68" s="39">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3">
      <c r="A69" s="33">
        <f>'ANEXO A'!A69</f>
        <v/>
      </c>
      <c r="B69" s="39">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3">
      <c r="A70" s="33">
        <f>'ANEXO A'!A70</f>
        <v/>
      </c>
      <c r="B70" s="39">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3">
      <c r="A71" s="33">
        <f>'ANEXO A'!A71</f>
        <v/>
      </c>
      <c r="B71" s="39">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3">
      <c r="A72" s="33">
        <f>'ANEXO A'!A72</f>
        <v/>
      </c>
      <c r="B72" s="39">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3">
      <c r="A73" s="33">
        <f>'ANEXO A'!A73</f>
        <v/>
      </c>
      <c r="B73" s="39">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3">
      <c r="A74" s="33">
        <f>'ANEXO A'!A74</f>
        <v/>
      </c>
      <c r="B74" s="39">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3">
      <c r="A75" s="33">
        <f>'ANEXO A'!A75</f>
        <v/>
      </c>
      <c r="B75" s="39">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3">
      <c r="A76" s="33">
        <f>'ANEXO A'!A76</f>
        <v/>
      </c>
      <c r="B76" s="39">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3">
      <c r="A77" s="33">
        <f>'ANEXO A'!A77</f>
        <v/>
      </c>
      <c r="B77" s="39">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3">
      <c r="A78" s="33">
        <f>'ANEXO A'!A78</f>
        <v/>
      </c>
      <c r="B78" s="39">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3">
      <c r="A79" s="33">
        <f>'ANEXO A'!A79</f>
        <v/>
      </c>
      <c r="B79" s="39">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3">
      <c r="A80" s="33">
        <f>'ANEXO A'!A80</f>
        <v/>
      </c>
      <c r="B80" s="39">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3">
      <c r="A81" s="33">
        <f>'ANEXO A'!A81</f>
        <v/>
      </c>
      <c r="B81" s="39">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3">
      <c r="A82" s="33">
        <f>'ANEXO A'!A82</f>
        <v/>
      </c>
      <c r="B82" s="39">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3">
      <c r="A83" s="33">
        <f>'ANEXO A'!A83</f>
        <v/>
      </c>
      <c r="B83" s="39">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3">
      <c r="A84" s="33">
        <f>'ANEXO A'!A84</f>
        <v/>
      </c>
      <c r="B84" s="39">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3">
      <c r="A85" s="33">
        <f>'ANEXO A'!A85</f>
        <v/>
      </c>
      <c r="B85" s="39">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3">
      <c r="A86" s="33">
        <f>'ANEXO A'!A86</f>
        <v/>
      </c>
      <c r="B86" s="39">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3">
      <c r="A87" s="33">
        <f>'ANEXO A'!A87</f>
        <v/>
      </c>
      <c r="B87" s="39">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3">
      <c r="A88" s="33">
        <f>'ANEXO A'!A88</f>
        <v/>
      </c>
      <c r="B88" s="39">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3">
      <c r="A89" s="33">
        <f>'ANEXO A'!A89</f>
        <v/>
      </c>
      <c r="B89" s="39">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3">
      <c r="A90" s="33">
        <f>'ANEXO A'!A90</f>
        <v/>
      </c>
      <c r="B90" s="39">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3">
      <c r="A91" s="33">
        <f>'ANEXO A'!A91</f>
        <v/>
      </c>
      <c r="B91" s="39">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3">
      <c r="A92" s="33">
        <f>'ANEXO A'!A92</f>
        <v/>
      </c>
      <c r="B92" s="39">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3">
      <c r="A93" s="33">
        <f>'ANEXO A'!A93</f>
        <v/>
      </c>
      <c r="B93" s="39">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3">
      <c r="A94" s="33">
        <f>'ANEXO A'!A94</f>
        <v/>
      </c>
      <c r="B94" s="39">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
  <sheetViews>
    <sheetView tabSelected="1" topLeftCell="F1" workbookViewId="0">
      <selection activeCell="F3" sqref="F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39" min="10" max="10"/>
    <col width="46.83203125" customWidth="1" style="39" min="11" max="11"/>
    <col width="37.1640625" customWidth="1" style="39"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6384"/>
  </cols>
  <sheetData>
    <row r="1" ht="33.75" customFormat="1" customHeight="1" s="39">
      <c r="A1" s="105" t="inlineStr">
        <is>
          <t>ID Control</t>
        </is>
      </c>
      <c r="B1" s="105" t="inlineStr">
        <is>
          <t>Nombre del Control</t>
        </is>
      </c>
      <c r="C1" s="105" t="inlineStr">
        <is>
          <t>Dominio ISO 27001</t>
        </is>
      </c>
      <c r="D1" s="105" t="inlineStr">
        <is>
          <t>¿Aplica?</t>
        </is>
      </c>
      <c r="E1" s="105" t="inlineStr">
        <is>
          <t>Obligatoriedad Regulatoria SEPS</t>
        </is>
      </c>
      <c r="F1" s="105" t="inlineStr">
        <is>
          <t>Control Metodología GSO-GSI</t>
        </is>
      </c>
      <c r="G1" s="105" t="inlineStr">
        <is>
          <t>Origen de Aplicabilidad</t>
        </is>
      </c>
      <c r="H1" s="105"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row>
    <row r="2" ht="67.5" customHeight="1" s="103">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39">
        <f>"• Establecer lineamientos para " &amp; IFERROR(VLOOKUP(A2, 'ANEXO A'!$A$2:$L$94, 2, FALSE), "Este Control") &amp; CHAR(10) &amp; "• Definir roles para el control " &amp; A2 &amp; CHAR(10) &amp; "• Revisar efectividad de " &amp; IFERROR(VLOOKUP(A2, 'ANEXO A'!$A$2:$L$94, 2, FALSE), "Este Control")</f>
        <v/>
      </c>
      <c r="K2" s="39"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39" t="inlineStr">
        <is>
          <t>La organización deberá implementar, registrar y monitorear operativamente todos los protocolos relacionados a Políticas para la seguridad de la información, estableciendo políticas técnicas correspondientes.</t>
        </is>
      </c>
    </row>
    <row r="3" ht="78.75" customHeight="1" s="103">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39">
        <f>"• Establecer lineamientos para " &amp; IFERROR(VLOOKUP(A3, 'ANEXO A'!$A$2:$L$94, 2, FALSE), "Este Control") &amp; CHAR(10) &amp; "• Definir roles para el control " &amp; A3 &amp; CHAR(10) &amp; "• Revisar efectividad de " &amp; IFERROR(VLOOKUP(A3, 'ANEXO A'!$A$2:$L$94, 2, FALSE), "Este Control")</f>
        <v/>
      </c>
      <c r="K3" s="39"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39" t="inlineStr">
        <is>
          <t>La organización deberá implementar, registrar y monitorear operativamente todos los protocolos relacionados a Funciones y responsabilidades de seguridad de la información, estableciendo políticas técnicas correspondientes.</t>
        </is>
      </c>
    </row>
    <row r="4" ht="56.25" customHeight="1" s="103">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39">
        <f>"• Establecer lineamientos para " &amp; IFERROR(VLOOKUP(A4, 'ANEXO A'!$A$2:$L$94, 2, FALSE), "Este Control") &amp; CHAR(10) &amp; "• Definir roles para el control " &amp; A4 &amp; CHAR(10) &amp; "• Revisar efectividad de " &amp; IFERROR(VLOOKUP(A4, 'ANEXO A'!$A$2:$L$94, 2, FALSE), "Este Control")</f>
        <v/>
      </c>
      <c r="K4" s="39" t="inlineStr">
        <is>
          <t>Asegurar el cumplimiento, control y resguardo continuo de los procesos de Segregación de funciones a fin de mitigar riesgos y mantener la alineación a los principios de confidencialidad, integridad y disponibilidad aplicables a este dominio.</t>
        </is>
      </c>
      <c r="L4" s="39" t="inlineStr">
        <is>
          <t>La organización deberá implementar, registrar y monitorear operativamente todos los protocolos relacionados a Segregación de funciones, estableciendo políticas técnicas correspondientes.</t>
        </is>
      </c>
    </row>
    <row r="5" ht="67.5" customHeight="1" s="103">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39">
        <f>"• Establecer lineamientos para " &amp; IFERROR(VLOOKUP(A5, 'ANEXO A'!$A$2:$L$94, 2, FALSE), "Este Control") &amp; CHAR(10) &amp; "• Definir roles para el control " &amp; A5 &amp; CHAR(10) &amp; "• Revisar efectividad de " &amp; IFERROR(VLOOKUP(A5, 'ANEXO A'!$A$2:$L$94, 2, FALSE), "Este Control")</f>
        <v/>
      </c>
      <c r="K5" s="39" t="inlineStr">
        <is>
          <t>Asegurar el cumplimiento, control y resguardo continuo de los procesos de Responsabilidades de la dirección a fin de mitigar riesgos y mantener la alineación a los principios de confidencialidad, integridad y disponibilidad aplicables a este dominio.</t>
        </is>
      </c>
      <c r="L5" s="39" t="inlineStr">
        <is>
          <t>La organización deberá implementar, registrar y monitorear operativamente todos los protocolos relacionados a Responsabilidades de la dirección, estableciendo políticas técnicas correspondientes.</t>
        </is>
      </c>
    </row>
    <row r="6" ht="56.25" customHeight="1" s="103">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39">
        <f>"• Establecer lineamientos para " &amp; IFERROR(VLOOKUP(A6, 'ANEXO A'!$A$2:$L$94, 2, FALSE), "Este Control") &amp; CHAR(10) &amp; "• Definir roles para el control " &amp; A6 &amp; CHAR(10) &amp; "• Revisar efectividad de " &amp; IFERROR(VLOOKUP(A6, 'ANEXO A'!$A$2:$L$94, 2, FALSE), "Este Control")</f>
        <v/>
      </c>
      <c r="K6" s="39" t="inlineStr">
        <is>
          <t>Asegurar el cumplimiento, control y resguardo continuo de los procesos de Contacto con las autoridades a fin de mitigar riesgos y mantener la alineación a los principios de confidencialidad, integridad y disponibilidad aplicables a este dominio.</t>
        </is>
      </c>
      <c r="L6" s="39" t="inlineStr">
        <is>
          <t>La organización deberá implementar, registrar y monitorear operativamente todos los protocolos relacionados a Contacto con las autoridades, estableciendo políticas técnicas correspondientes.</t>
        </is>
      </c>
    </row>
    <row r="7" ht="67.5" customHeight="1" s="103">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39">
        <f>"• Establecer lineamientos para " &amp; IFERROR(VLOOKUP(A7, 'ANEXO A'!$A$2:$L$94, 2, FALSE), "Este Control") &amp; CHAR(10) &amp; "• Definir roles para el control " &amp; A7 &amp; CHAR(10) &amp; "• Revisar efectividad de " &amp; IFERROR(VLOOKUP(A7, 'ANEXO A'!$A$2:$L$94, 2, FALSE), "Este Control")</f>
        <v/>
      </c>
      <c r="K7" s="39"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39" t="inlineStr">
        <is>
          <t>La organización deberá implementar, registrar y monitorear operativamente todos los protocolos relacionados a Contacto con grupos de interés especial, estableciendo políticas técnicas correspondientes.</t>
        </is>
      </c>
    </row>
    <row r="8" ht="56.25" customHeight="1" s="103">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39">
        <f>"• Establecer lineamientos para " &amp; IFERROR(VLOOKUP(A8, 'ANEXO A'!$A$2:$L$94, 2, FALSE), "Este Control") &amp; CHAR(10) &amp; "• Definir roles para el control " &amp; A8 &amp; CHAR(10) &amp; "• Revisar efectividad de " &amp; IFERROR(VLOOKUP(A8, 'ANEXO A'!$A$2:$L$94, 2, FALSE), "Este Control")</f>
        <v/>
      </c>
      <c r="K8" s="39" t="inlineStr">
        <is>
          <t>Asegurar el cumplimiento, control y resguardo continuo de los procesos de Inteligencia de amenazas a fin de mitigar riesgos y mantener la alineación a los principios de confidencialidad, integridad y disponibilidad aplicables a este dominio.</t>
        </is>
      </c>
      <c r="L8" s="39" t="inlineStr">
        <is>
          <t>La organización deberá implementar, registrar y monitorear operativamente todos los protocolos relacionados a Inteligencia de amenazas, estableciendo políticas técnicas correspondientes.</t>
        </is>
      </c>
    </row>
    <row r="9" ht="78.75" customHeight="1" s="103">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39">
        <f>"• Establecer lineamientos para " &amp; IFERROR(VLOOKUP(A9, 'ANEXO A'!$A$2:$L$94, 2, FALSE), "Este Control") &amp; CHAR(10) &amp; "• Definir roles para el control " &amp; A9 &amp; CHAR(10) &amp; "• Revisar efectividad de " &amp; IFERROR(VLOOKUP(A9, 'ANEXO A'!$A$2:$L$94, 2, FALSE), "Este Control")</f>
        <v/>
      </c>
      <c r="K9" s="39"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39" t="inlineStr">
        <is>
          <t>La organización deberá implementar, registrar y monitorear operativamente todos los protocolos relacionados a Seguridad de la información en la gestión de proyectos, estableciendo políticas técnicas correspondientes.</t>
        </is>
      </c>
    </row>
    <row r="10" ht="78.75" customHeight="1" s="103">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39">
        <f>"• Establecer lineamientos para " &amp; IFERROR(VLOOKUP(A10, 'ANEXO A'!$A$2:$L$94, 2, FALSE), "Este Control") &amp; CHAR(10) &amp; "• Definir roles para el control " &amp; A10 &amp; CHAR(10) &amp; "• Revisar efectividad de " &amp; IFERROR(VLOOKUP(A10, 'ANEXO A'!$A$2:$L$94, 2, FALSE), "Este Control")</f>
        <v/>
      </c>
      <c r="K10" s="39"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39" t="inlineStr">
        <is>
          <t>La organización deberá implementar, registrar y monitorear operativamente todos los protocolos relacionados a Inventario de información y otros activos asociados, estableciendo políticas técnicas correspondientes.</t>
        </is>
      </c>
    </row>
    <row r="11" ht="78.75" customHeight="1" s="103">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39">
        <f>"• Establecer lineamientos para " &amp; IFERROR(VLOOKUP(A11, 'ANEXO A'!$A$2:$L$94, 2, FALSE), "Este Control") &amp; CHAR(10) &amp; "• Definir roles para el control " &amp; A11 &amp; CHAR(10) &amp; "• Revisar efectividad de " &amp; IFERROR(VLOOKUP(A11, 'ANEXO A'!$A$2:$L$94, 2, FALSE), "Este Control")</f>
        <v/>
      </c>
      <c r="K11" s="39"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39" t="inlineStr">
        <is>
          <t>La organización deberá implementar, registrar y monitorear operativamente todos los protocolos relacionados a Uso aceptable de la información y otros activos asociados, estableciendo políticas técnicas correspondientes.</t>
        </is>
      </c>
    </row>
    <row r="12" ht="56.25" customHeight="1" s="103">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39">
        <f>"• Establecer lineamientos para " &amp; IFERROR(VLOOKUP(A12, 'ANEXO A'!$A$2:$L$94, 2, FALSE), "Este Control") &amp; CHAR(10) &amp; "• Definir roles para el control " &amp; A12 &amp; CHAR(10) &amp; "• Revisar efectividad de " &amp; IFERROR(VLOOKUP(A12, 'ANEXO A'!$A$2:$L$94, 2, FALSE), "Este Control")</f>
        <v/>
      </c>
      <c r="K12" s="39" t="inlineStr">
        <is>
          <t>Asegurar el cumplimiento, control y resguardo continuo de los procesos de Devolución de activos a fin de mitigar riesgos y mantener la alineación a los principios de confidencialidad, integridad y disponibilidad aplicables a este dominio.</t>
        </is>
      </c>
      <c r="L12" s="39" t="inlineStr">
        <is>
          <t>La organización deberá implementar, registrar y monitorear operativamente todos los protocolos relacionados a Devolución de activos, estableciendo políticas técnicas correspondientes.</t>
        </is>
      </c>
    </row>
    <row r="13" ht="56.25" customHeight="1" s="103">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39">
        <f>"• Establecer lineamientos para " &amp; IFERROR(VLOOKUP(A13, 'ANEXO A'!$A$2:$L$94, 2, FALSE), "Este Control") &amp; CHAR(10) &amp; "• Definir roles para el control " &amp; A13 &amp; CHAR(10) &amp; "• Revisar efectividad de " &amp; IFERROR(VLOOKUP(A13, 'ANEXO A'!$A$2:$L$94, 2, FALSE), "Este Control")</f>
        <v/>
      </c>
      <c r="K13" s="39" t="inlineStr">
        <is>
          <t>Asegurar el cumplimiento, control y resguardo continuo de los procesos de Clasificación de la información a fin de mitigar riesgos y mantener la alineación a los principios de confidencialidad, integridad y disponibilidad aplicables a este dominio.</t>
        </is>
      </c>
      <c r="L13" s="39" t="inlineStr">
        <is>
          <t>La organización deberá implementar, registrar y monitorear operativamente todos los protocolos relacionados a Clasificación de la información, estableciendo políticas técnicas correspondientes.</t>
        </is>
      </c>
    </row>
    <row r="14" ht="56.25" customHeight="1" s="103">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39">
        <f>"• Establecer lineamientos para " &amp; IFERROR(VLOOKUP(A14, 'ANEXO A'!$A$2:$L$94, 2, FALSE), "Este Control") &amp; CHAR(10) &amp; "• Definir roles para el control " &amp; A14 &amp; CHAR(10) &amp; "• Revisar efectividad de " &amp; IFERROR(VLOOKUP(A14, 'ANEXO A'!$A$2:$L$94, 2, FALSE), "Este Control")</f>
        <v/>
      </c>
      <c r="K14" s="39" t="inlineStr">
        <is>
          <t>Asegurar el cumplimiento, control y resguardo continuo de los procesos de Etiquetado de la información a fin de mitigar riesgos y mantener la alineación a los principios de confidencialidad, integridad y disponibilidad aplicables a este dominio.</t>
        </is>
      </c>
      <c r="L14" s="39" t="inlineStr">
        <is>
          <t>La organización deberá implementar, registrar y monitorear operativamente todos los protocolos relacionados a Etiquetado de la información, estableciendo políticas técnicas correspondientes.</t>
        </is>
      </c>
    </row>
    <row r="15" ht="67.5" customHeight="1" s="103">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39">
        <f>"• Establecer lineamientos para " &amp; IFERROR(VLOOKUP(A15, 'ANEXO A'!$A$2:$L$94, 2, FALSE), "Este Control") &amp; CHAR(10) &amp; "• Definir roles para el control " &amp; A15 &amp; CHAR(10) &amp; "• Revisar efectividad de " &amp; IFERROR(VLOOKUP(A15, 'ANEXO A'!$A$2:$L$94, 2, FALSE), "Este Control")</f>
        <v/>
      </c>
      <c r="K15" s="39" t="inlineStr">
        <is>
          <t>Asegurar el cumplimiento, control y resguardo continuo de los procesos de Transferencia de información a fin de mitigar riesgos y mantener la alineación a los principios de confidencialidad, integridad y disponibilidad aplicables a este dominio.</t>
        </is>
      </c>
      <c r="L15" s="39" t="inlineStr">
        <is>
          <t>La organización deberá implementar, registrar y monitorear operativamente todos los protocolos relacionados a Transferencia de información, estableciendo políticas técnicas correspondientes.</t>
        </is>
      </c>
    </row>
    <row r="16" ht="56.25" customHeight="1" s="103">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39">
        <f>"• Establecer lineamientos para " &amp; IFERROR(VLOOKUP(A16, 'ANEXO A'!$A$2:$L$94, 2, FALSE), "Este Control") &amp; CHAR(10) &amp; "• Definir roles para el control " &amp; A16 &amp; CHAR(10) &amp; "• Revisar efectividad de " &amp; IFERROR(VLOOKUP(A16, 'ANEXO A'!$A$2:$L$94, 2, FALSE), "Este Control")</f>
        <v/>
      </c>
      <c r="K16" s="39" t="inlineStr">
        <is>
          <t>Asegurar el cumplimiento, control y resguardo continuo de los procesos de Control de acceso a fin de mitigar riesgos y mantener la alineación a los principios de confidencialidad, integridad y disponibilidad aplicables a este dominio.</t>
        </is>
      </c>
      <c r="L16" s="39" t="inlineStr">
        <is>
          <t>La organización deberá implementar, registrar y monitorear operativamente todos los protocolos relacionados a Control de acceso, estableciendo políticas técnicas correspondientes.</t>
        </is>
      </c>
    </row>
    <row r="17" ht="56.25" customHeight="1" s="103">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39">
        <f>"• Establecer lineamientos para " &amp; IFERROR(VLOOKUP(A17, 'ANEXO A'!$A$2:$L$94, 2, FALSE), "Este Control") &amp; CHAR(10) &amp; "• Definir roles para el control " &amp; A17 &amp; CHAR(10) &amp; "• Revisar efectividad de " &amp; IFERROR(VLOOKUP(A17, 'ANEXO A'!$A$2:$L$94, 2, FALSE), "Este Control")</f>
        <v/>
      </c>
      <c r="K17" s="39" t="inlineStr">
        <is>
          <t>Asegurar el cumplimiento, control y resguardo continuo de los procesos de Gestión de identidades a fin de mitigar riesgos y mantener la alineación a los principios de confidencialidad, integridad y disponibilidad aplicables a este dominio.</t>
        </is>
      </c>
      <c r="L17" s="39" t="inlineStr">
        <is>
          <t>La organización deberá implementar, registrar y monitorear operativamente todos los protocolos relacionados a Gestión de identidades, estableciendo políticas técnicas correspondientes.</t>
        </is>
      </c>
    </row>
    <row r="18" ht="56.25" customHeight="1" s="103">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39">
        <f>"• Establecer lineamientos para " &amp; IFERROR(VLOOKUP(A18, 'ANEXO A'!$A$2:$L$94, 2, FALSE), "Este Control") &amp; CHAR(10) &amp; "• Definir roles para el control " &amp; A18 &amp; CHAR(10) &amp; "• Revisar efectividad de " &amp; IFERROR(VLOOKUP(A18, 'ANEXO A'!$A$2:$L$94, 2, FALSE), "Este Control")</f>
        <v/>
      </c>
      <c r="K18" s="39" t="inlineStr">
        <is>
          <t>Asegurar el cumplimiento, control y resguardo continuo de los procesos de Información de autenticación a fin de mitigar riesgos y mantener la alineación a los principios de confidencialidad, integridad y disponibilidad aplicables a este dominio.</t>
        </is>
      </c>
      <c r="L18" s="39" t="inlineStr">
        <is>
          <t>La organización deberá implementar, registrar y monitorear operativamente todos los protocolos relacionados a Información de autenticación, estableciendo políticas técnicas correspondientes.</t>
        </is>
      </c>
    </row>
    <row r="19" ht="56.25" customHeight="1" s="103">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39">
        <f>"• Establecer lineamientos para " &amp; IFERROR(VLOOKUP(A19, 'ANEXO A'!$A$2:$L$94, 2, FALSE), "Este Control") &amp; CHAR(10) &amp; "• Definir roles para el control " &amp; A19 &amp; CHAR(10) &amp; "• Revisar efectividad de " &amp; IFERROR(VLOOKUP(A19, 'ANEXO A'!$A$2:$L$94, 2, FALSE), "Este Control")</f>
        <v/>
      </c>
      <c r="K19" s="39" t="inlineStr">
        <is>
          <t>Asegurar el cumplimiento, control y resguardo continuo de los procesos de Derechos de acceso a fin de mitigar riesgos y mantener la alineación a los principios de confidencialidad, integridad y disponibilidad aplicables a este dominio.</t>
        </is>
      </c>
      <c r="L19" s="39" t="inlineStr">
        <is>
          <t>La organización deberá implementar, registrar y monitorear operativamente todos los protocolos relacionados a Derechos de acceso, estableciendo políticas técnicas correspondientes.</t>
        </is>
      </c>
    </row>
    <row r="20" ht="78.75" customHeight="1" s="103">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39">
        <f>"• Establecer lineamientos para " &amp; IFERROR(VLOOKUP(A20, 'ANEXO A'!$A$2:$L$94, 2, FALSE), "Este Control") &amp; CHAR(10) &amp; "• Definir roles para el control " &amp; A20 &amp; CHAR(10) &amp; "• Revisar efectividad de " &amp; IFERROR(VLOOKUP(A20, 'ANEXO A'!$A$2:$L$94, 2, FALSE), "Este Control")</f>
        <v/>
      </c>
      <c r="K20" s="39"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39" t="inlineStr">
        <is>
          <t>La organización deberá implementar, registrar y monitorear operativamente todos los protocolos relacionados a Seguridad de la información en las relaciones con los proveedores, estableciendo políticas técnicas correspondientes.</t>
        </is>
      </c>
    </row>
    <row r="21" ht="90" customHeight="1" s="103">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39">
        <f>"• Establecer lineamientos para " &amp; IFERROR(VLOOKUP(A21, 'ANEXO A'!$A$2:$L$94, 2, FALSE), "Este Control") &amp; CHAR(10) &amp; "• Definir roles para el control " &amp; A21 &amp; CHAR(10) &amp; "• Revisar efectividad de " &amp; IFERROR(VLOOKUP(A21, 'ANEXO A'!$A$2:$L$94, 2, FALSE), "Este Control")</f>
        <v/>
      </c>
      <c r="K21" s="39"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39" t="inlineStr">
        <is>
          <t>La organización deberá implementar, registrar y monitorear operativamente todos los protocolos relacionados a Tratamiento de la seguridad de la información en los acuerdos con los proveedores, estableciendo políticas técnicas correspondientes.</t>
        </is>
      </c>
    </row>
    <row r="22" ht="90" customHeight="1" s="103">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39">
        <f>"• Establecer lineamientos para " &amp; IFERROR(VLOOKUP(A22, 'ANEXO A'!$A$2:$L$94, 2, FALSE), "Este Control") &amp; CHAR(10) &amp; "• Definir roles para el control " &amp; A22 &amp; CHAR(10) &amp; "• Revisar efectividad de " &amp; IFERROR(VLOOKUP(A22, 'ANEXO A'!$A$2:$L$94, 2, FALSE), "Este Control")</f>
        <v/>
      </c>
      <c r="K22" s="39"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39" t="inlineStr">
        <is>
          <t>La organización deberá implementar, registrar y monitorear operativamente todos los protocolos relacionados a Gestión de la seguridad de la información en la cadena de suministro de TIC, estableciendo políticas técnicas correspondientes.</t>
        </is>
      </c>
    </row>
    <row r="23" ht="90" customHeight="1" s="103">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39">
        <f>"• Establecer lineamientos para " &amp; IFERROR(VLOOKUP(A23, 'ANEXO A'!$A$2:$L$94, 2, FALSE), "Este Control") &amp; CHAR(10) &amp; "• Definir roles para el control " &amp; A23 &amp; CHAR(10) &amp; "• Revisar efectividad de " &amp; IFERROR(VLOOKUP(A23, 'ANEXO A'!$A$2:$L$94, 2, FALSE), "Este Control")</f>
        <v/>
      </c>
      <c r="K23" s="39"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39" t="inlineStr">
        <is>
          <t>La organización deberá implementar, registrar y monitorear operativamente todos los protocolos relacionados a Seguimiento, revisión y gestión de cambios en los servicios de los proveedores, estableciendo políticas técnicas correspondientes.</t>
        </is>
      </c>
    </row>
    <row r="24" ht="78.75" customHeight="1" s="103">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39">
        <f>"• Establecer lineamientos para " &amp; IFERROR(VLOOKUP(A24, 'ANEXO A'!$A$2:$L$94, 2, FALSE), "Este Control") &amp; CHAR(10) &amp; "• Definir roles para el control " &amp; A24 &amp; CHAR(10) &amp; "• Revisar efectividad de " &amp; IFERROR(VLOOKUP(A24, 'ANEXO A'!$A$2:$L$94, 2, FALSE), "Este Control")</f>
        <v/>
      </c>
      <c r="K24" s="39"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39" t="inlineStr">
        <is>
          <t>La organización deberá implementar, registrar y monitorear operativamente todos los protocolos relacionados a Seguridad de la información en el uso de servicios en la nube, estableciendo políticas técnicas correspondientes.</t>
        </is>
      </c>
    </row>
    <row r="25" ht="78.75" customHeight="1" s="103">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39">
        <f>"• Establecer lineamientos para " &amp; IFERROR(VLOOKUP(A25, 'ANEXO A'!$A$2:$L$94, 2, FALSE), "Este Control") &amp; CHAR(10) &amp; "• Definir roles para el control " &amp; A25 &amp; CHAR(10) &amp; "• Revisar efectividad de " &amp; IFERROR(VLOOKUP(A25, 'ANEXO A'!$A$2:$L$94, 2, FALSE), "Este Control")</f>
        <v/>
      </c>
      <c r="K25" s="39"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39" t="inlineStr">
        <is>
          <t>La organización deberá implementar, registrar y monitorear operativamente todos los protocolos relacionados a Planificación y preparación de la gestión de incidentes, estableciendo políticas técnicas correspondientes.</t>
        </is>
      </c>
    </row>
    <row r="26" ht="78.75" customHeight="1" s="103">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39">
        <f>"• Establecer lineamientos para " &amp; IFERROR(VLOOKUP(A26, 'ANEXO A'!$A$2:$L$94, 2, FALSE), "Este Control") &amp; CHAR(10) &amp; "• Definir roles para el control " &amp; A26 &amp; CHAR(10) &amp; "• Revisar efectividad de " &amp; IFERROR(VLOOKUP(A26, 'ANEXO A'!$A$2:$L$94, 2, FALSE), "Este Control")</f>
        <v/>
      </c>
      <c r="K26" s="39"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39" t="inlineStr">
        <is>
          <t>La organización deberá implementar, registrar y monitorear operativamente todos los protocolos relacionados a Evaluación y decisión sobre los eventos de seguridad, estableciendo políticas técnicas correspondientes.</t>
        </is>
      </c>
    </row>
    <row r="27" ht="78.75" customHeight="1" s="103">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39">
        <f>"• Establecer lineamientos para " &amp; IFERROR(VLOOKUP(A27, 'ANEXO A'!$A$2:$L$94, 2, FALSE), "Este Control") &amp; CHAR(10) &amp; "• Definir roles para el control " &amp; A27 &amp; CHAR(10) &amp; "• Revisar efectividad de " &amp; IFERROR(VLOOKUP(A27, 'ANEXO A'!$A$2:$L$94, 2, FALSE), "Este Control")</f>
        <v/>
      </c>
      <c r="K27" s="39"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39" t="inlineStr">
        <is>
          <t>La organización deberá implementar, registrar y monitorear operativamente todos los protocolos relacionados a Respuesta a los incidentes de seguridad de la información, estableciendo políticas técnicas correspondientes.</t>
        </is>
      </c>
    </row>
    <row r="28" ht="78.75" customHeight="1" s="103">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39">
        <f>"• Establecer lineamientos para " &amp; IFERROR(VLOOKUP(A28, 'ANEXO A'!$A$2:$L$94, 2, FALSE), "Este Control") &amp; CHAR(10) &amp; "• Definir roles para el control " &amp; A28 &amp; CHAR(10) &amp; "• Revisar efectividad de " &amp; IFERROR(VLOOKUP(A28, 'ANEXO A'!$A$2:$L$94, 2, FALSE), "Este Control")</f>
        <v/>
      </c>
      <c r="K28" s="39"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39" t="inlineStr">
        <is>
          <t>La organización deberá implementar, registrar y monitorear operativamente todos los protocolos relacionados a Aprendizaje de los incidentes de seguridad de la información, estableciendo políticas técnicas correspondientes.</t>
        </is>
      </c>
    </row>
    <row r="29" ht="56.25" customHeight="1" s="103">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39">
        <f>"• Establecer lineamientos para " &amp; IFERROR(VLOOKUP(A29, 'ANEXO A'!$A$2:$L$94, 2, FALSE), "Este Control") &amp; CHAR(10) &amp; "• Definir roles para el control " &amp; A29 &amp; CHAR(10) &amp; "• Revisar efectividad de " &amp; IFERROR(VLOOKUP(A29, 'ANEXO A'!$A$2:$L$94, 2, FALSE), "Este Control")</f>
        <v/>
      </c>
      <c r="K29" s="39" t="inlineStr">
        <is>
          <t>Asegurar el cumplimiento, control y resguardo continuo de los procesos de Recolección de evidencias a fin de mitigar riesgos y mantener la alineación a los principios de confidencialidad, integridad y disponibilidad aplicables a este dominio.</t>
        </is>
      </c>
      <c r="L29" s="39" t="inlineStr">
        <is>
          <t>La organización deberá implementar, registrar y monitorear operativamente todos los protocolos relacionados a Recolección de evidencias, estableciendo políticas técnicas correspondientes.</t>
        </is>
      </c>
    </row>
    <row r="30" ht="67.5" customHeight="1" s="103">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39">
        <f>"• Establecer lineamientos para " &amp; IFERROR(VLOOKUP(A30, 'ANEXO A'!$A$2:$L$94, 2, FALSE), "Este Control") &amp; CHAR(10) &amp; "• Definir roles para el control " &amp; A30 &amp; CHAR(10) &amp; "• Revisar efectividad de " &amp; IFERROR(VLOOKUP(A30, 'ANEXO A'!$A$2:$L$94, 2, FALSE), "Este Control")</f>
        <v/>
      </c>
      <c r="K30" s="39"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39" t="inlineStr">
        <is>
          <t>La organización deberá implementar, registrar y monitorear operativamente todos los protocolos relacionados a Seguridad de la información durante la interrupción, estableciendo políticas técnicas correspondientes.</t>
        </is>
      </c>
    </row>
    <row r="31" ht="78.75" customHeight="1" s="103">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39">
        <f>"• Establecer lineamientos para " &amp; IFERROR(VLOOKUP(A31, 'ANEXO A'!$A$2:$L$94, 2, FALSE), "Este Control") &amp; CHAR(10) &amp; "• Definir roles para el control " &amp; A31 &amp; CHAR(10) &amp; "• Revisar efectividad de " &amp; IFERROR(VLOOKUP(A31, 'ANEXO A'!$A$2:$L$94, 2, FALSE), "Este Control")</f>
        <v/>
      </c>
      <c r="K31" s="39"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39" t="inlineStr">
        <is>
          <t>La organización deberá implementar, registrar y monitorear operativamente todos los protocolos relacionados a Preparación de las TIC para la continuidad del negocio, estableciendo políticas técnicas correspondientes.</t>
        </is>
      </c>
    </row>
    <row r="32" ht="78.75" customHeight="1" s="103">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39">
        <f>"• Establecer lineamientos para " &amp; IFERROR(VLOOKUP(A32, 'ANEXO A'!$A$2:$L$94, 2, FALSE), "Este Control") &amp; CHAR(10) &amp; "• Definir roles para el control " &amp; A32 &amp; CHAR(10) &amp; "• Revisar efectividad de " &amp; IFERROR(VLOOKUP(A32, 'ANEXO A'!$A$2:$L$94, 2, FALSE), "Este Control")</f>
        <v/>
      </c>
      <c r="K32" s="39"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39" t="inlineStr">
        <is>
          <t>La organización deberá implementar, registrar y monitorear operativamente todos los protocolos relacionados a Requisitos legales, estatutarios, reglamentarios y contractuales, estableciendo políticas técnicas correspondientes.</t>
        </is>
      </c>
    </row>
    <row r="33" ht="56.25" customHeight="1" s="103">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39">
        <f>"• Establecer lineamientos para " &amp; IFERROR(VLOOKUP(A33, 'ANEXO A'!$A$2:$L$94, 2, FALSE), "Este Control") &amp; CHAR(10) &amp; "• Definir roles para el control " &amp; A33 &amp; CHAR(10) &amp; "• Revisar efectividad de " &amp; IFERROR(VLOOKUP(A33, 'ANEXO A'!$A$2:$L$94, 2, FALSE), "Este Control")</f>
        <v/>
      </c>
      <c r="K33" s="39" t="inlineStr">
        <is>
          <t>Asegurar el cumplimiento, control y resguardo continuo de los procesos de Derechos de propiedad intelectual a fin de mitigar riesgos y mantener la alineación a los principios de confidencialidad, integridad y disponibilidad aplicables a este dominio.</t>
        </is>
      </c>
      <c r="L33" s="39" t="inlineStr">
        <is>
          <t>La organización deberá implementar, registrar y monitorear operativamente todos los protocolos relacionados a Derechos de propiedad intelectual, estableciendo políticas técnicas correspondientes.</t>
        </is>
      </c>
    </row>
    <row r="34" ht="56.25" customHeight="1" s="103">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39">
        <f>"• Establecer lineamientos para " &amp; IFERROR(VLOOKUP(A34, 'ANEXO A'!$A$2:$L$94, 2, FALSE), "Este Control") &amp; CHAR(10) &amp; "• Definir roles para el control " &amp; A34 &amp; CHAR(10) &amp; "• Revisar efectividad de " &amp; IFERROR(VLOOKUP(A34, 'ANEXO A'!$A$2:$L$94, 2, FALSE), "Este Control")</f>
        <v/>
      </c>
      <c r="K34" s="39" t="inlineStr">
        <is>
          <t>Asegurar el cumplimiento, control y resguardo continuo de los procesos de Protección de los registros a fin de mitigar riesgos y mantener la alineación a los principios de confidencialidad, integridad y disponibilidad aplicables a este dominio.</t>
        </is>
      </c>
      <c r="L34" s="39" t="inlineStr">
        <is>
          <t>La organización deberá implementar, registrar y monitorear operativamente todos los protocolos relacionados a Protección de los registros, estableciendo políticas técnicas correspondientes.</t>
        </is>
      </c>
    </row>
    <row r="35" ht="90" customHeight="1" s="103">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39">
        <f>"• Establecer lineamientos para " &amp; IFERROR(VLOOKUP(A35, 'ANEXO A'!$A$2:$L$94, 2, FALSE), "Este Control") &amp; CHAR(10) &amp; "• Definir roles para el control " &amp; A35 &amp; CHAR(10) &amp; "• Revisar efectividad de " &amp; IFERROR(VLOOKUP(A35, 'ANEXO A'!$A$2:$L$94, 2, FALSE), "Este Control")</f>
        <v/>
      </c>
      <c r="K35" s="39"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39" t="inlineStr">
        <is>
          <t>La organización deberá implementar, registrar y monitorear operativamente todos los protocolos relacionados a Privacidad y protección de la información de identificación personal (PII), estableciendo políticas técnicas correspondientes.</t>
        </is>
      </c>
    </row>
    <row r="36" ht="78.75" customHeight="1" s="103">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39">
        <f>"• Establecer lineamientos para " &amp; IFERROR(VLOOKUP(A36, 'ANEXO A'!$A$2:$L$94, 2, FALSE), "Este Control") &amp; CHAR(10) &amp; "• Definir roles para el control " &amp; A36 &amp; CHAR(10) &amp; "• Revisar efectividad de " &amp; IFERROR(VLOOKUP(A36, 'ANEXO A'!$A$2:$L$94, 2, FALSE), "Este Control")</f>
        <v/>
      </c>
      <c r="K36" s="39"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39" t="inlineStr">
        <is>
          <t>La organización deberá implementar, registrar y monitorear operativamente todos los protocolos relacionados a Revisión independiente de la seguridad de la información, estableciendo políticas técnicas correspondientes.</t>
        </is>
      </c>
    </row>
    <row r="37" ht="78.75" customHeight="1" s="103">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39">
        <f>"• Establecer lineamientos para " &amp; IFERROR(VLOOKUP(A37, 'ANEXO A'!$A$2:$L$94, 2, FALSE), "Este Control") &amp; CHAR(10) &amp; "• Definir roles para el control " &amp; A37 &amp; CHAR(10) &amp; "• Revisar efectividad de " &amp; IFERROR(VLOOKUP(A37, 'ANEXO A'!$A$2:$L$94, 2, FALSE), "Este Control")</f>
        <v/>
      </c>
      <c r="K37" s="39"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39" t="inlineStr">
        <is>
          <t>La organización deberá implementar, registrar y monitorear operativamente todos los protocolos relacionados a Cumplimiento de las políticas, normas y estándares de seguridad, estableciendo políticas técnicas correspondientes.</t>
        </is>
      </c>
    </row>
    <row r="38" ht="78.75" customHeight="1" s="103">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39">
        <f>"• Establecer lineamientos para " &amp; IFERROR(VLOOKUP(A38, 'ANEXO A'!$A$2:$L$94, 2, FALSE), "Este Control") &amp; CHAR(10) &amp; "• Definir roles para el control " &amp; A38 &amp; CHAR(10) &amp; "• Revisar efectividad de " &amp; IFERROR(VLOOKUP(A38, 'ANEXO A'!$A$2:$L$94, 2, FALSE), "Este Control")</f>
        <v/>
      </c>
      <c r="K38" s="39"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39" t="inlineStr">
        <is>
          <t>La organización deberá implementar, registrar y monitorear operativamente todos los protocolos relacionados a Procedimientos operativos documentados, estableciendo políticas técnicas correspondientes.</t>
        </is>
      </c>
    </row>
    <row r="39" ht="56.25" customHeight="1" s="103">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39">
        <f>"• Establecer lineamientos para " &amp; IFERROR(VLOOKUP(A39, 'ANEXO A'!$A$2:$L$94, 2, FALSE), "Este Control") &amp; CHAR(10) &amp; "• Definir roles para el control " &amp; A39 &amp; CHAR(10) &amp; "• Revisar efectividad de " &amp; IFERROR(VLOOKUP(A39, 'ANEXO A'!$A$2:$L$94, 2, FALSE), "Este Control")</f>
        <v/>
      </c>
      <c r="K39" s="39" t="inlineStr">
        <is>
          <t>Asegurar el cumplimiento, control y resguardo continuo de los procesos de Investigación de antecedentes a fin de mitigar riesgos y mantener la alineación a los principios de confidencialidad, integridad y disponibilidad aplicables a este dominio.</t>
        </is>
      </c>
      <c r="L39" s="39" t="inlineStr">
        <is>
          <t>La organización deberá implementar, registrar y monitorear operativamente todos los protocolos relacionados a Investigación de antecedentes, estableciendo políticas técnicas correspondientes.</t>
        </is>
      </c>
    </row>
    <row r="40" ht="56.25" customHeight="1" s="103">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39">
        <f>"• Establecer lineamientos para " &amp; IFERROR(VLOOKUP(A40, 'ANEXO A'!$A$2:$L$94, 2, FALSE), "Este Control") &amp; CHAR(10) &amp; "• Definir roles para el control " &amp; A40 &amp; CHAR(10) &amp; "• Revisar efectividad de " &amp; IFERROR(VLOOKUP(A40, 'ANEXO A'!$A$2:$L$94, 2, FALSE), "Este Control")</f>
        <v/>
      </c>
      <c r="K40" s="39" t="inlineStr">
        <is>
          <t>Asegurar el cumplimiento, control y resguardo continuo de los procesos de Términos y condiciones de empleo a fin de mitigar riesgos y mantener la alineación a los principios de confidencialidad, integridad y disponibilidad aplicables a este dominio.</t>
        </is>
      </c>
      <c r="L40" s="39" t="inlineStr">
        <is>
          <t>La organización deberá implementar, registrar y monitorear operativamente todos los protocolos relacionados a Términos y condiciones de empleo, estableciendo políticas técnicas correspondientes.</t>
        </is>
      </c>
    </row>
    <row r="41" ht="78.75" customHeight="1" s="103">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39">
        <f>"• Establecer lineamientos para " &amp; IFERROR(VLOOKUP(A41, 'ANEXO A'!$A$2:$L$94, 2, FALSE), "Este Control") &amp; CHAR(10) &amp; "• Definir roles para el control " &amp; A41 &amp; CHAR(10) &amp; "• Revisar efectividad de " &amp; IFERROR(VLOOKUP(A41, 'ANEXO A'!$A$2:$L$94, 2, FALSE), "Este Control")</f>
        <v/>
      </c>
      <c r="K41" s="39"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39" t="inlineStr">
        <is>
          <t>La organización deberá implementar, registrar y monitorear operativamente todos los protocolos relacionados a Concienciación, educación y capacitación, estableciendo políticas técnicas correspondientes.</t>
        </is>
      </c>
    </row>
    <row r="42" ht="56.25" customHeight="1" s="103">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39">
        <f>"• Establecer lineamientos para " &amp; IFERROR(VLOOKUP(A42, 'ANEXO A'!$A$2:$L$94, 2, FALSE), "Este Control") &amp; CHAR(10) &amp; "• Definir roles para el control " &amp; A42 &amp; CHAR(10) &amp; "• Revisar efectividad de " &amp; IFERROR(VLOOKUP(A42, 'ANEXO A'!$A$2:$L$94, 2, FALSE), "Este Control")</f>
        <v/>
      </c>
      <c r="K42" s="39" t="inlineStr">
        <is>
          <t>Asegurar el cumplimiento, control y resguardo continuo de los procesos de Proceso disciplinario a fin de mitigar riesgos y mantener la alineación a los principios de confidencialidad, integridad y disponibilidad aplicables a este dominio.</t>
        </is>
      </c>
      <c r="L42" s="39" t="inlineStr">
        <is>
          <t>La organización deberá implementar, registrar y monitorear operativamente todos los protocolos relacionados a Proceso disciplinario, estableciendo políticas técnicas correspondientes.</t>
        </is>
      </c>
    </row>
    <row r="43" ht="78.75" customHeight="1" s="103">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39">
        <f>"• Establecer lineamientos para " &amp; IFERROR(VLOOKUP(A43, 'ANEXO A'!$A$2:$L$94, 2, FALSE), "Este Control") &amp; CHAR(10) &amp; "• Definir roles para el control " &amp; A43 &amp; CHAR(10) &amp; "• Revisar efectividad de " &amp; IFERROR(VLOOKUP(A43, 'ANEXO A'!$A$2:$L$94, 2, FALSE), "Este Control")</f>
        <v/>
      </c>
      <c r="K43" s="39"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39" t="inlineStr">
        <is>
          <t>La organización deberá implementar, registrar y monitorear operativamente todos los protocolos relacionados a Responsabilidades después de la terminación o cambio de empleo, estableciendo políticas técnicas correspondientes.</t>
        </is>
      </c>
    </row>
    <row r="44" ht="67.5" customHeight="1" s="103">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39">
        <f>"• Establecer lineamientos para " &amp; IFERROR(VLOOKUP(A44, 'ANEXO A'!$A$2:$L$94, 2, FALSE), "Este Control") &amp; CHAR(10) &amp; "• Definir roles para el control " &amp; A44 &amp; CHAR(10) &amp; "• Revisar efectividad de " &amp; IFERROR(VLOOKUP(A44, 'ANEXO A'!$A$2:$L$94, 2, FALSE), "Este Control")</f>
        <v/>
      </c>
      <c r="K44" s="39"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39" t="inlineStr">
        <is>
          <t>La organización deberá implementar, registrar y monitorear operativamente todos los protocolos relacionados a Acuerdos de confidencialidad o no divulgación, estableciendo políticas técnicas correspondientes.</t>
        </is>
      </c>
    </row>
    <row r="45" ht="56.25" customHeight="1" s="103">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39">
        <f>"• Establecer lineamientos para " &amp; IFERROR(VLOOKUP(A45, 'ANEXO A'!$A$2:$L$94, 2, FALSE), "Este Control") &amp; CHAR(10) &amp; "• Definir roles para el control " &amp; A45 &amp; CHAR(10) &amp; "• Revisar efectividad de " &amp; IFERROR(VLOOKUP(A45, 'ANEXO A'!$A$2:$L$94, 2, FALSE), "Este Control")</f>
        <v/>
      </c>
      <c r="K45" s="39" t="inlineStr">
        <is>
          <t>Asegurar el cumplimiento, control y resguardo continuo de los procesos de Trabajo a distancia a fin de mitigar riesgos y mantener la alineación a los principios de confidencialidad, integridad y disponibilidad aplicables a este dominio.</t>
        </is>
      </c>
      <c r="L45" s="39" t="inlineStr">
        <is>
          <t>La organización deberá implementar, registrar y monitorear operativamente todos los protocolos relacionados a Trabajo a distancia, estableciendo políticas técnicas correspondientes.</t>
        </is>
      </c>
    </row>
    <row r="46" ht="78.75" customHeight="1" s="103">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39">
        <f>"• Establecer lineamientos para " &amp; IFERROR(VLOOKUP(A46, 'ANEXO A'!$A$2:$L$94, 2, FALSE), "Este Control") &amp; CHAR(10) &amp; "• Definir roles para el control " &amp; A46 &amp; CHAR(10) &amp; "• Revisar efectividad de " &amp; IFERROR(VLOOKUP(A46, 'ANEXO A'!$A$2:$L$94, 2, FALSE), "Este Control")</f>
        <v/>
      </c>
      <c r="K46" s="39"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39" t="inlineStr">
        <is>
          <t>La organización deberá implementar, registrar y monitorear operativamente todos los protocolos relacionados a Notificación de eventos de seguridad de la información, estableciendo políticas técnicas correspondientes.</t>
        </is>
      </c>
    </row>
    <row r="47" ht="56.25" customHeight="1" s="103">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39">
        <f>"• Establecer lineamientos para " &amp; IFERROR(VLOOKUP(A47, 'ANEXO A'!$A$2:$L$94, 2, FALSE), "Este Control") &amp; CHAR(10) &amp; "• Definir roles para el control " &amp; A47 &amp; CHAR(10) &amp; "• Revisar efectividad de " &amp; IFERROR(VLOOKUP(A47, 'ANEXO A'!$A$2:$L$94, 2, FALSE), "Este Control")</f>
        <v/>
      </c>
      <c r="K47" s="39" t="inlineStr">
        <is>
          <t>Asegurar el cumplimiento, control y resguardo continuo de los procesos de Perímetros de seguridad física a fin de mitigar riesgos y mantener la alineación a los principios de confidencialidad, integridad y disponibilidad aplicables a este dominio.</t>
        </is>
      </c>
      <c r="L47" s="39" t="inlineStr">
        <is>
          <t>La organización deberá implementar, registrar y monitorear operativamente todos los protocolos relacionados a Perímetros de seguridad física, estableciendo políticas técnicas correspondientes.</t>
        </is>
      </c>
    </row>
    <row r="48" ht="56.25" customHeight="1" s="103">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39">
        <f>"• Establecer lineamientos para " &amp; IFERROR(VLOOKUP(A48, 'ANEXO A'!$A$2:$L$94, 2, FALSE), "Este Control") &amp; CHAR(10) &amp; "• Definir roles para el control " &amp; A48 &amp; CHAR(10) &amp; "• Revisar efectividad de " &amp; IFERROR(VLOOKUP(A48, 'ANEXO A'!$A$2:$L$94, 2, FALSE), "Este Control")</f>
        <v/>
      </c>
      <c r="K48" s="39" t="inlineStr">
        <is>
          <t>Asegurar el cumplimiento, control y resguardo continuo de los procesos de Controles de entrada física a fin de mitigar riesgos y mantener la alineación a los principios de confidencialidad, integridad y disponibilidad aplicables a este dominio.</t>
        </is>
      </c>
      <c r="L48" s="39" t="inlineStr">
        <is>
          <t>La organización deberá implementar, registrar y monitorear operativamente todos los protocolos relacionados a Controles de entrada física, estableciendo políticas técnicas correspondientes.</t>
        </is>
      </c>
    </row>
    <row r="49" ht="67.5" customHeight="1" s="103">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39">
        <f>"• Establecer lineamientos para " &amp; IFERROR(VLOOKUP(A49, 'ANEXO A'!$A$2:$L$94, 2, FALSE), "Este Control") &amp; CHAR(10) &amp; "• Definir roles para el control " &amp; A49 &amp; CHAR(10) &amp; "• Revisar efectividad de " &amp; IFERROR(VLOOKUP(A49, 'ANEXO A'!$A$2:$L$94, 2, FALSE), "Este Control")</f>
        <v/>
      </c>
      <c r="K49" s="39"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39" t="inlineStr">
        <is>
          <t>La organización deberá implementar, registrar y monitorear operativamente todos los protocolos relacionados a Seguridad de oficinas, despachos e instalaciones, estableciendo políticas técnicas correspondientes.</t>
        </is>
      </c>
    </row>
    <row r="50" ht="56.25" customHeight="1" s="103">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39">
        <f>"• Establecer lineamientos para " &amp; IFERROR(VLOOKUP(A50, 'ANEXO A'!$A$2:$L$94, 2, FALSE), "Este Control") &amp; CHAR(10) &amp; "• Definir roles para el control " &amp; A50 &amp; CHAR(10) &amp; "• Revisar efectividad de " &amp; IFERROR(VLOOKUP(A50, 'ANEXO A'!$A$2:$L$94, 2, FALSE), "Este Control")</f>
        <v/>
      </c>
      <c r="K50" s="39"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39" t="inlineStr">
        <is>
          <t>La organización deberá implementar, registrar y monitorear operativamente todos los protocolos relacionados a Supervisión de la seguridad física, estableciendo políticas técnicas correspondientes.</t>
        </is>
      </c>
    </row>
    <row r="51" ht="78.75" customHeight="1" s="103">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39">
        <f>"• Establecer lineamientos para " &amp; IFERROR(VLOOKUP(A51, 'ANEXO A'!$A$2:$L$94, 2, FALSE), "Este Control") &amp; CHAR(10) &amp; "• Definir roles para el control " &amp; A51 &amp; CHAR(10) &amp; "• Revisar efectividad de " &amp; IFERROR(VLOOKUP(A51, 'ANEXO A'!$A$2:$L$94, 2, FALSE), "Este Control")</f>
        <v/>
      </c>
      <c r="K51" s="39"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39" t="inlineStr">
        <is>
          <t>La organización deberá implementar, registrar y monitorear operativamente todos los protocolos relacionados a Protección contra amenazas físicas y ambientales, estableciendo políticas técnicas correspondientes.</t>
        </is>
      </c>
    </row>
    <row r="52" ht="56.25" customHeight="1" s="103">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39">
        <f>"• Establecer lineamientos para " &amp; IFERROR(VLOOKUP(A52, 'ANEXO A'!$A$2:$L$94, 2, FALSE), "Este Control") &amp; CHAR(10) &amp; "• Definir roles para el control " &amp; A52 &amp; CHAR(10) &amp; "• Revisar efectividad de " &amp; IFERROR(VLOOKUP(A52, 'ANEXO A'!$A$2:$L$94, 2, FALSE), "Este Control")</f>
        <v/>
      </c>
      <c r="K52" s="39" t="inlineStr">
        <is>
          <t>Asegurar el cumplimiento, control y resguardo continuo de los procesos de Trabajo en áreas seguras a fin de mitigar riesgos y mantener la alineación a los principios de confidencialidad, integridad y disponibilidad aplicables a este dominio.</t>
        </is>
      </c>
      <c r="L52" s="39" t="inlineStr">
        <is>
          <t>La organización deberá implementar, registrar y monitorear operativamente todos los protocolos relacionados a Trabajo en áreas seguras, estableciendo políticas técnicas correspondientes.</t>
        </is>
      </c>
    </row>
    <row r="53" ht="78.75" customHeight="1" s="103">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39">
        <f>"• Establecer lineamientos para " &amp; IFERROR(VLOOKUP(A53, 'ANEXO A'!$A$2:$L$94, 2, FALSE), "Este Control") &amp; CHAR(10) &amp; "• Definir roles para el control " &amp; A53 &amp; CHAR(10) &amp; "• Revisar efectividad de " &amp; IFERROR(VLOOKUP(A53, 'ANEXO A'!$A$2:$L$94, 2, FALSE), "Este Control")</f>
        <v/>
      </c>
      <c r="K53" s="39"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39" t="inlineStr">
        <is>
          <t>La organización deberá implementar, registrar y monitorear operativamente todos los protocolos relacionados a Política de escritorio despejado y pantalla despejada, estableciendo políticas técnicas correspondientes.</t>
        </is>
      </c>
    </row>
    <row r="54" ht="78.75" customHeight="1" s="103">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39">
        <f>"• Establecer lineamientos para " &amp; IFERROR(VLOOKUP(A54, 'ANEXO A'!$A$2:$L$94, 2, FALSE), "Este Control") &amp; CHAR(10) &amp; "• Definir roles para el control " &amp; A54 &amp; CHAR(10) &amp; "• Revisar efectividad de " &amp; IFERROR(VLOOKUP(A54, 'ANEXO A'!$A$2:$L$94, 2, FALSE), "Este Control")</f>
        <v/>
      </c>
      <c r="K54" s="39"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39" t="inlineStr">
        <is>
          <t>La organización deberá implementar, registrar y monitorear operativamente todos los protocolos relacionados a Emplazamiento y protección de equipos, estableciendo políticas técnicas correspondientes.</t>
        </is>
      </c>
    </row>
    <row r="55" ht="67.5" customHeight="1" s="103">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39">
        <f>"• Establecer lineamientos para " &amp; IFERROR(VLOOKUP(A55, 'ANEXO A'!$A$2:$L$94, 2, FALSE), "Este Control") &amp; CHAR(10) &amp; "• Definir roles para el control " &amp; A55 &amp; CHAR(10) &amp; "• Revisar efectividad de " &amp; IFERROR(VLOOKUP(A55, 'ANEXO A'!$A$2:$L$94, 2, FALSE), "Este Control")</f>
        <v/>
      </c>
      <c r="K55" s="39"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39" t="inlineStr">
        <is>
          <t>La organización deberá implementar, registrar y monitorear operativamente todos los protocolos relacionados a Seguridad de los activos fuera de las instalaciones, estableciendo políticas técnicas correspondientes.</t>
        </is>
      </c>
    </row>
    <row r="56" ht="56.25" customHeight="1" s="103">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39">
        <f>"• Establecer lineamientos para " &amp; IFERROR(VLOOKUP(A56, 'ANEXO A'!$A$2:$L$94, 2, FALSE), "Este Control") &amp; CHAR(10) &amp; "• Definir roles para el control " &amp; A56 &amp; CHAR(10) &amp; "• Revisar efectividad de " &amp; IFERROR(VLOOKUP(A56, 'ANEXO A'!$A$2:$L$94, 2, FALSE), "Este Control")</f>
        <v/>
      </c>
      <c r="K56" s="39" t="inlineStr">
        <is>
          <t>Asegurar el cumplimiento, control y resguardo continuo de los procesos de Soportes de almacenamiento a fin de mitigar riesgos y mantener la alineación a los principios de confidencialidad, integridad y disponibilidad aplicables a este dominio.</t>
        </is>
      </c>
      <c r="L56" s="39" t="inlineStr">
        <is>
          <t>La organización deberá implementar, registrar y monitorear operativamente todos los protocolos relacionados a Soportes de almacenamiento, estableciendo políticas técnicas correspondientes.</t>
        </is>
      </c>
    </row>
    <row r="57" ht="56.25" customHeight="1" s="103">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39">
        <f>"• Establecer lineamientos para " &amp; IFERROR(VLOOKUP(A57, 'ANEXO A'!$A$2:$L$94, 2, FALSE), "Este Control") &amp; CHAR(10) &amp; "• Definir roles para el control " &amp; A57 &amp; CHAR(10) &amp; "• Revisar efectividad de " &amp; IFERROR(VLOOKUP(A57, 'ANEXO A'!$A$2:$L$94, 2, FALSE), "Este Control")</f>
        <v/>
      </c>
      <c r="K57" s="39" t="inlineStr">
        <is>
          <t>Asegurar el cumplimiento, control y resguardo continuo de los procesos de Servicios públicos a fin de mitigar riesgos y mantener la alineación a los principios de confidencialidad, integridad y disponibilidad aplicables a este dominio.</t>
        </is>
      </c>
      <c r="L57" s="39" t="inlineStr">
        <is>
          <t>La organización deberá implementar, registrar y monitorear operativamente todos los protocolos relacionados a Servicios públicos, estableciendo políticas técnicas correspondientes.</t>
        </is>
      </c>
    </row>
    <row r="58" ht="56.25" customHeight="1" s="103">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39">
        <f>"• Establecer lineamientos para " &amp; IFERROR(VLOOKUP(A58, 'ANEXO A'!$A$2:$L$94, 2, FALSE), "Este Control") &amp; CHAR(10) &amp; "• Definir roles para el control " &amp; A58 &amp; CHAR(10) &amp; "• Revisar efectividad de " &amp; IFERROR(VLOOKUP(A58, 'ANEXO A'!$A$2:$L$94, 2, FALSE), "Este Control")</f>
        <v/>
      </c>
      <c r="K58" s="39" t="inlineStr">
        <is>
          <t>Asegurar el cumplimiento, control y resguardo continuo de los procesos de Seguridad del cableado a fin de mitigar riesgos y mantener la alineación a los principios de confidencialidad, integridad y disponibilidad aplicables a este dominio.</t>
        </is>
      </c>
      <c r="L58" s="39" t="inlineStr">
        <is>
          <t>La organización deberá implementar, registrar y monitorear operativamente todos los protocolos relacionados a Seguridad del cableado, estableciendo políticas técnicas correspondientes.</t>
        </is>
      </c>
    </row>
    <row r="59" ht="56.25" customHeight="1" s="103">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39">
        <f>"• Establecer lineamientos para " &amp; IFERROR(VLOOKUP(A59, 'ANEXO A'!$A$2:$L$94, 2, FALSE), "Este Control") &amp; CHAR(10) &amp; "• Definir roles para el control " &amp; A59 &amp; CHAR(10) &amp; "• Revisar efectividad de " &amp; IFERROR(VLOOKUP(A59, 'ANEXO A'!$A$2:$L$94, 2, FALSE), "Este Control")</f>
        <v/>
      </c>
      <c r="K59" s="39" t="inlineStr">
        <is>
          <t>Asegurar el cumplimiento, control y resguardo continuo de los procesos de Mantenimiento de equipos a fin de mitigar riesgos y mantener la alineación a los principios de confidencialidad, integridad y disponibilidad aplicables a este dominio.</t>
        </is>
      </c>
      <c r="L59" s="39" t="inlineStr">
        <is>
          <t>La organización deberá implementar, registrar y monitorear operativamente todos los protocolos relacionados a Mantenimiento de equipos, estableciendo políticas técnicas correspondientes.</t>
        </is>
      </c>
    </row>
    <row r="60" ht="67.5" customHeight="1" s="103">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39">
        <f>"• Establecer lineamientos para " &amp; IFERROR(VLOOKUP(A60, 'ANEXO A'!$A$2:$L$94, 2, FALSE), "Este Control") &amp; CHAR(10) &amp; "• Definir roles para el control " &amp; A60 &amp; CHAR(10) &amp; "• Revisar efectividad de " &amp; IFERROR(VLOOKUP(A60, 'ANEXO A'!$A$2:$L$94, 2, FALSE), "Este Control")</f>
        <v/>
      </c>
      <c r="K60" s="39"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39" t="inlineStr">
        <is>
          <t>La organización deberá implementar, registrar y monitorear operativamente todos los protocolos relacionados a Eliminación segura o reutilización de equipos, estableciendo políticas técnicas correspondientes.</t>
        </is>
      </c>
    </row>
    <row r="61" ht="56.25" customHeight="1" s="103">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39">
        <f>"• Establecer lineamientos para " &amp; IFERROR(VLOOKUP(A61, 'ANEXO A'!$A$2:$L$94, 2, FALSE), "Este Control") &amp; CHAR(10) &amp; "• Definir roles para el control " &amp; A61 &amp; CHAR(10) &amp; "• Revisar efectividad de " &amp; IFERROR(VLOOKUP(A61, 'ANEXO A'!$A$2:$L$94, 2, FALSE), "Este Control")</f>
        <v/>
      </c>
      <c r="K61" s="39"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39" t="inlineStr">
        <is>
          <t>La organización deberá implementar, registrar y monitorear operativamente todos los protocolos relacionados a Dispositivos de punto final de usuario, estableciendo políticas técnicas correspondientes.</t>
        </is>
      </c>
    </row>
    <row r="62" ht="56.25" customHeight="1" s="103">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39">
        <f>"• Establecer lineamientos para " &amp; IFERROR(VLOOKUP(A62, 'ANEXO A'!$A$2:$L$94, 2, FALSE), "Este Control") &amp; CHAR(10) &amp; "• Definir roles para el control " &amp; A62 &amp; CHAR(10) &amp; "• Revisar efectividad de " &amp; IFERROR(VLOOKUP(A62, 'ANEXO A'!$A$2:$L$94, 2, FALSE), "Este Control")</f>
        <v/>
      </c>
      <c r="K62" s="39" t="inlineStr">
        <is>
          <t>Asegurar el cumplimiento, control y resguardo continuo de los procesos de Derechos de acceso privilegiado a fin de mitigar riesgos y mantener la alineación a los principios de confidencialidad, integridad y disponibilidad aplicables a este dominio.</t>
        </is>
      </c>
      <c r="L62" s="39" t="inlineStr">
        <is>
          <t>La organización deberá implementar, registrar y monitorear operativamente todos los protocolos relacionados a Derechos de acceso privilegiado, estableciendo políticas técnicas correspondientes.</t>
        </is>
      </c>
    </row>
    <row r="63" ht="67.5" customHeight="1" s="103">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39">
        <f>"• Establecer lineamientos para " &amp; IFERROR(VLOOKUP(A63, 'ANEXO A'!$A$2:$L$94, 2, FALSE), "Este Control") &amp; CHAR(10) &amp; "• Definir roles para el control " &amp; A63 &amp; CHAR(10) &amp; "• Revisar efectividad de " &amp; IFERROR(VLOOKUP(A63, 'ANEXO A'!$A$2:$L$94, 2, FALSE), "Este Control")</f>
        <v/>
      </c>
      <c r="K63" s="39"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39" t="inlineStr">
        <is>
          <t>La organización deberá implementar, registrar y monitorear operativamente todos los protocolos relacionados a Restricción del acceso a la información, estableciendo políticas técnicas correspondientes.</t>
        </is>
      </c>
    </row>
    <row r="64" ht="56.25" customHeight="1" s="103">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39">
        <f>"• Establecer lineamientos para " &amp; IFERROR(VLOOKUP(A64, 'ANEXO A'!$A$2:$L$94, 2, FALSE), "Este Control") &amp; CHAR(10) &amp; "• Definir roles para el control " &amp; A64 &amp; CHAR(10) &amp; "• Revisar efectividad de " &amp; IFERROR(VLOOKUP(A64, 'ANEXO A'!$A$2:$L$94, 2, FALSE), "Este Control")</f>
        <v/>
      </c>
      <c r="K64" s="39" t="inlineStr">
        <is>
          <t>Asegurar el cumplimiento, control y resguardo continuo de los procesos de Acceso al código fuente a fin de mitigar riesgos y mantener la alineación a los principios de confidencialidad, integridad y disponibilidad aplicables a este dominio.</t>
        </is>
      </c>
      <c r="L64" s="39" t="inlineStr">
        <is>
          <t>La organización deberá implementar, registrar y monitorear operativamente todos los protocolos relacionados a Acceso al código fuente, estableciendo políticas técnicas correspondientes.</t>
        </is>
      </c>
    </row>
    <row r="65" ht="56.25" customHeight="1" s="103">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39">
        <f>"• Establecer lineamientos para " &amp; IFERROR(VLOOKUP(A65, 'ANEXO A'!$A$2:$L$94, 2, FALSE), "Este Control") &amp; CHAR(10) &amp; "• Definir roles para el control " &amp; A65 &amp; CHAR(10) &amp; "• Revisar efectividad de " &amp; IFERROR(VLOOKUP(A65, 'ANEXO A'!$A$2:$L$94, 2, FALSE), "Este Control")</f>
        <v/>
      </c>
      <c r="K65" s="39" t="inlineStr">
        <is>
          <t>Asegurar el cumplimiento, control y resguardo continuo de los procesos de Autenticación segura a fin de mitigar riesgos y mantener la alineación a los principios de confidencialidad, integridad y disponibilidad aplicables a este dominio.</t>
        </is>
      </c>
      <c r="L65" s="39" t="inlineStr">
        <is>
          <t>La organización deberá implementar, registrar y monitorear operativamente todos los protocolos relacionados a Autenticación segura, estableciendo políticas técnicas correspondientes.</t>
        </is>
      </c>
    </row>
    <row r="66" ht="56.25" customHeight="1" s="103">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39">
        <f>"• Establecer lineamientos para " &amp; IFERROR(VLOOKUP(A66, 'ANEXO A'!$A$2:$L$94, 2, FALSE), "Este Control") &amp; CHAR(10) &amp; "• Definir roles para el control " &amp; A66 &amp; CHAR(10) &amp; "• Revisar efectividad de " &amp; IFERROR(VLOOKUP(A66, 'ANEXO A'!$A$2:$L$94, 2, FALSE), "Este Control")</f>
        <v/>
      </c>
      <c r="K66" s="39" t="inlineStr">
        <is>
          <t>Asegurar el cumplimiento, control y resguardo continuo de los procesos de Gestión de capacidad a fin de mitigar riesgos y mantener la alineación a los principios de confidencialidad, integridad y disponibilidad aplicables a este dominio.</t>
        </is>
      </c>
      <c r="L66" s="39" t="inlineStr">
        <is>
          <t>La organización deberá implementar, registrar y monitorear operativamente todos los protocolos relacionados a Gestión de capacidad, estableciendo políticas técnicas correspondientes.</t>
        </is>
      </c>
    </row>
    <row r="67" ht="56.25" customHeight="1" s="103">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39">
        <f>"• Establecer lineamientos para " &amp; IFERROR(VLOOKUP(A67, 'ANEXO A'!$A$2:$L$94, 2, FALSE), "Este Control") &amp; CHAR(10) &amp; "• Definir roles para el control " &amp; A67 &amp; CHAR(10) &amp; "• Revisar efectividad de " &amp; IFERROR(VLOOKUP(A67, 'ANEXO A'!$A$2:$L$94, 2, FALSE), "Este Control")</f>
        <v/>
      </c>
      <c r="K67" s="39" t="inlineStr">
        <is>
          <t>Asegurar el cumplimiento, control y resguardo continuo de los procesos de Protección contra malware a fin de mitigar riesgos y mantener la alineación a los principios de confidencialidad, integridad y disponibilidad aplicables a este dominio.</t>
        </is>
      </c>
      <c r="L67" s="39" t="inlineStr">
        <is>
          <t>La organización deberá implementar, registrar y monitorear operativamente todos los protocolos relacionados a Protección contra malware, estableciendo políticas técnicas correspondientes.</t>
        </is>
      </c>
    </row>
    <row r="68" ht="56.25" customHeight="1" s="103">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39">
        <f>"• Establecer lineamientos para " &amp; IFERROR(VLOOKUP(A68, 'ANEXO A'!$A$2:$L$94, 2, FALSE), "Este Control") &amp; CHAR(10) &amp; "• Definir roles para el control " &amp; A68 &amp; CHAR(10) &amp; "• Revisar efectividad de " &amp; IFERROR(VLOOKUP(A68, 'ANEXO A'!$A$2:$L$94, 2, FALSE), "Este Control")</f>
        <v/>
      </c>
      <c r="K68" s="39"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39" t="inlineStr">
        <is>
          <t>La organización deberá implementar, registrar y monitorear operativamente todos los protocolos relacionados a Gestión de vulnerabilidades técnicas, estableciendo políticas técnicas correspondientes.</t>
        </is>
      </c>
    </row>
    <row r="69" ht="56.25" customHeight="1" s="103">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39">
        <f>"• Establecer lineamientos para " &amp; IFERROR(VLOOKUP(A69, 'ANEXO A'!$A$2:$L$94, 2, FALSE), "Este Control") &amp; CHAR(10) &amp; "• Definir roles para el control " &amp; A69 &amp; CHAR(10) &amp; "• Revisar efectividad de " &amp; IFERROR(VLOOKUP(A69, 'ANEXO A'!$A$2:$L$94, 2, FALSE), "Este Control")</f>
        <v/>
      </c>
      <c r="K69" s="39" t="inlineStr">
        <is>
          <t>Asegurar el cumplimiento, control y resguardo continuo de los procesos de Gestión de la configuración a fin de mitigar riesgos y mantener la alineación a los principios de confidencialidad, integridad y disponibilidad aplicables a este dominio.</t>
        </is>
      </c>
      <c r="L69" s="39" t="inlineStr">
        <is>
          <t>La organización deberá implementar, registrar y monitorear operativamente todos los protocolos relacionados a Gestión de la configuración, estableciendo políticas técnicas correspondientes.</t>
        </is>
      </c>
    </row>
    <row r="70" ht="56.25" customHeight="1" s="103">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39">
        <f>"• Establecer lineamientos para " &amp; IFERROR(VLOOKUP(A70, 'ANEXO A'!$A$2:$L$94, 2, FALSE), "Este Control") &amp; CHAR(10) &amp; "• Definir roles para el control " &amp; A70 &amp; CHAR(10) &amp; "• Revisar efectividad de " &amp; IFERROR(VLOOKUP(A70, 'ANEXO A'!$A$2:$L$94, 2, FALSE), "Este Control")</f>
        <v/>
      </c>
      <c r="K70" s="39" t="inlineStr">
        <is>
          <t>Asegurar el cumplimiento, control y resguardo continuo de los procesos de Eliminación de información a fin de mitigar riesgos y mantener la alineación a los principios de confidencialidad, integridad y disponibilidad aplicables a este dominio.</t>
        </is>
      </c>
      <c r="L70" s="39" t="inlineStr">
        <is>
          <t>La organización deberá implementar, registrar y monitorear operativamente todos los protocolos relacionados a Eliminación de información, estableciendo políticas técnicas correspondientes.</t>
        </is>
      </c>
    </row>
    <row r="71" ht="56.25" customHeight="1" s="103">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39">
        <f>"• Establecer lineamientos para " &amp; IFERROR(VLOOKUP(A71, 'ANEXO A'!$A$2:$L$94, 2, FALSE), "Este Control") &amp; CHAR(10) &amp; "• Definir roles para el control " &amp; A71 &amp; CHAR(10) &amp; "• Revisar efectividad de " &amp; IFERROR(VLOOKUP(A71, 'ANEXO A'!$A$2:$L$94, 2, FALSE), "Este Control")</f>
        <v/>
      </c>
      <c r="K71" s="39" t="inlineStr">
        <is>
          <t>Asegurar el cumplimiento, control y resguardo continuo de los procesos de Enmascaramiento de datos a fin de mitigar riesgos y mantener la alineación a los principios de confidencialidad, integridad y disponibilidad aplicables a este dominio.</t>
        </is>
      </c>
      <c r="L71" s="39" t="inlineStr">
        <is>
          <t>La organización deberá implementar, registrar y monitorear operativamente todos los protocolos relacionados a Enmascaramiento de datos, estableciendo políticas técnicas correspondientes.</t>
        </is>
      </c>
    </row>
    <row r="72" ht="56.25" customHeight="1" s="103">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39">
        <f>"• Establecer lineamientos para " &amp; IFERROR(VLOOKUP(A72, 'ANEXO A'!$A$2:$L$94, 2, FALSE), "Este Control") &amp; CHAR(10) &amp; "• Definir roles para el control " &amp; A72 &amp; CHAR(10) &amp; "• Revisar efectividad de " &amp; IFERROR(VLOOKUP(A72, 'ANEXO A'!$A$2:$L$94, 2, FALSE), "Este Control")</f>
        <v/>
      </c>
      <c r="K72" s="39" t="inlineStr">
        <is>
          <t>Asegurar el cumplimiento, control y resguardo continuo de los procesos de Prevención de fuga de datos a fin de mitigar riesgos y mantener la alineación a los principios de confidencialidad, integridad y disponibilidad aplicables a este dominio.</t>
        </is>
      </c>
      <c r="L72" s="39" t="inlineStr">
        <is>
          <t>La organización deberá implementar, registrar y monitorear operativamente todos los protocolos relacionados a Prevención de fuga de datos, estableciendo políticas técnicas correspondientes.</t>
        </is>
      </c>
    </row>
    <row r="73" ht="56.25" customHeight="1" s="103">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39">
        <f>"• Establecer lineamientos para " &amp; IFERROR(VLOOKUP(A73, 'ANEXO A'!$A$2:$L$94, 2, FALSE), "Este Control") &amp; CHAR(10) &amp; "• Definir roles para el control " &amp; A73 &amp; CHAR(10) &amp; "• Revisar efectividad de " &amp; IFERROR(VLOOKUP(A73, 'ANEXO A'!$A$2:$L$94, 2, FALSE), "Este Control")</f>
        <v/>
      </c>
      <c r="K73" s="39"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39" t="inlineStr">
        <is>
          <t>La organización deberá implementar, registrar y monitorear operativamente todos los protocolos relacionados a Copias de seguridad de la información, estableciendo políticas técnicas correspondientes.</t>
        </is>
      </c>
    </row>
    <row r="74" ht="78.75" customHeight="1" s="103">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39">
        <f>"• Establecer lineamientos para " &amp; IFERROR(VLOOKUP(A74, 'ANEXO A'!$A$2:$L$94, 2, FALSE), "Este Control") &amp; CHAR(10) &amp; "• Definir roles para el control " &amp; A74 &amp; CHAR(10) &amp; "• Revisar efectividad de " &amp; IFERROR(VLOOKUP(A74, 'ANEXO A'!$A$2:$L$94, 2, FALSE), "Este Control")</f>
        <v/>
      </c>
      <c r="K74" s="39"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39" t="inlineStr">
        <is>
          <t>La organización deberá implementar, registrar y monitorear operativamente todos los protocolos relacionados a Redundancia de las instalaciones de procesamiento de información, estableciendo políticas técnicas correspondientes.</t>
        </is>
      </c>
    </row>
    <row r="75" ht="56.25" customHeight="1" s="103">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39">
        <f>"• Establecer lineamientos para " &amp; IFERROR(VLOOKUP(A75, 'ANEXO A'!$A$2:$L$94, 2, FALSE), "Este Control") &amp; CHAR(10) &amp; "• Definir roles para el control " &amp; A75 &amp; CHAR(10) &amp; "• Revisar efectividad de " &amp; IFERROR(VLOOKUP(A75, 'ANEXO A'!$A$2:$L$94, 2, FALSE), "Este Control")</f>
        <v/>
      </c>
      <c r="K75" s="39" t="inlineStr">
        <is>
          <t>Asegurar el cumplimiento, control y resguardo continuo de los procesos de Registro de eventos (Logging) a fin de mitigar riesgos y mantener la alineación a los principios de confidencialidad, integridad y disponibilidad aplicables a este dominio.</t>
        </is>
      </c>
      <c r="L75" s="39" t="inlineStr">
        <is>
          <t>La organización deberá implementar, registrar y monitorear operativamente todos los protocolos relacionados a Registro de eventos (Logging), estableciendo políticas técnicas correspondientes.</t>
        </is>
      </c>
    </row>
    <row r="76" ht="67.5" customHeight="1" s="103">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39">
        <f>"• Establecer lineamientos para " &amp; IFERROR(VLOOKUP(A76, 'ANEXO A'!$A$2:$L$94, 2, FALSE), "Este Control") &amp; CHAR(10) &amp; "• Definir roles para el control " &amp; A76 &amp; CHAR(10) &amp; "• Revisar efectividad de " &amp; IFERROR(VLOOKUP(A76, 'ANEXO A'!$A$2:$L$94, 2, FALSE), "Este Control")</f>
        <v/>
      </c>
      <c r="K76" s="39"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39" t="inlineStr">
        <is>
          <t>La organización deberá implementar, registrar y monitorear operativamente todos los protocolos relacionados a Actividades de seguimiento (Monitoring), estableciendo políticas técnicas correspondientes.</t>
        </is>
      </c>
    </row>
    <row r="77" ht="56.25" customHeight="1" s="103">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39">
        <f>"• Establecer lineamientos para " &amp; IFERROR(VLOOKUP(A77, 'ANEXO A'!$A$2:$L$94, 2, FALSE), "Este Control") &amp; CHAR(10) &amp; "• Definir roles para el control " &amp; A77 &amp; CHAR(10) &amp; "• Revisar efectividad de " &amp; IFERROR(VLOOKUP(A77, 'ANEXO A'!$A$2:$L$94, 2, FALSE), "Este Control")</f>
        <v/>
      </c>
      <c r="K77" s="39" t="inlineStr">
        <is>
          <t>Asegurar el cumplimiento, control y resguardo continuo de los procesos de Sincronización de relojes a fin de mitigar riesgos y mantener la alineación a los principios de confidencialidad, integridad y disponibilidad aplicables a este dominio.</t>
        </is>
      </c>
      <c r="L77" s="39" t="inlineStr">
        <is>
          <t>La organización deberá implementar, registrar y monitorear operativamente todos los protocolos relacionados a Sincronización de relojes, estableciendo políticas técnicas correspondientes.</t>
        </is>
      </c>
    </row>
    <row r="78" ht="67.5" customHeight="1" s="103">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39">
        <f>"• Establecer lineamientos para " &amp; IFERROR(VLOOKUP(A78, 'ANEXO A'!$A$2:$L$94, 2, FALSE), "Este Control") &amp; CHAR(10) &amp; "• Definir roles para el control " &amp; A78 &amp; CHAR(10) &amp; "• Revisar efectividad de " &amp; IFERROR(VLOOKUP(A78, 'ANEXO A'!$A$2:$L$94, 2, FALSE), "Este Control")</f>
        <v/>
      </c>
      <c r="K78" s="39"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39" t="inlineStr">
        <is>
          <t>La organización deberá implementar, registrar y monitorear operativamente todos los protocolos relacionados a Uso de programas de utilidad privilegiados, estableciendo políticas técnicas correspondientes.</t>
        </is>
      </c>
    </row>
    <row r="79" ht="67.5" customHeight="1" s="103">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39">
        <f>"• Establecer lineamientos para " &amp; IFERROR(VLOOKUP(A79, 'ANEXO A'!$A$2:$L$94, 2, FALSE), "Este Control") &amp; CHAR(10) &amp; "• Definir roles para el control " &amp; A79 &amp; CHAR(10) &amp; "• Revisar efectividad de " &amp; IFERROR(VLOOKUP(A79, 'ANEXO A'!$A$2:$L$94, 2, FALSE), "Este Control")</f>
        <v/>
      </c>
      <c r="K79" s="39"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39" t="inlineStr">
        <is>
          <t>La organización deberá implementar, registrar y monitorear operativamente todos los protocolos relacionados a Instalación de software en sistemas operativos, estableciendo políticas técnicas correspondientes.</t>
        </is>
      </c>
    </row>
    <row r="80" ht="56.25" customHeight="1" s="103">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39">
        <f>"• Establecer lineamientos para " &amp; IFERROR(VLOOKUP(A80, 'ANEXO A'!$A$2:$L$94, 2, FALSE), "Este Control") &amp; CHAR(10) &amp; "• Definir roles para el control " &amp; A80 &amp; CHAR(10) &amp; "• Revisar efectividad de " &amp; IFERROR(VLOOKUP(A80, 'ANEXO A'!$A$2:$L$94, 2, FALSE), "Este Control")</f>
        <v/>
      </c>
      <c r="K80" s="39" t="inlineStr">
        <is>
          <t>Asegurar el cumplimiento, control y resguardo continuo de los procesos de Seguridad de las redes a fin de mitigar riesgos y mantener la alineación a los principios de confidencialidad, integridad y disponibilidad aplicables a este dominio.</t>
        </is>
      </c>
      <c r="L80" s="39" t="inlineStr">
        <is>
          <t>La organización deberá implementar, registrar y monitorear operativamente todos los protocolos relacionados a Seguridad de las redes, estableciendo políticas técnicas correspondientes.</t>
        </is>
      </c>
    </row>
    <row r="81" ht="56.25" customHeight="1" s="103">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39">
        <f>"• Establecer lineamientos para " &amp; IFERROR(VLOOKUP(A81, 'ANEXO A'!$A$2:$L$94, 2, FALSE), "Este Control") &amp; CHAR(10) &amp; "• Definir roles para el control " &amp; A81 &amp; CHAR(10) &amp; "• Revisar efectividad de " &amp; IFERROR(VLOOKUP(A81, 'ANEXO A'!$A$2:$L$94, 2, FALSE), "Este Control")</f>
        <v/>
      </c>
      <c r="K81" s="39" t="inlineStr">
        <is>
          <t>Asegurar el cumplimiento, control y resguardo continuo de los procesos de Seguridad de los servicios de red a fin de mitigar riesgos y mantener la alineación a los principios de confidencialidad, integridad y disponibilidad aplicables a este dominio.</t>
        </is>
      </c>
      <c r="L81" s="39" t="inlineStr">
        <is>
          <t>La organización deberá implementar, registrar y monitorear operativamente todos los protocolos relacionados a Seguridad de los servicios de red, estableciendo políticas técnicas correspondientes.</t>
        </is>
      </c>
    </row>
    <row r="82" ht="56.25" customHeight="1" s="103">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39">
        <f>"• Establecer lineamientos para " &amp; IFERROR(VLOOKUP(A82, 'ANEXO A'!$A$2:$L$94, 2, FALSE), "Este Control") &amp; CHAR(10) &amp; "• Definir roles para el control " &amp; A82 &amp; CHAR(10) &amp; "• Revisar efectividad de " &amp; IFERROR(VLOOKUP(A82, 'ANEXO A'!$A$2:$L$94, 2, FALSE), "Este Control")</f>
        <v/>
      </c>
      <c r="K82" s="39" t="inlineStr">
        <is>
          <t>Asegurar el cumplimiento, control y resguardo continuo de los procesos de Segregación de redes a fin de mitigar riesgos y mantener la alineación a los principios de confidencialidad, integridad y disponibilidad aplicables a este dominio.</t>
        </is>
      </c>
      <c r="L82" s="39" t="inlineStr">
        <is>
          <t>La organización deberá implementar, registrar y monitorear operativamente todos los protocolos relacionados a Segregación de redes, estableciendo políticas técnicas correspondientes.</t>
        </is>
      </c>
    </row>
    <row r="83" ht="56.25" customHeight="1" s="103">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39">
        <f>"• Establecer lineamientos para " &amp; IFERROR(VLOOKUP(A83, 'ANEXO A'!$A$2:$L$94, 2, FALSE), "Este Control") &amp; CHAR(10) &amp; "• Definir roles para el control " &amp; A83 &amp; CHAR(10) &amp; "• Revisar efectividad de " &amp; IFERROR(VLOOKUP(A83, 'ANEXO A'!$A$2:$L$94, 2, FALSE), "Este Control")</f>
        <v/>
      </c>
      <c r="K83" s="39" t="inlineStr">
        <is>
          <t>Asegurar el cumplimiento, control y resguardo continuo de los procesos de Filtrado web a fin de mitigar riesgos y mantener la alineación a los principios de confidencialidad, integridad y disponibilidad aplicables a este dominio.</t>
        </is>
      </c>
      <c r="L83" s="39" t="inlineStr">
        <is>
          <t>La organización deberá implementar, registrar y monitorear operativamente todos los protocolos relacionados a Filtrado web, estableciendo políticas técnicas correspondientes.</t>
        </is>
      </c>
    </row>
    <row r="84" ht="56.25" customHeight="1" s="103">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39">
        <f>"• Establecer lineamientos para " &amp; IFERROR(VLOOKUP(A84, 'ANEXO A'!$A$2:$L$94, 2, FALSE), "Este Control") &amp; CHAR(10) &amp; "• Definir roles para el control " &amp; A84 &amp; CHAR(10) &amp; "• Revisar efectividad de " &amp; IFERROR(VLOOKUP(A84, 'ANEXO A'!$A$2:$L$94, 2, FALSE), "Este Control")</f>
        <v/>
      </c>
      <c r="K84" s="39" t="inlineStr">
        <is>
          <t>Asegurar el cumplimiento, control y resguardo continuo de los procesos de Uso de criptografía a fin de mitigar riesgos y mantener la alineación a los principios de confidencialidad, integridad y disponibilidad aplicables a este dominio.</t>
        </is>
      </c>
      <c r="L84" s="39" t="inlineStr">
        <is>
          <t>La organización deberá implementar, registrar y monitorear operativamente todos los protocolos relacionados a Uso de criptografía, estableciendo políticas técnicas correspondientes.</t>
        </is>
      </c>
    </row>
    <row r="85" ht="56.25" customHeight="1" s="103">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39">
        <f>"• Establecer lineamientos para " &amp; IFERROR(VLOOKUP(A85, 'ANEXO A'!$A$2:$L$94, 2, FALSE), "Este Control") &amp; CHAR(10) &amp; "• Definir roles para el control " &amp; A85 &amp; CHAR(10) &amp; "• Revisar efectividad de " &amp; IFERROR(VLOOKUP(A85, 'ANEXO A'!$A$2:$L$94, 2, FALSE), "Este Control")</f>
        <v/>
      </c>
      <c r="K85" s="39"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39" t="inlineStr">
        <is>
          <t>La organización deberá implementar, registrar y monitorear operativamente todos los protocolos relacionados a Ciclo de vida del desarrollo seguro, estableciendo políticas técnicas correspondientes.</t>
        </is>
      </c>
    </row>
    <row r="86" ht="67.5" customHeight="1" s="103">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39">
        <f>"• Establecer lineamientos para " &amp; IFERROR(VLOOKUP(A86, 'ANEXO A'!$A$2:$L$94, 2, FALSE), "Este Control") &amp; CHAR(10) &amp; "• Definir roles para el control " &amp; A86 &amp; CHAR(10) &amp; "• Revisar efectividad de " &amp; IFERROR(VLOOKUP(A86, 'ANEXO A'!$A$2:$L$94, 2, FALSE), "Este Control")</f>
        <v/>
      </c>
      <c r="K86" s="39"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39" t="inlineStr">
        <is>
          <t>La organización deberá implementar, registrar y monitorear operativamente todos los protocolos relacionados a Requisitos de seguridad de las aplicaciones, estableciendo políticas técnicas correspondientes.</t>
        </is>
      </c>
    </row>
    <row r="87" ht="78.75" customHeight="1" s="103">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39">
        <f>"• Establecer lineamientos para " &amp; IFERROR(VLOOKUP(A87, 'ANEXO A'!$A$2:$L$94, 2, FALSE), "Este Control") &amp; CHAR(10) &amp; "• Definir roles para el control " &amp; A87 &amp; CHAR(10) &amp; "• Revisar efectividad de " &amp; IFERROR(VLOOKUP(A87, 'ANEXO A'!$A$2:$L$94, 2, FALSE), "Este Control")</f>
        <v/>
      </c>
      <c r="K87" s="39"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39" t="inlineStr">
        <is>
          <t>La organización deberá implementar, registrar y monitorear operativamente todos los protocolos relacionados a Arquitectura de sistemas seguros y principios de ingeniería, estableciendo políticas técnicas correspondientes.</t>
        </is>
      </c>
    </row>
    <row r="88" ht="56.25" customHeight="1" s="103">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39">
        <f>"• Establecer lineamientos para " &amp; IFERROR(VLOOKUP(A88, 'ANEXO A'!$A$2:$L$94, 2, FALSE), "Este Control") &amp; CHAR(10) &amp; "• Definir roles para el control " &amp; A88 &amp; CHAR(10) &amp; "• Revisar efectividad de " &amp; IFERROR(VLOOKUP(A88, 'ANEXO A'!$A$2:$L$94, 2, FALSE), "Este Control")</f>
        <v/>
      </c>
      <c r="K88" s="39" t="inlineStr">
        <is>
          <t>Asegurar el cumplimiento, control y resguardo continuo de los procesos de Codificación segura a fin de mitigar riesgos y mantener la alineación a los principios de confidencialidad, integridad y disponibilidad aplicables a este dominio.</t>
        </is>
      </c>
      <c r="L88" s="39" t="inlineStr">
        <is>
          <t>La organización deberá implementar, registrar y monitorear operativamente todos los protocolos relacionados a Codificación segura, estableciendo políticas técnicas correspondientes.</t>
        </is>
      </c>
    </row>
    <row r="89" ht="78.75" customHeight="1" s="103">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39">
        <f>"• Establecer lineamientos para " &amp; IFERROR(VLOOKUP(A89, 'ANEXO A'!$A$2:$L$94, 2, FALSE), "Este Control") &amp; CHAR(10) &amp; "• Definir roles para el control " &amp; A89 &amp; CHAR(10) &amp; "• Revisar efectividad de " &amp; IFERROR(VLOOKUP(A89, 'ANEXO A'!$A$2:$L$94, 2, FALSE), "Este Control")</f>
        <v/>
      </c>
      <c r="K89" s="39"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39" t="inlineStr">
        <is>
          <t>La organización deberá implementar, registrar y monitorear operativamente todos los protocolos relacionados a Pruebas de seguridad en el desarrollo y la aceptación, estableciendo políticas técnicas correspondientes.</t>
        </is>
      </c>
    </row>
    <row r="90" ht="56.25" customHeight="1" s="103">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39">
        <f>"• Establecer lineamientos para " &amp; IFERROR(VLOOKUP(A90, 'ANEXO A'!$A$2:$L$94, 2, FALSE), "Este Control") &amp; CHAR(10) &amp; "• Definir roles para el control " &amp; A90 &amp; CHAR(10) &amp; "• Revisar efectividad de " &amp; IFERROR(VLOOKUP(A90, 'ANEXO A'!$A$2:$L$94, 2, FALSE), "Este Control")</f>
        <v/>
      </c>
      <c r="K90" s="39" t="inlineStr">
        <is>
          <t>Asegurar el cumplimiento, control y resguardo continuo de los procesos de Desarrollo externalizado a fin de mitigar riesgos y mantener la alineación a los principios de confidencialidad, integridad y disponibilidad aplicables a este dominio.</t>
        </is>
      </c>
      <c r="L90" s="39" t="inlineStr">
        <is>
          <t>La organización deberá implementar, registrar y monitorear operativamente todos los protocolos relacionados a Desarrollo externalizado, estableciendo políticas técnicas correspondientes.</t>
        </is>
      </c>
    </row>
    <row r="91" ht="78.75" customHeight="1" s="103">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39">
        <f>"• Establecer lineamientos para " &amp; IFERROR(VLOOKUP(A91, 'ANEXO A'!$A$2:$L$94, 2, FALSE), "Este Control") &amp; CHAR(10) &amp; "• Definir roles para el control " &amp; A91 &amp; CHAR(10) &amp; "• Revisar efectividad de " &amp; IFERROR(VLOOKUP(A91, 'ANEXO A'!$A$2:$L$94, 2, FALSE), "Este Control")</f>
        <v/>
      </c>
      <c r="K91" s="39"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39" t="inlineStr">
        <is>
          <t>La organización deberá implementar, registrar y monitorear operativamente todos los protocolos relacionados a Separación de entornos de desarrollo, pruebas y producción, estableciendo políticas técnicas correspondientes.</t>
        </is>
      </c>
    </row>
    <row r="92" ht="56.25" customHeight="1" s="103">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39">
        <f>"• Establecer lineamientos para " &amp; IFERROR(VLOOKUP(A92, 'ANEXO A'!$A$2:$L$94, 2, FALSE), "Este Control") &amp; CHAR(10) &amp; "• Definir roles para el control " &amp; A92 &amp; CHAR(10) &amp; "• Revisar efectividad de " &amp; IFERROR(VLOOKUP(A92, 'ANEXO A'!$A$2:$L$94, 2, FALSE), "Este Control")</f>
        <v/>
      </c>
      <c r="K92" s="39" t="inlineStr">
        <is>
          <t>Asegurar el cumplimiento, control y resguardo continuo de los procesos de Gestión de cambios a fin de mitigar riesgos y mantener la alineación a los principios de confidencialidad, integridad y disponibilidad aplicables a este dominio.</t>
        </is>
      </c>
      <c r="L92" s="39" t="inlineStr">
        <is>
          <t>La organización deberá implementar, registrar y monitorear operativamente todos los protocolos relacionados a Gestión de cambios, estableciendo políticas técnicas correspondientes.</t>
        </is>
      </c>
    </row>
    <row r="93" ht="56.25" customHeight="1" s="103">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39">
        <f>"• Establecer lineamientos para " &amp; IFERROR(VLOOKUP(A93, 'ANEXO A'!$A$2:$L$94, 2, FALSE), "Este Control") &amp; CHAR(10) &amp; "• Definir roles para el control " &amp; A93 &amp; CHAR(10) &amp; "• Revisar efectividad de " &amp; IFERROR(VLOOKUP(A93, 'ANEXO A'!$A$2:$L$94, 2, FALSE), "Este Control")</f>
        <v/>
      </c>
      <c r="K93" s="39" t="inlineStr">
        <is>
          <t>Asegurar el cumplimiento, control y resguardo continuo de los procesos de Información de prueba a fin de mitigar riesgos y mantener la alineación a los principios de confidencialidad, integridad y disponibilidad aplicables a este dominio.</t>
        </is>
      </c>
      <c r="L93" s="39" t="inlineStr">
        <is>
          <t>La organización deberá implementar, registrar y monitorear operativamente todos los protocolos relacionados a Información de prueba, estableciendo políticas técnicas correspondientes.</t>
        </is>
      </c>
    </row>
    <row r="94" ht="90" customHeight="1" s="103">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39">
        <f>"• Establecer lineamientos para " &amp; IFERROR(VLOOKUP(A94, 'ANEXO A'!$A$2:$L$94, 2, FALSE), "Este Control") &amp; CHAR(10) &amp; "• Definir roles para el control " &amp; A94 &amp; CHAR(10) &amp; "• Revisar efectividad de " &amp; IFERROR(VLOOKUP(A94, 'ANEXO A'!$A$2:$L$94, 2, FALSE), "Este Control")</f>
        <v/>
      </c>
      <c r="K94" s="39"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39" t="inlineStr">
        <is>
          <t>La organización deberá implementar, registrar y monitorear operativamente todos los protocolos relacionados a Protección de los sistemas de información durante las pruebas de auditoría, estableciendo políticas técnicas correspondientes.</t>
        </is>
      </c>
    </row>
  </sheetData>
  <autoFilter ref="A1:Q9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Tipo de Medida (ISO 27004)</t>
        </is>
      </c>
      <c r="E1" s="106" t="inlineStr">
        <is>
          <t>ID de Indicador</t>
        </is>
      </c>
      <c r="F1" s="106" t="inlineStr">
        <is>
          <t>Fórmula o Método de Cálculo</t>
        </is>
      </c>
      <c r="G1" s="106" t="inlineStr">
        <is>
          <t>Método de Evaluación (NIST SP 800-53A)</t>
        </is>
      </c>
      <c r="H1" s="106" t="inlineStr">
        <is>
          <t>Meta / Umbral Aceptable</t>
        </is>
      </c>
      <c r="I1" s="106" t="inlineStr">
        <is>
          <t>Resultado Actual</t>
        </is>
      </c>
      <c r="J1" s="106" t="inlineStr">
        <is>
          <t>Nivel de Efectividad / Madurez del Control</t>
        </is>
      </c>
    </row>
    <row r="2">
      <c r="A2" s="107">
        <f>'Documentación Aplicabilidad'!A2</f>
        <v/>
      </c>
      <c r="B2" s="107">
        <f>'Documentación Aplicabilidad'!B2</f>
        <v/>
      </c>
      <c r="C2" s="107">
        <f>'Documentación Aplicabilidad'!C2</f>
        <v/>
      </c>
      <c r="D2" s="107" t="inlineStr">
        <is>
          <t>Desempeño</t>
        </is>
      </c>
      <c r="E2" s="107" t="inlineStr">
        <is>
          <t>MED-SI-001</t>
        </is>
      </c>
      <c r="F2" s="107" t="inlineStr">
        <is>
          <t>(Políticas revisadas y actualizadas / Total de políticas) * 100</t>
        </is>
      </c>
      <c r="G2" s="107" t="inlineStr">
        <is>
          <t>Examinar / Entrevistar</t>
        </is>
      </c>
      <c r="H2" s="107" t="inlineStr">
        <is>
          <t>≥ 90%</t>
        </is>
      </c>
      <c r="I2" s="107" t="inlineStr">
        <is>
          <t>85%</t>
        </is>
      </c>
      <c r="J2" s="107" t="inlineStr">
        <is>
          <t>L3: Proceso Definido</t>
        </is>
      </c>
    </row>
    <row r="3">
      <c r="A3" s="107">
        <f>'Documentación Aplicabilidad'!A3</f>
        <v/>
      </c>
      <c r="B3" s="107">
        <f>'Documentación Aplicabilidad'!B3</f>
        <v/>
      </c>
      <c r="C3" s="107">
        <f>'Documentación Aplicabilidad'!C3</f>
        <v/>
      </c>
      <c r="D3" s="107" t="inlineStr">
        <is>
          <t>Desempeño</t>
        </is>
      </c>
      <c r="E3" s="107" t="inlineStr">
        <is>
          <t>MED-SI-002</t>
        </is>
      </c>
      <c r="F3" s="107" t="inlineStr">
        <is>
          <t>(Políticas revisadas y actualizadas / Total de políticas) * 100</t>
        </is>
      </c>
      <c r="G3" s="107" t="inlineStr">
        <is>
          <t>Examinar / Entrevistar</t>
        </is>
      </c>
      <c r="H3" s="107" t="inlineStr">
        <is>
          <t>≥ 90%</t>
        </is>
      </c>
      <c r="I3" s="107" t="inlineStr">
        <is>
          <t>85%</t>
        </is>
      </c>
      <c r="J3" s="107" t="inlineStr">
        <is>
          <t>L3: Proceso Definido</t>
        </is>
      </c>
    </row>
    <row r="4">
      <c r="A4" s="107">
        <f>'Documentación Aplicabilidad'!A4</f>
        <v/>
      </c>
      <c r="B4" s="107">
        <f>'Documentación Aplicabilidad'!B4</f>
        <v/>
      </c>
      <c r="C4" s="107">
        <f>'Documentación Aplicabilidad'!C4</f>
        <v/>
      </c>
      <c r="D4" s="107" t="inlineStr">
        <is>
          <t>Desempeño</t>
        </is>
      </c>
      <c r="E4" s="107" t="inlineStr">
        <is>
          <t>MED-SI-003</t>
        </is>
      </c>
      <c r="F4" s="107" t="inlineStr">
        <is>
          <t>(Políticas revisadas y actualizadas / Total de políticas) * 100</t>
        </is>
      </c>
      <c r="G4" s="107" t="inlineStr">
        <is>
          <t>Examinar / Entrevistar</t>
        </is>
      </c>
      <c r="H4" s="107" t="inlineStr">
        <is>
          <t>≥ 90%</t>
        </is>
      </c>
      <c r="I4" s="107" t="inlineStr">
        <is>
          <t>85%</t>
        </is>
      </c>
      <c r="J4" s="107" t="inlineStr">
        <is>
          <t>L3: Proceso Definido</t>
        </is>
      </c>
    </row>
    <row r="5">
      <c r="A5" s="107">
        <f>'Documentación Aplicabilidad'!A5</f>
        <v/>
      </c>
      <c r="B5" s="107">
        <f>'Documentación Aplicabilidad'!B5</f>
        <v/>
      </c>
      <c r="C5" s="107">
        <f>'Documentación Aplicabilidad'!C5</f>
        <v/>
      </c>
      <c r="D5" s="107" t="inlineStr">
        <is>
          <t>Desempeño</t>
        </is>
      </c>
      <c r="E5" s="107" t="inlineStr">
        <is>
          <t>MED-SI-004</t>
        </is>
      </c>
      <c r="F5" s="107" t="inlineStr">
        <is>
          <t>(Políticas revisadas y actualizadas / Total de políticas) * 100</t>
        </is>
      </c>
      <c r="G5" s="107" t="inlineStr">
        <is>
          <t>Examinar / Entrevistar</t>
        </is>
      </c>
      <c r="H5" s="107" t="inlineStr">
        <is>
          <t>≥ 90%</t>
        </is>
      </c>
      <c r="I5" s="107" t="inlineStr">
        <is>
          <t>85%</t>
        </is>
      </c>
      <c r="J5" s="107" t="inlineStr">
        <is>
          <t>L3: Proceso Definido</t>
        </is>
      </c>
    </row>
    <row r="6">
      <c r="A6" s="107">
        <f>'Documentación Aplicabilidad'!A6</f>
        <v/>
      </c>
      <c r="B6" s="107">
        <f>'Documentación Aplicabilidad'!B6</f>
        <v/>
      </c>
      <c r="C6" s="107">
        <f>'Documentación Aplicabilidad'!C6</f>
        <v/>
      </c>
      <c r="D6" s="107" t="inlineStr">
        <is>
          <t>Desempeño</t>
        </is>
      </c>
      <c r="E6" s="107" t="inlineStr">
        <is>
          <t>MED-SI-005</t>
        </is>
      </c>
      <c r="F6" s="107" t="inlineStr">
        <is>
          <t>(Políticas revisadas y actualizadas / Total de políticas) * 100</t>
        </is>
      </c>
      <c r="G6" s="107" t="inlineStr">
        <is>
          <t>Examinar / Entrevistar</t>
        </is>
      </c>
      <c r="H6" s="107" t="inlineStr">
        <is>
          <t>≥ 90%</t>
        </is>
      </c>
      <c r="I6" s="107" t="inlineStr">
        <is>
          <t>85%</t>
        </is>
      </c>
      <c r="J6" s="107" t="inlineStr">
        <is>
          <t>L3: Proceso Definido</t>
        </is>
      </c>
    </row>
    <row r="7">
      <c r="A7" s="107">
        <f>'Documentación Aplicabilidad'!A7</f>
        <v/>
      </c>
      <c r="B7" s="107">
        <f>'Documentación Aplicabilidad'!B7</f>
        <v/>
      </c>
      <c r="C7" s="107">
        <f>'Documentación Aplicabilidad'!C7</f>
        <v/>
      </c>
      <c r="D7" s="107" t="inlineStr">
        <is>
          <t>Desempeño</t>
        </is>
      </c>
      <c r="E7" s="107" t="inlineStr">
        <is>
          <t>MED-SI-006</t>
        </is>
      </c>
      <c r="F7" s="107" t="inlineStr">
        <is>
          <t>(Políticas revisadas y actualizadas / Total de políticas) * 100</t>
        </is>
      </c>
      <c r="G7" s="107" t="inlineStr">
        <is>
          <t>Examinar / Entrevistar</t>
        </is>
      </c>
      <c r="H7" s="107" t="inlineStr">
        <is>
          <t>≥ 90%</t>
        </is>
      </c>
      <c r="I7" s="107" t="inlineStr">
        <is>
          <t>85%</t>
        </is>
      </c>
      <c r="J7" s="107" t="inlineStr">
        <is>
          <t>L3: Proceso Definido</t>
        </is>
      </c>
    </row>
    <row r="8">
      <c r="A8" s="107">
        <f>'Documentación Aplicabilidad'!A8</f>
        <v/>
      </c>
      <c r="B8" s="107">
        <f>'Documentación Aplicabilidad'!B8</f>
        <v/>
      </c>
      <c r="C8" s="107">
        <f>'Documentación Aplicabilidad'!C8</f>
        <v/>
      </c>
      <c r="D8" s="107" t="inlineStr">
        <is>
          <t>Desempeño</t>
        </is>
      </c>
      <c r="E8" s="107" t="inlineStr">
        <is>
          <t>MED-SI-007</t>
        </is>
      </c>
      <c r="F8" s="107" t="inlineStr">
        <is>
          <t>(Políticas revisadas y actualizadas / Total de políticas) * 100</t>
        </is>
      </c>
      <c r="G8" s="107" t="inlineStr">
        <is>
          <t>Examinar / Entrevistar</t>
        </is>
      </c>
      <c r="H8" s="107" t="inlineStr">
        <is>
          <t>≥ 90%</t>
        </is>
      </c>
      <c r="I8" s="107" t="inlineStr">
        <is>
          <t>85%</t>
        </is>
      </c>
      <c r="J8" s="107" t="inlineStr">
        <is>
          <t>L3: Proceso Definido</t>
        </is>
      </c>
    </row>
    <row r="9">
      <c r="A9" s="107">
        <f>'Documentación Aplicabilidad'!A9</f>
        <v/>
      </c>
      <c r="B9" s="107">
        <f>'Documentación Aplicabilidad'!B9</f>
        <v/>
      </c>
      <c r="C9" s="107">
        <f>'Documentación Aplicabilidad'!C9</f>
        <v/>
      </c>
      <c r="D9" s="107" t="inlineStr">
        <is>
          <t>Desempeño</t>
        </is>
      </c>
      <c r="E9" s="107" t="inlineStr">
        <is>
          <t>MED-SI-008</t>
        </is>
      </c>
      <c r="F9" s="107" t="inlineStr">
        <is>
          <t>(Políticas revisadas y actualizadas / Total de políticas) * 100</t>
        </is>
      </c>
      <c r="G9" s="107" t="inlineStr">
        <is>
          <t>Examinar / Entrevistar</t>
        </is>
      </c>
      <c r="H9" s="107" t="inlineStr">
        <is>
          <t>≥ 90%</t>
        </is>
      </c>
      <c r="I9" s="107" t="inlineStr">
        <is>
          <t>85%</t>
        </is>
      </c>
      <c r="J9" s="107" t="inlineStr">
        <is>
          <t>L3: Proceso Definido</t>
        </is>
      </c>
    </row>
    <row r="10">
      <c r="A10" s="107">
        <f>'Documentación Aplicabilidad'!A10</f>
        <v/>
      </c>
      <c r="B10" s="107">
        <f>'Documentación Aplicabilidad'!B10</f>
        <v/>
      </c>
      <c r="C10" s="107">
        <f>'Documentación Aplicabilidad'!C10</f>
        <v/>
      </c>
      <c r="D10" s="107" t="inlineStr">
        <is>
          <t>Desempeño</t>
        </is>
      </c>
      <c r="E10" s="107" t="inlineStr">
        <is>
          <t>MED-SI-009</t>
        </is>
      </c>
      <c r="F10" s="107" t="inlineStr">
        <is>
          <t>(Políticas revisadas y actualizadas / Total de políticas) * 100</t>
        </is>
      </c>
      <c r="G10" s="107" t="inlineStr">
        <is>
          <t>Examinar / Entrevistar</t>
        </is>
      </c>
      <c r="H10" s="107" t="inlineStr">
        <is>
          <t>≥ 90%</t>
        </is>
      </c>
      <c r="I10" s="107" t="inlineStr">
        <is>
          <t>85%</t>
        </is>
      </c>
      <c r="J10" s="107" t="inlineStr">
        <is>
          <t>L3: Proceso Definido</t>
        </is>
      </c>
    </row>
    <row r="11">
      <c r="A11" s="107">
        <f>'Documentación Aplicabilidad'!A11</f>
        <v/>
      </c>
      <c r="B11" s="107">
        <f>'Documentación Aplicabilidad'!B11</f>
        <v/>
      </c>
      <c r="C11" s="107">
        <f>'Documentación Aplicabilidad'!C11</f>
        <v/>
      </c>
      <c r="D11" s="107" t="inlineStr">
        <is>
          <t>Desempeño</t>
        </is>
      </c>
      <c r="E11" s="107" t="inlineStr">
        <is>
          <t>MED-SI-010</t>
        </is>
      </c>
      <c r="F11" s="107" t="inlineStr">
        <is>
          <t>(Políticas revisadas y actualizadas / Total de políticas) * 100</t>
        </is>
      </c>
      <c r="G11" s="107" t="inlineStr">
        <is>
          <t>Examinar / Entrevistar</t>
        </is>
      </c>
      <c r="H11" s="107" t="inlineStr">
        <is>
          <t>≥ 90%</t>
        </is>
      </c>
      <c r="I11" s="107" t="inlineStr">
        <is>
          <t>85%</t>
        </is>
      </c>
      <c r="J11" s="107" t="inlineStr">
        <is>
          <t>L3: Proceso Definido</t>
        </is>
      </c>
    </row>
    <row r="12">
      <c r="A12" s="107">
        <f>'Documentación Aplicabilidad'!A12</f>
        <v/>
      </c>
      <c r="B12" s="107">
        <f>'Documentación Aplicabilidad'!B12</f>
        <v/>
      </c>
      <c r="C12" s="107">
        <f>'Documentación Aplicabilidad'!C12</f>
        <v/>
      </c>
      <c r="D12" s="107" t="inlineStr">
        <is>
          <t>Desempeño</t>
        </is>
      </c>
      <c r="E12" s="107" t="inlineStr">
        <is>
          <t>MED-SI-011</t>
        </is>
      </c>
      <c r="F12" s="107" t="inlineStr">
        <is>
          <t>(Políticas revisadas y actualizadas / Total de políticas) * 100</t>
        </is>
      </c>
      <c r="G12" s="107" t="inlineStr">
        <is>
          <t>Examinar / Entrevistar</t>
        </is>
      </c>
      <c r="H12" s="107" t="inlineStr">
        <is>
          <t>≥ 90%</t>
        </is>
      </c>
      <c r="I12" s="107" t="inlineStr">
        <is>
          <t>85%</t>
        </is>
      </c>
      <c r="J12" s="107" t="inlineStr">
        <is>
          <t>L3: Proceso Definido</t>
        </is>
      </c>
    </row>
    <row r="13">
      <c r="A13" s="107">
        <f>'Documentación Aplicabilidad'!A13</f>
        <v/>
      </c>
      <c r="B13" s="107">
        <f>'Documentación Aplicabilidad'!B13</f>
        <v/>
      </c>
      <c r="C13" s="107">
        <f>'Documentación Aplicabilidad'!C13</f>
        <v/>
      </c>
      <c r="D13" s="107" t="inlineStr">
        <is>
          <t>Desempeño</t>
        </is>
      </c>
      <c r="E13" s="107" t="inlineStr">
        <is>
          <t>MED-SI-012</t>
        </is>
      </c>
      <c r="F13" s="107" t="inlineStr">
        <is>
          <t>(Políticas revisadas y actualizadas / Total de políticas) * 100</t>
        </is>
      </c>
      <c r="G13" s="107" t="inlineStr">
        <is>
          <t>Examinar / Entrevistar</t>
        </is>
      </c>
      <c r="H13" s="107" t="inlineStr">
        <is>
          <t>≥ 90%</t>
        </is>
      </c>
      <c r="I13" s="107" t="inlineStr">
        <is>
          <t>85%</t>
        </is>
      </c>
      <c r="J13" s="107" t="inlineStr">
        <is>
          <t>L3: Proceso Definido</t>
        </is>
      </c>
    </row>
    <row r="14">
      <c r="A14" s="107">
        <f>'Documentación Aplicabilidad'!A14</f>
        <v/>
      </c>
      <c r="B14" s="107">
        <f>'Documentación Aplicabilidad'!B14</f>
        <v/>
      </c>
      <c r="C14" s="107">
        <f>'Documentación Aplicabilidad'!C14</f>
        <v/>
      </c>
      <c r="D14" s="107" t="inlineStr">
        <is>
          <t>Desempeño</t>
        </is>
      </c>
      <c r="E14" s="107" t="inlineStr">
        <is>
          <t>MED-SI-013</t>
        </is>
      </c>
      <c r="F14" s="107" t="inlineStr">
        <is>
          <t>(Políticas revisadas y actualizadas / Total de políticas) * 100</t>
        </is>
      </c>
      <c r="G14" s="107" t="inlineStr">
        <is>
          <t>Examinar / Entrevistar</t>
        </is>
      </c>
      <c r="H14" s="107" t="inlineStr">
        <is>
          <t>≥ 90%</t>
        </is>
      </c>
      <c r="I14" s="107" t="inlineStr">
        <is>
          <t>85%</t>
        </is>
      </c>
      <c r="J14" s="107" t="inlineStr">
        <is>
          <t>L3: Proceso Definido</t>
        </is>
      </c>
    </row>
    <row r="15">
      <c r="A15" s="107">
        <f>'Documentación Aplicabilidad'!A15</f>
        <v/>
      </c>
      <c r="B15" s="107">
        <f>'Documentación Aplicabilidad'!B15</f>
        <v/>
      </c>
      <c r="C15" s="107">
        <f>'Documentación Aplicabilidad'!C15</f>
        <v/>
      </c>
      <c r="D15" s="107" t="inlineStr">
        <is>
          <t>Desempeño</t>
        </is>
      </c>
      <c r="E15" s="107" t="inlineStr">
        <is>
          <t>MED-SI-014</t>
        </is>
      </c>
      <c r="F15" s="107" t="inlineStr">
        <is>
          <t>(Políticas revisadas y actualizadas / Total de políticas) * 100</t>
        </is>
      </c>
      <c r="G15" s="107" t="inlineStr">
        <is>
          <t>Examinar / Entrevistar</t>
        </is>
      </c>
      <c r="H15" s="107" t="inlineStr">
        <is>
          <t>≥ 90%</t>
        </is>
      </c>
      <c r="I15" s="107" t="inlineStr">
        <is>
          <t>85%</t>
        </is>
      </c>
      <c r="J15" s="107" t="inlineStr">
        <is>
          <t>L3: Proceso Definido</t>
        </is>
      </c>
    </row>
    <row r="16">
      <c r="A16" s="107">
        <f>'Documentación Aplicabilidad'!A16</f>
        <v/>
      </c>
      <c r="B16" s="107">
        <f>'Documentación Aplicabilidad'!B16</f>
        <v/>
      </c>
      <c r="C16" s="107">
        <f>'Documentación Aplicabilidad'!C16</f>
        <v/>
      </c>
      <c r="D16" s="107" t="inlineStr">
        <is>
          <t>Desempeño</t>
        </is>
      </c>
      <c r="E16" s="107" t="inlineStr">
        <is>
          <t>MED-SI-015</t>
        </is>
      </c>
      <c r="F16" s="107" t="inlineStr">
        <is>
          <t>(Políticas revisadas y actualizadas / Total de políticas) * 100</t>
        </is>
      </c>
      <c r="G16" s="107" t="inlineStr">
        <is>
          <t>Examinar / Entrevistar</t>
        </is>
      </c>
      <c r="H16" s="107" t="inlineStr">
        <is>
          <t>≥ 90%</t>
        </is>
      </c>
      <c r="I16" s="107" t="inlineStr">
        <is>
          <t>85%</t>
        </is>
      </c>
      <c r="J16" s="107" t="inlineStr">
        <is>
          <t>L3: Proceso Definido</t>
        </is>
      </c>
    </row>
    <row r="17">
      <c r="A17" s="107">
        <f>'Documentación Aplicabilidad'!A17</f>
        <v/>
      </c>
      <c r="B17" s="107">
        <f>'Documentación Aplicabilidad'!B17</f>
        <v/>
      </c>
      <c r="C17" s="107">
        <f>'Documentación Aplicabilidad'!C17</f>
        <v/>
      </c>
      <c r="D17" s="107" t="inlineStr">
        <is>
          <t>Desempeño</t>
        </is>
      </c>
      <c r="E17" s="107" t="inlineStr">
        <is>
          <t>MED-SI-016</t>
        </is>
      </c>
      <c r="F17" s="107" t="inlineStr">
        <is>
          <t>(Políticas revisadas y actualizadas / Total de políticas) * 100</t>
        </is>
      </c>
      <c r="G17" s="107" t="inlineStr">
        <is>
          <t>Examinar / Entrevistar</t>
        </is>
      </c>
      <c r="H17" s="107" t="inlineStr">
        <is>
          <t>≥ 90%</t>
        </is>
      </c>
      <c r="I17" s="107" t="inlineStr">
        <is>
          <t>85%</t>
        </is>
      </c>
      <c r="J17" s="107" t="inlineStr">
        <is>
          <t>L3: Proceso Definido</t>
        </is>
      </c>
    </row>
    <row r="18">
      <c r="A18" s="107">
        <f>'Documentación Aplicabilidad'!A18</f>
        <v/>
      </c>
      <c r="B18" s="107">
        <f>'Documentación Aplicabilidad'!B18</f>
        <v/>
      </c>
      <c r="C18" s="107">
        <f>'Documentación Aplicabilidad'!C18</f>
        <v/>
      </c>
      <c r="D18" s="107" t="inlineStr">
        <is>
          <t>Desempeño</t>
        </is>
      </c>
      <c r="E18" s="107" t="inlineStr">
        <is>
          <t>MED-SI-017</t>
        </is>
      </c>
      <c r="F18" s="107" t="inlineStr">
        <is>
          <t>(Políticas revisadas y actualizadas / Total de políticas) * 100</t>
        </is>
      </c>
      <c r="G18" s="107" t="inlineStr">
        <is>
          <t>Examinar / Entrevistar</t>
        </is>
      </c>
      <c r="H18" s="107" t="inlineStr">
        <is>
          <t>≥ 90%</t>
        </is>
      </c>
      <c r="I18" s="107" t="inlineStr">
        <is>
          <t>85%</t>
        </is>
      </c>
      <c r="J18" s="107" t="inlineStr">
        <is>
          <t>L3: Proceso Definido</t>
        </is>
      </c>
    </row>
    <row r="19">
      <c r="A19" s="107">
        <f>'Documentación Aplicabilidad'!A19</f>
        <v/>
      </c>
      <c r="B19" s="107">
        <f>'Documentación Aplicabilidad'!B19</f>
        <v/>
      </c>
      <c r="C19" s="107">
        <f>'Documentación Aplicabilidad'!C19</f>
        <v/>
      </c>
      <c r="D19" s="107" t="inlineStr">
        <is>
          <t>Desempeño</t>
        </is>
      </c>
      <c r="E19" s="107" t="inlineStr">
        <is>
          <t>MED-SI-018</t>
        </is>
      </c>
      <c r="F19" s="107" t="inlineStr">
        <is>
          <t>(Políticas revisadas y actualizadas / Total de políticas) * 100</t>
        </is>
      </c>
      <c r="G19" s="107" t="inlineStr">
        <is>
          <t>Examinar / Entrevistar</t>
        </is>
      </c>
      <c r="H19" s="107" t="inlineStr">
        <is>
          <t>≥ 90%</t>
        </is>
      </c>
      <c r="I19" s="107" t="inlineStr">
        <is>
          <t>85%</t>
        </is>
      </c>
      <c r="J19" s="107" t="inlineStr">
        <is>
          <t>L3: Proceso Definido</t>
        </is>
      </c>
    </row>
    <row r="20">
      <c r="A20" s="107">
        <f>'Documentación Aplicabilidad'!A20</f>
        <v/>
      </c>
      <c r="B20" s="107">
        <f>'Documentación Aplicabilidad'!B20</f>
        <v/>
      </c>
      <c r="C20" s="107">
        <f>'Documentación Aplicabilidad'!C20</f>
        <v/>
      </c>
      <c r="D20" s="107" t="inlineStr">
        <is>
          <t>Desempeño</t>
        </is>
      </c>
      <c r="E20" s="107" t="inlineStr">
        <is>
          <t>MED-SI-019</t>
        </is>
      </c>
      <c r="F20" s="107" t="inlineStr">
        <is>
          <t>(Políticas revisadas y actualizadas / Total de políticas) * 100</t>
        </is>
      </c>
      <c r="G20" s="107" t="inlineStr">
        <is>
          <t>Examinar / Entrevistar</t>
        </is>
      </c>
      <c r="H20" s="107" t="inlineStr">
        <is>
          <t>≥ 90%</t>
        </is>
      </c>
      <c r="I20" s="107" t="inlineStr">
        <is>
          <t>85%</t>
        </is>
      </c>
      <c r="J20" s="107" t="inlineStr">
        <is>
          <t>L3: Proceso Definido</t>
        </is>
      </c>
    </row>
    <row r="21">
      <c r="A21" s="107">
        <f>'Documentación Aplicabilidad'!A21</f>
        <v/>
      </c>
      <c r="B21" s="107">
        <f>'Documentación Aplicabilidad'!B21</f>
        <v/>
      </c>
      <c r="C21" s="107">
        <f>'Documentación Aplicabilidad'!C21</f>
        <v/>
      </c>
      <c r="D21" s="107" t="inlineStr">
        <is>
          <t>Desempeño</t>
        </is>
      </c>
      <c r="E21" s="107" t="inlineStr">
        <is>
          <t>MED-SI-020</t>
        </is>
      </c>
      <c r="F21" s="107" t="inlineStr">
        <is>
          <t>(Políticas revisadas y actualizadas / Total de políticas) * 100</t>
        </is>
      </c>
      <c r="G21" s="107" t="inlineStr">
        <is>
          <t>Examinar / Entrevistar</t>
        </is>
      </c>
      <c r="H21" s="107" t="inlineStr">
        <is>
          <t>≥ 90%</t>
        </is>
      </c>
      <c r="I21" s="107" t="inlineStr">
        <is>
          <t>85%</t>
        </is>
      </c>
      <c r="J21" s="107" t="inlineStr">
        <is>
          <t>L3: Proceso Definido</t>
        </is>
      </c>
    </row>
    <row r="22">
      <c r="A22" s="107">
        <f>'Documentación Aplicabilidad'!A22</f>
        <v/>
      </c>
      <c r="B22" s="107">
        <f>'Documentación Aplicabilidad'!B22</f>
        <v/>
      </c>
      <c r="C22" s="107">
        <f>'Documentación Aplicabilidad'!C22</f>
        <v/>
      </c>
      <c r="D22" s="107" t="inlineStr">
        <is>
          <t>Desempeño</t>
        </is>
      </c>
      <c r="E22" s="107" t="inlineStr">
        <is>
          <t>MED-SI-021</t>
        </is>
      </c>
      <c r="F22" s="107" t="inlineStr">
        <is>
          <t>(Políticas revisadas y actualizadas / Total de políticas) * 100</t>
        </is>
      </c>
      <c r="G22" s="107" t="inlineStr">
        <is>
          <t>Examinar / Entrevistar</t>
        </is>
      </c>
      <c r="H22" s="107" t="inlineStr">
        <is>
          <t>≥ 90%</t>
        </is>
      </c>
      <c r="I22" s="107" t="inlineStr">
        <is>
          <t>85%</t>
        </is>
      </c>
      <c r="J22" s="107" t="inlineStr">
        <is>
          <t>L3: Proceso Definido</t>
        </is>
      </c>
    </row>
    <row r="23">
      <c r="A23" s="107">
        <f>'Documentación Aplicabilidad'!A23</f>
        <v/>
      </c>
      <c r="B23" s="107">
        <f>'Documentación Aplicabilidad'!B23</f>
        <v/>
      </c>
      <c r="C23" s="107">
        <f>'Documentación Aplicabilidad'!C23</f>
        <v/>
      </c>
      <c r="D23" s="107" t="inlineStr">
        <is>
          <t>Desempeño</t>
        </is>
      </c>
      <c r="E23" s="107" t="inlineStr">
        <is>
          <t>MED-SI-022</t>
        </is>
      </c>
      <c r="F23" s="107" t="inlineStr">
        <is>
          <t>(Políticas revisadas y actualizadas / Total de políticas) * 100</t>
        </is>
      </c>
      <c r="G23" s="107" t="inlineStr">
        <is>
          <t>Examinar / Entrevistar</t>
        </is>
      </c>
      <c r="H23" s="107" t="inlineStr">
        <is>
          <t>≥ 90%</t>
        </is>
      </c>
      <c r="I23" s="107" t="inlineStr">
        <is>
          <t>85%</t>
        </is>
      </c>
      <c r="J23" s="107" t="inlineStr">
        <is>
          <t>L3: Proceso Definido</t>
        </is>
      </c>
    </row>
    <row r="24">
      <c r="A24" s="107">
        <f>'Documentación Aplicabilidad'!A24</f>
        <v/>
      </c>
      <c r="B24" s="107">
        <f>'Documentación Aplicabilidad'!B24</f>
        <v/>
      </c>
      <c r="C24" s="107">
        <f>'Documentación Aplicabilidad'!C24</f>
        <v/>
      </c>
      <c r="D24" s="107" t="inlineStr">
        <is>
          <t>Desempeño</t>
        </is>
      </c>
      <c r="E24" s="107" t="inlineStr">
        <is>
          <t>MED-SI-023</t>
        </is>
      </c>
      <c r="F24" s="107" t="inlineStr">
        <is>
          <t>(Políticas revisadas y actualizadas / Total de políticas) * 100</t>
        </is>
      </c>
      <c r="G24" s="107" t="inlineStr">
        <is>
          <t>Examinar / Entrevistar</t>
        </is>
      </c>
      <c r="H24" s="107" t="inlineStr">
        <is>
          <t>≥ 90%</t>
        </is>
      </c>
      <c r="I24" s="107" t="inlineStr">
        <is>
          <t>85%</t>
        </is>
      </c>
      <c r="J24" s="107" t="inlineStr">
        <is>
          <t>L3: Proceso Definido</t>
        </is>
      </c>
    </row>
    <row r="25">
      <c r="A25" s="107">
        <f>'Documentación Aplicabilidad'!A25</f>
        <v/>
      </c>
      <c r="B25" s="107">
        <f>'Documentación Aplicabilidad'!B25</f>
        <v/>
      </c>
      <c r="C25" s="107">
        <f>'Documentación Aplicabilidad'!C25</f>
        <v/>
      </c>
      <c r="D25" s="107" t="inlineStr">
        <is>
          <t>Desempeño</t>
        </is>
      </c>
      <c r="E25" s="107" t="inlineStr">
        <is>
          <t>MED-SI-024</t>
        </is>
      </c>
      <c r="F25" s="107" t="inlineStr">
        <is>
          <t>(Políticas revisadas y actualizadas / Total de políticas) * 100</t>
        </is>
      </c>
      <c r="G25" s="107" t="inlineStr">
        <is>
          <t>Examinar / Entrevistar</t>
        </is>
      </c>
      <c r="H25" s="107" t="inlineStr">
        <is>
          <t>≥ 90%</t>
        </is>
      </c>
      <c r="I25" s="107" t="inlineStr">
        <is>
          <t>85%</t>
        </is>
      </c>
      <c r="J25" s="107" t="inlineStr">
        <is>
          <t>L3: Proceso Definido</t>
        </is>
      </c>
    </row>
    <row r="26">
      <c r="A26" s="107">
        <f>'Documentación Aplicabilidad'!A26</f>
        <v/>
      </c>
      <c r="B26" s="107">
        <f>'Documentación Aplicabilidad'!B26</f>
        <v/>
      </c>
      <c r="C26" s="107">
        <f>'Documentación Aplicabilidad'!C26</f>
        <v/>
      </c>
      <c r="D26" s="107" t="inlineStr">
        <is>
          <t>Desempeño</t>
        </is>
      </c>
      <c r="E26" s="107" t="inlineStr">
        <is>
          <t>MED-SI-025</t>
        </is>
      </c>
      <c r="F26" s="107" t="inlineStr">
        <is>
          <t>(Políticas revisadas y actualizadas / Total de políticas) * 100</t>
        </is>
      </c>
      <c r="G26" s="107" t="inlineStr">
        <is>
          <t>Examinar / Entrevistar</t>
        </is>
      </c>
      <c r="H26" s="107" t="inlineStr">
        <is>
          <t>≥ 90%</t>
        </is>
      </c>
      <c r="I26" s="107" t="inlineStr">
        <is>
          <t>85%</t>
        </is>
      </c>
      <c r="J26" s="107" t="inlineStr">
        <is>
          <t>L3: Proceso Definido</t>
        </is>
      </c>
    </row>
    <row r="27">
      <c r="A27" s="107">
        <f>'Documentación Aplicabilidad'!A27</f>
        <v/>
      </c>
      <c r="B27" s="107">
        <f>'Documentación Aplicabilidad'!B27</f>
        <v/>
      </c>
      <c r="C27" s="107">
        <f>'Documentación Aplicabilidad'!C27</f>
        <v/>
      </c>
      <c r="D27" s="107" t="inlineStr">
        <is>
          <t>Desempeño</t>
        </is>
      </c>
      <c r="E27" s="107" t="inlineStr">
        <is>
          <t>MED-SI-026</t>
        </is>
      </c>
      <c r="F27" s="107" t="inlineStr">
        <is>
          <t>(Políticas revisadas y actualizadas / Total de políticas) * 100</t>
        </is>
      </c>
      <c r="G27" s="107" t="inlineStr">
        <is>
          <t>Examinar / Entrevistar</t>
        </is>
      </c>
      <c r="H27" s="107" t="inlineStr">
        <is>
          <t>≥ 90%</t>
        </is>
      </c>
      <c r="I27" s="107" t="inlineStr">
        <is>
          <t>85%</t>
        </is>
      </c>
      <c r="J27" s="107" t="inlineStr">
        <is>
          <t>L3: Proceso Definido</t>
        </is>
      </c>
    </row>
    <row r="28">
      <c r="A28" s="107">
        <f>'Documentación Aplicabilidad'!A28</f>
        <v/>
      </c>
      <c r="B28" s="107">
        <f>'Documentación Aplicabilidad'!B28</f>
        <v/>
      </c>
      <c r="C28" s="107">
        <f>'Documentación Aplicabilidad'!C28</f>
        <v/>
      </c>
      <c r="D28" s="107" t="inlineStr">
        <is>
          <t>Desempeño</t>
        </is>
      </c>
      <c r="E28" s="107" t="inlineStr">
        <is>
          <t>MED-SI-027</t>
        </is>
      </c>
      <c r="F28" s="107" t="inlineStr">
        <is>
          <t>(Políticas revisadas y actualizadas / Total de políticas) * 100</t>
        </is>
      </c>
      <c r="G28" s="107" t="inlineStr">
        <is>
          <t>Examinar / Entrevistar</t>
        </is>
      </c>
      <c r="H28" s="107" t="inlineStr">
        <is>
          <t>≥ 90%</t>
        </is>
      </c>
      <c r="I28" s="107" t="inlineStr">
        <is>
          <t>85%</t>
        </is>
      </c>
      <c r="J28" s="107" t="inlineStr">
        <is>
          <t>L3: Proceso Definido</t>
        </is>
      </c>
    </row>
    <row r="29">
      <c r="A29" s="107">
        <f>'Documentación Aplicabilidad'!A29</f>
        <v/>
      </c>
      <c r="B29" s="107">
        <f>'Documentación Aplicabilidad'!B29</f>
        <v/>
      </c>
      <c r="C29" s="107">
        <f>'Documentación Aplicabilidad'!C29</f>
        <v/>
      </c>
      <c r="D29" s="107" t="inlineStr">
        <is>
          <t>Desempeño</t>
        </is>
      </c>
      <c r="E29" s="107" t="inlineStr">
        <is>
          <t>MED-SI-028</t>
        </is>
      </c>
      <c r="F29" s="107" t="inlineStr">
        <is>
          <t>(Políticas revisadas y actualizadas / Total de políticas) * 100</t>
        </is>
      </c>
      <c r="G29" s="107" t="inlineStr">
        <is>
          <t>Examinar / Entrevistar</t>
        </is>
      </c>
      <c r="H29" s="107" t="inlineStr">
        <is>
          <t>≥ 90%</t>
        </is>
      </c>
      <c r="I29" s="107" t="inlineStr">
        <is>
          <t>85%</t>
        </is>
      </c>
      <c r="J29" s="107" t="inlineStr">
        <is>
          <t>L3: Proceso Definido</t>
        </is>
      </c>
    </row>
    <row r="30">
      <c r="A30" s="107">
        <f>'Documentación Aplicabilidad'!A30</f>
        <v/>
      </c>
      <c r="B30" s="107">
        <f>'Documentación Aplicabilidad'!B30</f>
        <v/>
      </c>
      <c r="C30" s="107">
        <f>'Documentación Aplicabilidad'!C30</f>
        <v/>
      </c>
      <c r="D30" s="107" t="inlineStr">
        <is>
          <t>Desempeño</t>
        </is>
      </c>
      <c r="E30" s="107" t="inlineStr">
        <is>
          <t>MED-SI-029</t>
        </is>
      </c>
      <c r="F30" s="107" t="inlineStr">
        <is>
          <t>(Políticas revisadas y actualizadas / Total de políticas) * 100</t>
        </is>
      </c>
      <c r="G30" s="107" t="inlineStr">
        <is>
          <t>Examinar / Entrevistar</t>
        </is>
      </c>
      <c r="H30" s="107" t="inlineStr">
        <is>
          <t>≥ 90%</t>
        </is>
      </c>
      <c r="I30" s="107" t="inlineStr">
        <is>
          <t>85%</t>
        </is>
      </c>
      <c r="J30" s="107" t="inlineStr">
        <is>
          <t>L3: Proceso Definido</t>
        </is>
      </c>
    </row>
    <row r="31">
      <c r="A31" s="107">
        <f>'Documentación Aplicabilidad'!A31</f>
        <v/>
      </c>
      <c r="B31" s="107">
        <f>'Documentación Aplicabilidad'!B31</f>
        <v/>
      </c>
      <c r="C31" s="107">
        <f>'Documentación Aplicabilidad'!C31</f>
        <v/>
      </c>
      <c r="D31" s="107" t="inlineStr">
        <is>
          <t>Desempeño</t>
        </is>
      </c>
      <c r="E31" s="107" t="inlineStr">
        <is>
          <t>MED-SI-030</t>
        </is>
      </c>
      <c r="F31" s="107" t="inlineStr">
        <is>
          <t>(Políticas revisadas y actualizadas / Total de políticas) * 100</t>
        </is>
      </c>
      <c r="G31" s="107" t="inlineStr">
        <is>
          <t>Examinar / Entrevistar</t>
        </is>
      </c>
      <c r="H31" s="107" t="inlineStr">
        <is>
          <t>≥ 90%</t>
        </is>
      </c>
      <c r="I31" s="107" t="inlineStr">
        <is>
          <t>85%</t>
        </is>
      </c>
      <c r="J31" s="107" t="inlineStr">
        <is>
          <t>L3: Proceso Definido</t>
        </is>
      </c>
    </row>
    <row r="32">
      <c r="A32" s="107">
        <f>'Documentación Aplicabilidad'!A32</f>
        <v/>
      </c>
      <c r="B32" s="107">
        <f>'Documentación Aplicabilidad'!B32</f>
        <v/>
      </c>
      <c r="C32" s="107">
        <f>'Documentación Aplicabilidad'!C32</f>
        <v/>
      </c>
      <c r="D32" s="107" t="inlineStr">
        <is>
          <t>Desempeño</t>
        </is>
      </c>
      <c r="E32" s="107" t="inlineStr">
        <is>
          <t>MED-SI-031</t>
        </is>
      </c>
      <c r="F32" s="107" t="inlineStr">
        <is>
          <t>(Políticas revisadas y actualizadas / Total de políticas) * 100</t>
        </is>
      </c>
      <c r="G32" s="107" t="inlineStr">
        <is>
          <t>Examinar / Entrevistar</t>
        </is>
      </c>
      <c r="H32" s="107" t="inlineStr">
        <is>
          <t>≥ 90%</t>
        </is>
      </c>
      <c r="I32" s="107" t="inlineStr">
        <is>
          <t>85%</t>
        </is>
      </c>
      <c r="J32" s="107" t="inlineStr">
        <is>
          <t>L3: Proceso Definido</t>
        </is>
      </c>
    </row>
    <row r="33">
      <c r="A33" s="107">
        <f>'Documentación Aplicabilidad'!A33</f>
        <v/>
      </c>
      <c r="B33" s="107">
        <f>'Documentación Aplicabilidad'!B33</f>
        <v/>
      </c>
      <c r="C33" s="107">
        <f>'Documentación Aplicabilidad'!C33</f>
        <v/>
      </c>
      <c r="D33" s="107" t="inlineStr">
        <is>
          <t>Desempeño</t>
        </is>
      </c>
      <c r="E33" s="107" t="inlineStr">
        <is>
          <t>MED-SI-032</t>
        </is>
      </c>
      <c r="F33" s="107" t="inlineStr">
        <is>
          <t>(Políticas revisadas y actualizadas / Total de políticas) * 100</t>
        </is>
      </c>
      <c r="G33" s="107" t="inlineStr">
        <is>
          <t>Examinar / Entrevistar</t>
        </is>
      </c>
      <c r="H33" s="107" t="inlineStr">
        <is>
          <t>≥ 90%</t>
        </is>
      </c>
      <c r="I33" s="107" t="inlineStr">
        <is>
          <t>85%</t>
        </is>
      </c>
      <c r="J33" s="107" t="inlineStr">
        <is>
          <t>L3: Proceso Definido</t>
        </is>
      </c>
    </row>
    <row r="34">
      <c r="A34" s="107">
        <f>'Documentación Aplicabilidad'!A34</f>
        <v/>
      </c>
      <c r="B34" s="107">
        <f>'Documentación Aplicabilidad'!B34</f>
        <v/>
      </c>
      <c r="C34" s="107">
        <f>'Documentación Aplicabilidad'!C34</f>
        <v/>
      </c>
      <c r="D34" s="107" t="inlineStr">
        <is>
          <t>Desempeño</t>
        </is>
      </c>
      <c r="E34" s="107" t="inlineStr">
        <is>
          <t>MED-SI-033</t>
        </is>
      </c>
      <c r="F34" s="107" t="inlineStr">
        <is>
          <t>(Políticas revisadas y actualizadas / Total de políticas) * 100</t>
        </is>
      </c>
      <c r="G34" s="107" t="inlineStr">
        <is>
          <t>Examinar / Entrevistar</t>
        </is>
      </c>
      <c r="H34" s="107" t="inlineStr">
        <is>
          <t>≥ 90%</t>
        </is>
      </c>
      <c r="I34" s="107" t="inlineStr">
        <is>
          <t>85%</t>
        </is>
      </c>
      <c r="J34" s="107" t="inlineStr">
        <is>
          <t>L3: Proceso Definido</t>
        </is>
      </c>
    </row>
    <row r="35">
      <c r="A35" s="107">
        <f>'Documentación Aplicabilidad'!A35</f>
        <v/>
      </c>
      <c r="B35" s="107">
        <f>'Documentación Aplicabilidad'!B35</f>
        <v/>
      </c>
      <c r="C35" s="107">
        <f>'Documentación Aplicabilidad'!C35</f>
        <v/>
      </c>
      <c r="D35" s="107" t="inlineStr">
        <is>
          <t>Desempeño</t>
        </is>
      </c>
      <c r="E35" s="107" t="inlineStr">
        <is>
          <t>MED-SI-034</t>
        </is>
      </c>
      <c r="F35" s="107" t="inlineStr">
        <is>
          <t>(Políticas revisadas y actualizadas / Total de políticas) * 100</t>
        </is>
      </c>
      <c r="G35" s="107" t="inlineStr">
        <is>
          <t>Examinar / Entrevistar</t>
        </is>
      </c>
      <c r="H35" s="107" t="inlineStr">
        <is>
          <t>≥ 90%</t>
        </is>
      </c>
      <c r="I35" s="107" t="inlineStr">
        <is>
          <t>85%</t>
        </is>
      </c>
      <c r="J35" s="107" t="inlineStr">
        <is>
          <t>L3: Proceso Definido</t>
        </is>
      </c>
    </row>
    <row r="36">
      <c r="A36" s="107">
        <f>'Documentación Aplicabilidad'!A36</f>
        <v/>
      </c>
      <c r="B36" s="107">
        <f>'Documentación Aplicabilidad'!B36</f>
        <v/>
      </c>
      <c r="C36" s="107">
        <f>'Documentación Aplicabilidad'!C36</f>
        <v/>
      </c>
      <c r="D36" s="107" t="inlineStr">
        <is>
          <t>Desempeño</t>
        </is>
      </c>
      <c r="E36" s="107" t="inlineStr">
        <is>
          <t>MED-SI-035</t>
        </is>
      </c>
      <c r="F36" s="107" t="inlineStr">
        <is>
          <t>(Políticas revisadas y actualizadas / Total de políticas) * 100</t>
        </is>
      </c>
      <c r="G36" s="107" t="inlineStr">
        <is>
          <t>Examinar / Entrevistar</t>
        </is>
      </c>
      <c r="H36" s="107" t="inlineStr">
        <is>
          <t>≥ 90%</t>
        </is>
      </c>
      <c r="I36" s="107" t="inlineStr">
        <is>
          <t>85%</t>
        </is>
      </c>
      <c r="J36" s="107" t="inlineStr">
        <is>
          <t>L3: Proceso Definido</t>
        </is>
      </c>
    </row>
    <row r="37">
      <c r="A37" s="107">
        <f>'Documentación Aplicabilidad'!A37</f>
        <v/>
      </c>
      <c r="B37" s="107">
        <f>'Documentación Aplicabilidad'!B37</f>
        <v/>
      </c>
      <c r="C37" s="107">
        <f>'Documentación Aplicabilidad'!C37</f>
        <v/>
      </c>
      <c r="D37" s="107" t="inlineStr">
        <is>
          <t>Desempeño</t>
        </is>
      </c>
      <c r="E37" s="107" t="inlineStr">
        <is>
          <t>MED-SI-036</t>
        </is>
      </c>
      <c r="F37" s="107" t="inlineStr">
        <is>
          <t>(Políticas revisadas y actualizadas / Total de políticas) * 100</t>
        </is>
      </c>
      <c r="G37" s="107" t="inlineStr">
        <is>
          <t>Examinar / Entrevistar</t>
        </is>
      </c>
      <c r="H37" s="107" t="inlineStr">
        <is>
          <t>≥ 90%</t>
        </is>
      </c>
      <c r="I37" s="107" t="inlineStr">
        <is>
          <t>85%</t>
        </is>
      </c>
      <c r="J37" s="107" t="inlineStr">
        <is>
          <t>L3: Proceso Definido</t>
        </is>
      </c>
    </row>
    <row r="38">
      <c r="A38" s="107">
        <f>'Documentación Aplicabilidad'!A38</f>
        <v/>
      </c>
      <c r="B38" s="107">
        <f>'Documentación Aplicabilidad'!B38</f>
        <v/>
      </c>
      <c r="C38" s="107">
        <f>'Documentación Aplicabilidad'!C38</f>
        <v/>
      </c>
      <c r="D38" s="107" t="inlineStr">
        <is>
          <t>Desempeño</t>
        </is>
      </c>
      <c r="E38" s="107" t="inlineStr">
        <is>
          <t>MED-SI-037</t>
        </is>
      </c>
      <c r="F38" s="107" t="inlineStr">
        <is>
          <t>(Políticas revisadas y actualizadas / Total de políticas) * 100</t>
        </is>
      </c>
      <c r="G38" s="107" t="inlineStr">
        <is>
          <t>Examinar / Entrevistar</t>
        </is>
      </c>
      <c r="H38" s="107" t="inlineStr">
        <is>
          <t>≥ 90%</t>
        </is>
      </c>
      <c r="I38" s="107" t="inlineStr">
        <is>
          <t>85%</t>
        </is>
      </c>
      <c r="J38" s="107" t="inlineStr">
        <is>
          <t>L3: Proceso Definido</t>
        </is>
      </c>
    </row>
    <row r="39">
      <c r="A39" s="107">
        <f>'Documentación Aplicabilidad'!A39</f>
        <v/>
      </c>
      <c r="B39" s="107">
        <f>'Documentación Aplicabilidad'!B39</f>
        <v/>
      </c>
      <c r="C39" s="107">
        <f>'Documentación Aplicabilidad'!C39</f>
        <v/>
      </c>
      <c r="D39" s="107" t="inlineStr">
        <is>
          <t>Desempeño</t>
        </is>
      </c>
      <c r="E39" s="107" t="inlineStr">
        <is>
          <t>MED-SI-038</t>
        </is>
      </c>
      <c r="F39" s="107" t="inlineStr">
        <is>
          <t>(Personal capacitado en SGSI / Total de personal) * 100</t>
        </is>
      </c>
      <c r="G39" s="107" t="inlineStr">
        <is>
          <t>Examinar / Entrevistar</t>
        </is>
      </c>
      <c r="H39" s="107" t="inlineStr">
        <is>
          <t>100%</t>
        </is>
      </c>
      <c r="I39" s="107" t="inlineStr">
        <is>
          <t>92%</t>
        </is>
      </c>
      <c r="J39" s="107" t="inlineStr">
        <is>
          <t>L3: Proceso Definido</t>
        </is>
      </c>
    </row>
    <row r="40">
      <c r="A40" s="107">
        <f>'Documentación Aplicabilidad'!A40</f>
        <v/>
      </c>
      <c r="B40" s="107">
        <f>'Documentación Aplicabilidad'!B40</f>
        <v/>
      </c>
      <c r="C40" s="107">
        <f>'Documentación Aplicabilidad'!C40</f>
        <v/>
      </c>
      <c r="D40" s="107" t="inlineStr">
        <is>
          <t>Desempeño</t>
        </is>
      </c>
      <c r="E40" s="107" t="inlineStr">
        <is>
          <t>MED-SI-039</t>
        </is>
      </c>
      <c r="F40" s="107" t="inlineStr">
        <is>
          <t>(Personal capacitado en SGSI / Total de personal) * 100</t>
        </is>
      </c>
      <c r="G40" s="107" t="inlineStr">
        <is>
          <t>Examinar / Entrevistar</t>
        </is>
      </c>
      <c r="H40" s="107" t="inlineStr">
        <is>
          <t>100%</t>
        </is>
      </c>
      <c r="I40" s="107" t="inlineStr">
        <is>
          <t>92%</t>
        </is>
      </c>
      <c r="J40" s="107" t="inlineStr">
        <is>
          <t>L3: Proceso Definido</t>
        </is>
      </c>
    </row>
    <row r="41">
      <c r="A41" s="107">
        <f>'Documentación Aplicabilidad'!A41</f>
        <v/>
      </c>
      <c r="B41" s="107">
        <f>'Documentación Aplicabilidad'!B41</f>
        <v/>
      </c>
      <c r="C41" s="107">
        <f>'Documentación Aplicabilidad'!C41</f>
        <v/>
      </c>
      <c r="D41" s="107" t="inlineStr">
        <is>
          <t>Desempeño</t>
        </is>
      </c>
      <c r="E41" s="107" t="inlineStr">
        <is>
          <t>MED-SI-040</t>
        </is>
      </c>
      <c r="F41" s="107" t="inlineStr">
        <is>
          <t>(Personal capacitado en SGSI / Total de personal) * 100</t>
        </is>
      </c>
      <c r="G41" s="107" t="inlineStr">
        <is>
          <t>Examinar / Entrevistar</t>
        </is>
      </c>
      <c r="H41" s="107" t="inlineStr">
        <is>
          <t>100%</t>
        </is>
      </c>
      <c r="I41" s="107" t="inlineStr">
        <is>
          <t>92%</t>
        </is>
      </c>
      <c r="J41" s="107" t="inlineStr">
        <is>
          <t>L3: Proceso Definido</t>
        </is>
      </c>
    </row>
    <row r="42">
      <c r="A42" s="107">
        <f>'Documentación Aplicabilidad'!A42</f>
        <v/>
      </c>
      <c r="B42" s="107">
        <f>'Documentación Aplicabilidad'!B42</f>
        <v/>
      </c>
      <c r="C42" s="107">
        <f>'Documentación Aplicabilidad'!C42</f>
        <v/>
      </c>
      <c r="D42" s="107" t="inlineStr">
        <is>
          <t>Desempeño</t>
        </is>
      </c>
      <c r="E42" s="107" t="inlineStr">
        <is>
          <t>MED-SI-041</t>
        </is>
      </c>
      <c r="F42" s="107" t="inlineStr">
        <is>
          <t>(Personal capacitado en SGSI / Total de personal) * 100</t>
        </is>
      </c>
      <c r="G42" s="107" t="inlineStr">
        <is>
          <t>Examinar / Entrevistar</t>
        </is>
      </c>
      <c r="H42" s="107" t="inlineStr">
        <is>
          <t>100%</t>
        </is>
      </c>
      <c r="I42" s="107" t="inlineStr">
        <is>
          <t>92%</t>
        </is>
      </c>
      <c r="J42" s="107" t="inlineStr">
        <is>
          <t>L3: Proceso Definido</t>
        </is>
      </c>
    </row>
    <row r="43">
      <c r="A43" s="107">
        <f>'Documentación Aplicabilidad'!A43</f>
        <v/>
      </c>
      <c r="B43" s="107">
        <f>'Documentación Aplicabilidad'!B43</f>
        <v/>
      </c>
      <c r="C43" s="107">
        <f>'Documentación Aplicabilidad'!C43</f>
        <v/>
      </c>
      <c r="D43" s="107" t="inlineStr">
        <is>
          <t>Desempeño</t>
        </is>
      </c>
      <c r="E43" s="107" t="inlineStr">
        <is>
          <t>MED-SI-042</t>
        </is>
      </c>
      <c r="F43" s="107" t="inlineStr">
        <is>
          <t>(Personal capacitado en SGSI / Total de personal) * 100</t>
        </is>
      </c>
      <c r="G43" s="107" t="inlineStr">
        <is>
          <t>Examinar / Entrevistar</t>
        </is>
      </c>
      <c r="H43" s="107" t="inlineStr">
        <is>
          <t>100%</t>
        </is>
      </c>
      <c r="I43" s="107" t="inlineStr">
        <is>
          <t>92%</t>
        </is>
      </c>
      <c r="J43" s="107" t="inlineStr">
        <is>
          <t>L3: Proceso Definido</t>
        </is>
      </c>
    </row>
    <row r="44">
      <c r="A44" s="107">
        <f>'Documentación Aplicabilidad'!A44</f>
        <v/>
      </c>
      <c r="B44" s="107">
        <f>'Documentación Aplicabilidad'!B44</f>
        <v/>
      </c>
      <c r="C44" s="107">
        <f>'Documentación Aplicabilidad'!C44</f>
        <v/>
      </c>
      <c r="D44" s="107" t="inlineStr">
        <is>
          <t>Desempeño</t>
        </is>
      </c>
      <c r="E44" s="107" t="inlineStr">
        <is>
          <t>MED-SI-043</t>
        </is>
      </c>
      <c r="F44" s="107" t="inlineStr">
        <is>
          <t>(Personal capacitado en SGSI / Total de personal) * 100</t>
        </is>
      </c>
      <c r="G44" s="107" t="inlineStr">
        <is>
          <t>Examinar / Entrevistar</t>
        </is>
      </c>
      <c r="H44" s="107" t="inlineStr">
        <is>
          <t>100%</t>
        </is>
      </c>
      <c r="I44" s="107" t="inlineStr">
        <is>
          <t>92%</t>
        </is>
      </c>
      <c r="J44" s="107" t="inlineStr">
        <is>
          <t>L3: Proceso Definido</t>
        </is>
      </c>
    </row>
    <row r="45">
      <c r="A45" s="107">
        <f>'Documentación Aplicabilidad'!A45</f>
        <v/>
      </c>
      <c r="B45" s="107">
        <f>'Documentación Aplicabilidad'!B45</f>
        <v/>
      </c>
      <c r="C45" s="107">
        <f>'Documentación Aplicabilidad'!C45</f>
        <v/>
      </c>
      <c r="D45" s="107" t="inlineStr">
        <is>
          <t>Desempeño</t>
        </is>
      </c>
      <c r="E45" s="107" t="inlineStr">
        <is>
          <t>MED-SI-044</t>
        </is>
      </c>
      <c r="F45" s="107" t="inlineStr">
        <is>
          <t>(Personal capacitado en SGSI / Total de personal) * 100</t>
        </is>
      </c>
      <c r="G45" s="107" t="inlineStr">
        <is>
          <t>Examinar / Entrevistar</t>
        </is>
      </c>
      <c r="H45" s="107" t="inlineStr">
        <is>
          <t>100%</t>
        </is>
      </c>
      <c r="I45" s="107" t="inlineStr">
        <is>
          <t>92%</t>
        </is>
      </c>
      <c r="J45" s="107" t="inlineStr">
        <is>
          <t>L3: Proceso Definido</t>
        </is>
      </c>
    </row>
    <row r="46">
      <c r="A46" s="107">
        <f>'Documentación Aplicabilidad'!A46</f>
        <v/>
      </c>
      <c r="B46" s="107">
        <f>'Documentación Aplicabilidad'!B46</f>
        <v/>
      </c>
      <c r="C46" s="107">
        <f>'Documentación Aplicabilidad'!C46</f>
        <v/>
      </c>
      <c r="D46" s="107" t="inlineStr">
        <is>
          <t>Desempeño</t>
        </is>
      </c>
      <c r="E46" s="107" t="inlineStr">
        <is>
          <t>MED-SI-045</t>
        </is>
      </c>
      <c r="F46" s="107" t="inlineStr">
        <is>
          <t>(Personal capacitado en SGSI / Total de personal) * 100</t>
        </is>
      </c>
      <c r="G46" s="107" t="inlineStr">
        <is>
          <t>Examinar / Entrevistar</t>
        </is>
      </c>
      <c r="H46" s="107" t="inlineStr">
        <is>
          <t>100%</t>
        </is>
      </c>
      <c r="I46" s="107" t="inlineStr">
        <is>
          <t>92%</t>
        </is>
      </c>
      <c r="J46" s="107" t="inlineStr">
        <is>
          <t>L3: Proceso Definido</t>
        </is>
      </c>
    </row>
    <row r="47">
      <c r="A47" s="107">
        <f>'Documentación Aplicabilidad'!A47</f>
        <v/>
      </c>
      <c r="B47" s="107">
        <f>'Documentación Aplicabilidad'!B47</f>
        <v/>
      </c>
      <c r="C47" s="107">
        <f>'Documentación Aplicabilidad'!C47</f>
        <v/>
      </c>
      <c r="D47" s="107" t="inlineStr">
        <is>
          <t>Eficacia</t>
        </is>
      </c>
      <c r="E47" s="107" t="inlineStr">
        <is>
          <t>MED-SI-046</t>
        </is>
      </c>
      <c r="F47" s="107" t="inlineStr">
        <is>
          <t>(Incidentes físicos de seguridad / Total de accesos físicos al año)</t>
        </is>
      </c>
      <c r="G47" s="107" t="inlineStr">
        <is>
          <t>Probar / Examinar</t>
        </is>
      </c>
      <c r="H47" s="107" t="inlineStr">
        <is>
          <t>0 Incidentes</t>
        </is>
      </c>
      <c r="I47" s="107" t="inlineStr">
        <is>
          <t>0 Incidentes</t>
        </is>
      </c>
      <c r="J47" s="107" t="inlineStr">
        <is>
          <t>L3: Proceso Definido</t>
        </is>
      </c>
    </row>
    <row r="48">
      <c r="A48" s="107">
        <f>'Documentación Aplicabilidad'!A48</f>
        <v/>
      </c>
      <c r="B48" s="107">
        <f>'Documentación Aplicabilidad'!B48</f>
        <v/>
      </c>
      <c r="C48" s="107">
        <f>'Documentación Aplicabilidad'!C48</f>
        <v/>
      </c>
      <c r="D48" s="107" t="inlineStr">
        <is>
          <t>Eficacia</t>
        </is>
      </c>
      <c r="E48" s="107" t="inlineStr">
        <is>
          <t>MED-SI-047</t>
        </is>
      </c>
      <c r="F48" s="107" t="inlineStr">
        <is>
          <t>(Incidentes físicos de seguridad / Total de accesos físicos al año)</t>
        </is>
      </c>
      <c r="G48" s="107" t="inlineStr">
        <is>
          <t>Probar / Examinar</t>
        </is>
      </c>
      <c r="H48" s="107" t="inlineStr">
        <is>
          <t>0 Incidentes</t>
        </is>
      </c>
      <c r="I48" s="107" t="inlineStr">
        <is>
          <t>0 Incidentes</t>
        </is>
      </c>
      <c r="J48" s="107" t="inlineStr">
        <is>
          <t>L3: Proceso Definido</t>
        </is>
      </c>
    </row>
    <row r="49">
      <c r="A49" s="107">
        <f>'Documentación Aplicabilidad'!A49</f>
        <v/>
      </c>
      <c r="B49" s="107">
        <f>'Documentación Aplicabilidad'!B49</f>
        <v/>
      </c>
      <c r="C49" s="107">
        <f>'Documentación Aplicabilidad'!C49</f>
        <v/>
      </c>
      <c r="D49" s="107" t="inlineStr">
        <is>
          <t>Eficacia</t>
        </is>
      </c>
      <c r="E49" s="107" t="inlineStr">
        <is>
          <t>MED-SI-048</t>
        </is>
      </c>
      <c r="F49" s="107" t="inlineStr">
        <is>
          <t>(Incidentes físicos de seguridad / Total de accesos físicos al año)</t>
        </is>
      </c>
      <c r="G49" s="107" t="inlineStr">
        <is>
          <t>Probar / Examinar</t>
        </is>
      </c>
      <c r="H49" s="107" t="inlineStr">
        <is>
          <t>0 Incidentes</t>
        </is>
      </c>
      <c r="I49" s="107" t="inlineStr">
        <is>
          <t>0 Incidentes</t>
        </is>
      </c>
      <c r="J49" s="107" t="inlineStr">
        <is>
          <t>L3: Proceso Definido</t>
        </is>
      </c>
    </row>
    <row r="50">
      <c r="A50" s="107">
        <f>'Documentación Aplicabilidad'!A50</f>
        <v/>
      </c>
      <c r="B50" s="107">
        <f>'Documentación Aplicabilidad'!B50</f>
        <v/>
      </c>
      <c r="C50" s="107">
        <f>'Documentación Aplicabilidad'!C50</f>
        <v/>
      </c>
      <c r="D50" s="107" t="inlineStr">
        <is>
          <t>Eficacia</t>
        </is>
      </c>
      <c r="E50" s="107" t="inlineStr">
        <is>
          <t>MED-SI-049</t>
        </is>
      </c>
      <c r="F50" s="107" t="inlineStr">
        <is>
          <t>(Incidentes físicos de seguridad / Total de accesos físicos al año)</t>
        </is>
      </c>
      <c r="G50" s="107" t="inlineStr">
        <is>
          <t>Probar / Examinar</t>
        </is>
      </c>
      <c r="H50" s="107" t="inlineStr">
        <is>
          <t>0 Incidentes</t>
        </is>
      </c>
      <c r="I50" s="107" t="inlineStr">
        <is>
          <t>0 Incidentes</t>
        </is>
      </c>
      <c r="J50" s="107" t="inlineStr">
        <is>
          <t>L3: Proceso Definido</t>
        </is>
      </c>
    </row>
    <row r="51">
      <c r="A51" s="107">
        <f>'Documentación Aplicabilidad'!A51</f>
        <v/>
      </c>
      <c r="B51" s="107">
        <f>'Documentación Aplicabilidad'!B51</f>
        <v/>
      </c>
      <c r="C51" s="107">
        <f>'Documentación Aplicabilidad'!C51</f>
        <v/>
      </c>
      <c r="D51" s="107" t="inlineStr">
        <is>
          <t>Eficacia</t>
        </is>
      </c>
      <c r="E51" s="107" t="inlineStr">
        <is>
          <t>MED-SI-050</t>
        </is>
      </c>
      <c r="F51" s="107" t="inlineStr">
        <is>
          <t>(Incidentes físicos de seguridad / Total de accesos físicos al año)</t>
        </is>
      </c>
      <c r="G51" s="107" t="inlineStr">
        <is>
          <t>Probar / Examinar</t>
        </is>
      </c>
      <c r="H51" s="107" t="inlineStr">
        <is>
          <t>0 Incidentes</t>
        </is>
      </c>
      <c r="I51" s="107" t="inlineStr">
        <is>
          <t>0 Incidentes</t>
        </is>
      </c>
      <c r="J51" s="107" t="inlineStr">
        <is>
          <t>L3: Proceso Definido</t>
        </is>
      </c>
    </row>
    <row r="52">
      <c r="A52" s="107">
        <f>'Documentación Aplicabilidad'!A52</f>
        <v/>
      </c>
      <c r="B52" s="107">
        <f>'Documentación Aplicabilidad'!B52</f>
        <v/>
      </c>
      <c r="C52" s="107">
        <f>'Documentación Aplicabilidad'!C52</f>
        <v/>
      </c>
      <c r="D52" s="107" t="inlineStr">
        <is>
          <t>Eficacia</t>
        </is>
      </c>
      <c r="E52" s="107" t="inlineStr">
        <is>
          <t>MED-SI-051</t>
        </is>
      </c>
      <c r="F52" s="107" t="inlineStr">
        <is>
          <t>(Incidentes físicos de seguridad / Total de accesos físicos al año)</t>
        </is>
      </c>
      <c r="G52" s="107" t="inlineStr">
        <is>
          <t>Probar / Examinar</t>
        </is>
      </c>
      <c r="H52" s="107" t="inlineStr">
        <is>
          <t>0 Incidentes</t>
        </is>
      </c>
      <c r="I52" s="107" t="inlineStr">
        <is>
          <t>0 Incidentes</t>
        </is>
      </c>
      <c r="J52" s="107" t="inlineStr">
        <is>
          <t>L3: Proceso Definido</t>
        </is>
      </c>
    </row>
    <row r="53">
      <c r="A53" s="107">
        <f>'Documentación Aplicabilidad'!A53</f>
        <v/>
      </c>
      <c r="B53" s="107">
        <f>'Documentación Aplicabilidad'!B53</f>
        <v/>
      </c>
      <c r="C53" s="107">
        <f>'Documentación Aplicabilidad'!C53</f>
        <v/>
      </c>
      <c r="D53" s="107" t="inlineStr">
        <is>
          <t>Eficacia</t>
        </is>
      </c>
      <c r="E53" s="107" t="inlineStr">
        <is>
          <t>MED-SI-052</t>
        </is>
      </c>
      <c r="F53" s="107" t="inlineStr">
        <is>
          <t>(Incidentes físicos de seguridad / Total de accesos físicos al año)</t>
        </is>
      </c>
      <c r="G53" s="107" t="inlineStr">
        <is>
          <t>Probar / Examinar</t>
        </is>
      </c>
      <c r="H53" s="107" t="inlineStr">
        <is>
          <t>0 Incidentes</t>
        </is>
      </c>
      <c r="I53" s="107" t="inlineStr">
        <is>
          <t>0 Incidentes</t>
        </is>
      </c>
      <c r="J53" s="107" t="inlineStr">
        <is>
          <t>L3: Proceso Definido</t>
        </is>
      </c>
    </row>
    <row r="54">
      <c r="A54" s="107">
        <f>'Documentación Aplicabilidad'!A54</f>
        <v/>
      </c>
      <c r="B54" s="107">
        <f>'Documentación Aplicabilidad'!B54</f>
        <v/>
      </c>
      <c r="C54" s="107">
        <f>'Documentación Aplicabilidad'!C54</f>
        <v/>
      </c>
      <c r="D54" s="107" t="inlineStr">
        <is>
          <t>Eficacia</t>
        </is>
      </c>
      <c r="E54" s="107" t="inlineStr">
        <is>
          <t>MED-SI-053</t>
        </is>
      </c>
      <c r="F54" s="107" t="inlineStr">
        <is>
          <t>(Incidentes físicos de seguridad / Total de accesos físicos al año)</t>
        </is>
      </c>
      <c r="G54" s="107" t="inlineStr">
        <is>
          <t>Probar / Examinar</t>
        </is>
      </c>
      <c r="H54" s="107" t="inlineStr">
        <is>
          <t>0 Incidentes</t>
        </is>
      </c>
      <c r="I54" s="107" t="inlineStr">
        <is>
          <t>0 Incidentes</t>
        </is>
      </c>
      <c r="J54" s="107" t="inlineStr">
        <is>
          <t>L3: Proceso Definido</t>
        </is>
      </c>
    </row>
    <row r="55">
      <c r="A55" s="107">
        <f>'Documentación Aplicabilidad'!A55</f>
        <v/>
      </c>
      <c r="B55" s="107">
        <f>'Documentación Aplicabilidad'!B55</f>
        <v/>
      </c>
      <c r="C55" s="107">
        <f>'Documentación Aplicabilidad'!C55</f>
        <v/>
      </c>
      <c r="D55" s="107" t="inlineStr">
        <is>
          <t>Eficacia</t>
        </is>
      </c>
      <c r="E55" s="107" t="inlineStr">
        <is>
          <t>MED-SI-054</t>
        </is>
      </c>
      <c r="F55" s="107" t="inlineStr">
        <is>
          <t>(Incidentes físicos de seguridad / Total de accesos físicos al año)</t>
        </is>
      </c>
      <c r="G55" s="107" t="inlineStr">
        <is>
          <t>Probar / Examinar</t>
        </is>
      </c>
      <c r="H55" s="107" t="inlineStr">
        <is>
          <t>0 Incidentes</t>
        </is>
      </c>
      <c r="I55" s="107" t="inlineStr">
        <is>
          <t>0 Incidentes</t>
        </is>
      </c>
      <c r="J55" s="107" t="inlineStr">
        <is>
          <t>L3: Proceso Definido</t>
        </is>
      </c>
    </row>
    <row r="56">
      <c r="A56" s="107">
        <f>'Documentación Aplicabilidad'!A56</f>
        <v/>
      </c>
      <c r="B56" s="107">
        <f>'Documentación Aplicabilidad'!B56</f>
        <v/>
      </c>
      <c r="C56" s="107">
        <f>'Documentación Aplicabilidad'!C56</f>
        <v/>
      </c>
      <c r="D56" s="107" t="inlineStr">
        <is>
          <t>Eficacia</t>
        </is>
      </c>
      <c r="E56" s="107" t="inlineStr">
        <is>
          <t>MED-SI-055</t>
        </is>
      </c>
      <c r="F56" s="107" t="inlineStr">
        <is>
          <t>(Incidentes físicos de seguridad / Total de accesos físicos al año)</t>
        </is>
      </c>
      <c r="G56" s="107" t="inlineStr">
        <is>
          <t>Probar / Examinar</t>
        </is>
      </c>
      <c r="H56" s="107" t="inlineStr">
        <is>
          <t>0 Incidentes</t>
        </is>
      </c>
      <c r="I56" s="107" t="inlineStr">
        <is>
          <t>0 Incidentes</t>
        </is>
      </c>
      <c r="J56" s="107" t="inlineStr">
        <is>
          <t>L3: Proceso Definido</t>
        </is>
      </c>
    </row>
    <row r="57">
      <c r="A57" s="107">
        <f>'Documentación Aplicabilidad'!A57</f>
        <v/>
      </c>
      <c r="B57" s="107">
        <f>'Documentación Aplicabilidad'!B57</f>
        <v/>
      </c>
      <c r="C57" s="107">
        <f>'Documentación Aplicabilidad'!C57</f>
        <v/>
      </c>
      <c r="D57" s="107" t="inlineStr">
        <is>
          <t>Eficacia</t>
        </is>
      </c>
      <c r="E57" s="107" t="inlineStr">
        <is>
          <t>MED-SI-056</t>
        </is>
      </c>
      <c r="F57" s="107" t="inlineStr">
        <is>
          <t>(Incidentes físicos de seguridad / Total de accesos físicos al año)</t>
        </is>
      </c>
      <c r="G57" s="107" t="inlineStr">
        <is>
          <t>Probar / Examinar</t>
        </is>
      </c>
      <c r="H57" s="107" t="inlineStr">
        <is>
          <t>0 Incidentes</t>
        </is>
      </c>
      <c r="I57" s="107" t="inlineStr">
        <is>
          <t>0 Incidentes</t>
        </is>
      </c>
      <c r="J57" s="107" t="inlineStr">
        <is>
          <t>L3: Proceso Definido</t>
        </is>
      </c>
    </row>
    <row r="58">
      <c r="A58" s="107">
        <f>'Documentación Aplicabilidad'!A58</f>
        <v/>
      </c>
      <c r="B58" s="107">
        <f>'Documentación Aplicabilidad'!B58</f>
        <v/>
      </c>
      <c r="C58" s="107">
        <f>'Documentación Aplicabilidad'!C58</f>
        <v/>
      </c>
      <c r="D58" s="107" t="inlineStr">
        <is>
          <t>Eficacia</t>
        </is>
      </c>
      <c r="E58" s="107" t="inlineStr">
        <is>
          <t>MED-SI-057</t>
        </is>
      </c>
      <c r="F58" s="107" t="inlineStr">
        <is>
          <t>(Incidentes físicos de seguridad / Total de accesos físicos al año)</t>
        </is>
      </c>
      <c r="G58" s="107" t="inlineStr">
        <is>
          <t>Probar / Examinar</t>
        </is>
      </c>
      <c r="H58" s="107" t="inlineStr">
        <is>
          <t>0 Incidentes</t>
        </is>
      </c>
      <c r="I58" s="107" t="inlineStr">
        <is>
          <t>0 Incidentes</t>
        </is>
      </c>
      <c r="J58" s="107" t="inlineStr">
        <is>
          <t>L3: Proceso Definido</t>
        </is>
      </c>
    </row>
    <row r="59">
      <c r="A59" s="107">
        <f>'Documentación Aplicabilidad'!A59</f>
        <v/>
      </c>
      <c r="B59" s="107">
        <f>'Documentación Aplicabilidad'!B59</f>
        <v/>
      </c>
      <c r="C59" s="107">
        <f>'Documentación Aplicabilidad'!C59</f>
        <v/>
      </c>
      <c r="D59" s="107" t="inlineStr">
        <is>
          <t>Eficacia</t>
        </is>
      </c>
      <c r="E59" s="107" t="inlineStr">
        <is>
          <t>MED-SI-058</t>
        </is>
      </c>
      <c r="F59" s="107" t="inlineStr">
        <is>
          <t>(Incidentes físicos de seguridad / Total de accesos físicos al año)</t>
        </is>
      </c>
      <c r="G59" s="107" t="inlineStr">
        <is>
          <t>Probar / Examinar</t>
        </is>
      </c>
      <c r="H59" s="107" t="inlineStr">
        <is>
          <t>0 Incidentes</t>
        </is>
      </c>
      <c r="I59" s="107" t="inlineStr">
        <is>
          <t>0 Incidentes</t>
        </is>
      </c>
      <c r="J59" s="107" t="inlineStr">
        <is>
          <t>L3: Proceso Definido</t>
        </is>
      </c>
    </row>
    <row r="60">
      <c r="A60" s="107">
        <f>'Documentación Aplicabilidad'!A60</f>
        <v/>
      </c>
      <c r="B60" s="107">
        <f>'Documentación Aplicabilidad'!B60</f>
        <v/>
      </c>
      <c r="C60" s="107">
        <f>'Documentación Aplicabilidad'!C60</f>
        <v/>
      </c>
      <c r="D60" s="107" t="inlineStr">
        <is>
          <t>Eficacia</t>
        </is>
      </c>
      <c r="E60" s="107" t="inlineStr">
        <is>
          <t>MED-SI-059</t>
        </is>
      </c>
      <c r="F60" s="107" t="inlineStr">
        <is>
          <t>(Incidentes físicos de seguridad / Total de accesos físicos al año)</t>
        </is>
      </c>
      <c r="G60" s="107" t="inlineStr">
        <is>
          <t>Probar / Examinar</t>
        </is>
      </c>
      <c r="H60" s="107" t="inlineStr">
        <is>
          <t>0 Incidentes</t>
        </is>
      </c>
      <c r="I60" s="107" t="inlineStr">
        <is>
          <t>0 Incidentes</t>
        </is>
      </c>
      <c r="J60" s="107" t="inlineStr">
        <is>
          <t>L3: Proceso Definido</t>
        </is>
      </c>
    </row>
    <row r="61">
      <c r="A61" s="107">
        <f>'Documentación Aplicabilidad'!A61</f>
        <v/>
      </c>
      <c r="B61" s="107">
        <f>'Documentación Aplicabilidad'!B61</f>
        <v/>
      </c>
      <c r="C61" s="107">
        <f>'Documentación Aplicabilidad'!C61</f>
        <v/>
      </c>
      <c r="D61" s="107" t="inlineStr">
        <is>
          <t>Eficacia</t>
        </is>
      </c>
      <c r="E61" s="107" t="inlineStr">
        <is>
          <t>MED-SI-060</t>
        </is>
      </c>
      <c r="F61" s="107" t="inlineStr">
        <is>
          <t>(Accesos no autorizados detectados / Total de intentos de acceso) * 100</t>
        </is>
      </c>
      <c r="G61" s="107" t="inlineStr">
        <is>
          <t>Probar / Examinar</t>
        </is>
      </c>
      <c r="H61" s="107" t="inlineStr">
        <is>
          <t>&lt; 1%</t>
        </is>
      </c>
      <c r="I61" s="107" t="inlineStr">
        <is>
          <t>0.5%</t>
        </is>
      </c>
      <c r="J61" s="107" t="inlineStr">
        <is>
          <t>L3: Proceso Definido</t>
        </is>
      </c>
    </row>
    <row r="62">
      <c r="A62" s="107">
        <f>'Documentación Aplicabilidad'!A62</f>
        <v/>
      </c>
      <c r="B62" s="107">
        <f>'Documentación Aplicabilidad'!B62</f>
        <v/>
      </c>
      <c r="C62" s="107">
        <f>'Documentación Aplicabilidad'!C62</f>
        <v/>
      </c>
      <c r="D62" s="107" t="inlineStr">
        <is>
          <t>Eficacia</t>
        </is>
      </c>
      <c r="E62" s="107" t="inlineStr">
        <is>
          <t>MED-SI-061</t>
        </is>
      </c>
      <c r="F62" s="107" t="inlineStr">
        <is>
          <t>(Accesos no autorizados detectados / Total de intentos de acceso) * 100</t>
        </is>
      </c>
      <c r="G62" s="107" t="inlineStr">
        <is>
          <t>Probar / Examinar</t>
        </is>
      </c>
      <c r="H62" s="107" t="inlineStr">
        <is>
          <t>&lt; 1%</t>
        </is>
      </c>
      <c r="I62" s="107" t="inlineStr">
        <is>
          <t>0.5%</t>
        </is>
      </c>
      <c r="J62" s="107" t="inlineStr">
        <is>
          <t>L3: Proceso Definido</t>
        </is>
      </c>
    </row>
    <row r="63">
      <c r="A63" s="107">
        <f>'Documentación Aplicabilidad'!A63</f>
        <v/>
      </c>
      <c r="B63" s="107">
        <f>'Documentación Aplicabilidad'!B63</f>
        <v/>
      </c>
      <c r="C63" s="107">
        <f>'Documentación Aplicabilidad'!C63</f>
        <v/>
      </c>
      <c r="D63" s="107" t="inlineStr">
        <is>
          <t>Eficacia</t>
        </is>
      </c>
      <c r="E63" s="107" t="inlineStr">
        <is>
          <t>MED-SI-062</t>
        </is>
      </c>
      <c r="F63" s="107" t="inlineStr">
        <is>
          <t>(Accesos no autorizados detectados / Total de intentos de acceso) * 100</t>
        </is>
      </c>
      <c r="G63" s="107" t="inlineStr">
        <is>
          <t>Probar / Examinar</t>
        </is>
      </c>
      <c r="H63" s="107" t="inlineStr">
        <is>
          <t>&lt; 1%</t>
        </is>
      </c>
      <c r="I63" s="107" t="inlineStr">
        <is>
          <t>0.5%</t>
        </is>
      </c>
      <c r="J63" s="107" t="inlineStr">
        <is>
          <t>L3: Proceso Definido</t>
        </is>
      </c>
    </row>
    <row r="64">
      <c r="A64" s="107">
        <f>'Documentación Aplicabilidad'!A64</f>
        <v/>
      </c>
      <c r="B64" s="107">
        <f>'Documentación Aplicabilidad'!B64</f>
        <v/>
      </c>
      <c r="C64" s="107">
        <f>'Documentación Aplicabilidad'!C64</f>
        <v/>
      </c>
      <c r="D64" s="107" t="inlineStr">
        <is>
          <t>Eficacia</t>
        </is>
      </c>
      <c r="E64" s="107" t="inlineStr">
        <is>
          <t>MED-SI-063</t>
        </is>
      </c>
      <c r="F64" s="107" t="inlineStr">
        <is>
          <t>(Accesos no autorizados detectados / Total de intentos de acceso) * 100</t>
        </is>
      </c>
      <c r="G64" s="107" t="inlineStr">
        <is>
          <t>Probar / Examinar</t>
        </is>
      </c>
      <c r="H64" s="107" t="inlineStr">
        <is>
          <t>&lt; 1%</t>
        </is>
      </c>
      <c r="I64" s="107" t="inlineStr">
        <is>
          <t>0.5%</t>
        </is>
      </c>
      <c r="J64" s="107" t="inlineStr">
        <is>
          <t>L3: Proceso Definido</t>
        </is>
      </c>
    </row>
    <row r="65">
      <c r="A65" s="107">
        <f>'Documentación Aplicabilidad'!A65</f>
        <v/>
      </c>
      <c r="B65" s="107">
        <f>'Documentación Aplicabilidad'!B65</f>
        <v/>
      </c>
      <c r="C65" s="107">
        <f>'Documentación Aplicabilidad'!C65</f>
        <v/>
      </c>
      <c r="D65" s="107" t="inlineStr">
        <is>
          <t>Eficacia</t>
        </is>
      </c>
      <c r="E65" s="107" t="inlineStr">
        <is>
          <t>MED-SI-064</t>
        </is>
      </c>
      <c r="F65" s="107" t="inlineStr">
        <is>
          <t>(Accesos no autorizados detectados / Total de intentos de acceso) * 100</t>
        </is>
      </c>
      <c r="G65" s="107" t="inlineStr">
        <is>
          <t>Probar / Examinar</t>
        </is>
      </c>
      <c r="H65" s="107" t="inlineStr">
        <is>
          <t>&lt; 1%</t>
        </is>
      </c>
      <c r="I65" s="107" t="inlineStr">
        <is>
          <t>0.5%</t>
        </is>
      </c>
      <c r="J65" s="107" t="inlineStr">
        <is>
          <t>L3: Proceso Definido</t>
        </is>
      </c>
    </row>
    <row r="66">
      <c r="A66" s="107">
        <f>'Documentación Aplicabilidad'!A66</f>
        <v/>
      </c>
      <c r="B66" s="107">
        <f>'Documentación Aplicabilidad'!B66</f>
        <v/>
      </c>
      <c r="C66" s="107">
        <f>'Documentación Aplicabilidad'!C66</f>
        <v/>
      </c>
      <c r="D66" s="107" t="inlineStr">
        <is>
          <t>Eficacia</t>
        </is>
      </c>
      <c r="E66" s="107" t="inlineStr">
        <is>
          <t>MED-SI-065</t>
        </is>
      </c>
      <c r="F66" s="107" t="inlineStr">
        <is>
          <t>(Accesos no autorizados detectados / Total de intentos de acceso) * 100</t>
        </is>
      </c>
      <c r="G66" s="107" t="inlineStr">
        <is>
          <t>Probar / Examinar</t>
        </is>
      </c>
      <c r="H66" s="107" t="inlineStr">
        <is>
          <t>&lt; 1%</t>
        </is>
      </c>
      <c r="I66" s="107" t="inlineStr">
        <is>
          <t>0.5%</t>
        </is>
      </c>
      <c r="J66" s="107" t="inlineStr">
        <is>
          <t>L3: Proceso Definido</t>
        </is>
      </c>
    </row>
    <row r="67">
      <c r="A67" s="107">
        <f>'Documentación Aplicabilidad'!A67</f>
        <v/>
      </c>
      <c r="B67" s="107">
        <f>'Documentación Aplicabilidad'!B67</f>
        <v/>
      </c>
      <c r="C67" s="107">
        <f>'Documentación Aplicabilidad'!C67</f>
        <v/>
      </c>
      <c r="D67" s="107" t="inlineStr">
        <is>
          <t>Eficacia</t>
        </is>
      </c>
      <c r="E67" s="107" t="inlineStr">
        <is>
          <t>MED-SI-066</t>
        </is>
      </c>
      <c r="F67" s="107" t="inlineStr">
        <is>
          <t>(Activos con parches críticos al día / Total de activos críticos) * 100</t>
        </is>
      </c>
      <c r="G67" s="107" t="inlineStr">
        <is>
          <t>Probar / Examinar</t>
        </is>
      </c>
      <c r="H67" s="107" t="inlineStr">
        <is>
          <t>≥ 95%</t>
        </is>
      </c>
      <c r="I67" s="107" t="inlineStr">
        <is>
          <t>90%</t>
        </is>
      </c>
      <c r="J67" s="107" t="inlineStr">
        <is>
          <t>L3: Proceso Definido</t>
        </is>
      </c>
    </row>
    <row r="68">
      <c r="A68" s="107">
        <f>'Documentación Aplicabilidad'!A68</f>
        <v/>
      </c>
      <c r="B68" s="107">
        <f>'Documentación Aplicabilidad'!B68</f>
        <v/>
      </c>
      <c r="C68" s="107">
        <f>'Documentación Aplicabilidad'!C68</f>
        <v/>
      </c>
      <c r="D68" s="107" t="inlineStr">
        <is>
          <t>Eficacia</t>
        </is>
      </c>
      <c r="E68" s="107" t="inlineStr">
        <is>
          <t>MED-SI-067</t>
        </is>
      </c>
      <c r="F68" s="107" t="inlineStr">
        <is>
          <t>(Activos con parches críticos al día / Total de activos críticos) * 100</t>
        </is>
      </c>
      <c r="G68" s="107" t="inlineStr">
        <is>
          <t>Probar / Examinar</t>
        </is>
      </c>
      <c r="H68" s="107" t="inlineStr">
        <is>
          <t>≥ 95%</t>
        </is>
      </c>
      <c r="I68" s="107" t="inlineStr">
        <is>
          <t>90%</t>
        </is>
      </c>
      <c r="J68" s="107" t="inlineStr">
        <is>
          <t>L3: Proceso Definido</t>
        </is>
      </c>
    </row>
    <row r="69">
      <c r="A69" s="107">
        <f>'Documentación Aplicabilidad'!A69</f>
        <v/>
      </c>
      <c r="B69" s="107">
        <f>'Documentación Aplicabilidad'!B69</f>
        <v/>
      </c>
      <c r="C69" s="107">
        <f>'Documentación Aplicabilidad'!C69</f>
        <v/>
      </c>
      <c r="D69" s="107" t="inlineStr">
        <is>
          <t>Eficacia</t>
        </is>
      </c>
      <c r="E69" s="107" t="inlineStr">
        <is>
          <t>MED-SI-068</t>
        </is>
      </c>
      <c r="F69" s="107" t="inlineStr">
        <is>
          <t>(Accesos no autorizados detectados / Total de intentos de acceso) * 100</t>
        </is>
      </c>
      <c r="G69" s="107" t="inlineStr">
        <is>
          <t>Probar / Examinar</t>
        </is>
      </c>
      <c r="H69" s="107" t="inlineStr">
        <is>
          <t>&lt; 1%</t>
        </is>
      </c>
      <c r="I69" s="107" t="inlineStr">
        <is>
          <t>0.5%</t>
        </is>
      </c>
      <c r="J69" s="107" t="inlineStr">
        <is>
          <t>L3: Proceso Definido</t>
        </is>
      </c>
    </row>
    <row r="70">
      <c r="A70" s="107">
        <f>'Documentación Aplicabilidad'!A70</f>
        <v/>
      </c>
      <c r="B70" s="107">
        <f>'Documentación Aplicabilidad'!B70</f>
        <v/>
      </c>
      <c r="C70" s="107">
        <f>'Documentación Aplicabilidad'!C70</f>
        <v/>
      </c>
      <c r="D70" s="107" t="inlineStr">
        <is>
          <t>Eficacia</t>
        </is>
      </c>
      <c r="E70" s="107" t="inlineStr">
        <is>
          <t>MED-SI-069</t>
        </is>
      </c>
      <c r="F70" s="107" t="inlineStr">
        <is>
          <t>(Accesos no autorizados detectados / Total de intentos de acceso) * 100</t>
        </is>
      </c>
      <c r="G70" s="107" t="inlineStr">
        <is>
          <t>Probar / Examinar</t>
        </is>
      </c>
      <c r="H70" s="107" t="inlineStr">
        <is>
          <t>&lt; 1%</t>
        </is>
      </c>
      <c r="I70" s="107" t="inlineStr">
        <is>
          <t>0.5%</t>
        </is>
      </c>
      <c r="J70" s="107" t="inlineStr">
        <is>
          <t>L3: Proceso Definido</t>
        </is>
      </c>
    </row>
    <row r="71">
      <c r="A71" s="107">
        <f>'Documentación Aplicabilidad'!A71</f>
        <v/>
      </c>
      <c r="B71" s="107">
        <f>'Documentación Aplicabilidad'!B71</f>
        <v/>
      </c>
      <c r="C71" s="107">
        <f>'Documentación Aplicabilidad'!C71</f>
        <v/>
      </c>
      <c r="D71" s="107" t="inlineStr">
        <is>
          <t>Eficacia</t>
        </is>
      </c>
      <c r="E71" s="107" t="inlineStr">
        <is>
          <t>MED-SI-070</t>
        </is>
      </c>
      <c r="F71" s="107" t="inlineStr">
        <is>
          <t>(Accesos no autorizados detectados / Total de intentos de acceso) * 100</t>
        </is>
      </c>
      <c r="G71" s="107" t="inlineStr">
        <is>
          <t>Probar / Examinar</t>
        </is>
      </c>
      <c r="H71" s="107" t="inlineStr">
        <is>
          <t>&lt; 1%</t>
        </is>
      </c>
      <c r="I71" s="107" t="inlineStr">
        <is>
          <t>0.5%</t>
        </is>
      </c>
      <c r="J71" s="107" t="inlineStr">
        <is>
          <t>L3: Proceso Definido</t>
        </is>
      </c>
    </row>
    <row r="72">
      <c r="A72" s="107">
        <f>'Documentación Aplicabilidad'!A72</f>
        <v/>
      </c>
      <c r="B72" s="107">
        <f>'Documentación Aplicabilidad'!B72</f>
        <v/>
      </c>
      <c r="C72" s="107">
        <f>'Documentación Aplicabilidad'!C72</f>
        <v/>
      </c>
      <c r="D72" s="107" t="inlineStr">
        <is>
          <t>Eficacia</t>
        </is>
      </c>
      <c r="E72" s="107" t="inlineStr">
        <is>
          <t>MED-SI-071</t>
        </is>
      </c>
      <c r="F72" s="107" t="inlineStr">
        <is>
          <t>(Accesos no autorizados detectados / Total de intentos de acceso) * 100</t>
        </is>
      </c>
      <c r="G72" s="107" t="inlineStr">
        <is>
          <t>Probar / Examinar</t>
        </is>
      </c>
      <c r="H72" s="107" t="inlineStr">
        <is>
          <t>&lt; 1%</t>
        </is>
      </c>
      <c r="I72" s="107" t="inlineStr">
        <is>
          <t>0.5%</t>
        </is>
      </c>
      <c r="J72" s="107" t="inlineStr">
        <is>
          <t>L3: Proceso Definido</t>
        </is>
      </c>
    </row>
    <row r="73">
      <c r="A73" s="107">
        <f>'Documentación Aplicabilidad'!A73</f>
        <v/>
      </c>
      <c r="B73" s="107">
        <f>'Documentación Aplicabilidad'!B73</f>
        <v/>
      </c>
      <c r="C73" s="107">
        <f>'Documentación Aplicabilidad'!C73</f>
        <v/>
      </c>
      <c r="D73" s="107" t="inlineStr">
        <is>
          <t>Eficacia</t>
        </is>
      </c>
      <c r="E73" s="107" t="inlineStr">
        <is>
          <t>MED-SI-072</t>
        </is>
      </c>
      <c r="F73" s="107" t="inlineStr">
        <is>
          <t>(Accesos no autorizados detectados / Total de intentos de acceso) * 100</t>
        </is>
      </c>
      <c r="G73" s="107" t="inlineStr">
        <is>
          <t>Probar / Examinar</t>
        </is>
      </c>
      <c r="H73" s="107" t="inlineStr">
        <is>
          <t>&lt; 1%</t>
        </is>
      </c>
      <c r="I73" s="107" t="inlineStr">
        <is>
          <t>0.5%</t>
        </is>
      </c>
      <c r="J73" s="107" t="inlineStr">
        <is>
          <t>L3: Proceso Definido</t>
        </is>
      </c>
    </row>
    <row r="74">
      <c r="A74" s="107">
        <f>'Documentación Aplicabilidad'!A74</f>
        <v/>
      </c>
      <c r="B74" s="107">
        <f>'Documentación Aplicabilidad'!B74</f>
        <v/>
      </c>
      <c r="C74" s="107">
        <f>'Documentación Aplicabilidad'!C74</f>
        <v/>
      </c>
      <c r="D74" s="107" t="inlineStr">
        <is>
          <t>Eficacia</t>
        </is>
      </c>
      <c r="E74" s="107" t="inlineStr">
        <is>
          <t>MED-SI-073</t>
        </is>
      </c>
      <c r="F74" s="107" t="inlineStr">
        <is>
          <t>(Accesos no autorizados detectados / Total de intentos de acceso) * 100</t>
        </is>
      </c>
      <c r="G74" s="107" t="inlineStr">
        <is>
          <t>Probar / Examinar</t>
        </is>
      </c>
      <c r="H74" s="107" t="inlineStr">
        <is>
          <t>&lt; 1%</t>
        </is>
      </c>
      <c r="I74" s="107" t="inlineStr">
        <is>
          <t>0.5%</t>
        </is>
      </c>
      <c r="J74" s="107" t="inlineStr">
        <is>
          <t>L3: Proceso Definido</t>
        </is>
      </c>
    </row>
    <row r="75">
      <c r="A75" s="107">
        <f>'Documentación Aplicabilidad'!A75</f>
        <v/>
      </c>
      <c r="B75" s="107">
        <f>'Documentación Aplicabilidad'!B75</f>
        <v/>
      </c>
      <c r="C75" s="107">
        <f>'Documentación Aplicabilidad'!C75</f>
        <v/>
      </c>
      <c r="D75" s="107" t="inlineStr">
        <is>
          <t>Eficacia</t>
        </is>
      </c>
      <c r="E75" s="107" t="inlineStr">
        <is>
          <t>MED-SI-074</t>
        </is>
      </c>
      <c r="F75" s="107" t="inlineStr">
        <is>
          <t>(Accesos no autorizados detectados / Total de intentos de acceso) * 100</t>
        </is>
      </c>
      <c r="G75" s="107" t="inlineStr">
        <is>
          <t>Probar / Examinar</t>
        </is>
      </c>
      <c r="H75" s="107" t="inlineStr">
        <is>
          <t>&lt; 1%</t>
        </is>
      </c>
      <c r="I75" s="107" t="inlineStr">
        <is>
          <t>0.5%</t>
        </is>
      </c>
      <c r="J75" s="107" t="inlineStr">
        <is>
          <t>L3: Proceso Definido</t>
        </is>
      </c>
    </row>
    <row r="76">
      <c r="A76" s="107">
        <f>'Documentación Aplicabilidad'!A76</f>
        <v/>
      </c>
      <c r="B76" s="107">
        <f>'Documentación Aplicabilidad'!B76</f>
        <v/>
      </c>
      <c r="C76" s="107">
        <f>'Documentación Aplicabilidad'!C76</f>
        <v/>
      </c>
      <c r="D76" s="107" t="inlineStr">
        <is>
          <t>Eficacia</t>
        </is>
      </c>
      <c r="E76" s="107" t="inlineStr">
        <is>
          <t>MED-SI-075</t>
        </is>
      </c>
      <c r="F76" s="107" t="inlineStr">
        <is>
          <t>(Accesos no autorizados detectados / Total de intentos de acceso) * 100</t>
        </is>
      </c>
      <c r="G76" s="107" t="inlineStr">
        <is>
          <t>Probar / Examinar</t>
        </is>
      </c>
      <c r="H76" s="107" t="inlineStr">
        <is>
          <t>&lt; 1%</t>
        </is>
      </c>
      <c r="I76" s="107" t="inlineStr">
        <is>
          <t>0.5%</t>
        </is>
      </c>
      <c r="J76" s="107" t="inlineStr">
        <is>
          <t>L3: Proceso Definido</t>
        </is>
      </c>
    </row>
    <row r="77">
      <c r="A77" s="107">
        <f>'Documentación Aplicabilidad'!A77</f>
        <v/>
      </c>
      <c r="B77" s="107">
        <f>'Documentación Aplicabilidad'!B77</f>
        <v/>
      </c>
      <c r="C77" s="107">
        <f>'Documentación Aplicabilidad'!C77</f>
        <v/>
      </c>
      <c r="D77" s="107" t="inlineStr">
        <is>
          <t>Eficacia</t>
        </is>
      </c>
      <c r="E77" s="107" t="inlineStr">
        <is>
          <t>MED-SI-076</t>
        </is>
      </c>
      <c r="F77" s="107" t="inlineStr">
        <is>
          <t>(Accesos no autorizados detectados / Total de intentos de acceso) * 100</t>
        </is>
      </c>
      <c r="G77" s="107" t="inlineStr">
        <is>
          <t>Probar / Examinar</t>
        </is>
      </c>
      <c r="H77" s="107" t="inlineStr">
        <is>
          <t>&lt; 1%</t>
        </is>
      </c>
      <c r="I77" s="107" t="inlineStr">
        <is>
          <t>0.5%</t>
        </is>
      </c>
      <c r="J77" s="107" t="inlineStr">
        <is>
          <t>L3: Proceso Definido</t>
        </is>
      </c>
    </row>
    <row r="78">
      <c r="A78" s="107">
        <f>'Documentación Aplicabilidad'!A78</f>
        <v/>
      </c>
      <c r="B78" s="107">
        <f>'Documentación Aplicabilidad'!B78</f>
        <v/>
      </c>
      <c r="C78" s="107">
        <f>'Documentación Aplicabilidad'!C78</f>
        <v/>
      </c>
      <c r="D78" s="107" t="inlineStr">
        <is>
          <t>Eficacia</t>
        </is>
      </c>
      <c r="E78" s="107" t="inlineStr">
        <is>
          <t>MED-SI-077</t>
        </is>
      </c>
      <c r="F78" s="107" t="inlineStr">
        <is>
          <t>(Accesos no autorizados detectados / Total de intentos de acceso) * 100</t>
        </is>
      </c>
      <c r="G78" s="107" t="inlineStr">
        <is>
          <t>Probar / Examinar</t>
        </is>
      </c>
      <c r="H78" s="107" t="inlineStr">
        <is>
          <t>&lt; 1%</t>
        </is>
      </c>
      <c r="I78" s="107" t="inlineStr">
        <is>
          <t>0.5%</t>
        </is>
      </c>
      <c r="J78" s="107" t="inlineStr">
        <is>
          <t>L3: Proceso Definido</t>
        </is>
      </c>
    </row>
    <row r="79">
      <c r="A79" s="107">
        <f>'Documentación Aplicabilidad'!A79</f>
        <v/>
      </c>
      <c r="B79" s="107">
        <f>'Documentación Aplicabilidad'!B79</f>
        <v/>
      </c>
      <c r="C79" s="107">
        <f>'Documentación Aplicabilidad'!C79</f>
        <v/>
      </c>
      <c r="D79" s="107" t="inlineStr">
        <is>
          <t>Eficacia</t>
        </is>
      </c>
      <c r="E79" s="107" t="inlineStr">
        <is>
          <t>MED-SI-078</t>
        </is>
      </c>
      <c r="F79" s="107" t="inlineStr">
        <is>
          <t>(Accesos no autorizados detectados / Total de intentos de acceso) * 100</t>
        </is>
      </c>
      <c r="G79" s="107" t="inlineStr">
        <is>
          <t>Probar / Examinar</t>
        </is>
      </c>
      <c r="H79" s="107" t="inlineStr">
        <is>
          <t>&lt; 1%</t>
        </is>
      </c>
      <c r="I79" s="107" t="inlineStr">
        <is>
          <t>0.5%</t>
        </is>
      </c>
      <c r="J79" s="107" t="inlineStr">
        <is>
          <t>L3: Proceso Definido</t>
        </is>
      </c>
    </row>
    <row r="80">
      <c r="A80" s="107">
        <f>'Documentación Aplicabilidad'!A80</f>
        <v/>
      </c>
      <c r="B80" s="107">
        <f>'Documentación Aplicabilidad'!B80</f>
        <v/>
      </c>
      <c r="C80" s="107">
        <f>'Documentación Aplicabilidad'!C80</f>
        <v/>
      </c>
      <c r="D80" s="107" t="inlineStr">
        <is>
          <t>Eficacia</t>
        </is>
      </c>
      <c r="E80" s="107" t="inlineStr">
        <is>
          <t>MED-SI-079</t>
        </is>
      </c>
      <c r="F80" s="107" t="inlineStr">
        <is>
          <t>(Accesos no autorizados detectados / Total de intentos de acceso) * 100</t>
        </is>
      </c>
      <c r="G80" s="107" t="inlineStr">
        <is>
          <t>Probar / Examinar</t>
        </is>
      </c>
      <c r="H80" s="107" t="inlineStr">
        <is>
          <t>&lt; 1%</t>
        </is>
      </c>
      <c r="I80" s="107" t="inlineStr">
        <is>
          <t>0.5%</t>
        </is>
      </c>
      <c r="J80" s="107" t="inlineStr">
        <is>
          <t>L3: Proceso Definido</t>
        </is>
      </c>
    </row>
    <row r="81">
      <c r="A81" s="107">
        <f>'Documentación Aplicabilidad'!A81</f>
        <v/>
      </c>
      <c r="B81" s="107">
        <f>'Documentación Aplicabilidad'!B81</f>
        <v/>
      </c>
      <c r="C81" s="107">
        <f>'Documentación Aplicabilidad'!C81</f>
        <v/>
      </c>
      <c r="D81" s="107" t="inlineStr">
        <is>
          <t>Eficacia</t>
        </is>
      </c>
      <c r="E81" s="107" t="inlineStr">
        <is>
          <t>MED-SI-080</t>
        </is>
      </c>
      <c r="F81" s="107" t="inlineStr">
        <is>
          <t>(Accesos no autorizados detectados / Total de intentos de acceso) * 100</t>
        </is>
      </c>
      <c r="G81" s="107" t="inlineStr">
        <is>
          <t>Probar / Examinar</t>
        </is>
      </c>
      <c r="H81" s="107" t="inlineStr">
        <is>
          <t>&lt; 1%</t>
        </is>
      </c>
      <c r="I81" s="107" t="inlineStr">
        <is>
          <t>0.5%</t>
        </is>
      </c>
      <c r="J81" s="107" t="inlineStr">
        <is>
          <t>L3: Proceso Definido</t>
        </is>
      </c>
    </row>
    <row r="82">
      <c r="A82" s="107">
        <f>'Documentación Aplicabilidad'!A82</f>
        <v/>
      </c>
      <c r="B82" s="107">
        <f>'Documentación Aplicabilidad'!B82</f>
        <v/>
      </c>
      <c r="C82" s="107">
        <f>'Documentación Aplicabilidad'!C82</f>
        <v/>
      </c>
      <c r="D82" s="107" t="inlineStr">
        <is>
          <t>Eficacia</t>
        </is>
      </c>
      <c r="E82" s="107" t="inlineStr">
        <is>
          <t>MED-SI-081</t>
        </is>
      </c>
      <c r="F82" s="107" t="inlineStr">
        <is>
          <t>(Accesos no autorizados detectados / Total de intentos de acceso) * 100</t>
        </is>
      </c>
      <c r="G82" s="107" t="inlineStr">
        <is>
          <t>Probar / Examinar</t>
        </is>
      </c>
      <c r="H82" s="107" t="inlineStr">
        <is>
          <t>&lt; 1%</t>
        </is>
      </c>
      <c r="I82" s="107" t="inlineStr">
        <is>
          <t>0.5%</t>
        </is>
      </c>
      <c r="J82" s="107" t="inlineStr">
        <is>
          <t>L3: Proceso Definido</t>
        </is>
      </c>
    </row>
    <row r="83">
      <c r="A83" s="107">
        <f>'Documentación Aplicabilidad'!A83</f>
        <v/>
      </c>
      <c r="B83" s="107">
        <f>'Documentación Aplicabilidad'!B83</f>
        <v/>
      </c>
      <c r="C83" s="107">
        <f>'Documentación Aplicabilidad'!C83</f>
        <v/>
      </c>
      <c r="D83" s="107" t="inlineStr">
        <is>
          <t>Eficacia</t>
        </is>
      </c>
      <c r="E83" s="107" t="inlineStr">
        <is>
          <t>MED-SI-082</t>
        </is>
      </c>
      <c r="F83" s="107" t="inlineStr">
        <is>
          <t>(Accesos no autorizados detectados / Total de intentos de acceso) * 100</t>
        </is>
      </c>
      <c r="G83" s="107" t="inlineStr">
        <is>
          <t>Probar / Examinar</t>
        </is>
      </c>
      <c r="H83" s="107" t="inlineStr">
        <is>
          <t>&lt; 1%</t>
        </is>
      </c>
      <c r="I83" s="107" t="inlineStr">
        <is>
          <t>0.5%</t>
        </is>
      </c>
      <c r="J83" s="107" t="inlineStr">
        <is>
          <t>L3: Proceso Definido</t>
        </is>
      </c>
    </row>
    <row r="84">
      <c r="A84" s="107">
        <f>'Documentación Aplicabilidad'!A84</f>
        <v/>
      </c>
      <c r="B84" s="107">
        <f>'Documentación Aplicabilidad'!B84</f>
        <v/>
      </c>
      <c r="C84" s="107">
        <f>'Documentación Aplicabilidad'!C84</f>
        <v/>
      </c>
      <c r="D84" s="107" t="inlineStr">
        <is>
          <t>Eficacia</t>
        </is>
      </c>
      <c r="E84" s="107" t="inlineStr">
        <is>
          <t>MED-SI-083</t>
        </is>
      </c>
      <c r="F84" s="107" t="inlineStr">
        <is>
          <t>(Accesos no autorizados detectados / Total de intentos de acceso) * 100</t>
        </is>
      </c>
      <c r="G84" s="107" t="inlineStr">
        <is>
          <t>Probar / Examinar</t>
        </is>
      </c>
      <c r="H84" s="107" t="inlineStr">
        <is>
          <t>&lt; 1%</t>
        </is>
      </c>
      <c r="I84" s="107" t="inlineStr">
        <is>
          <t>0.5%</t>
        </is>
      </c>
      <c r="J84" s="107" t="inlineStr">
        <is>
          <t>L3: Proceso Definido</t>
        </is>
      </c>
    </row>
    <row r="85">
      <c r="A85" s="107">
        <f>'Documentación Aplicabilidad'!A85</f>
        <v/>
      </c>
      <c r="B85" s="107">
        <f>'Documentación Aplicabilidad'!B85</f>
        <v/>
      </c>
      <c r="C85" s="107">
        <f>'Documentación Aplicabilidad'!C85</f>
        <v/>
      </c>
      <c r="D85" s="107" t="inlineStr">
        <is>
          <t>Eficacia</t>
        </is>
      </c>
      <c r="E85" s="107" t="inlineStr">
        <is>
          <t>MED-SI-084</t>
        </is>
      </c>
      <c r="F85" s="107" t="inlineStr">
        <is>
          <t>(Accesos no autorizados detectados / Total de intentos de acceso) * 100</t>
        </is>
      </c>
      <c r="G85" s="107" t="inlineStr">
        <is>
          <t>Probar / Examinar</t>
        </is>
      </c>
      <c r="H85" s="107" t="inlineStr">
        <is>
          <t>&lt; 1%</t>
        </is>
      </c>
      <c r="I85" s="107" t="inlineStr">
        <is>
          <t>0.5%</t>
        </is>
      </c>
      <c r="J85" s="107" t="inlineStr">
        <is>
          <t>L3: Proceso Definido</t>
        </is>
      </c>
    </row>
    <row r="86">
      <c r="A86" s="107">
        <f>'Documentación Aplicabilidad'!A86</f>
        <v/>
      </c>
      <c r="B86" s="107">
        <f>'Documentación Aplicabilidad'!B86</f>
        <v/>
      </c>
      <c r="C86" s="107">
        <f>'Documentación Aplicabilidad'!C86</f>
        <v/>
      </c>
      <c r="D86" s="107" t="inlineStr">
        <is>
          <t>Eficacia</t>
        </is>
      </c>
      <c r="E86" s="107" t="inlineStr">
        <is>
          <t>MED-SI-085</t>
        </is>
      </c>
      <c r="F86" s="107" t="inlineStr">
        <is>
          <t>(Accesos no autorizados detectados / Total de intentos de acceso) * 100</t>
        </is>
      </c>
      <c r="G86" s="107" t="inlineStr">
        <is>
          <t>Probar / Examinar</t>
        </is>
      </c>
      <c r="H86" s="107" t="inlineStr">
        <is>
          <t>&lt; 1%</t>
        </is>
      </c>
      <c r="I86" s="107" t="inlineStr">
        <is>
          <t>0.5%</t>
        </is>
      </c>
      <c r="J86" s="107" t="inlineStr">
        <is>
          <t>L3: Proceso Definido</t>
        </is>
      </c>
    </row>
    <row r="87">
      <c r="A87" s="107">
        <f>'Documentación Aplicabilidad'!A87</f>
        <v/>
      </c>
      <c r="B87" s="107">
        <f>'Documentación Aplicabilidad'!B87</f>
        <v/>
      </c>
      <c r="C87" s="107">
        <f>'Documentación Aplicabilidad'!C87</f>
        <v/>
      </c>
      <c r="D87" s="107" t="inlineStr">
        <is>
          <t>Eficacia</t>
        </is>
      </c>
      <c r="E87" s="107" t="inlineStr">
        <is>
          <t>MED-SI-086</t>
        </is>
      </c>
      <c r="F87" s="107" t="inlineStr">
        <is>
          <t>(Accesos no autorizados detectados / Total de intentos de acceso) * 100</t>
        </is>
      </c>
      <c r="G87" s="107" t="inlineStr">
        <is>
          <t>Probar / Examinar</t>
        </is>
      </c>
      <c r="H87" s="107" t="inlineStr">
        <is>
          <t>&lt; 1%</t>
        </is>
      </c>
      <c r="I87" s="107" t="inlineStr">
        <is>
          <t>0.5%</t>
        </is>
      </c>
      <c r="J87" s="107" t="inlineStr">
        <is>
          <t>L3: Proceso Definido</t>
        </is>
      </c>
    </row>
    <row r="88">
      <c r="A88" s="107">
        <f>'Documentación Aplicabilidad'!A88</f>
        <v/>
      </c>
      <c r="B88" s="107">
        <f>'Documentación Aplicabilidad'!B88</f>
        <v/>
      </c>
      <c r="C88" s="107">
        <f>'Documentación Aplicabilidad'!C88</f>
        <v/>
      </c>
      <c r="D88" s="107" t="inlineStr">
        <is>
          <t>Eficacia</t>
        </is>
      </c>
      <c r="E88" s="107" t="inlineStr">
        <is>
          <t>MED-SI-087</t>
        </is>
      </c>
      <c r="F88" s="107" t="inlineStr">
        <is>
          <t>(Accesos no autorizados detectados / Total de intentos de acceso) * 100</t>
        </is>
      </c>
      <c r="G88" s="107" t="inlineStr">
        <is>
          <t>Probar / Examinar</t>
        </is>
      </c>
      <c r="H88" s="107" t="inlineStr">
        <is>
          <t>&lt; 1%</t>
        </is>
      </c>
      <c r="I88" s="107" t="inlineStr">
        <is>
          <t>0.5%</t>
        </is>
      </c>
      <c r="J88" s="107" t="inlineStr">
        <is>
          <t>L3: Proceso Definido</t>
        </is>
      </c>
    </row>
    <row r="89">
      <c r="A89" s="107">
        <f>'Documentación Aplicabilidad'!A89</f>
        <v/>
      </c>
      <c r="B89" s="107">
        <f>'Documentación Aplicabilidad'!B89</f>
        <v/>
      </c>
      <c r="C89" s="107">
        <f>'Documentación Aplicabilidad'!C89</f>
        <v/>
      </c>
      <c r="D89" s="107" t="inlineStr">
        <is>
          <t>Eficacia</t>
        </is>
      </c>
      <c r="E89" s="107" t="inlineStr">
        <is>
          <t>MED-SI-088</t>
        </is>
      </c>
      <c r="F89" s="107" t="inlineStr">
        <is>
          <t>(Accesos no autorizados detectados / Total de intentos de acceso) * 100</t>
        </is>
      </c>
      <c r="G89" s="107" t="inlineStr">
        <is>
          <t>Probar / Examinar</t>
        </is>
      </c>
      <c r="H89" s="107" t="inlineStr">
        <is>
          <t>&lt; 1%</t>
        </is>
      </c>
      <c r="I89" s="107" t="inlineStr">
        <is>
          <t>0.5%</t>
        </is>
      </c>
      <c r="J89" s="107" t="inlineStr">
        <is>
          <t>L3: Proceso Definido</t>
        </is>
      </c>
    </row>
    <row r="90">
      <c r="A90" s="107">
        <f>'Documentación Aplicabilidad'!A90</f>
        <v/>
      </c>
      <c r="B90" s="107">
        <f>'Documentación Aplicabilidad'!B90</f>
        <v/>
      </c>
      <c r="C90" s="107">
        <f>'Documentación Aplicabilidad'!C90</f>
        <v/>
      </c>
      <c r="D90" s="107" t="inlineStr">
        <is>
          <t>Eficacia</t>
        </is>
      </c>
      <c r="E90" s="107" t="inlineStr">
        <is>
          <t>MED-SI-089</t>
        </is>
      </c>
      <c r="F90" s="107" t="inlineStr">
        <is>
          <t>(Accesos no autorizados detectados / Total de intentos de acceso) * 100</t>
        </is>
      </c>
      <c r="G90" s="107" t="inlineStr">
        <is>
          <t>Probar / Examinar</t>
        </is>
      </c>
      <c r="H90" s="107" t="inlineStr">
        <is>
          <t>&lt; 1%</t>
        </is>
      </c>
      <c r="I90" s="107" t="inlineStr">
        <is>
          <t>0.5%</t>
        </is>
      </c>
      <c r="J90" s="107" t="inlineStr">
        <is>
          <t>L3: Proceso Definido</t>
        </is>
      </c>
    </row>
    <row r="91">
      <c r="A91" s="107">
        <f>'Documentación Aplicabilidad'!A91</f>
        <v/>
      </c>
      <c r="B91" s="107">
        <f>'Documentación Aplicabilidad'!B91</f>
        <v/>
      </c>
      <c r="C91" s="107">
        <f>'Documentación Aplicabilidad'!C91</f>
        <v/>
      </c>
      <c r="D91" s="107" t="inlineStr">
        <is>
          <t>Eficacia</t>
        </is>
      </c>
      <c r="E91" s="107" t="inlineStr">
        <is>
          <t>MED-SI-090</t>
        </is>
      </c>
      <c r="F91" s="107" t="inlineStr">
        <is>
          <t>(Accesos no autorizados detectados / Total de intentos de acceso) * 100</t>
        </is>
      </c>
      <c r="G91" s="107" t="inlineStr">
        <is>
          <t>Probar / Examinar</t>
        </is>
      </c>
      <c r="H91" s="107" t="inlineStr">
        <is>
          <t>&lt; 1%</t>
        </is>
      </c>
      <c r="I91" s="107" t="inlineStr">
        <is>
          <t>0.5%</t>
        </is>
      </c>
      <c r="J91" s="107" t="inlineStr">
        <is>
          <t>L3: Proceso Definido</t>
        </is>
      </c>
    </row>
    <row r="92">
      <c r="A92" s="107">
        <f>'Documentación Aplicabilidad'!A92</f>
        <v/>
      </c>
      <c r="B92" s="107">
        <f>'Documentación Aplicabilidad'!B92</f>
        <v/>
      </c>
      <c r="C92" s="107">
        <f>'Documentación Aplicabilidad'!C92</f>
        <v/>
      </c>
      <c r="D92" s="107" t="inlineStr">
        <is>
          <t>Eficacia</t>
        </is>
      </c>
      <c r="E92" s="107" t="inlineStr">
        <is>
          <t>MED-SI-091</t>
        </is>
      </c>
      <c r="F92" s="107" t="inlineStr">
        <is>
          <t>(Accesos no autorizados detectados / Total de intentos de acceso) * 100</t>
        </is>
      </c>
      <c r="G92" s="107" t="inlineStr">
        <is>
          <t>Probar / Examinar</t>
        </is>
      </c>
      <c r="H92" s="107" t="inlineStr">
        <is>
          <t>&lt; 1%</t>
        </is>
      </c>
      <c r="I92" s="107" t="inlineStr">
        <is>
          <t>0.5%</t>
        </is>
      </c>
      <c r="J92" s="107" t="inlineStr">
        <is>
          <t>L3: Proceso Definido</t>
        </is>
      </c>
    </row>
    <row r="93">
      <c r="A93" s="107">
        <f>'Documentación Aplicabilidad'!A93</f>
        <v/>
      </c>
      <c r="B93" s="107">
        <f>'Documentación Aplicabilidad'!B93</f>
        <v/>
      </c>
      <c r="C93" s="107">
        <f>'Documentación Aplicabilidad'!C93</f>
        <v/>
      </c>
      <c r="D93" s="107" t="inlineStr">
        <is>
          <t>Eficacia</t>
        </is>
      </c>
      <c r="E93" s="107" t="inlineStr">
        <is>
          <t>MED-SI-092</t>
        </is>
      </c>
      <c r="F93" s="107" t="inlineStr">
        <is>
          <t>(Accesos no autorizados detectados / Total de intentos de acceso) * 100</t>
        </is>
      </c>
      <c r="G93" s="107" t="inlineStr">
        <is>
          <t>Probar / Examinar</t>
        </is>
      </c>
      <c r="H93" s="107" t="inlineStr">
        <is>
          <t>&lt; 1%</t>
        </is>
      </c>
      <c r="I93" s="107" t="inlineStr">
        <is>
          <t>0.5%</t>
        </is>
      </c>
      <c r="J93" s="107" t="inlineStr">
        <is>
          <t>L3: Proceso Definido</t>
        </is>
      </c>
    </row>
    <row r="94">
      <c r="A94" s="107">
        <f>'Documentación Aplicabilidad'!A94</f>
        <v/>
      </c>
      <c r="B94" s="107">
        <f>'Documentación Aplicabilidad'!B94</f>
        <v/>
      </c>
      <c r="C94" s="107">
        <f>'Documentación Aplicabilidad'!C94</f>
        <v/>
      </c>
      <c r="D94" s="107" t="inlineStr">
        <is>
          <t>Eficacia</t>
        </is>
      </c>
      <c r="E94" s="107" t="inlineStr">
        <is>
          <t>MED-SI-093</t>
        </is>
      </c>
      <c r="F94" s="107" t="inlineStr">
        <is>
          <t>(Accesos no autorizados detectados / Total de intentos de acceso) * 100</t>
        </is>
      </c>
      <c r="G94" s="107" t="inlineStr">
        <is>
          <t>Probar / Examinar</t>
        </is>
      </c>
      <c r="H94" s="107" t="inlineStr">
        <is>
          <t>&lt; 1%</t>
        </is>
      </c>
      <c r="I94" s="107" t="inlineStr">
        <is>
          <t>0.5%</t>
        </is>
      </c>
      <c r="J94" s="107" t="inlineStr">
        <is>
          <t>L3: Proceso Definido</t>
        </is>
      </c>
    </row>
  </sheetData>
  <autoFilter ref="A1:J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2026-09-02T13:41:20Z</dcterms:modified>
  <cp:lastModifiedBy>SEGURIDAD DE LA INFORMACION</cp:lastModifiedBy>
  <cp:lastPrinted>2025-09-10T17:26:07Z</cp:lastPrinted>
</cp:coreProperties>
</file>